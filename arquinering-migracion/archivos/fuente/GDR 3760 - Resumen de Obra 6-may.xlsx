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dro Pagliaricci\Desktop\Arq\"/>
    </mc:Choice>
  </mc:AlternateContent>
  <xr:revisionPtr revIDLastSave="0" documentId="13_ncr:1_{931E16D4-3D43-4BFB-A8AF-E8F804381AD4}" xr6:coauthVersionLast="47" xr6:coauthVersionMax="47" xr10:uidLastSave="{00000000-0000-0000-0000-000000000000}"/>
  <bookViews>
    <workbookView xWindow="-110" yWindow="-110" windowWidth="19420" windowHeight="11500" tabRatio="893" firstSheet="11" activeTab="19" xr2:uid="{6DE754B0-7DDF-4D4A-B128-D9B5CEB841BB}"/>
  </bookViews>
  <sheets>
    <sheet name="HOJA DE OBRA" sheetId="9" r:id="rId1"/>
    <sheet name="Resumen General" sheetId="1" r:id="rId2"/>
    <sheet name="Resumen Pto #1" sheetId="21" r:id="rId3"/>
    <sheet name="Certificados" sheetId="43" r:id="rId4"/>
    <sheet name="Facturacion" sheetId="10" r:id="rId5"/>
    <sheet name="Resumen Pto #2" sheetId="30" r:id="rId6"/>
    <sheet name="Cert. Pto. 01" sheetId="41" r:id="rId7"/>
    <sheet name="Cert. Pto. 02" sheetId="42" r:id="rId8"/>
    <sheet name="Cash Flow" sheetId="4" state="hidden" r:id="rId9"/>
    <sheet name="M.O. HOR" sheetId="2" r:id="rId10"/>
    <sheet name="M.O. ALB " sheetId="46" r:id="rId11"/>
    <sheet name="M.O. ELE" sheetId="39" r:id="rId12"/>
    <sheet name="M.O. PLOME" sheetId="47" r:id="rId13"/>
    <sheet name="Contratistas" sheetId="3" r:id="rId14"/>
    <sheet name="Preventivo Vta" sheetId="36" r:id="rId15"/>
    <sheet name="P. Costo" sheetId="38" r:id="rId16"/>
    <sheet name="01" sheetId="34" state="hidden" r:id="rId17"/>
    <sheet name="GGBB" sheetId="40" r:id="rId18"/>
    <sheet name="C. Gestión Pto #1" sheetId="5" r:id="rId19"/>
    <sheet name="C. Gestión Pto #2" sheetId="31" r:id="rId20"/>
    <sheet name="Indice CAC" sheetId="25" r:id="rId21"/>
    <sheet name="01 (2)" sheetId="44" r:id="rId22"/>
    <sheet name="Cta Cte GDR" sheetId="45" r:id="rId23"/>
    <sheet name="TC USD MEP" sheetId="48" r:id="rId24"/>
    <sheet name="Listas" sheetId="8" state="hidden" r:id="rId25"/>
  </sheets>
  <externalReferences>
    <externalReference r:id="rId26"/>
    <externalReference r:id="rId27"/>
  </externalReferences>
  <definedNames>
    <definedName name="\0" localSheetId="16">#REF!</definedName>
    <definedName name="\0" localSheetId="20">#REF!</definedName>
    <definedName name="\0">#REF!</definedName>
    <definedName name="\c" localSheetId="20">#REF!</definedName>
    <definedName name="\c">#REF!</definedName>
    <definedName name="\E" localSheetId="20">#REF!</definedName>
    <definedName name="\E">#REF!</definedName>
    <definedName name="\i">#REF!</definedName>
    <definedName name="\j">#REF!</definedName>
    <definedName name="\m">#REF!</definedName>
    <definedName name="\P" localSheetId="16">#REF!</definedName>
    <definedName name="\P" localSheetId="21">#REF!</definedName>
    <definedName name="\P" localSheetId="8">#REF!</definedName>
    <definedName name="\P" localSheetId="6">#REF!</definedName>
    <definedName name="\P" localSheetId="7">#REF!</definedName>
    <definedName name="\P" localSheetId="3">#REF!</definedName>
    <definedName name="\P" localSheetId="13">#REF!</definedName>
    <definedName name="\P" localSheetId="22">#REF!</definedName>
    <definedName name="\P" localSheetId="4">#REF!</definedName>
    <definedName name="\P" localSheetId="0">#REF!</definedName>
    <definedName name="\P" localSheetId="10">#REF!</definedName>
    <definedName name="\P" localSheetId="11">#REF!</definedName>
    <definedName name="\P" localSheetId="9">#REF!</definedName>
    <definedName name="\P" localSheetId="12">#REF!</definedName>
    <definedName name="\P" localSheetId="15">#REF!</definedName>
    <definedName name="\P" localSheetId="14">#REF!</definedName>
    <definedName name="\P" localSheetId="1">#REF!</definedName>
    <definedName name="\P" localSheetId="2">#REF!</definedName>
    <definedName name="\P" localSheetId="5">#REF!</definedName>
    <definedName name="\P">#REF!</definedName>
    <definedName name="\r">#N/A</definedName>
    <definedName name="\x">#REF!</definedName>
    <definedName name="\z" localSheetId="16">#REF!</definedName>
    <definedName name="\z" localSheetId="20">#REF!</definedName>
    <definedName name="\z">#REF!</definedName>
    <definedName name="__________ben1" localSheetId="16">#REF!</definedName>
    <definedName name="__________ben1" localSheetId="21">#REF!</definedName>
    <definedName name="__________ben1" localSheetId="8">#REF!</definedName>
    <definedName name="__________ben1" localSheetId="6">#REF!</definedName>
    <definedName name="__________ben1" localSheetId="7">#REF!</definedName>
    <definedName name="__________ben1" localSheetId="3">#REF!</definedName>
    <definedName name="__________ben1" localSheetId="13">#REF!</definedName>
    <definedName name="__________ben1" localSheetId="22">#REF!</definedName>
    <definedName name="__________ben1" localSheetId="4">#REF!</definedName>
    <definedName name="__________ben1" localSheetId="0">#REF!</definedName>
    <definedName name="__________ben1" localSheetId="20">#REF!</definedName>
    <definedName name="__________ben1" localSheetId="10">#REF!</definedName>
    <definedName name="__________ben1" localSheetId="11">#REF!</definedName>
    <definedName name="__________ben1" localSheetId="9">#REF!</definedName>
    <definedName name="__________ben1" localSheetId="12">#REF!</definedName>
    <definedName name="__________ben1" localSheetId="15">#REF!</definedName>
    <definedName name="__________ben1" localSheetId="14">#REF!</definedName>
    <definedName name="__________ben1" localSheetId="1">#REF!</definedName>
    <definedName name="__________ben1" localSheetId="2">#REF!</definedName>
    <definedName name="__________ben1" localSheetId="5">#REF!</definedName>
    <definedName name="__________ben1">#REF!</definedName>
    <definedName name="__________ben10" localSheetId="16">#REF!</definedName>
    <definedName name="__________ben10" localSheetId="21">#REF!</definedName>
    <definedName name="__________ben10" localSheetId="8">#REF!</definedName>
    <definedName name="__________ben10" localSheetId="6">#REF!</definedName>
    <definedName name="__________ben10" localSheetId="7">#REF!</definedName>
    <definedName name="__________ben10" localSheetId="3">#REF!</definedName>
    <definedName name="__________ben10" localSheetId="13">#REF!</definedName>
    <definedName name="__________ben10" localSheetId="22">#REF!</definedName>
    <definedName name="__________ben10" localSheetId="4">#REF!</definedName>
    <definedName name="__________ben10" localSheetId="0">#REF!</definedName>
    <definedName name="__________ben10" localSheetId="20">#REF!</definedName>
    <definedName name="__________ben10" localSheetId="10">#REF!</definedName>
    <definedName name="__________ben10" localSheetId="11">#REF!</definedName>
    <definedName name="__________ben10" localSheetId="9">#REF!</definedName>
    <definedName name="__________ben10" localSheetId="12">#REF!</definedName>
    <definedName name="__________ben10" localSheetId="15">#REF!</definedName>
    <definedName name="__________ben10" localSheetId="14">#REF!</definedName>
    <definedName name="__________ben10" localSheetId="1">#REF!</definedName>
    <definedName name="__________ben10" localSheetId="2">#REF!</definedName>
    <definedName name="__________ben10" localSheetId="5">#REF!</definedName>
    <definedName name="__________ben10">#REF!</definedName>
    <definedName name="__________ben15" localSheetId="16">#REF!</definedName>
    <definedName name="__________ben15" localSheetId="21">#REF!</definedName>
    <definedName name="__________ben15" localSheetId="8">#REF!</definedName>
    <definedName name="__________ben15" localSheetId="6">#REF!</definedName>
    <definedName name="__________ben15" localSheetId="7">#REF!</definedName>
    <definedName name="__________ben15" localSheetId="3">#REF!</definedName>
    <definedName name="__________ben15" localSheetId="13">#REF!</definedName>
    <definedName name="__________ben15" localSheetId="22">#REF!</definedName>
    <definedName name="__________ben15" localSheetId="4">#REF!</definedName>
    <definedName name="__________ben15" localSheetId="0">#REF!</definedName>
    <definedName name="__________ben15" localSheetId="20">#REF!</definedName>
    <definedName name="__________ben15" localSheetId="10">#REF!</definedName>
    <definedName name="__________ben15" localSheetId="11">#REF!</definedName>
    <definedName name="__________ben15" localSheetId="9">#REF!</definedName>
    <definedName name="__________ben15" localSheetId="12">#REF!</definedName>
    <definedName name="__________ben15" localSheetId="15">#REF!</definedName>
    <definedName name="__________ben15" localSheetId="14">#REF!</definedName>
    <definedName name="__________ben15" localSheetId="1">#REF!</definedName>
    <definedName name="__________ben15" localSheetId="2">#REF!</definedName>
    <definedName name="__________ben15" localSheetId="5">#REF!</definedName>
    <definedName name="__________ben15">#REF!</definedName>
    <definedName name="__________BEN2" localSheetId="16">#REF!</definedName>
    <definedName name="__________BEN2" localSheetId="20">#REF!</definedName>
    <definedName name="__________BEN2">#REF!</definedName>
    <definedName name="__________ben20" localSheetId="16">#REF!</definedName>
    <definedName name="__________ben20" localSheetId="21">#REF!</definedName>
    <definedName name="__________ben20" localSheetId="8">#REF!</definedName>
    <definedName name="__________ben20" localSheetId="6">#REF!</definedName>
    <definedName name="__________ben20" localSheetId="7">#REF!</definedName>
    <definedName name="__________ben20" localSheetId="3">#REF!</definedName>
    <definedName name="__________ben20" localSheetId="13">#REF!</definedName>
    <definedName name="__________ben20" localSheetId="22">#REF!</definedName>
    <definedName name="__________ben20" localSheetId="4">#REF!</definedName>
    <definedName name="__________ben20" localSheetId="0">#REF!</definedName>
    <definedName name="__________ben20" localSheetId="20">#REF!</definedName>
    <definedName name="__________ben20" localSheetId="10">#REF!</definedName>
    <definedName name="__________ben20" localSheetId="11">#REF!</definedName>
    <definedName name="__________ben20" localSheetId="9">#REF!</definedName>
    <definedName name="__________ben20" localSheetId="12">#REF!</definedName>
    <definedName name="__________ben20" localSheetId="15">#REF!</definedName>
    <definedName name="__________ben20" localSheetId="14">#REF!</definedName>
    <definedName name="__________ben20" localSheetId="1">#REF!</definedName>
    <definedName name="__________ben20" localSheetId="2">#REF!</definedName>
    <definedName name="__________ben20" localSheetId="5">#REF!</definedName>
    <definedName name="__________ben20">#REF!</definedName>
    <definedName name="__________ben25" localSheetId="16">#REF!</definedName>
    <definedName name="__________ben25" localSheetId="21">#REF!</definedName>
    <definedName name="__________ben25" localSheetId="8">#REF!</definedName>
    <definedName name="__________ben25" localSheetId="6">#REF!</definedName>
    <definedName name="__________ben25" localSheetId="7">#REF!</definedName>
    <definedName name="__________ben25" localSheetId="3">#REF!</definedName>
    <definedName name="__________ben25" localSheetId="13">#REF!</definedName>
    <definedName name="__________ben25" localSheetId="22">#REF!</definedName>
    <definedName name="__________ben25" localSheetId="4">#REF!</definedName>
    <definedName name="__________ben25" localSheetId="0">#REF!</definedName>
    <definedName name="__________ben25" localSheetId="20">#REF!</definedName>
    <definedName name="__________ben25" localSheetId="10">#REF!</definedName>
    <definedName name="__________ben25" localSheetId="11">#REF!</definedName>
    <definedName name="__________ben25" localSheetId="9">#REF!</definedName>
    <definedName name="__________ben25" localSheetId="12">#REF!</definedName>
    <definedName name="__________ben25" localSheetId="15">#REF!</definedName>
    <definedName name="__________ben25" localSheetId="14">#REF!</definedName>
    <definedName name="__________ben25" localSheetId="1">#REF!</definedName>
    <definedName name="__________ben25" localSheetId="2">#REF!</definedName>
    <definedName name="__________ben25" localSheetId="5">#REF!</definedName>
    <definedName name="__________ben25">#REF!</definedName>
    <definedName name="__________BEN3" localSheetId="16">#REF!</definedName>
    <definedName name="__________BEN3" localSheetId="21">#REF!</definedName>
    <definedName name="__________BEN3" localSheetId="8">#REF!</definedName>
    <definedName name="__________BEN3" localSheetId="6">#REF!</definedName>
    <definedName name="__________BEN3" localSheetId="7">#REF!</definedName>
    <definedName name="__________BEN3" localSheetId="3">#REF!</definedName>
    <definedName name="__________BEN3" localSheetId="13">#REF!</definedName>
    <definedName name="__________BEN3" localSheetId="22">#REF!</definedName>
    <definedName name="__________BEN3" localSheetId="4">#REF!</definedName>
    <definedName name="__________BEN3" localSheetId="0">#REF!</definedName>
    <definedName name="__________BEN3" localSheetId="20">#REF!</definedName>
    <definedName name="__________BEN3" localSheetId="10">#REF!</definedName>
    <definedName name="__________BEN3" localSheetId="11">#REF!</definedName>
    <definedName name="__________BEN3" localSheetId="9">#REF!</definedName>
    <definedName name="__________BEN3" localSheetId="12">#REF!</definedName>
    <definedName name="__________BEN3" localSheetId="15">#REF!</definedName>
    <definedName name="__________BEN3" localSheetId="14">#REF!</definedName>
    <definedName name="__________BEN3" localSheetId="1">#REF!</definedName>
    <definedName name="__________BEN3" localSheetId="2">#REF!</definedName>
    <definedName name="__________BEN3" localSheetId="5">#REF!</definedName>
    <definedName name="__________BEN3">#REF!</definedName>
    <definedName name="__________BEN4" localSheetId="16">#REF!</definedName>
    <definedName name="__________BEN4" localSheetId="21">#REF!</definedName>
    <definedName name="__________BEN4" localSheetId="8">#REF!</definedName>
    <definedName name="__________BEN4" localSheetId="6">#REF!</definedName>
    <definedName name="__________BEN4" localSheetId="7">#REF!</definedName>
    <definedName name="__________BEN4" localSheetId="3">#REF!</definedName>
    <definedName name="__________BEN4" localSheetId="13">#REF!</definedName>
    <definedName name="__________BEN4" localSheetId="22">#REF!</definedName>
    <definedName name="__________BEN4" localSheetId="4">#REF!</definedName>
    <definedName name="__________BEN4" localSheetId="0">#REF!</definedName>
    <definedName name="__________BEN4" localSheetId="10">#REF!</definedName>
    <definedName name="__________BEN4" localSheetId="11">#REF!</definedName>
    <definedName name="__________BEN4" localSheetId="9">#REF!</definedName>
    <definedName name="__________BEN4" localSheetId="12">#REF!</definedName>
    <definedName name="__________BEN4" localSheetId="15">#REF!</definedName>
    <definedName name="__________BEN4" localSheetId="14">#REF!</definedName>
    <definedName name="__________BEN4" localSheetId="1">#REF!</definedName>
    <definedName name="__________BEN4" localSheetId="2">#REF!</definedName>
    <definedName name="__________BEN4" localSheetId="5">#REF!</definedName>
    <definedName name="__________BEN4">#REF!</definedName>
    <definedName name="__________ben5" localSheetId="16">#REF!</definedName>
    <definedName name="__________ben5" localSheetId="21">#REF!</definedName>
    <definedName name="__________ben5" localSheetId="8">#REF!</definedName>
    <definedName name="__________ben5" localSheetId="6">#REF!</definedName>
    <definedName name="__________ben5" localSheetId="7">#REF!</definedName>
    <definedName name="__________ben5" localSheetId="3">#REF!</definedName>
    <definedName name="__________ben5" localSheetId="13">#REF!</definedName>
    <definedName name="__________ben5" localSheetId="22">#REF!</definedName>
    <definedName name="__________ben5" localSheetId="4">#REF!</definedName>
    <definedName name="__________ben5" localSheetId="0">#REF!</definedName>
    <definedName name="__________ben5" localSheetId="10">#REF!</definedName>
    <definedName name="__________ben5" localSheetId="11">#REF!</definedName>
    <definedName name="__________ben5" localSheetId="9">#REF!</definedName>
    <definedName name="__________ben5" localSheetId="12">#REF!</definedName>
    <definedName name="__________ben5" localSheetId="15">#REF!</definedName>
    <definedName name="__________ben5" localSheetId="14">#REF!</definedName>
    <definedName name="__________ben5" localSheetId="1">#REF!</definedName>
    <definedName name="__________ben5" localSheetId="2">#REF!</definedName>
    <definedName name="__________ben5" localSheetId="5">#REF!</definedName>
    <definedName name="__________ben5">#REF!</definedName>
    <definedName name="_________ben1" localSheetId="16">#REF!</definedName>
    <definedName name="_________ben1" localSheetId="21">#REF!</definedName>
    <definedName name="_________ben1" localSheetId="8">#REF!</definedName>
    <definedName name="_________ben1" localSheetId="6">#REF!</definedName>
    <definedName name="_________ben1" localSheetId="7">#REF!</definedName>
    <definedName name="_________ben1" localSheetId="3">#REF!</definedName>
    <definedName name="_________ben1" localSheetId="13">#REF!</definedName>
    <definedName name="_________ben1" localSheetId="22">#REF!</definedName>
    <definedName name="_________ben1" localSheetId="4">#REF!</definedName>
    <definedName name="_________ben1" localSheetId="0">#REF!</definedName>
    <definedName name="_________ben1" localSheetId="10">#REF!</definedName>
    <definedName name="_________ben1" localSheetId="11">#REF!</definedName>
    <definedName name="_________ben1" localSheetId="9">#REF!</definedName>
    <definedName name="_________ben1" localSheetId="12">#REF!</definedName>
    <definedName name="_________ben1" localSheetId="15">#REF!</definedName>
    <definedName name="_________ben1" localSheetId="14">#REF!</definedName>
    <definedName name="_________ben1" localSheetId="1">#REF!</definedName>
    <definedName name="_________ben1" localSheetId="2">#REF!</definedName>
    <definedName name="_________ben1" localSheetId="5">#REF!</definedName>
    <definedName name="_________ben1">#REF!</definedName>
    <definedName name="_________ben10" localSheetId="16">#REF!</definedName>
    <definedName name="_________ben10" localSheetId="21">#REF!</definedName>
    <definedName name="_________ben10" localSheetId="8">#REF!</definedName>
    <definedName name="_________ben10" localSheetId="6">#REF!</definedName>
    <definedName name="_________ben10" localSheetId="7">#REF!</definedName>
    <definedName name="_________ben10" localSheetId="3">#REF!</definedName>
    <definedName name="_________ben10" localSheetId="13">#REF!</definedName>
    <definedName name="_________ben10" localSheetId="22">#REF!</definedName>
    <definedName name="_________ben10" localSheetId="4">#REF!</definedName>
    <definedName name="_________ben10" localSheetId="0">#REF!</definedName>
    <definedName name="_________ben10" localSheetId="10">#REF!</definedName>
    <definedName name="_________ben10" localSheetId="11">#REF!</definedName>
    <definedName name="_________ben10" localSheetId="9">#REF!</definedName>
    <definedName name="_________ben10" localSheetId="12">#REF!</definedName>
    <definedName name="_________ben10" localSheetId="15">#REF!</definedName>
    <definedName name="_________ben10" localSheetId="14">#REF!</definedName>
    <definedName name="_________ben10" localSheetId="1">#REF!</definedName>
    <definedName name="_________ben10" localSheetId="2">#REF!</definedName>
    <definedName name="_________ben10" localSheetId="5">#REF!</definedName>
    <definedName name="_________ben10">#REF!</definedName>
    <definedName name="_________ben15" localSheetId="16">#REF!</definedName>
    <definedName name="_________ben15" localSheetId="21">#REF!</definedName>
    <definedName name="_________ben15" localSheetId="8">#REF!</definedName>
    <definedName name="_________ben15" localSheetId="6">#REF!</definedName>
    <definedName name="_________ben15" localSheetId="7">#REF!</definedName>
    <definedName name="_________ben15" localSheetId="3">#REF!</definedName>
    <definedName name="_________ben15" localSheetId="13">#REF!</definedName>
    <definedName name="_________ben15" localSheetId="22">#REF!</definedName>
    <definedName name="_________ben15" localSheetId="4">#REF!</definedName>
    <definedName name="_________ben15" localSheetId="0">#REF!</definedName>
    <definedName name="_________ben15" localSheetId="10">#REF!</definedName>
    <definedName name="_________ben15" localSheetId="11">#REF!</definedName>
    <definedName name="_________ben15" localSheetId="9">#REF!</definedName>
    <definedName name="_________ben15" localSheetId="12">#REF!</definedName>
    <definedName name="_________ben15" localSheetId="15">#REF!</definedName>
    <definedName name="_________ben15" localSheetId="14">#REF!</definedName>
    <definedName name="_________ben15" localSheetId="1">#REF!</definedName>
    <definedName name="_________ben15" localSheetId="2">#REF!</definedName>
    <definedName name="_________ben15" localSheetId="5">#REF!</definedName>
    <definedName name="_________ben15">#REF!</definedName>
    <definedName name="_________BEN2" localSheetId="16">#REF!</definedName>
    <definedName name="_________BEN2" localSheetId="20">#REF!</definedName>
    <definedName name="_________BEN2">#REF!</definedName>
    <definedName name="_________ben20" localSheetId="16">#REF!</definedName>
    <definedName name="_________ben20" localSheetId="21">#REF!</definedName>
    <definedName name="_________ben20" localSheetId="8">#REF!</definedName>
    <definedName name="_________ben20" localSheetId="6">#REF!</definedName>
    <definedName name="_________ben20" localSheetId="7">#REF!</definedName>
    <definedName name="_________ben20" localSheetId="3">#REF!</definedName>
    <definedName name="_________ben20" localSheetId="13">#REF!</definedName>
    <definedName name="_________ben20" localSheetId="22">#REF!</definedName>
    <definedName name="_________ben20" localSheetId="4">#REF!</definedName>
    <definedName name="_________ben20" localSheetId="0">#REF!</definedName>
    <definedName name="_________ben20" localSheetId="20">#REF!</definedName>
    <definedName name="_________ben20" localSheetId="10">#REF!</definedName>
    <definedName name="_________ben20" localSheetId="11">#REF!</definedName>
    <definedName name="_________ben20" localSheetId="9">#REF!</definedName>
    <definedName name="_________ben20" localSheetId="12">#REF!</definedName>
    <definedName name="_________ben20" localSheetId="15">#REF!</definedName>
    <definedName name="_________ben20" localSheetId="14">#REF!</definedName>
    <definedName name="_________ben20" localSheetId="1">#REF!</definedName>
    <definedName name="_________ben20" localSheetId="2">#REF!</definedName>
    <definedName name="_________ben20" localSheetId="5">#REF!</definedName>
    <definedName name="_________ben20">#REF!</definedName>
    <definedName name="_________ben25" localSheetId="16">#REF!</definedName>
    <definedName name="_________ben25" localSheetId="21">#REF!</definedName>
    <definedName name="_________ben25" localSheetId="8">#REF!</definedName>
    <definedName name="_________ben25" localSheetId="6">#REF!</definedName>
    <definedName name="_________ben25" localSheetId="7">#REF!</definedName>
    <definedName name="_________ben25" localSheetId="3">#REF!</definedName>
    <definedName name="_________ben25" localSheetId="13">#REF!</definedName>
    <definedName name="_________ben25" localSheetId="22">#REF!</definedName>
    <definedName name="_________ben25" localSheetId="4">#REF!</definedName>
    <definedName name="_________ben25" localSheetId="0">#REF!</definedName>
    <definedName name="_________ben25" localSheetId="20">#REF!</definedName>
    <definedName name="_________ben25" localSheetId="10">#REF!</definedName>
    <definedName name="_________ben25" localSheetId="11">#REF!</definedName>
    <definedName name="_________ben25" localSheetId="9">#REF!</definedName>
    <definedName name="_________ben25" localSheetId="12">#REF!</definedName>
    <definedName name="_________ben25" localSheetId="15">#REF!</definedName>
    <definedName name="_________ben25" localSheetId="14">#REF!</definedName>
    <definedName name="_________ben25" localSheetId="1">#REF!</definedName>
    <definedName name="_________ben25" localSheetId="2">#REF!</definedName>
    <definedName name="_________ben25" localSheetId="5">#REF!</definedName>
    <definedName name="_________ben25">#REF!</definedName>
    <definedName name="_________BEN3" localSheetId="16">#REF!</definedName>
    <definedName name="_________BEN3" localSheetId="21">#REF!</definedName>
    <definedName name="_________BEN3" localSheetId="8">#REF!</definedName>
    <definedName name="_________BEN3" localSheetId="6">#REF!</definedName>
    <definedName name="_________BEN3" localSheetId="7">#REF!</definedName>
    <definedName name="_________BEN3" localSheetId="3">#REF!</definedName>
    <definedName name="_________BEN3" localSheetId="13">#REF!</definedName>
    <definedName name="_________BEN3" localSheetId="22">#REF!</definedName>
    <definedName name="_________BEN3" localSheetId="4">#REF!</definedName>
    <definedName name="_________BEN3" localSheetId="0">#REF!</definedName>
    <definedName name="_________BEN3" localSheetId="20">#REF!</definedName>
    <definedName name="_________BEN3" localSheetId="10">#REF!</definedName>
    <definedName name="_________BEN3" localSheetId="11">#REF!</definedName>
    <definedName name="_________BEN3" localSheetId="9">#REF!</definedName>
    <definedName name="_________BEN3" localSheetId="12">#REF!</definedName>
    <definedName name="_________BEN3" localSheetId="15">#REF!</definedName>
    <definedName name="_________BEN3" localSheetId="14">#REF!</definedName>
    <definedName name="_________BEN3" localSheetId="1">#REF!</definedName>
    <definedName name="_________BEN3" localSheetId="2">#REF!</definedName>
    <definedName name="_________BEN3" localSheetId="5">#REF!</definedName>
    <definedName name="_________BEN3">#REF!</definedName>
    <definedName name="_________BEN4" localSheetId="16">#REF!</definedName>
    <definedName name="_________BEN4" localSheetId="21">#REF!</definedName>
    <definedName name="_________BEN4" localSheetId="8">#REF!</definedName>
    <definedName name="_________BEN4" localSheetId="6">#REF!</definedName>
    <definedName name="_________BEN4" localSheetId="7">#REF!</definedName>
    <definedName name="_________BEN4" localSheetId="3">#REF!</definedName>
    <definedName name="_________BEN4" localSheetId="13">#REF!</definedName>
    <definedName name="_________BEN4" localSheetId="22">#REF!</definedName>
    <definedName name="_________BEN4" localSheetId="4">#REF!</definedName>
    <definedName name="_________BEN4" localSheetId="0">#REF!</definedName>
    <definedName name="_________BEN4" localSheetId="10">#REF!</definedName>
    <definedName name="_________BEN4" localSheetId="11">#REF!</definedName>
    <definedName name="_________BEN4" localSheetId="9">#REF!</definedName>
    <definedName name="_________BEN4" localSheetId="12">#REF!</definedName>
    <definedName name="_________BEN4" localSheetId="15">#REF!</definedName>
    <definedName name="_________BEN4" localSheetId="14">#REF!</definedName>
    <definedName name="_________BEN4" localSheetId="1">#REF!</definedName>
    <definedName name="_________BEN4" localSheetId="2">#REF!</definedName>
    <definedName name="_________BEN4" localSheetId="5">#REF!</definedName>
    <definedName name="_________BEN4">#REF!</definedName>
    <definedName name="_________ben5" localSheetId="16">#REF!</definedName>
    <definedName name="_________ben5" localSheetId="21">#REF!</definedName>
    <definedName name="_________ben5" localSheetId="8">#REF!</definedName>
    <definedName name="_________ben5" localSheetId="6">#REF!</definedName>
    <definedName name="_________ben5" localSheetId="7">#REF!</definedName>
    <definedName name="_________ben5" localSheetId="3">#REF!</definedName>
    <definedName name="_________ben5" localSheetId="13">#REF!</definedName>
    <definedName name="_________ben5" localSheetId="22">#REF!</definedName>
    <definedName name="_________ben5" localSheetId="4">#REF!</definedName>
    <definedName name="_________ben5" localSheetId="0">#REF!</definedName>
    <definedName name="_________ben5" localSheetId="10">#REF!</definedName>
    <definedName name="_________ben5" localSheetId="11">#REF!</definedName>
    <definedName name="_________ben5" localSheetId="9">#REF!</definedName>
    <definedName name="_________ben5" localSheetId="12">#REF!</definedName>
    <definedName name="_________ben5" localSheetId="15">#REF!</definedName>
    <definedName name="_________ben5" localSheetId="14">#REF!</definedName>
    <definedName name="_________ben5" localSheetId="1">#REF!</definedName>
    <definedName name="_________ben5" localSheetId="2">#REF!</definedName>
    <definedName name="_________ben5" localSheetId="5">#REF!</definedName>
    <definedName name="_________ben5">#REF!</definedName>
    <definedName name="________ben1" localSheetId="16">#REF!</definedName>
    <definedName name="________ben1" localSheetId="21">#REF!</definedName>
    <definedName name="________ben1" localSheetId="8">#REF!</definedName>
    <definedName name="________ben1" localSheetId="6">#REF!</definedName>
    <definedName name="________ben1" localSheetId="7">#REF!</definedName>
    <definedName name="________ben1" localSheetId="3">#REF!</definedName>
    <definedName name="________ben1" localSheetId="13">#REF!</definedName>
    <definedName name="________ben1" localSheetId="22">#REF!</definedName>
    <definedName name="________ben1" localSheetId="4">#REF!</definedName>
    <definedName name="________ben1" localSheetId="0">#REF!</definedName>
    <definedName name="________ben1" localSheetId="10">#REF!</definedName>
    <definedName name="________ben1" localSheetId="11">#REF!</definedName>
    <definedName name="________ben1" localSheetId="9">#REF!</definedName>
    <definedName name="________ben1" localSheetId="12">#REF!</definedName>
    <definedName name="________ben1" localSheetId="15">#REF!</definedName>
    <definedName name="________ben1" localSheetId="14">#REF!</definedName>
    <definedName name="________ben1" localSheetId="1">#REF!</definedName>
    <definedName name="________ben1" localSheetId="2">#REF!</definedName>
    <definedName name="________ben1" localSheetId="5">#REF!</definedName>
    <definedName name="________ben1">#REF!</definedName>
    <definedName name="________ben10" localSheetId="16">#REF!</definedName>
    <definedName name="________ben10" localSheetId="21">#REF!</definedName>
    <definedName name="________ben10" localSheetId="8">#REF!</definedName>
    <definedName name="________ben10" localSheetId="6">#REF!</definedName>
    <definedName name="________ben10" localSheetId="7">#REF!</definedName>
    <definedName name="________ben10" localSheetId="3">#REF!</definedName>
    <definedName name="________ben10" localSheetId="13">#REF!</definedName>
    <definedName name="________ben10" localSheetId="22">#REF!</definedName>
    <definedName name="________ben10" localSheetId="4">#REF!</definedName>
    <definedName name="________ben10" localSheetId="0">#REF!</definedName>
    <definedName name="________ben10" localSheetId="10">#REF!</definedName>
    <definedName name="________ben10" localSheetId="11">#REF!</definedName>
    <definedName name="________ben10" localSheetId="9">#REF!</definedName>
    <definedName name="________ben10" localSheetId="12">#REF!</definedName>
    <definedName name="________ben10" localSheetId="15">#REF!</definedName>
    <definedName name="________ben10" localSheetId="14">#REF!</definedName>
    <definedName name="________ben10" localSheetId="1">#REF!</definedName>
    <definedName name="________ben10" localSheetId="2">#REF!</definedName>
    <definedName name="________ben10" localSheetId="5">#REF!</definedName>
    <definedName name="________ben10">#REF!</definedName>
    <definedName name="________ben15" localSheetId="16">#REF!</definedName>
    <definedName name="________ben15" localSheetId="21">#REF!</definedName>
    <definedName name="________ben15" localSheetId="8">#REF!</definedName>
    <definedName name="________ben15" localSheetId="6">#REF!</definedName>
    <definedName name="________ben15" localSheetId="7">#REF!</definedName>
    <definedName name="________ben15" localSheetId="3">#REF!</definedName>
    <definedName name="________ben15" localSheetId="13">#REF!</definedName>
    <definedName name="________ben15" localSheetId="22">#REF!</definedName>
    <definedName name="________ben15" localSheetId="4">#REF!</definedName>
    <definedName name="________ben15" localSheetId="0">#REF!</definedName>
    <definedName name="________ben15" localSheetId="10">#REF!</definedName>
    <definedName name="________ben15" localSheetId="11">#REF!</definedName>
    <definedName name="________ben15" localSheetId="9">#REF!</definedName>
    <definedName name="________ben15" localSheetId="12">#REF!</definedName>
    <definedName name="________ben15" localSheetId="15">#REF!</definedName>
    <definedName name="________ben15" localSheetId="14">#REF!</definedName>
    <definedName name="________ben15" localSheetId="1">#REF!</definedName>
    <definedName name="________ben15" localSheetId="2">#REF!</definedName>
    <definedName name="________ben15" localSheetId="5">#REF!</definedName>
    <definedName name="________ben15">#REF!</definedName>
    <definedName name="________BEN2" localSheetId="16">#REF!</definedName>
    <definedName name="________BEN2" localSheetId="20">#REF!</definedName>
    <definedName name="________BEN2">#REF!</definedName>
    <definedName name="________ben20" localSheetId="16">#REF!</definedName>
    <definedName name="________ben20" localSheetId="21">#REF!</definedName>
    <definedName name="________ben20" localSheetId="8">#REF!</definedName>
    <definedName name="________ben20" localSheetId="6">#REF!</definedName>
    <definedName name="________ben20" localSheetId="7">#REF!</definedName>
    <definedName name="________ben20" localSheetId="3">#REF!</definedName>
    <definedName name="________ben20" localSheetId="13">#REF!</definedName>
    <definedName name="________ben20" localSheetId="22">#REF!</definedName>
    <definedName name="________ben20" localSheetId="4">#REF!</definedName>
    <definedName name="________ben20" localSheetId="0">#REF!</definedName>
    <definedName name="________ben20" localSheetId="20">#REF!</definedName>
    <definedName name="________ben20" localSheetId="10">#REF!</definedName>
    <definedName name="________ben20" localSheetId="11">#REF!</definedName>
    <definedName name="________ben20" localSheetId="9">#REF!</definedName>
    <definedName name="________ben20" localSheetId="12">#REF!</definedName>
    <definedName name="________ben20" localSheetId="15">#REF!</definedName>
    <definedName name="________ben20" localSheetId="14">#REF!</definedName>
    <definedName name="________ben20" localSheetId="1">#REF!</definedName>
    <definedName name="________ben20" localSheetId="2">#REF!</definedName>
    <definedName name="________ben20" localSheetId="5">#REF!</definedName>
    <definedName name="________ben20">#REF!</definedName>
    <definedName name="________ben25" localSheetId="16">#REF!</definedName>
    <definedName name="________ben25" localSheetId="21">#REF!</definedName>
    <definedName name="________ben25" localSheetId="8">#REF!</definedName>
    <definedName name="________ben25" localSheetId="6">#REF!</definedName>
    <definedName name="________ben25" localSheetId="7">#REF!</definedName>
    <definedName name="________ben25" localSheetId="3">#REF!</definedName>
    <definedName name="________ben25" localSheetId="13">#REF!</definedName>
    <definedName name="________ben25" localSheetId="22">#REF!</definedName>
    <definedName name="________ben25" localSheetId="4">#REF!</definedName>
    <definedName name="________ben25" localSheetId="0">#REF!</definedName>
    <definedName name="________ben25" localSheetId="20">#REF!</definedName>
    <definedName name="________ben25" localSheetId="10">#REF!</definedName>
    <definedName name="________ben25" localSheetId="11">#REF!</definedName>
    <definedName name="________ben25" localSheetId="9">#REF!</definedName>
    <definedName name="________ben25" localSheetId="12">#REF!</definedName>
    <definedName name="________ben25" localSheetId="15">#REF!</definedName>
    <definedName name="________ben25" localSheetId="14">#REF!</definedName>
    <definedName name="________ben25" localSheetId="1">#REF!</definedName>
    <definedName name="________ben25" localSheetId="2">#REF!</definedName>
    <definedName name="________ben25" localSheetId="5">#REF!</definedName>
    <definedName name="________ben25">#REF!</definedName>
    <definedName name="________BEN3" localSheetId="16">#REF!</definedName>
    <definedName name="________BEN3" localSheetId="21">#REF!</definedName>
    <definedName name="________BEN3" localSheetId="8">#REF!</definedName>
    <definedName name="________BEN3" localSheetId="6">#REF!</definedName>
    <definedName name="________BEN3" localSheetId="7">#REF!</definedName>
    <definedName name="________BEN3" localSheetId="3">#REF!</definedName>
    <definedName name="________BEN3" localSheetId="13">#REF!</definedName>
    <definedName name="________BEN3" localSheetId="22">#REF!</definedName>
    <definedName name="________BEN3" localSheetId="4">#REF!</definedName>
    <definedName name="________BEN3" localSheetId="0">#REF!</definedName>
    <definedName name="________BEN3" localSheetId="20">#REF!</definedName>
    <definedName name="________BEN3" localSheetId="10">#REF!</definedName>
    <definedName name="________BEN3" localSheetId="11">#REF!</definedName>
    <definedName name="________BEN3" localSheetId="9">#REF!</definedName>
    <definedName name="________BEN3" localSheetId="12">#REF!</definedName>
    <definedName name="________BEN3" localSheetId="15">#REF!</definedName>
    <definedName name="________BEN3" localSheetId="14">#REF!</definedName>
    <definedName name="________BEN3" localSheetId="1">#REF!</definedName>
    <definedName name="________BEN3" localSheetId="2">#REF!</definedName>
    <definedName name="________BEN3" localSheetId="5">#REF!</definedName>
    <definedName name="________BEN3">#REF!</definedName>
    <definedName name="________BEN4" localSheetId="16">#REF!</definedName>
    <definedName name="________BEN4" localSheetId="21">#REF!</definedName>
    <definedName name="________BEN4" localSheetId="8">#REF!</definedName>
    <definedName name="________BEN4" localSheetId="6">#REF!</definedName>
    <definedName name="________BEN4" localSheetId="7">#REF!</definedName>
    <definedName name="________BEN4" localSheetId="3">#REF!</definedName>
    <definedName name="________BEN4" localSheetId="13">#REF!</definedName>
    <definedName name="________BEN4" localSheetId="22">#REF!</definedName>
    <definedName name="________BEN4" localSheetId="4">#REF!</definedName>
    <definedName name="________BEN4" localSheetId="0">#REF!</definedName>
    <definedName name="________BEN4" localSheetId="10">#REF!</definedName>
    <definedName name="________BEN4" localSheetId="11">#REF!</definedName>
    <definedName name="________BEN4" localSheetId="9">#REF!</definedName>
    <definedName name="________BEN4" localSheetId="12">#REF!</definedName>
    <definedName name="________BEN4" localSheetId="15">#REF!</definedName>
    <definedName name="________BEN4" localSheetId="14">#REF!</definedName>
    <definedName name="________BEN4" localSheetId="1">#REF!</definedName>
    <definedName name="________BEN4" localSheetId="2">#REF!</definedName>
    <definedName name="________BEN4" localSheetId="5">#REF!</definedName>
    <definedName name="________BEN4">#REF!</definedName>
    <definedName name="________ben5" localSheetId="16">#REF!</definedName>
    <definedName name="________ben5" localSheetId="21">#REF!</definedName>
    <definedName name="________ben5" localSheetId="8">#REF!</definedName>
    <definedName name="________ben5" localSheetId="6">#REF!</definedName>
    <definedName name="________ben5" localSheetId="7">#REF!</definedName>
    <definedName name="________ben5" localSheetId="3">#REF!</definedName>
    <definedName name="________ben5" localSheetId="13">#REF!</definedName>
    <definedName name="________ben5" localSheetId="22">#REF!</definedName>
    <definedName name="________ben5" localSheetId="4">#REF!</definedName>
    <definedName name="________ben5" localSheetId="0">#REF!</definedName>
    <definedName name="________ben5" localSheetId="10">#REF!</definedName>
    <definedName name="________ben5" localSheetId="11">#REF!</definedName>
    <definedName name="________ben5" localSheetId="9">#REF!</definedName>
    <definedName name="________ben5" localSheetId="12">#REF!</definedName>
    <definedName name="________ben5" localSheetId="15">#REF!</definedName>
    <definedName name="________ben5" localSheetId="14">#REF!</definedName>
    <definedName name="________ben5" localSheetId="1">#REF!</definedName>
    <definedName name="________ben5" localSheetId="2">#REF!</definedName>
    <definedName name="________ben5" localSheetId="5">#REF!</definedName>
    <definedName name="________ben5">#REF!</definedName>
    <definedName name="________tu3" localSheetId="16">#REF!</definedName>
    <definedName name="________tu3" localSheetId="21">#REF!</definedName>
    <definedName name="________tu3" localSheetId="8">#REF!</definedName>
    <definedName name="________tu3" localSheetId="6">#REF!</definedName>
    <definedName name="________tu3" localSheetId="7">#REF!</definedName>
    <definedName name="________tu3" localSheetId="3">#REF!</definedName>
    <definedName name="________tu3" localSheetId="13">#REF!</definedName>
    <definedName name="________tu3" localSheetId="22">#REF!</definedName>
    <definedName name="________tu3" localSheetId="4">#REF!</definedName>
    <definedName name="________tu3" localSheetId="0">#REF!</definedName>
    <definedName name="________tu3" localSheetId="10">#REF!</definedName>
    <definedName name="________tu3" localSheetId="11">#REF!</definedName>
    <definedName name="________tu3" localSheetId="9">#REF!</definedName>
    <definedName name="________tu3" localSheetId="12">#REF!</definedName>
    <definedName name="________tu3" localSheetId="15">#REF!</definedName>
    <definedName name="________tu3" localSheetId="14">#REF!</definedName>
    <definedName name="________tu3" localSheetId="1">#REF!</definedName>
    <definedName name="________tu3" localSheetId="2">#REF!</definedName>
    <definedName name="________tu3" localSheetId="5">#REF!</definedName>
    <definedName name="________tu3">#REF!</definedName>
    <definedName name="_______ben1" localSheetId="16">#REF!</definedName>
    <definedName name="_______ben1" localSheetId="21">#REF!</definedName>
    <definedName name="_______ben1" localSheetId="8">#REF!</definedName>
    <definedName name="_______ben1" localSheetId="6">#REF!</definedName>
    <definedName name="_______ben1" localSheetId="7">#REF!</definedName>
    <definedName name="_______ben1" localSheetId="3">#REF!</definedName>
    <definedName name="_______ben1" localSheetId="13">#REF!</definedName>
    <definedName name="_______ben1" localSheetId="22">#REF!</definedName>
    <definedName name="_______ben1" localSheetId="4">#REF!</definedName>
    <definedName name="_______ben1" localSheetId="0">#REF!</definedName>
    <definedName name="_______ben1" localSheetId="10">#REF!</definedName>
    <definedName name="_______ben1" localSheetId="11">#REF!</definedName>
    <definedName name="_______ben1" localSheetId="9">#REF!</definedName>
    <definedName name="_______ben1" localSheetId="12">#REF!</definedName>
    <definedName name="_______ben1" localSheetId="15">#REF!</definedName>
    <definedName name="_______ben1" localSheetId="14">#REF!</definedName>
    <definedName name="_______ben1" localSheetId="1">#REF!</definedName>
    <definedName name="_______ben1" localSheetId="2">#REF!</definedName>
    <definedName name="_______ben1" localSheetId="5">#REF!</definedName>
    <definedName name="_______ben1">#REF!</definedName>
    <definedName name="_______ben10" localSheetId="16">#REF!</definedName>
    <definedName name="_______ben10" localSheetId="21">#REF!</definedName>
    <definedName name="_______ben10" localSheetId="8">#REF!</definedName>
    <definedName name="_______ben10" localSheetId="6">#REF!</definedName>
    <definedName name="_______ben10" localSheetId="7">#REF!</definedName>
    <definedName name="_______ben10" localSheetId="3">#REF!</definedName>
    <definedName name="_______ben10" localSheetId="13">#REF!</definedName>
    <definedName name="_______ben10" localSheetId="22">#REF!</definedName>
    <definedName name="_______ben10" localSheetId="4">#REF!</definedName>
    <definedName name="_______ben10" localSheetId="0">#REF!</definedName>
    <definedName name="_______ben10" localSheetId="10">#REF!</definedName>
    <definedName name="_______ben10" localSheetId="11">#REF!</definedName>
    <definedName name="_______ben10" localSheetId="9">#REF!</definedName>
    <definedName name="_______ben10" localSheetId="12">#REF!</definedName>
    <definedName name="_______ben10" localSheetId="15">#REF!</definedName>
    <definedName name="_______ben10" localSheetId="14">#REF!</definedName>
    <definedName name="_______ben10" localSheetId="1">#REF!</definedName>
    <definedName name="_______ben10" localSheetId="2">#REF!</definedName>
    <definedName name="_______ben10" localSheetId="5">#REF!</definedName>
    <definedName name="_______ben10">#REF!</definedName>
    <definedName name="_______ben15" localSheetId="16">#REF!</definedName>
    <definedName name="_______ben15" localSheetId="21">#REF!</definedName>
    <definedName name="_______ben15" localSheetId="8">#REF!</definedName>
    <definedName name="_______ben15" localSheetId="6">#REF!</definedName>
    <definedName name="_______ben15" localSheetId="7">#REF!</definedName>
    <definedName name="_______ben15" localSheetId="3">#REF!</definedName>
    <definedName name="_______ben15" localSheetId="13">#REF!</definedName>
    <definedName name="_______ben15" localSheetId="22">#REF!</definedName>
    <definedName name="_______ben15" localSheetId="4">#REF!</definedName>
    <definedName name="_______ben15" localSheetId="0">#REF!</definedName>
    <definedName name="_______ben15" localSheetId="10">#REF!</definedName>
    <definedName name="_______ben15" localSheetId="11">#REF!</definedName>
    <definedName name="_______ben15" localSheetId="9">#REF!</definedName>
    <definedName name="_______ben15" localSheetId="12">#REF!</definedName>
    <definedName name="_______ben15" localSheetId="15">#REF!</definedName>
    <definedName name="_______ben15" localSheetId="14">#REF!</definedName>
    <definedName name="_______ben15" localSheetId="1">#REF!</definedName>
    <definedName name="_______ben15" localSheetId="2">#REF!</definedName>
    <definedName name="_______ben15" localSheetId="5">#REF!</definedName>
    <definedName name="_______ben15">#REF!</definedName>
    <definedName name="_______BEN2" localSheetId="16">#REF!</definedName>
    <definedName name="_______BEN2" localSheetId="20">#REF!</definedName>
    <definedName name="_______BEN2">#REF!</definedName>
    <definedName name="_______ben20" localSheetId="16">#REF!</definedName>
    <definedName name="_______ben20" localSheetId="21">#REF!</definedName>
    <definedName name="_______ben20" localSheetId="8">#REF!</definedName>
    <definedName name="_______ben20" localSheetId="6">#REF!</definedName>
    <definedName name="_______ben20" localSheetId="7">#REF!</definedName>
    <definedName name="_______ben20" localSheetId="3">#REF!</definedName>
    <definedName name="_______ben20" localSheetId="13">#REF!</definedName>
    <definedName name="_______ben20" localSheetId="22">#REF!</definedName>
    <definedName name="_______ben20" localSheetId="4">#REF!</definedName>
    <definedName name="_______ben20" localSheetId="0">#REF!</definedName>
    <definedName name="_______ben20" localSheetId="20">#REF!</definedName>
    <definedName name="_______ben20" localSheetId="10">#REF!</definedName>
    <definedName name="_______ben20" localSheetId="11">#REF!</definedName>
    <definedName name="_______ben20" localSheetId="9">#REF!</definedName>
    <definedName name="_______ben20" localSheetId="12">#REF!</definedName>
    <definedName name="_______ben20" localSheetId="15">#REF!</definedName>
    <definedName name="_______ben20" localSheetId="14">#REF!</definedName>
    <definedName name="_______ben20" localSheetId="1">#REF!</definedName>
    <definedName name="_______ben20" localSheetId="2">#REF!</definedName>
    <definedName name="_______ben20" localSheetId="5">#REF!</definedName>
    <definedName name="_______ben20">#REF!</definedName>
    <definedName name="_______ben25" localSheetId="16">#REF!</definedName>
    <definedName name="_______ben25" localSheetId="21">#REF!</definedName>
    <definedName name="_______ben25" localSheetId="8">#REF!</definedName>
    <definedName name="_______ben25" localSheetId="6">#REF!</definedName>
    <definedName name="_______ben25" localSheetId="7">#REF!</definedName>
    <definedName name="_______ben25" localSheetId="3">#REF!</definedName>
    <definedName name="_______ben25" localSheetId="13">#REF!</definedName>
    <definedName name="_______ben25" localSheetId="22">#REF!</definedName>
    <definedName name="_______ben25" localSheetId="4">#REF!</definedName>
    <definedName name="_______ben25" localSheetId="0">#REF!</definedName>
    <definedName name="_______ben25" localSheetId="20">#REF!</definedName>
    <definedName name="_______ben25" localSheetId="10">#REF!</definedName>
    <definedName name="_______ben25" localSheetId="11">#REF!</definedName>
    <definedName name="_______ben25" localSheetId="9">#REF!</definedName>
    <definedName name="_______ben25" localSheetId="12">#REF!</definedName>
    <definedName name="_______ben25" localSheetId="15">#REF!</definedName>
    <definedName name="_______ben25" localSheetId="14">#REF!</definedName>
    <definedName name="_______ben25" localSheetId="1">#REF!</definedName>
    <definedName name="_______ben25" localSheetId="2">#REF!</definedName>
    <definedName name="_______ben25" localSheetId="5">#REF!</definedName>
    <definedName name="_______ben25">#REF!</definedName>
    <definedName name="_______BEN3" localSheetId="16">#REF!</definedName>
    <definedName name="_______BEN3" localSheetId="21">#REF!</definedName>
    <definedName name="_______BEN3" localSheetId="8">#REF!</definedName>
    <definedName name="_______BEN3" localSheetId="6">#REF!</definedName>
    <definedName name="_______BEN3" localSheetId="7">#REF!</definedName>
    <definedName name="_______BEN3" localSheetId="3">#REF!</definedName>
    <definedName name="_______BEN3" localSheetId="13">#REF!</definedName>
    <definedName name="_______BEN3" localSheetId="22">#REF!</definedName>
    <definedName name="_______BEN3" localSheetId="4">#REF!</definedName>
    <definedName name="_______BEN3" localSheetId="0">#REF!</definedName>
    <definedName name="_______BEN3" localSheetId="20">#REF!</definedName>
    <definedName name="_______BEN3" localSheetId="10">#REF!</definedName>
    <definedName name="_______BEN3" localSheetId="11">#REF!</definedName>
    <definedName name="_______BEN3" localSheetId="9">#REF!</definedName>
    <definedName name="_______BEN3" localSheetId="12">#REF!</definedName>
    <definedName name="_______BEN3" localSheetId="15">#REF!</definedName>
    <definedName name="_______BEN3" localSheetId="14">#REF!</definedName>
    <definedName name="_______BEN3" localSheetId="1">#REF!</definedName>
    <definedName name="_______BEN3" localSheetId="2">#REF!</definedName>
    <definedName name="_______BEN3" localSheetId="5">#REF!</definedName>
    <definedName name="_______BEN3">#REF!</definedName>
    <definedName name="_______BEN4" localSheetId="16">#REF!</definedName>
    <definedName name="_______BEN4" localSheetId="21">#REF!</definedName>
    <definedName name="_______BEN4" localSheetId="8">#REF!</definedName>
    <definedName name="_______BEN4" localSheetId="6">#REF!</definedName>
    <definedName name="_______BEN4" localSheetId="7">#REF!</definedName>
    <definedName name="_______BEN4" localSheetId="3">#REF!</definedName>
    <definedName name="_______BEN4" localSheetId="13">#REF!</definedName>
    <definedName name="_______BEN4" localSheetId="22">#REF!</definedName>
    <definedName name="_______BEN4" localSheetId="4">#REF!</definedName>
    <definedName name="_______BEN4" localSheetId="0">#REF!</definedName>
    <definedName name="_______BEN4" localSheetId="10">#REF!</definedName>
    <definedName name="_______BEN4" localSheetId="11">#REF!</definedName>
    <definedName name="_______BEN4" localSheetId="9">#REF!</definedName>
    <definedName name="_______BEN4" localSheetId="12">#REF!</definedName>
    <definedName name="_______BEN4" localSheetId="15">#REF!</definedName>
    <definedName name="_______BEN4" localSheetId="14">#REF!</definedName>
    <definedName name="_______BEN4" localSheetId="1">#REF!</definedName>
    <definedName name="_______BEN4" localSheetId="2">#REF!</definedName>
    <definedName name="_______BEN4" localSheetId="5">#REF!</definedName>
    <definedName name="_______BEN4">#REF!</definedName>
    <definedName name="_______ben5" localSheetId="16">#REF!</definedName>
    <definedName name="_______ben5" localSheetId="21">#REF!</definedName>
    <definedName name="_______ben5" localSheetId="8">#REF!</definedName>
    <definedName name="_______ben5" localSheetId="6">#REF!</definedName>
    <definedName name="_______ben5" localSheetId="7">#REF!</definedName>
    <definedName name="_______ben5" localSheetId="3">#REF!</definedName>
    <definedName name="_______ben5" localSheetId="13">#REF!</definedName>
    <definedName name="_______ben5" localSheetId="22">#REF!</definedName>
    <definedName name="_______ben5" localSheetId="4">#REF!</definedName>
    <definedName name="_______ben5" localSheetId="0">#REF!</definedName>
    <definedName name="_______ben5" localSheetId="10">#REF!</definedName>
    <definedName name="_______ben5" localSheetId="11">#REF!</definedName>
    <definedName name="_______ben5" localSheetId="9">#REF!</definedName>
    <definedName name="_______ben5" localSheetId="12">#REF!</definedName>
    <definedName name="_______ben5" localSheetId="15">#REF!</definedName>
    <definedName name="_______ben5" localSheetId="14">#REF!</definedName>
    <definedName name="_______ben5" localSheetId="1">#REF!</definedName>
    <definedName name="_______ben5" localSheetId="2">#REF!</definedName>
    <definedName name="_______ben5" localSheetId="5">#REF!</definedName>
    <definedName name="_______ben5">#REF!</definedName>
    <definedName name="_______tu3" localSheetId="16">#REF!</definedName>
    <definedName name="_______tu3" localSheetId="21">#REF!</definedName>
    <definedName name="_______tu3" localSheetId="8">#REF!</definedName>
    <definedName name="_______tu3" localSheetId="6">#REF!</definedName>
    <definedName name="_______tu3" localSheetId="7">#REF!</definedName>
    <definedName name="_______tu3" localSheetId="3">#REF!</definedName>
    <definedName name="_______tu3" localSheetId="13">#REF!</definedName>
    <definedName name="_______tu3" localSheetId="22">#REF!</definedName>
    <definedName name="_______tu3" localSheetId="4">#REF!</definedName>
    <definedName name="_______tu3" localSheetId="0">#REF!</definedName>
    <definedName name="_______tu3" localSheetId="10">#REF!</definedName>
    <definedName name="_______tu3" localSheetId="11">#REF!</definedName>
    <definedName name="_______tu3" localSheetId="9">#REF!</definedName>
    <definedName name="_______tu3" localSheetId="12">#REF!</definedName>
    <definedName name="_______tu3" localSheetId="15">#REF!</definedName>
    <definedName name="_______tu3" localSheetId="14">#REF!</definedName>
    <definedName name="_______tu3" localSheetId="1">#REF!</definedName>
    <definedName name="_______tu3" localSheetId="2">#REF!</definedName>
    <definedName name="_______tu3" localSheetId="5">#REF!</definedName>
    <definedName name="_______tu3">#REF!</definedName>
    <definedName name="______ben1" localSheetId="16">#REF!</definedName>
    <definedName name="______ben1" localSheetId="21">#REF!</definedName>
    <definedName name="______ben1" localSheetId="8">#REF!</definedName>
    <definedName name="______ben1" localSheetId="6">#REF!</definedName>
    <definedName name="______ben1" localSheetId="7">#REF!</definedName>
    <definedName name="______ben1" localSheetId="3">#REF!</definedName>
    <definedName name="______ben1" localSheetId="13">#REF!</definedName>
    <definedName name="______ben1" localSheetId="22">#REF!</definedName>
    <definedName name="______ben1" localSheetId="4">#REF!</definedName>
    <definedName name="______ben1" localSheetId="0">#REF!</definedName>
    <definedName name="______ben1" localSheetId="10">#REF!</definedName>
    <definedName name="______ben1" localSheetId="11">#REF!</definedName>
    <definedName name="______ben1" localSheetId="9">#REF!</definedName>
    <definedName name="______ben1" localSheetId="12">#REF!</definedName>
    <definedName name="______ben1" localSheetId="15">#REF!</definedName>
    <definedName name="______ben1" localSheetId="14">#REF!</definedName>
    <definedName name="______ben1" localSheetId="1">#REF!</definedName>
    <definedName name="______ben1" localSheetId="2">#REF!</definedName>
    <definedName name="______ben1" localSheetId="5">#REF!</definedName>
    <definedName name="______ben1">#REF!</definedName>
    <definedName name="______ben10" localSheetId="16">#REF!</definedName>
    <definedName name="______ben10" localSheetId="21">#REF!</definedName>
    <definedName name="______ben10" localSheetId="8">#REF!</definedName>
    <definedName name="______ben10" localSheetId="6">#REF!</definedName>
    <definedName name="______ben10" localSheetId="7">#REF!</definedName>
    <definedName name="______ben10" localSheetId="3">#REF!</definedName>
    <definedName name="______ben10" localSheetId="13">#REF!</definedName>
    <definedName name="______ben10" localSheetId="22">#REF!</definedName>
    <definedName name="______ben10" localSheetId="4">#REF!</definedName>
    <definedName name="______ben10" localSheetId="0">#REF!</definedName>
    <definedName name="______ben10" localSheetId="10">#REF!</definedName>
    <definedName name="______ben10" localSheetId="11">#REF!</definedName>
    <definedName name="______ben10" localSheetId="9">#REF!</definedName>
    <definedName name="______ben10" localSheetId="12">#REF!</definedName>
    <definedName name="______ben10" localSheetId="15">#REF!</definedName>
    <definedName name="______ben10" localSheetId="14">#REF!</definedName>
    <definedName name="______ben10" localSheetId="1">#REF!</definedName>
    <definedName name="______ben10" localSheetId="2">#REF!</definedName>
    <definedName name="______ben10" localSheetId="5">#REF!</definedName>
    <definedName name="______ben10">#REF!</definedName>
    <definedName name="______ben15" localSheetId="16">#REF!</definedName>
    <definedName name="______ben15" localSheetId="21">#REF!</definedName>
    <definedName name="______ben15" localSheetId="8">#REF!</definedName>
    <definedName name="______ben15" localSheetId="6">#REF!</definedName>
    <definedName name="______ben15" localSheetId="7">#REF!</definedName>
    <definedName name="______ben15" localSheetId="3">#REF!</definedName>
    <definedName name="______ben15" localSheetId="13">#REF!</definedName>
    <definedName name="______ben15" localSheetId="22">#REF!</definedName>
    <definedName name="______ben15" localSheetId="4">#REF!</definedName>
    <definedName name="______ben15" localSheetId="0">#REF!</definedName>
    <definedName name="______ben15" localSheetId="10">#REF!</definedName>
    <definedName name="______ben15" localSheetId="11">#REF!</definedName>
    <definedName name="______ben15" localSheetId="9">#REF!</definedName>
    <definedName name="______ben15" localSheetId="12">#REF!</definedName>
    <definedName name="______ben15" localSheetId="15">#REF!</definedName>
    <definedName name="______ben15" localSheetId="14">#REF!</definedName>
    <definedName name="______ben15" localSheetId="1">#REF!</definedName>
    <definedName name="______ben15" localSheetId="2">#REF!</definedName>
    <definedName name="______ben15" localSheetId="5">#REF!</definedName>
    <definedName name="______ben15">#REF!</definedName>
    <definedName name="______BEN2" localSheetId="16">#REF!</definedName>
    <definedName name="______BEN2" localSheetId="20">#REF!</definedName>
    <definedName name="______BEN2">#REF!</definedName>
    <definedName name="______ben20" localSheetId="16">#REF!</definedName>
    <definedName name="______ben20" localSheetId="21">#REF!</definedName>
    <definedName name="______ben20" localSheetId="8">#REF!</definedName>
    <definedName name="______ben20" localSheetId="6">#REF!</definedName>
    <definedName name="______ben20" localSheetId="7">#REF!</definedName>
    <definedName name="______ben20" localSheetId="3">#REF!</definedName>
    <definedName name="______ben20" localSheetId="13">#REF!</definedName>
    <definedName name="______ben20" localSheetId="22">#REF!</definedName>
    <definedName name="______ben20" localSheetId="4">#REF!</definedName>
    <definedName name="______ben20" localSheetId="0">#REF!</definedName>
    <definedName name="______ben20" localSheetId="20">#REF!</definedName>
    <definedName name="______ben20" localSheetId="10">#REF!</definedName>
    <definedName name="______ben20" localSheetId="11">#REF!</definedName>
    <definedName name="______ben20" localSheetId="9">#REF!</definedName>
    <definedName name="______ben20" localSheetId="12">#REF!</definedName>
    <definedName name="______ben20" localSheetId="15">#REF!</definedName>
    <definedName name="______ben20" localSheetId="14">#REF!</definedName>
    <definedName name="______ben20" localSheetId="1">#REF!</definedName>
    <definedName name="______ben20" localSheetId="2">#REF!</definedName>
    <definedName name="______ben20" localSheetId="5">#REF!</definedName>
    <definedName name="______ben20">#REF!</definedName>
    <definedName name="______ben25" localSheetId="16">#REF!</definedName>
    <definedName name="______ben25" localSheetId="21">#REF!</definedName>
    <definedName name="______ben25" localSheetId="8">#REF!</definedName>
    <definedName name="______ben25" localSheetId="6">#REF!</definedName>
    <definedName name="______ben25" localSheetId="7">#REF!</definedName>
    <definedName name="______ben25" localSheetId="3">#REF!</definedName>
    <definedName name="______ben25" localSheetId="13">#REF!</definedName>
    <definedName name="______ben25" localSheetId="22">#REF!</definedName>
    <definedName name="______ben25" localSheetId="4">#REF!</definedName>
    <definedName name="______ben25" localSheetId="0">#REF!</definedName>
    <definedName name="______ben25" localSheetId="20">#REF!</definedName>
    <definedName name="______ben25" localSheetId="10">#REF!</definedName>
    <definedName name="______ben25" localSheetId="11">#REF!</definedName>
    <definedName name="______ben25" localSheetId="9">#REF!</definedName>
    <definedName name="______ben25" localSheetId="12">#REF!</definedName>
    <definedName name="______ben25" localSheetId="15">#REF!</definedName>
    <definedName name="______ben25" localSheetId="14">#REF!</definedName>
    <definedName name="______ben25" localSheetId="1">#REF!</definedName>
    <definedName name="______ben25" localSheetId="2">#REF!</definedName>
    <definedName name="______ben25" localSheetId="5">#REF!</definedName>
    <definedName name="______ben25">#REF!</definedName>
    <definedName name="______BEN3" localSheetId="16">#REF!</definedName>
    <definedName name="______BEN3" localSheetId="21">#REF!</definedName>
    <definedName name="______BEN3" localSheetId="8">#REF!</definedName>
    <definedName name="______BEN3" localSheetId="6">#REF!</definedName>
    <definedName name="______BEN3" localSheetId="7">#REF!</definedName>
    <definedName name="______BEN3" localSheetId="3">#REF!</definedName>
    <definedName name="______BEN3" localSheetId="13">#REF!</definedName>
    <definedName name="______BEN3" localSheetId="22">#REF!</definedName>
    <definedName name="______BEN3" localSheetId="4">#REF!</definedName>
    <definedName name="______BEN3" localSheetId="0">#REF!</definedName>
    <definedName name="______BEN3" localSheetId="20">#REF!</definedName>
    <definedName name="______BEN3" localSheetId="10">#REF!</definedName>
    <definedName name="______BEN3" localSheetId="11">#REF!</definedName>
    <definedName name="______BEN3" localSheetId="9">#REF!</definedName>
    <definedName name="______BEN3" localSheetId="12">#REF!</definedName>
    <definedName name="______BEN3" localSheetId="15">#REF!</definedName>
    <definedName name="______BEN3" localSheetId="14">#REF!</definedName>
    <definedName name="______BEN3" localSheetId="1">#REF!</definedName>
    <definedName name="______BEN3" localSheetId="2">#REF!</definedName>
    <definedName name="______BEN3" localSheetId="5">#REF!</definedName>
    <definedName name="______BEN3">#REF!</definedName>
    <definedName name="______BEN4" localSheetId="16">#REF!</definedName>
    <definedName name="______BEN4" localSheetId="21">#REF!</definedName>
    <definedName name="______BEN4" localSheetId="8">#REF!</definedName>
    <definedName name="______BEN4" localSheetId="6">#REF!</definedName>
    <definedName name="______BEN4" localSheetId="7">#REF!</definedName>
    <definedName name="______BEN4" localSheetId="3">#REF!</definedName>
    <definedName name="______BEN4" localSheetId="13">#REF!</definedName>
    <definedName name="______BEN4" localSheetId="22">#REF!</definedName>
    <definedName name="______BEN4" localSheetId="4">#REF!</definedName>
    <definedName name="______BEN4" localSheetId="0">#REF!</definedName>
    <definedName name="______BEN4" localSheetId="10">#REF!</definedName>
    <definedName name="______BEN4" localSheetId="11">#REF!</definedName>
    <definedName name="______BEN4" localSheetId="9">#REF!</definedName>
    <definedName name="______BEN4" localSheetId="12">#REF!</definedName>
    <definedName name="______BEN4" localSheetId="15">#REF!</definedName>
    <definedName name="______BEN4" localSheetId="14">#REF!</definedName>
    <definedName name="______BEN4" localSheetId="1">#REF!</definedName>
    <definedName name="______BEN4" localSheetId="2">#REF!</definedName>
    <definedName name="______BEN4" localSheetId="5">#REF!</definedName>
    <definedName name="______BEN4">#REF!</definedName>
    <definedName name="______ben5" localSheetId="16">#REF!</definedName>
    <definedName name="______ben5" localSheetId="21">#REF!</definedName>
    <definedName name="______ben5" localSheetId="8">#REF!</definedName>
    <definedName name="______ben5" localSheetId="6">#REF!</definedName>
    <definedName name="______ben5" localSheetId="7">#REF!</definedName>
    <definedName name="______ben5" localSheetId="3">#REF!</definedName>
    <definedName name="______ben5" localSheetId="13">#REF!</definedName>
    <definedName name="______ben5" localSheetId="22">#REF!</definedName>
    <definedName name="______ben5" localSheetId="4">#REF!</definedName>
    <definedName name="______ben5" localSheetId="0">#REF!</definedName>
    <definedName name="______ben5" localSheetId="10">#REF!</definedName>
    <definedName name="______ben5" localSheetId="11">#REF!</definedName>
    <definedName name="______ben5" localSheetId="9">#REF!</definedName>
    <definedName name="______ben5" localSheetId="12">#REF!</definedName>
    <definedName name="______ben5" localSheetId="15">#REF!</definedName>
    <definedName name="______ben5" localSheetId="14">#REF!</definedName>
    <definedName name="______ben5" localSheetId="1">#REF!</definedName>
    <definedName name="______ben5" localSheetId="2">#REF!</definedName>
    <definedName name="______ben5" localSheetId="5">#REF!</definedName>
    <definedName name="______ben5">#REF!</definedName>
    <definedName name="______tu3" localSheetId="16">#REF!</definedName>
    <definedName name="______tu3" localSheetId="21">#REF!</definedName>
    <definedName name="______tu3" localSheetId="8">#REF!</definedName>
    <definedName name="______tu3" localSheetId="6">#REF!</definedName>
    <definedName name="______tu3" localSheetId="7">#REF!</definedName>
    <definedName name="______tu3" localSheetId="3">#REF!</definedName>
    <definedName name="______tu3" localSheetId="13">#REF!</definedName>
    <definedName name="______tu3" localSheetId="22">#REF!</definedName>
    <definedName name="______tu3" localSheetId="4">#REF!</definedName>
    <definedName name="______tu3" localSheetId="0">#REF!</definedName>
    <definedName name="______tu3" localSheetId="10">#REF!</definedName>
    <definedName name="______tu3" localSheetId="11">#REF!</definedName>
    <definedName name="______tu3" localSheetId="9">#REF!</definedName>
    <definedName name="______tu3" localSheetId="12">#REF!</definedName>
    <definedName name="______tu3" localSheetId="15">#REF!</definedName>
    <definedName name="______tu3" localSheetId="14">#REF!</definedName>
    <definedName name="______tu3" localSheetId="1">#REF!</definedName>
    <definedName name="______tu3" localSheetId="2">#REF!</definedName>
    <definedName name="______tu3" localSheetId="5">#REF!</definedName>
    <definedName name="______tu3">#REF!</definedName>
    <definedName name="_____ben1" localSheetId="16">#REF!</definedName>
    <definedName name="_____ben1" localSheetId="21">#REF!</definedName>
    <definedName name="_____ben1" localSheetId="8">#REF!</definedName>
    <definedName name="_____ben1" localSheetId="6">#REF!</definedName>
    <definedName name="_____ben1" localSheetId="7">#REF!</definedName>
    <definedName name="_____ben1" localSheetId="3">#REF!</definedName>
    <definedName name="_____ben1" localSheetId="13">#REF!</definedName>
    <definedName name="_____ben1" localSheetId="22">#REF!</definedName>
    <definedName name="_____ben1" localSheetId="4">#REF!</definedName>
    <definedName name="_____ben1" localSheetId="0">#REF!</definedName>
    <definedName name="_____ben1" localSheetId="10">#REF!</definedName>
    <definedName name="_____ben1" localSheetId="11">#REF!</definedName>
    <definedName name="_____ben1" localSheetId="9">#REF!</definedName>
    <definedName name="_____ben1" localSheetId="12">#REF!</definedName>
    <definedName name="_____ben1" localSheetId="15">#REF!</definedName>
    <definedName name="_____ben1" localSheetId="14">#REF!</definedName>
    <definedName name="_____ben1" localSheetId="1">#REF!</definedName>
    <definedName name="_____ben1" localSheetId="2">#REF!</definedName>
    <definedName name="_____ben1" localSheetId="5">#REF!</definedName>
    <definedName name="_____ben1">#REF!</definedName>
    <definedName name="_____ben10" localSheetId="16">#REF!</definedName>
    <definedName name="_____ben10" localSheetId="21">#REF!</definedName>
    <definedName name="_____ben10" localSheetId="8">#REF!</definedName>
    <definedName name="_____ben10" localSheetId="6">#REF!</definedName>
    <definedName name="_____ben10" localSheetId="7">#REF!</definedName>
    <definedName name="_____ben10" localSheetId="3">#REF!</definedName>
    <definedName name="_____ben10" localSheetId="13">#REF!</definedName>
    <definedName name="_____ben10" localSheetId="22">#REF!</definedName>
    <definedName name="_____ben10" localSheetId="4">#REF!</definedName>
    <definedName name="_____ben10" localSheetId="0">#REF!</definedName>
    <definedName name="_____ben10" localSheetId="10">#REF!</definedName>
    <definedName name="_____ben10" localSheetId="11">#REF!</definedName>
    <definedName name="_____ben10" localSheetId="9">#REF!</definedName>
    <definedName name="_____ben10" localSheetId="12">#REF!</definedName>
    <definedName name="_____ben10" localSheetId="15">#REF!</definedName>
    <definedName name="_____ben10" localSheetId="14">#REF!</definedName>
    <definedName name="_____ben10" localSheetId="1">#REF!</definedName>
    <definedName name="_____ben10" localSheetId="2">#REF!</definedName>
    <definedName name="_____ben10" localSheetId="5">#REF!</definedName>
    <definedName name="_____ben10">#REF!</definedName>
    <definedName name="_____ben15" localSheetId="16">#REF!</definedName>
    <definedName name="_____ben15" localSheetId="21">#REF!</definedName>
    <definedName name="_____ben15" localSheetId="8">#REF!</definedName>
    <definedName name="_____ben15" localSheetId="6">#REF!</definedName>
    <definedName name="_____ben15" localSheetId="7">#REF!</definedName>
    <definedName name="_____ben15" localSheetId="3">#REF!</definedName>
    <definedName name="_____ben15" localSheetId="13">#REF!</definedName>
    <definedName name="_____ben15" localSheetId="22">#REF!</definedName>
    <definedName name="_____ben15" localSheetId="4">#REF!</definedName>
    <definedName name="_____ben15" localSheetId="0">#REF!</definedName>
    <definedName name="_____ben15" localSheetId="10">#REF!</definedName>
    <definedName name="_____ben15" localSheetId="11">#REF!</definedName>
    <definedName name="_____ben15" localSheetId="9">#REF!</definedName>
    <definedName name="_____ben15" localSheetId="12">#REF!</definedName>
    <definedName name="_____ben15" localSheetId="15">#REF!</definedName>
    <definedName name="_____ben15" localSheetId="14">#REF!</definedName>
    <definedName name="_____ben15" localSheetId="1">#REF!</definedName>
    <definedName name="_____ben15" localSheetId="2">#REF!</definedName>
    <definedName name="_____ben15" localSheetId="5">#REF!</definedName>
    <definedName name="_____ben15">#REF!</definedName>
    <definedName name="_____BEN2" localSheetId="16">#REF!</definedName>
    <definedName name="_____BEN2" localSheetId="20">#REF!</definedName>
    <definedName name="_____BEN2">#REF!</definedName>
    <definedName name="_____ben20" localSheetId="16">#REF!</definedName>
    <definedName name="_____ben20" localSheetId="21">#REF!</definedName>
    <definedName name="_____ben20" localSheetId="8">#REF!</definedName>
    <definedName name="_____ben20" localSheetId="6">#REF!</definedName>
    <definedName name="_____ben20" localSheetId="7">#REF!</definedName>
    <definedName name="_____ben20" localSheetId="3">#REF!</definedName>
    <definedName name="_____ben20" localSheetId="13">#REF!</definedName>
    <definedName name="_____ben20" localSheetId="22">#REF!</definedName>
    <definedName name="_____ben20" localSheetId="4">#REF!</definedName>
    <definedName name="_____ben20" localSheetId="0">#REF!</definedName>
    <definedName name="_____ben20" localSheetId="20">#REF!</definedName>
    <definedName name="_____ben20" localSheetId="10">#REF!</definedName>
    <definedName name="_____ben20" localSheetId="11">#REF!</definedName>
    <definedName name="_____ben20" localSheetId="9">#REF!</definedName>
    <definedName name="_____ben20" localSheetId="12">#REF!</definedName>
    <definedName name="_____ben20" localSheetId="15">#REF!</definedName>
    <definedName name="_____ben20" localSheetId="14">#REF!</definedName>
    <definedName name="_____ben20" localSheetId="1">#REF!</definedName>
    <definedName name="_____ben20" localSheetId="2">#REF!</definedName>
    <definedName name="_____ben20" localSheetId="5">#REF!</definedName>
    <definedName name="_____ben20">#REF!</definedName>
    <definedName name="_____ben25" localSheetId="16">#REF!</definedName>
    <definedName name="_____ben25" localSheetId="21">#REF!</definedName>
    <definedName name="_____ben25" localSheetId="8">#REF!</definedName>
    <definedName name="_____ben25" localSheetId="6">#REF!</definedName>
    <definedName name="_____ben25" localSheetId="7">#REF!</definedName>
    <definedName name="_____ben25" localSheetId="3">#REF!</definedName>
    <definedName name="_____ben25" localSheetId="13">#REF!</definedName>
    <definedName name="_____ben25" localSheetId="22">#REF!</definedName>
    <definedName name="_____ben25" localSheetId="4">#REF!</definedName>
    <definedName name="_____ben25" localSheetId="0">#REF!</definedName>
    <definedName name="_____ben25" localSheetId="20">#REF!</definedName>
    <definedName name="_____ben25" localSheetId="10">#REF!</definedName>
    <definedName name="_____ben25" localSheetId="11">#REF!</definedName>
    <definedName name="_____ben25" localSheetId="9">#REF!</definedName>
    <definedName name="_____ben25" localSheetId="12">#REF!</definedName>
    <definedName name="_____ben25" localSheetId="15">#REF!</definedName>
    <definedName name="_____ben25" localSheetId="14">#REF!</definedName>
    <definedName name="_____ben25" localSheetId="1">#REF!</definedName>
    <definedName name="_____ben25" localSheetId="2">#REF!</definedName>
    <definedName name="_____ben25" localSheetId="5">#REF!</definedName>
    <definedName name="_____ben25">#REF!</definedName>
    <definedName name="_____BEN3" localSheetId="16">#REF!</definedName>
    <definedName name="_____BEN3" localSheetId="21">#REF!</definedName>
    <definedName name="_____BEN3" localSheetId="8">#REF!</definedName>
    <definedName name="_____BEN3" localSheetId="6">#REF!</definedName>
    <definedName name="_____BEN3" localSheetId="7">#REF!</definedName>
    <definedName name="_____BEN3" localSheetId="3">#REF!</definedName>
    <definedName name="_____BEN3" localSheetId="13">#REF!</definedName>
    <definedName name="_____BEN3" localSheetId="22">#REF!</definedName>
    <definedName name="_____BEN3" localSheetId="4">#REF!</definedName>
    <definedName name="_____BEN3" localSheetId="0">#REF!</definedName>
    <definedName name="_____BEN3" localSheetId="20">#REF!</definedName>
    <definedName name="_____BEN3" localSheetId="10">#REF!</definedName>
    <definedName name="_____BEN3" localSheetId="11">#REF!</definedName>
    <definedName name="_____BEN3" localSheetId="9">#REF!</definedName>
    <definedName name="_____BEN3" localSheetId="12">#REF!</definedName>
    <definedName name="_____BEN3" localSheetId="15">#REF!</definedName>
    <definedName name="_____BEN3" localSheetId="14">#REF!</definedName>
    <definedName name="_____BEN3" localSheetId="1">#REF!</definedName>
    <definedName name="_____BEN3" localSheetId="2">#REF!</definedName>
    <definedName name="_____BEN3" localSheetId="5">#REF!</definedName>
    <definedName name="_____BEN3">#REF!</definedName>
    <definedName name="_____BEN4" localSheetId="16">#REF!</definedName>
    <definedName name="_____BEN4" localSheetId="21">#REF!</definedName>
    <definedName name="_____BEN4" localSheetId="8">#REF!</definedName>
    <definedName name="_____BEN4" localSheetId="6">#REF!</definedName>
    <definedName name="_____BEN4" localSheetId="7">#REF!</definedName>
    <definedName name="_____BEN4" localSheetId="3">#REF!</definedName>
    <definedName name="_____BEN4" localSheetId="13">#REF!</definedName>
    <definedName name="_____BEN4" localSheetId="22">#REF!</definedName>
    <definedName name="_____BEN4" localSheetId="4">#REF!</definedName>
    <definedName name="_____BEN4" localSheetId="0">#REF!</definedName>
    <definedName name="_____BEN4" localSheetId="10">#REF!</definedName>
    <definedName name="_____BEN4" localSheetId="11">#REF!</definedName>
    <definedName name="_____BEN4" localSheetId="9">#REF!</definedName>
    <definedName name="_____BEN4" localSheetId="12">#REF!</definedName>
    <definedName name="_____BEN4" localSheetId="15">#REF!</definedName>
    <definedName name="_____BEN4" localSheetId="14">#REF!</definedName>
    <definedName name="_____BEN4" localSheetId="1">#REF!</definedName>
    <definedName name="_____BEN4" localSheetId="2">#REF!</definedName>
    <definedName name="_____BEN4" localSheetId="5">#REF!</definedName>
    <definedName name="_____BEN4">#REF!</definedName>
    <definedName name="_____ben5" localSheetId="16">#REF!</definedName>
    <definedName name="_____ben5" localSheetId="21">#REF!</definedName>
    <definedName name="_____ben5" localSheetId="8">#REF!</definedName>
    <definedName name="_____ben5" localSheetId="6">#REF!</definedName>
    <definedName name="_____ben5" localSheetId="7">#REF!</definedName>
    <definedName name="_____ben5" localSheetId="3">#REF!</definedName>
    <definedName name="_____ben5" localSheetId="13">#REF!</definedName>
    <definedName name="_____ben5" localSheetId="22">#REF!</definedName>
    <definedName name="_____ben5" localSheetId="4">#REF!</definedName>
    <definedName name="_____ben5" localSheetId="0">#REF!</definedName>
    <definedName name="_____ben5" localSheetId="10">#REF!</definedName>
    <definedName name="_____ben5" localSheetId="11">#REF!</definedName>
    <definedName name="_____ben5" localSheetId="9">#REF!</definedName>
    <definedName name="_____ben5" localSheetId="12">#REF!</definedName>
    <definedName name="_____ben5" localSheetId="15">#REF!</definedName>
    <definedName name="_____ben5" localSheetId="14">#REF!</definedName>
    <definedName name="_____ben5" localSheetId="1">#REF!</definedName>
    <definedName name="_____ben5" localSheetId="2">#REF!</definedName>
    <definedName name="_____ben5" localSheetId="5">#REF!</definedName>
    <definedName name="_____ben5">#REF!</definedName>
    <definedName name="_____tu3" localSheetId="16">#REF!</definedName>
    <definedName name="_____tu3" localSheetId="21">#REF!</definedName>
    <definedName name="_____tu3" localSheetId="8">#REF!</definedName>
    <definedName name="_____tu3" localSheetId="6">#REF!</definedName>
    <definedName name="_____tu3" localSheetId="7">#REF!</definedName>
    <definedName name="_____tu3" localSheetId="3">#REF!</definedName>
    <definedName name="_____tu3" localSheetId="13">#REF!</definedName>
    <definedName name="_____tu3" localSheetId="22">#REF!</definedName>
    <definedName name="_____tu3" localSheetId="4">#REF!</definedName>
    <definedName name="_____tu3" localSheetId="0">#REF!</definedName>
    <definedName name="_____tu3" localSheetId="10">#REF!</definedName>
    <definedName name="_____tu3" localSheetId="11">#REF!</definedName>
    <definedName name="_____tu3" localSheetId="9">#REF!</definedName>
    <definedName name="_____tu3" localSheetId="12">#REF!</definedName>
    <definedName name="_____tu3" localSheetId="15">#REF!</definedName>
    <definedName name="_____tu3" localSheetId="14">#REF!</definedName>
    <definedName name="_____tu3" localSheetId="1">#REF!</definedName>
    <definedName name="_____tu3" localSheetId="2">#REF!</definedName>
    <definedName name="_____tu3" localSheetId="5">#REF!</definedName>
    <definedName name="_____tu3">#REF!</definedName>
    <definedName name="____ben1" localSheetId="16">#REF!</definedName>
    <definedName name="____ben1" localSheetId="21">#REF!</definedName>
    <definedName name="____ben1" localSheetId="8">#REF!</definedName>
    <definedName name="____ben1" localSheetId="6">#REF!</definedName>
    <definedName name="____ben1" localSheetId="7">#REF!</definedName>
    <definedName name="____ben1" localSheetId="3">#REF!</definedName>
    <definedName name="____ben1" localSheetId="13">#REF!</definedName>
    <definedName name="____ben1" localSheetId="22">#REF!</definedName>
    <definedName name="____ben1" localSheetId="4">#REF!</definedName>
    <definedName name="____ben1" localSheetId="0">#REF!</definedName>
    <definedName name="____ben1" localSheetId="10">#REF!</definedName>
    <definedName name="____ben1" localSheetId="11">#REF!</definedName>
    <definedName name="____ben1" localSheetId="9">#REF!</definedName>
    <definedName name="____ben1" localSheetId="12">#REF!</definedName>
    <definedName name="____ben1" localSheetId="15">#REF!</definedName>
    <definedName name="____ben1" localSheetId="14">#REF!</definedName>
    <definedName name="____ben1" localSheetId="1">#REF!</definedName>
    <definedName name="____ben1" localSheetId="2">#REF!</definedName>
    <definedName name="____ben1" localSheetId="5">#REF!</definedName>
    <definedName name="____ben1">#REF!</definedName>
    <definedName name="____ben10" localSheetId="16">#REF!</definedName>
    <definedName name="____ben10" localSheetId="21">#REF!</definedName>
    <definedName name="____ben10" localSheetId="8">#REF!</definedName>
    <definedName name="____ben10" localSheetId="6">#REF!</definedName>
    <definedName name="____ben10" localSheetId="7">#REF!</definedName>
    <definedName name="____ben10" localSheetId="3">#REF!</definedName>
    <definedName name="____ben10" localSheetId="13">#REF!</definedName>
    <definedName name="____ben10" localSheetId="22">#REF!</definedName>
    <definedName name="____ben10" localSheetId="4">#REF!</definedName>
    <definedName name="____ben10" localSheetId="0">#REF!</definedName>
    <definedName name="____ben10" localSheetId="10">#REF!</definedName>
    <definedName name="____ben10" localSheetId="11">#REF!</definedName>
    <definedName name="____ben10" localSheetId="9">#REF!</definedName>
    <definedName name="____ben10" localSheetId="12">#REF!</definedName>
    <definedName name="____ben10" localSheetId="15">#REF!</definedName>
    <definedName name="____ben10" localSheetId="14">#REF!</definedName>
    <definedName name="____ben10" localSheetId="1">#REF!</definedName>
    <definedName name="____ben10" localSheetId="2">#REF!</definedName>
    <definedName name="____ben10" localSheetId="5">#REF!</definedName>
    <definedName name="____ben10">#REF!</definedName>
    <definedName name="____ben15" localSheetId="16">#REF!</definedName>
    <definedName name="____ben15" localSheetId="21">#REF!</definedName>
    <definedName name="____ben15" localSheetId="8">#REF!</definedName>
    <definedName name="____ben15" localSheetId="6">#REF!</definedName>
    <definedName name="____ben15" localSheetId="7">#REF!</definedName>
    <definedName name="____ben15" localSheetId="3">#REF!</definedName>
    <definedName name="____ben15" localSheetId="13">#REF!</definedName>
    <definedName name="____ben15" localSheetId="22">#REF!</definedName>
    <definedName name="____ben15" localSheetId="4">#REF!</definedName>
    <definedName name="____ben15" localSheetId="0">#REF!</definedName>
    <definedName name="____ben15" localSheetId="10">#REF!</definedName>
    <definedName name="____ben15" localSheetId="11">#REF!</definedName>
    <definedName name="____ben15" localSheetId="9">#REF!</definedName>
    <definedName name="____ben15" localSheetId="12">#REF!</definedName>
    <definedName name="____ben15" localSheetId="15">#REF!</definedName>
    <definedName name="____ben15" localSheetId="14">#REF!</definedName>
    <definedName name="____ben15" localSheetId="1">#REF!</definedName>
    <definedName name="____ben15" localSheetId="2">#REF!</definedName>
    <definedName name="____ben15" localSheetId="5">#REF!</definedName>
    <definedName name="____ben15">#REF!</definedName>
    <definedName name="____BEN2" localSheetId="16">#REF!</definedName>
    <definedName name="____BEN2" localSheetId="20">#REF!</definedName>
    <definedName name="____BEN2">#REF!</definedName>
    <definedName name="____ben20" localSheetId="16">#REF!</definedName>
    <definedName name="____ben20" localSheetId="21">#REF!</definedName>
    <definedName name="____ben20" localSheetId="8">#REF!</definedName>
    <definedName name="____ben20" localSheetId="6">#REF!</definedName>
    <definedName name="____ben20" localSheetId="7">#REF!</definedName>
    <definedName name="____ben20" localSheetId="3">#REF!</definedName>
    <definedName name="____ben20" localSheetId="13">#REF!</definedName>
    <definedName name="____ben20" localSheetId="22">#REF!</definedName>
    <definedName name="____ben20" localSheetId="4">#REF!</definedName>
    <definedName name="____ben20" localSheetId="0">#REF!</definedName>
    <definedName name="____ben20" localSheetId="20">#REF!</definedName>
    <definedName name="____ben20" localSheetId="10">#REF!</definedName>
    <definedName name="____ben20" localSheetId="11">#REF!</definedName>
    <definedName name="____ben20" localSheetId="9">#REF!</definedName>
    <definedName name="____ben20" localSheetId="12">#REF!</definedName>
    <definedName name="____ben20" localSheetId="15">#REF!</definedName>
    <definedName name="____ben20" localSheetId="14">#REF!</definedName>
    <definedName name="____ben20" localSheetId="1">#REF!</definedName>
    <definedName name="____ben20" localSheetId="2">#REF!</definedName>
    <definedName name="____ben20" localSheetId="5">#REF!</definedName>
    <definedName name="____ben20">#REF!</definedName>
    <definedName name="____ben25" localSheetId="16">#REF!</definedName>
    <definedName name="____ben25" localSheetId="21">#REF!</definedName>
    <definedName name="____ben25" localSheetId="8">#REF!</definedName>
    <definedName name="____ben25" localSheetId="6">#REF!</definedName>
    <definedName name="____ben25" localSheetId="7">#REF!</definedName>
    <definedName name="____ben25" localSheetId="3">#REF!</definedName>
    <definedName name="____ben25" localSheetId="13">#REF!</definedName>
    <definedName name="____ben25" localSheetId="22">#REF!</definedName>
    <definedName name="____ben25" localSheetId="4">#REF!</definedName>
    <definedName name="____ben25" localSheetId="0">#REF!</definedName>
    <definedName name="____ben25" localSheetId="20">#REF!</definedName>
    <definedName name="____ben25" localSheetId="10">#REF!</definedName>
    <definedName name="____ben25" localSheetId="11">#REF!</definedName>
    <definedName name="____ben25" localSheetId="9">#REF!</definedName>
    <definedName name="____ben25" localSheetId="12">#REF!</definedName>
    <definedName name="____ben25" localSheetId="15">#REF!</definedName>
    <definedName name="____ben25" localSheetId="14">#REF!</definedName>
    <definedName name="____ben25" localSheetId="1">#REF!</definedName>
    <definedName name="____ben25" localSheetId="2">#REF!</definedName>
    <definedName name="____ben25" localSheetId="5">#REF!</definedName>
    <definedName name="____ben25">#REF!</definedName>
    <definedName name="____BEN3" localSheetId="16">#REF!</definedName>
    <definedName name="____BEN3" localSheetId="21">#REF!</definedName>
    <definedName name="____BEN3" localSheetId="8">#REF!</definedName>
    <definedName name="____BEN3" localSheetId="6">#REF!</definedName>
    <definedName name="____BEN3" localSheetId="7">#REF!</definedName>
    <definedName name="____BEN3" localSheetId="3">#REF!</definedName>
    <definedName name="____BEN3" localSheetId="13">#REF!</definedName>
    <definedName name="____BEN3" localSheetId="22">#REF!</definedName>
    <definedName name="____BEN3" localSheetId="4">#REF!</definedName>
    <definedName name="____BEN3" localSheetId="0">#REF!</definedName>
    <definedName name="____BEN3" localSheetId="20">#REF!</definedName>
    <definedName name="____BEN3" localSheetId="10">#REF!</definedName>
    <definedName name="____BEN3" localSheetId="11">#REF!</definedName>
    <definedName name="____BEN3" localSheetId="9">#REF!</definedName>
    <definedName name="____BEN3" localSheetId="12">#REF!</definedName>
    <definedName name="____BEN3" localSheetId="15">#REF!</definedName>
    <definedName name="____BEN3" localSheetId="14">#REF!</definedName>
    <definedName name="____BEN3" localSheetId="1">#REF!</definedName>
    <definedName name="____BEN3" localSheetId="2">#REF!</definedName>
    <definedName name="____BEN3" localSheetId="5">#REF!</definedName>
    <definedName name="____BEN3">#REF!</definedName>
    <definedName name="____BEN4" localSheetId="16">#REF!</definedName>
    <definedName name="____BEN4" localSheetId="21">#REF!</definedName>
    <definedName name="____BEN4" localSheetId="8">#REF!</definedName>
    <definedName name="____BEN4" localSheetId="6">#REF!</definedName>
    <definedName name="____BEN4" localSheetId="7">#REF!</definedName>
    <definedName name="____BEN4" localSheetId="3">#REF!</definedName>
    <definedName name="____BEN4" localSheetId="13">#REF!</definedName>
    <definedName name="____BEN4" localSheetId="22">#REF!</definedName>
    <definedName name="____BEN4" localSheetId="4">#REF!</definedName>
    <definedName name="____BEN4" localSheetId="0">#REF!</definedName>
    <definedName name="____BEN4" localSheetId="10">#REF!</definedName>
    <definedName name="____BEN4" localSheetId="11">#REF!</definedName>
    <definedName name="____BEN4" localSheetId="9">#REF!</definedName>
    <definedName name="____BEN4" localSheetId="12">#REF!</definedName>
    <definedName name="____BEN4" localSheetId="15">#REF!</definedName>
    <definedName name="____BEN4" localSheetId="14">#REF!</definedName>
    <definedName name="____BEN4" localSheetId="1">#REF!</definedName>
    <definedName name="____BEN4" localSheetId="2">#REF!</definedName>
    <definedName name="____BEN4" localSheetId="5">#REF!</definedName>
    <definedName name="____BEN4">#REF!</definedName>
    <definedName name="____ben5" localSheetId="16">#REF!</definedName>
    <definedName name="____ben5" localSheetId="21">#REF!</definedName>
    <definedName name="____ben5" localSheetId="8">#REF!</definedName>
    <definedName name="____ben5" localSheetId="6">#REF!</definedName>
    <definedName name="____ben5" localSheetId="7">#REF!</definedName>
    <definedName name="____ben5" localSheetId="3">#REF!</definedName>
    <definedName name="____ben5" localSheetId="13">#REF!</definedName>
    <definedName name="____ben5" localSheetId="22">#REF!</definedName>
    <definedName name="____ben5" localSheetId="4">#REF!</definedName>
    <definedName name="____ben5" localSheetId="0">#REF!</definedName>
    <definedName name="____ben5" localSheetId="10">#REF!</definedName>
    <definedName name="____ben5" localSheetId="11">#REF!</definedName>
    <definedName name="____ben5" localSheetId="9">#REF!</definedName>
    <definedName name="____ben5" localSheetId="12">#REF!</definedName>
    <definedName name="____ben5" localSheetId="15">#REF!</definedName>
    <definedName name="____ben5" localSheetId="14">#REF!</definedName>
    <definedName name="____ben5" localSheetId="1">#REF!</definedName>
    <definedName name="____ben5" localSheetId="2">#REF!</definedName>
    <definedName name="____ben5" localSheetId="5">#REF!</definedName>
    <definedName name="____ben5">#REF!</definedName>
    <definedName name="____tu3" localSheetId="16">#REF!</definedName>
    <definedName name="____tu3" localSheetId="21">#REF!</definedName>
    <definedName name="____tu3" localSheetId="8">#REF!</definedName>
    <definedName name="____tu3" localSheetId="6">#REF!</definedName>
    <definedName name="____tu3" localSheetId="7">#REF!</definedName>
    <definedName name="____tu3" localSheetId="3">#REF!</definedName>
    <definedName name="____tu3" localSheetId="13">#REF!</definedName>
    <definedName name="____tu3" localSheetId="22">#REF!</definedName>
    <definedName name="____tu3" localSheetId="4">#REF!</definedName>
    <definedName name="____tu3" localSheetId="0">#REF!</definedName>
    <definedName name="____tu3" localSheetId="10">#REF!</definedName>
    <definedName name="____tu3" localSheetId="11">#REF!</definedName>
    <definedName name="____tu3" localSheetId="9">#REF!</definedName>
    <definedName name="____tu3" localSheetId="12">#REF!</definedName>
    <definedName name="____tu3" localSheetId="15">#REF!</definedName>
    <definedName name="____tu3" localSheetId="14">#REF!</definedName>
    <definedName name="____tu3" localSheetId="1">#REF!</definedName>
    <definedName name="____tu3" localSheetId="2">#REF!</definedName>
    <definedName name="____tu3" localSheetId="5">#REF!</definedName>
    <definedName name="____tu3">#REF!</definedName>
    <definedName name="___ben1" localSheetId="16">#REF!</definedName>
    <definedName name="___ben1" localSheetId="21">#REF!</definedName>
    <definedName name="___ben1" localSheetId="8">#REF!</definedName>
    <definedName name="___ben1" localSheetId="6">#REF!</definedName>
    <definedName name="___ben1" localSheetId="7">#REF!</definedName>
    <definedName name="___ben1" localSheetId="3">#REF!</definedName>
    <definedName name="___ben1" localSheetId="13">#REF!</definedName>
    <definedName name="___ben1" localSheetId="22">#REF!</definedName>
    <definedName name="___ben1" localSheetId="4">#REF!</definedName>
    <definedName name="___ben1" localSheetId="0">#REF!</definedName>
    <definedName name="___ben1" localSheetId="10">#REF!</definedName>
    <definedName name="___ben1" localSheetId="11">#REF!</definedName>
    <definedName name="___ben1" localSheetId="9">#REF!</definedName>
    <definedName name="___ben1" localSheetId="12">#REF!</definedName>
    <definedName name="___ben1" localSheetId="15">#REF!</definedName>
    <definedName name="___ben1" localSheetId="14">#REF!</definedName>
    <definedName name="___ben1" localSheetId="1">#REF!</definedName>
    <definedName name="___ben1" localSheetId="2">#REF!</definedName>
    <definedName name="___ben1" localSheetId="5">#REF!</definedName>
    <definedName name="___ben1">#REF!</definedName>
    <definedName name="___ben10" localSheetId="16">#REF!</definedName>
    <definedName name="___ben10" localSheetId="21">#REF!</definedName>
    <definedName name="___ben10" localSheetId="8">#REF!</definedName>
    <definedName name="___ben10" localSheetId="6">#REF!</definedName>
    <definedName name="___ben10" localSheetId="7">#REF!</definedName>
    <definedName name="___ben10" localSheetId="3">#REF!</definedName>
    <definedName name="___ben10" localSheetId="13">#REF!</definedName>
    <definedName name="___ben10" localSheetId="22">#REF!</definedName>
    <definedName name="___ben10" localSheetId="4">#REF!</definedName>
    <definedName name="___ben10" localSheetId="0">#REF!</definedName>
    <definedName name="___ben10" localSheetId="10">#REF!</definedName>
    <definedName name="___ben10" localSheetId="11">#REF!</definedName>
    <definedName name="___ben10" localSheetId="9">#REF!</definedName>
    <definedName name="___ben10" localSheetId="12">#REF!</definedName>
    <definedName name="___ben10" localSheetId="15">#REF!</definedName>
    <definedName name="___ben10" localSheetId="14">#REF!</definedName>
    <definedName name="___ben10" localSheetId="1">#REF!</definedName>
    <definedName name="___ben10" localSheetId="2">#REF!</definedName>
    <definedName name="___ben10" localSheetId="5">#REF!</definedName>
    <definedName name="___ben10">#REF!</definedName>
    <definedName name="___ben15" localSheetId="16">#REF!</definedName>
    <definedName name="___ben15" localSheetId="21">#REF!</definedName>
    <definedName name="___ben15" localSheetId="8">#REF!</definedName>
    <definedName name="___ben15" localSheetId="6">#REF!</definedName>
    <definedName name="___ben15" localSheetId="7">#REF!</definedName>
    <definedName name="___ben15" localSheetId="3">#REF!</definedName>
    <definedName name="___ben15" localSheetId="13">#REF!</definedName>
    <definedName name="___ben15" localSheetId="22">#REF!</definedName>
    <definedName name="___ben15" localSheetId="4">#REF!</definedName>
    <definedName name="___ben15" localSheetId="0">#REF!</definedName>
    <definedName name="___ben15" localSheetId="10">#REF!</definedName>
    <definedName name="___ben15" localSheetId="11">#REF!</definedName>
    <definedName name="___ben15" localSheetId="9">#REF!</definedName>
    <definedName name="___ben15" localSheetId="12">#REF!</definedName>
    <definedName name="___ben15" localSheetId="15">#REF!</definedName>
    <definedName name="___ben15" localSheetId="14">#REF!</definedName>
    <definedName name="___ben15" localSheetId="1">#REF!</definedName>
    <definedName name="___ben15" localSheetId="2">#REF!</definedName>
    <definedName name="___ben15" localSheetId="5">#REF!</definedName>
    <definedName name="___ben15">#REF!</definedName>
    <definedName name="___BEN2" localSheetId="16">#REF!</definedName>
    <definedName name="___BEN2" localSheetId="20">#REF!</definedName>
    <definedName name="___BEN2">#REF!</definedName>
    <definedName name="___ben20" localSheetId="16">#REF!</definedName>
    <definedName name="___ben20" localSheetId="21">#REF!</definedName>
    <definedName name="___ben20" localSheetId="8">#REF!</definedName>
    <definedName name="___ben20" localSheetId="6">#REF!</definedName>
    <definedName name="___ben20" localSheetId="7">#REF!</definedName>
    <definedName name="___ben20" localSheetId="3">#REF!</definedName>
    <definedName name="___ben20" localSheetId="13">#REF!</definedName>
    <definedName name="___ben20" localSheetId="22">#REF!</definedName>
    <definedName name="___ben20" localSheetId="4">#REF!</definedName>
    <definedName name="___ben20" localSheetId="0">#REF!</definedName>
    <definedName name="___ben20" localSheetId="20">#REF!</definedName>
    <definedName name="___ben20" localSheetId="10">#REF!</definedName>
    <definedName name="___ben20" localSheetId="11">#REF!</definedName>
    <definedName name="___ben20" localSheetId="9">#REF!</definedName>
    <definedName name="___ben20" localSheetId="12">#REF!</definedName>
    <definedName name="___ben20" localSheetId="15">#REF!</definedName>
    <definedName name="___ben20" localSheetId="14">#REF!</definedName>
    <definedName name="___ben20" localSheetId="1">#REF!</definedName>
    <definedName name="___ben20" localSheetId="2">#REF!</definedName>
    <definedName name="___ben20" localSheetId="5">#REF!</definedName>
    <definedName name="___ben20">#REF!</definedName>
    <definedName name="___ben25" localSheetId="16">#REF!</definedName>
    <definedName name="___ben25" localSheetId="21">#REF!</definedName>
    <definedName name="___ben25" localSheetId="8">#REF!</definedName>
    <definedName name="___ben25" localSheetId="6">#REF!</definedName>
    <definedName name="___ben25" localSheetId="7">#REF!</definedName>
    <definedName name="___ben25" localSheetId="3">#REF!</definedName>
    <definedName name="___ben25" localSheetId="13">#REF!</definedName>
    <definedName name="___ben25" localSheetId="22">#REF!</definedName>
    <definedName name="___ben25" localSheetId="4">#REF!</definedName>
    <definedName name="___ben25" localSheetId="0">#REF!</definedName>
    <definedName name="___ben25" localSheetId="20">#REF!</definedName>
    <definedName name="___ben25" localSheetId="10">#REF!</definedName>
    <definedName name="___ben25" localSheetId="11">#REF!</definedName>
    <definedName name="___ben25" localSheetId="9">#REF!</definedName>
    <definedName name="___ben25" localSheetId="12">#REF!</definedName>
    <definedName name="___ben25" localSheetId="15">#REF!</definedName>
    <definedName name="___ben25" localSheetId="14">#REF!</definedName>
    <definedName name="___ben25" localSheetId="1">#REF!</definedName>
    <definedName name="___ben25" localSheetId="2">#REF!</definedName>
    <definedName name="___ben25" localSheetId="5">#REF!</definedName>
    <definedName name="___ben25">#REF!</definedName>
    <definedName name="___BEN3" localSheetId="16">#REF!</definedName>
    <definedName name="___BEN3" localSheetId="21">#REF!</definedName>
    <definedName name="___BEN3" localSheetId="8">#REF!</definedName>
    <definedName name="___BEN3" localSheetId="6">#REF!</definedName>
    <definedName name="___BEN3" localSheetId="7">#REF!</definedName>
    <definedName name="___BEN3" localSheetId="3">#REF!</definedName>
    <definedName name="___BEN3" localSheetId="13">#REF!</definedName>
    <definedName name="___BEN3" localSheetId="22">#REF!</definedName>
    <definedName name="___BEN3" localSheetId="4">#REF!</definedName>
    <definedName name="___BEN3" localSheetId="0">#REF!</definedName>
    <definedName name="___BEN3" localSheetId="20">#REF!</definedName>
    <definedName name="___BEN3" localSheetId="10">#REF!</definedName>
    <definedName name="___BEN3" localSheetId="11">#REF!</definedName>
    <definedName name="___BEN3" localSheetId="9">#REF!</definedName>
    <definedName name="___BEN3" localSheetId="12">#REF!</definedName>
    <definedName name="___BEN3" localSheetId="15">#REF!</definedName>
    <definedName name="___BEN3" localSheetId="14">#REF!</definedName>
    <definedName name="___BEN3" localSheetId="1">#REF!</definedName>
    <definedName name="___BEN3" localSheetId="2">#REF!</definedName>
    <definedName name="___BEN3" localSheetId="5">#REF!</definedName>
    <definedName name="___BEN3">#REF!</definedName>
    <definedName name="___BEN4" localSheetId="16">#REF!</definedName>
    <definedName name="___BEN4" localSheetId="21">#REF!</definedName>
    <definedName name="___BEN4" localSheetId="8">#REF!</definedName>
    <definedName name="___BEN4" localSheetId="6">#REF!</definedName>
    <definedName name="___BEN4" localSheetId="7">#REF!</definedName>
    <definedName name="___BEN4" localSheetId="3">#REF!</definedName>
    <definedName name="___BEN4" localSheetId="13">#REF!</definedName>
    <definedName name="___BEN4" localSheetId="22">#REF!</definedName>
    <definedName name="___BEN4" localSheetId="4">#REF!</definedName>
    <definedName name="___BEN4" localSheetId="0">#REF!</definedName>
    <definedName name="___BEN4" localSheetId="10">#REF!</definedName>
    <definedName name="___BEN4" localSheetId="11">#REF!</definedName>
    <definedName name="___BEN4" localSheetId="9">#REF!</definedName>
    <definedName name="___BEN4" localSheetId="12">#REF!</definedName>
    <definedName name="___BEN4" localSheetId="15">#REF!</definedName>
    <definedName name="___BEN4" localSheetId="14">#REF!</definedName>
    <definedName name="___BEN4" localSheetId="1">#REF!</definedName>
    <definedName name="___BEN4" localSheetId="2">#REF!</definedName>
    <definedName name="___BEN4" localSheetId="5">#REF!</definedName>
    <definedName name="___BEN4">#REF!</definedName>
    <definedName name="___ben5" localSheetId="16">#REF!</definedName>
    <definedName name="___ben5" localSheetId="21">#REF!</definedName>
    <definedName name="___ben5" localSheetId="8">#REF!</definedName>
    <definedName name="___ben5" localSheetId="6">#REF!</definedName>
    <definedName name="___ben5" localSheetId="7">#REF!</definedName>
    <definedName name="___ben5" localSheetId="3">#REF!</definedName>
    <definedName name="___ben5" localSheetId="13">#REF!</definedName>
    <definedName name="___ben5" localSheetId="22">#REF!</definedName>
    <definedName name="___ben5" localSheetId="4">#REF!</definedName>
    <definedName name="___ben5" localSheetId="0">#REF!</definedName>
    <definedName name="___ben5" localSheetId="10">#REF!</definedName>
    <definedName name="___ben5" localSheetId="11">#REF!</definedName>
    <definedName name="___ben5" localSheetId="9">#REF!</definedName>
    <definedName name="___ben5" localSheetId="12">#REF!</definedName>
    <definedName name="___ben5" localSheetId="15">#REF!</definedName>
    <definedName name="___ben5" localSheetId="14">#REF!</definedName>
    <definedName name="___ben5" localSheetId="1">#REF!</definedName>
    <definedName name="___ben5" localSheetId="2">#REF!</definedName>
    <definedName name="___ben5" localSheetId="5">#REF!</definedName>
    <definedName name="___ben5">#REF!</definedName>
    <definedName name="___tu3" localSheetId="16">#REF!</definedName>
    <definedName name="___tu3" localSheetId="21">#REF!</definedName>
    <definedName name="___tu3" localSheetId="8">#REF!</definedName>
    <definedName name="___tu3" localSheetId="6">#REF!</definedName>
    <definedName name="___tu3" localSheetId="7">#REF!</definedName>
    <definedName name="___tu3" localSheetId="3">#REF!</definedName>
    <definedName name="___tu3" localSheetId="13">#REF!</definedName>
    <definedName name="___tu3" localSheetId="22">#REF!</definedName>
    <definedName name="___tu3" localSheetId="4">#REF!</definedName>
    <definedName name="___tu3" localSheetId="0">#REF!</definedName>
    <definedName name="___tu3" localSheetId="10">#REF!</definedName>
    <definedName name="___tu3" localSheetId="11">#REF!</definedName>
    <definedName name="___tu3" localSheetId="9">#REF!</definedName>
    <definedName name="___tu3" localSheetId="12">#REF!</definedName>
    <definedName name="___tu3" localSheetId="15">#REF!</definedName>
    <definedName name="___tu3" localSheetId="14">#REF!</definedName>
    <definedName name="___tu3" localSheetId="1">#REF!</definedName>
    <definedName name="___tu3" localSheetId="2">#REF!</definedName>
    <definedName name="___tu3" localSheetId="5">#REF!</definedName>
    <definedName name="___tu3">#REF!</definedName>
    <definedName name="__ben1" localSheetId="16">#REF!</definedName>
    <definedName name="__ben1" localSheetId="21">#REF!</definedName>
    <definedName name="__ben1" localSheetId="8">#REF!</definedName>
    <definedName name="__ben1" localSheetId="6">#REF!</definedName>
    <definedName name="__ben1" localSheetId="7">#REF!</definedName>
    <definedName name="__ben1" localSheetId="3">#REF!</definedName>
    <definedName name="__ben1" localSheetId="13">#REF!</definedName>
    <definedName name="__ben1" localSheetId="22">#REF!</definedName>
    <definedName name="__ben1" localSheetId="4">#REF!</definedName>
    <definedName name="__ben1" localSheetId="0">#REF!</definedName>
    <definedName name="__ben1" localSheetId="10">#REF!</definedName>
    <definedName name="__ben1" localSheetId="11">#REF!</definedName>
    <definedName name="__ben1" localSheetId="9">#REF!</definedName>
    <definedName name="__ben1" localSheetId="12">#REF!</definedName>
    <definedName name="__ben1" localSheetId="15">#REF!</definedName>
    <definedName name="__ben1" localSheetId="14">#REF!</definedName>
    <definedName name="__ben1" localSheetId="1">#REF!</definedName>
    <definedName name="__ben1" localSheetId="2">#REF!</definedName>
    <definedName name="__ben1" localSheetId="5">#REF!</definedName>
    <definedName name="__ben1">#REF!</definedName>
    <definedName name="__ben10" localSheetId="16">#REF!</definedName>
    <definedName name="__ben10" localSheetId="21">#REF!</definedName>
    <definedName name="__ben10" localSheetId="8">#REF!</definedName>
    <definedName name="__ben10" localSheetId="6">#REF!</definedName>
    <definedName name="__ben10" localSheetId="7">#REF!</definedName>
    <definedName name="__ben10" localSheetId="3">#REF!</definedName>
    <definedName name="__ben10" localSheetId="13">#REF!</definedName>
    <definedName name="__ben10" localSheetId="22">#REF!</definedName>
    <definedName name="__ben10" localSheetId="4">#REF!</definedName>
    <definedName name="__ben10" localSheetId="0">#REF!</definedName>
    <definedName name="__ben10" localSheetId="10">#REF!</definedName>
    <definedName name="__ben10" localSheetId="11">#REF!</definedName>
    <definedName name="__ben10" localSheetId="9">#REF!</definedName>
    <definedName name="__ben10" localSheetId="12">#REF!</definedName>
    <definedName name="__ben10" localSheetId="15">#REF!</definedName>
    <definedName name="__ben10" localSheetId="14">#REF!</definedName>
    <definedName name="__ben10" localSheetId="1">#REF!</definedName>
    <definedName name="__ben10" localSheetId="2">#REF!</definedName>
    <definedName name="__ben10" localSheetId="5">#REF!</definedName>
    <definedName name="__ben10">#REF!</definedName>
    <definedName name="__ben15" localSheetId="16">#REF!</definedName>
    <definedName name="__ben15" localSheetId="21">#REF!</definedName>
    <definedName name="__ben15" localSheetId="8">#REF!</definedName>
    <definedName name="__ben15" localSheetId="6">#REF!</definedName>
    <definedName name="__ben15" localSheetId="7">#REF!</definedName>
    <definedName name="__ben15" localSheetId="3">#REF!</definedName>
    <definedName name="__ben15" localSheetId="13">#REF!</definedName>
    <definedName name="__ben15" localSheetId="22">#REF!</definedName>
    <definedName name="__ben15" localSheetId="4">#REF!</definedName>
    <definedName name="__ben15" localSheetId="0">#REF!</definedName>
    <definedName name="__ben15" localSheetId="10">#REF!</definedName>
    <definedName name="__ben15" localSheetId="11">#REF!</definedName>
    <definedName name="__ben15" localSheetId="9">#REF!</definedName>
    <definedName name="__ben15" localSheetId="12">#REF!</definedName>
    <definedName name="__ben15" localSheetId="15">#REF!</definedName>
    <definedName name="__ben15" localSheetId="14">#REF!</definedName>
    <definedName name="__ben15" localSheetId="1">#REF!</definedName>
    <definedName name="__ben15" localSheetId="2">#REF!</definedName>
    <definedName name="__ben15" localSheetId="5">#REF!</definedName>
    <definedName name="__ben15">#REF!</definedName>
    <definedName name="__BEN2" localSheetId="16">#REF!</definedName>
    <definedName name="__BEN2" localSheetId="20">#REF!</definedName>
    <definedName name="__BEN2">#REF!</definedName>
    <definedName name="__ben20" localSheetId="16">#REF!</definedName>
    <definedName name="__ben20" localSheetId="21">#REF!</definedName>
    <definedName name="__ben20" localSheetId="8">#REF!</definedName>
    <definedName name="__ben20" localSheetId="6">#REF!</definedName>
    <definedName name="__ben20" localSheetId="7">#REF!</definedName>
    <definedName name="__ben20" localSheetId="3">#REF!</definedName>
    <definedName name="__ben20" localSheetId="13">#REF!</definedName>
    <definedName name="__ben20" localSheetId="22">#REF!</definedName>
    <definedName name="__ben20" localSheetId="4">#REF!</definedName>
    <definedName name="__ben20" localSheetId="0">#REF!</definedName>
    <definedName name="__ben20" localSheetId="20">#REF!</definedName>
    <definedName name="__ben20" localSheetId="10">#REF!</definedName>
    <definedName name="__ben20" localSheetId="11">#REF!</definedName>
    <definedName name="__ben20" localSheetId="9">#REF!</definedName>
    <definedName name="__ben20" localSheetId="12">#REF!</definedName>
    <definedName name="__ben20" localSheetId="15">#REF!</definedName>
    <definedName name="__ben20" localSheetId="14">#REF!</definedName>
    <definedName name="__ben20" localSheetId="1">#REF!</definedName>
    <definedName name="__ben20" localSheetId="2">#REF!</definedName>
    <definedName name="__ben20" localSheetId="5">#REF!</definedName>
    <definedName name="__ben20">#REF!</definedName>
    <definedName name="__ben25" localSheetId="16">#REF!</definedName>
    <definedName name="__ben25" localSheetId="21">#REF!</definedName>
    <definedName name="__ben25" localSheetId="8">#REF!</definedName>
    <definedName name="__ben25" localSheetId="6">#REF!</definedName>
    <definedName name="__ben25" localSheetId="7">#REF!</definedName>
    <definedName name="__ben25" localSheetId="3">#REF!</definedName>
    <definedName name="__ben25" localSheetId="13">#REF!</definedName>
    <definedName name="__ben25" localSheetId="22">#REF!</definedName>
    <definedName name="__ben25" localSheetId="4">#REF!</definedName>
    <definedName name="__ben25" localSheetId="0">#REF!</definedName>
    <definedName name="__ben25" localSheetId="20">#REF!</definedName>
    <definedName name="__ben25" localSheetId="10">#REF!</definedName>
    <definedName name="__ben25" localSheetId="11">#REF!</definedName>
    <definedName name="__ben25" localSheetId="9">#REF!</definedName>
    <definedName name="__ben25" localSheetId="12">#REF!</definedName>
    <definedName name="__ben25" localSheetId="15">#REF!</definedName>
    <definedName name="__ben25" localSheetId="14">#REF!</definedName>
    <definedName name="__ben25" localSheetId="1">#REF!</definedName>
    <definedName name="__ben25" localSheetId="2">#REF!</definedName>
    <definedName name="__ben25" localSheetId="5">#REF!</definedName>
    <definedName name="__ben25">#REF!</definedName>
    <definedName name="__BEN3" localSheetId="16">#REF!</definedName>
    <definedName name="__BEN3" localSheetId="21">#REF!</definedName>
    <definedName name="__BEN3" localSheetId="8">#REF!</definedName>
    <definedName name="__BEN3" localSheetId="6">#REF!</definedName>
    <definedName name="__BEN3" localSheetId="7">#REF!</definedName>
    <definedName name="__BEN3" localSheetId="3">#REF!</definedName>
    <definedName name="__BEN3" localSheetId="13">#REF!</definedName>
    <definedName name="__BEN3" localSheetId="22">#REF!</definedName>
    <definedName name="__BEN3" localSheetId="4">#REF!</definedName>
    <definedName name="__BEN3" localSheetId="0">#REF!</definedName>
    <definedName name="__BEN3" localSheetId="20">#REF!</definedName>
    <definedName name="__BEN3" localSheetId="10">#REF!</definedName>
    <definedName name="__BEN3" localSheetId="11">#REF!</definedName>
    <definedName name="__BEN3" localSheetId="9">#REF!</definedName>
    <definedName name="__BEN3" localSheetId="12">#REF!</definedName>
    <definedName name="__BEN3" localSheetId="15">#REF!</definedName>
    <definedName name="__BEN3" localSheetId="14">#REF!</definedName>
    <definedName name="__BEN3" localSheetId="1">#REF!</definedName>
    <definedName name="__BEN3" localSheetId="2">#REF!</definedName>
    <definedName name="__BEN3" localSheetId="5">#REF!</definedName>
    <definedName name="__BEN3">#REF!</definedName>
    <definedName name="__BEN4" localSheetId="16">#REF!</definedName>
    <definedName name="__BEN4" localSheetId="21">#REF!</definedName>
    <definedName name="__BEN4" localSheetId="8">#REF!</definedName>
    <definedName name="__BEN4" localSheetId="6">#REF!</definedName>
    <definedName name="__BEN4" localSheetId="7">#REF!</definedName>
    <definedName name="__BEN4" localSheetId="3">#REF!</definedName>
    <definedName name="__BEN4" localSheetId="13">#REF!</definedName>
    <definedName name="__BEN4" localSheetId="22">#REF!</definedName>
    <definedName name="__BEN4" localSheetId="4">#REF!</definedName>
    <definedName name="__BEN4" localSheetId="0">#REF!</definedName>
    <definedName name="__BEN4" localSheetId="10">#REF!</definedName>
    <definedName name="__BEN4" localSheetId="11">#REF!</definedName>
    <definedName name="__BEN4" localSheetId="9">#REF!</definedName>
    <definedName name="__BEN4" localSheetId="12">#REF!</definedName>
    <definedName name="__BEN4" localSheetId="15">#REF!</definedName>
    <definedName name="__BEN4" localSheetId="14">#REF!</definedName>
    <definedName name="__BEN4" localSheetId="1">#REF!</definedName>
    <definedName name="__BEN4" localSheetId="2">#REF!</definedName>
    <definedName name="__BEN4" localSheetId="5">#REF!</definedName>
    <definedName name="__BEN4">#REF!</definedName>
    <definedName name="__ben5" localSheetId="16">#REF!</definedName>
    <definedName name="__ben5" localSheetId="21">#REF!</definedName>
    <definedName name="__ben5" localSheetId="8">#REF!</definedName>
    <definedName name="__ben5" localSheetId="6">#REF!</definedName>
    <definedName name="__ben5" localSheetId="7">#REF!</definedName>
    <definedName name="__ben5" localSheetId="3">#REF!</definedName>
    <definedName name="__ben5" localSheetId="13">#REF!</definedName>
    <definedName name="__ben5" localSheetId="22">#REF!</definedName>
    <definedName name="__ben5" localSheetId="4">#REF!</definedName>
    <definedName name="__ben5" localSheetId="0">#REF!</definedName>
    <definedName name="__ben5" localSheetId="10">#REF!</definedName>
    <definedName name="__ben5" localSheetId="11">#REF!</definedName>
    <definedName name="__ben5" localSheetId="9">#REF!</definedName>
    <definedName name="__ben5" localSheetId="12">#REF!</definedName>
    <definedName name="__ben5" localSheetId="15">#REF!</definedName>
    <definedName name="__ben5" localSheetId="14">#REF!</definedName>
    <definedName name="__ben5" localSheetId="1">#REF!</definedName>
    <definedName name="__ben5" localSheetId="2">#REF!</definedName>
    <definedName name="__ben5" localSheetId="5">#REF!</definedName>
    <definedName name="__ben5">#REF!</definedName>
    <definedName name="__HJJ2">#REF!</definedName>
    <definedName name="__tu3" localSheetId="16">#REF!</definedName>
    <definedName name="__tu3" localSheetId="21">#REF!</definedName>
    <definedName name="__tu3" localSheetId="8">#REF!</definedName>
    <definedName name="__tu3" localSheetId="6">#REF!</definedName>
    <definedName name="__tu3" localSheetId="7">#REF!</definedName>
    <definedName name="__tu3" localSheetId="3">#REF!</definedName>
    <definedName name="__tu3" localSheetId="13">#REF!</definedName>
    <definedName name="__tu3" localSheetId="22">#REF!</definedName>
    <definedName name="__tu3" localSheetId="4">#REF!</definedName>
    <definedName name="__tu3" localSheetId="0">#REF!</definedName>
    <definedName name="__tu3" localSheetId="10">#REF!</definedName>
    <definedName name="__tu3" localSheetId="11">#REF!</definedName>
    <definedName name="__tu3" localSheetId="9">#REF!</definedName>
    <definedName name="__tu3" localSheetId="12">#REF!</definedName>
    <definedName name="__tu3" localSheetId="15">#REF!</definedName>
    <definedName name="__tu3" localSheetId="14">#REF!</definedName>
    <definedName name="__tu3" localSheetId="1">#REF!</definedName>
    <definedName name="__tu3" localSheetId="2">#REF!</definedName>
    <definedName name="__tu3" localSheetId="5">#REF!</definedName>
    <definedName name="__tu3">#REF!</definedName>
    <definedName name="_3FLE">#REF!</definedName>
    <definedName name="_6PRINT_AREA">#REF!</definedName>
    <definedName name="_ben1" localSheetId="16">#REF!</definedName>
    <definedName name="_ben1" localSheetId="21">#REF!</definedName>
    <definedName name="_ben1" localSheetId="8">#REF!</definedName>
    <definedName name="_ben1" localSheetId="6">#REF!</definedName>
    <definedName name="_ben1" localSheetId="7">#REF!</definedName>
    <definedName name="_ben1" localSheetId="3">#REF!</definedName>
    <definedName name="_ben1" localSheetId="13">#REF!</definedName>
    <definedName name="_ben1" localSheetId="22">#REF!</definedName>
    <definedName name="_ben1" localSheetId="4">#REF!</definedName>
    <definedName name="_ben1" localSheetId="0">#REF!</definedName>
    <definedName name="_ben1" localSheetId="10">#REF!</definedName>
    <definedName name="_ben1" localSheetId="11">#REF!</definedName>
    <definedName name="_ben1" localSheetId="9">#REF!</definedName>
    <definedName name="_ben1" localSheetId="12">#REF!</definedName>
    <definedName name="_ben1" localSheetId="15">#REF!</definedName>
    <definedName name="_ben1" localSheetId="14">#REF!</definedName>
    <definedName name="_ben1" localSheetId="1">#REF!</definedName>
    <definedName name="_ben1" localSheetId="2">#REF!</definedName>
    <definedName name="_ben1" localSheetId="5">#REF!</definedName>
    <definedName name="_ben1">#REF!</definedName>
    <definedName name="_ben10" localSheetId="16">#REF!</definedName>
    <definedName name="_ben10" localSheetId="21">#REF!</definedName>
    <definedName name="_ben10" localSheetId="8">#REF!</definedName>
    <definedName name="_ben10" localSheetId="6">#REF!</definedName>
    <definedName name="_ben10" localSheetId="7">#REF!</definedName>
    <definedName name="_ben10" localSheetId="3">#REF!</definedName>
    <definedName name="_ben10" localSheetId="13">#REF!</definedName>
    <definedName name="_ben10" localSheetId="22">#REF!</definedName>
    <definedName name="_ben10" localSheetId="4">#REF!</definedName>
    <definedName name="_ben10" localSheetId="0">#REF!</definedName>
    <definedName name="_ben10" localSheetId="10">#REF!</definedName>
    <definedName name="_ben10" localSheetId="11">#REF!</definedName>
    <definedName name="_ben10" localSheetId="9">#REF!</definedName>
    <definedName name="_ben10" localSheetId="12">#REF!</definedName>
    <definedName name="_ben10" localSheetId="15">#REF!</definedName>
    <definedName name="_ben10" localSheetId="14">#REF!</definedName>
    <definedName name="_ben10" localSheetId="1">#REF!</definedName>
    <definedName name="_ben10" localSheetId="2">#REF!</definedName>
    <definedName name="_ben10" localSheetId="5">#REF!</definedName>
    <definedName name="_ben10">#REF!</definedName>
    <definedName name="_ben15" localSheetId="16">#REF!</definedName>
    <definedName name="_ben15" localSheetId="21">#REF!</definedName>
    <definedName name="_ben15" localSheetId="8">#REF!</definedName>
    <definedName name="_ben15" localSheetId="6">#REF!</definedName>
    <definedName name="_ben15" localSheetId="7">#REF!</definedName>
    <definedName name="_ben15" localSheetId="3">#REF!</definedName>
    <definedName name="_ben15" localSheetId="13">#REF!</definedName>
    <definedName name="_ben15" localSheetId="22">#REF!</definedName>
    <definedName name="_ben15" localSheetId="4">#REF!</definedName>
    <definedName name="_ben15" localSheetId="0">#REF!</definedName>
    <definedName name="_ben15" localSheetId="10">#REF!</definedName>
    <definedName name="_ben15" localSheetId="11">#REF!</definedName>
    <definedName name="_ben15" localSheetId="9">#REF!</definedName>
    <definedName name="_ben15" localSheetId="12">#REF!</definedName>
    <definedName name="_ben15" localSheetId="15">#REF!</definedName>
    <definedName name="_ben15" localSheetId="14">#REF!</definedName>
    <definedName name="_ben15" localSheetId="1">#REF!</definedName>
    <definedName name="_ben15" localSheetId="2">#REF!</definedName>
    <definedName name="_ben15" localSheetId="5">#REF!</definedName>
    <definedName name="_ben15">#REF!</definedName>
    <definedName name="_BEN2" localSheetId="16">#REF!</definedName>
    <definedName name="_BEN2" localSheetId="20">#REF!</definedName>
    <definedName name="_BEN2">#REF!</definedName>
    <definedName name="_ben20" localSheetId="16">#REF!</definedName>
    <definedName name="_ben20" localSheetId="21">#REF!</definedName>
    <definedName name="_ben20" localSheetId="8">#REF!</definedName>
    <definedName name="_ben20" localSheetId="6">#REF!</definedName>
    <definedName name="_ben20" localSheetId="7">#REF!</definedName>
    <definedName name="_ben20" localSheetId="3">#REF!</definedName>
    <definedName name="_ben20" localSheetId="13">#REF!</definedName>
    <definedName name="_ben20" localSheetId="22">#REF!</definedName>
    <definedName name="_ben20" localSheetId="4">#REF!</definedName>
    <definedName name="_ben20" localSheetId="0">#REF!</definedName>
    <definedName name="_ben20" localSheetId="20">#REF!</definedName>
    <definedName name="_ben20" localSheetId="10">#REF!</definedName>
    <definedName name="_ben20" localSheetId="11">#REF!</definedName>
    <definedName name="_ben20" localSheetId="9">#REF!</definedName>
    <definedName name="_ben20" localSheetId="12">#REF!</definedName>
    <definedName name="_ben20" localSheetId="15">#REF!</definedName>
    <definedName name="_ben20" localSheetId="14">#REF!</definedName>
    <definedName name="_ben20" localSheetId="1">#REF!</definedName>
    <definedName name="_ben20" localSheetId="2">#REF!</definedName>
    <definedName name="_ben20" localSheetId="5">#REF!</definedName>
    <definedName name="_ben20">#REF!</definedName>
    <definedName name="_ben21" localSheetId="16">#REF!</definedName>
    <definedName name="_ben21" localSheetId="21">#REF!</definedName>
    <definedName name="_ben21" localSheetId="8">#REF!</definedName>
    <definedName name="_ben21" localSheetId="6">#REF!</definedName>
    <definedName name="_ben21" localSheetId="7">#REF!</definedName>
    <definedName name="_ben21" localSheetId="3">#REF!</definedName>
    <definedName name="_ben21" localSheetId="13">#REF!</definedName>
    <definedName name="_ben21" localSheetId="22">#REF!</definedName>
    <definedName name="_ben21" localSheetId="4">#REF!</definedName>
    <definedName name="_ben21" localSheetId="0">#REF!</definedName>
    <definedName name="_ben21" localSheetId="20">#REF!</definedName>
    <definedName name="_ben21" localSheetId="10">#REF!</definedName>
    <definedName name="_ben21" localSheetId="11">#REF!</definedName>
    <definedName name="_ben21" localSheetId="9">#REF!</definedName>
    <definedName name="_ben21" localSheetId="12">#REF!</definedName>
    <definedName name="_ben21" localSheetId="15">#REF!</definedName>
    <definedName name="_ben21" localSheetId="14">#REF!</definedName>
    <definedName name="_ben21" localSheetId="1">#REF!</definedName>
    <definedName name="_ben21" localSheetId="2">#REF!</definedName>
    <definedName name="_ben21" localSheetId="5">#REF!</definedName>
    <definedName name="_ben21">#REF!</definedName>
    <definedName name="_ben25" localSheetId="16">#REF!</definedName>
    <definedName name="_ben25" localSheetId="21">#REF!</definedName>
    <definedName name="_ben25" localSheetId="8">#REF!</definedName>
    <definedName name="_ben25" localSheetId="6">#REF!</definedName>
    <definedName name="_ben25" localSheetId="7">#REF!</definedName>
    <definedName name="_ben25" localSheetId="3">#REF!</definedName>
    <definedName name="_ben25" localSheetId="13">#REF!</definedName>
    <definedName name="_ben25" localSheetId="22">#REF!</definedName>
    <definedName name="_ben25" localSheetId="4">#REF!</definedName>
    <definedName name="_ben25" localSheetId="0">#REF!</definedName>
    <definedName name="_ben25" localSheetId="20">#REF!</definedName>
    <definedName name="_ben25" localSheetId="10">#REF!</definedName>
    <definedName name="_ben25" localSheetId="11">#REF!</definedName>
    <definedName name="_ben25" localSheetId="9">#REF!</definedName>
    <definedName name="_ben25" localSheetId="12">#REF!</definedName>
    <definedName name="_ben25" localSheetId="15">#REF!</definedName>
    <definedName name="_ben25" localSheetId="14">#REF!</definedName>
    <definedName name="_ben25" localSheetId="1">#REF!</definedName>
    <definedName name="_ben25" localSheetId="2">#REF!</definedName>
    <definedName name="_ben25" localSheetId="5">#REF!</definedName>
    <definedName name="_ben25">#REF!</definedName>
    <definedName name="_ben29" localSheetId="16">#REF!</definedName>
    <definedName name="_ben29" localSheetId="21">#REF!</definedName>
    <definedName name="_ben29" localSheetId="8">#REF!</definedName>
    <definedName name="_ben29" localSheetId="6">#REF!</definedName>
    <definedName name="_ben29" localSheetId="7">#REF!</definedName>
    <definedName name="_ben29" localSheetId="3">#REF!</definedName>
    <definedName name="_ben29" localSheetId="13">#REF!</definedName>
    <definedName name="_ben29" localSheetId="22">#REF!</definedName>
    <definedName name="_ben29" localSheetId="4">#REF!</definedName>
    <definedName name="_ben29" localSheetId="0">#REF!</definedName>
    <definedName name="_ben29" localSheetId="10">#REF!</definedName>
    <definedName name="_ben29" localSheetId="11">#REF!</definedName>
    <definedName name="_ben29" localSheetId="9">#REF!</definedName>
    <definedName name="_ben29" localSheetId="12">#REF!</definedName>
    <definedName name="_ben29" localSheetId="15">#REF!</definedName>
    <definedName name="_ben29" localSheetId="14">#REF!</definedName>
    <definedName name="_ben29" localSheetId="1">#REF!</definedName>
    <definedName name="_ben29" localSheetId="2">#REF!</definedName>
    <definedName name="_ben29" localSheetId="5">#REF!</definedName>
    <definedName name="_ben29">#REF!</definedName>
    <definedName name="_BEN3" localSheetId="16">#REF!</definedName>
    <definedName name="_BEN3" localSheetId="21">#REF!</definedName>
    <definedName name="_BEN3" localSheetId="8">#REF!</definedName>
    <definedName name="_BEN3" localSheetId="6">#REF!</definedName>
    <definedName name="_BEN3" localSheetId="7">#REF!</definedName>
    <definedName name="_BEN3" localSheetId="3">#REF!</definedName>
    <definedName name="_BEN3" localSheetId="13">#REF!</definedName>
    <definedName name="_BEN3" localSheetId="22">#REF!</definedName>
    <definedName name="_BEN3" localSheetId="4">#REF!</definedName>
    <definedName name="_BEN3" localSheetId="0">#REF!</definedName>
    <definedName name="_BEN3" localSheetId="10">#REF!</definedName>
    <definedName name="_BEN3" localSheetId="11">#REF!</definedName>
    <definedName name="_BEN3" localSheetId="9">#REF!</definedName>
    <definedName name="_BEN3" localSheetId="12">#REF!</definedName>
    <definedName name="_BEN3" localSheetId="15">#REF!</definedName>
    <definedName name="_BEN3" localSheetId="14">#REF!</definedName>
    <definedName name="_BEN3" localSheetId="1">#REF!</definedName>
    <definedName name="_BEN3" localSheetId="2">#REF!</definedName>
    <definedName name="_BEN3" localSheetId="5">#REF!</definedName>
    <definedName name="_BEN3">#REF!</definedName>
    <definedName name="_ben30" localSheetId="16">#REF!</definedName>
    <definedName name="_ben30" localSheetId="21">#REF!</definedName>
    <definedName name="_ben30" localSheetId="8">#REF!</definedName>
    <definedName name="_ben30" localSheetId="6">#REF!</definedName>
    <definedName name="_ben30" localSheetId="7">#REF!</definedName>
    <definedName name="_ben30" localSheetId="3">#REF!</definedName>
    <definedName name="_ben30" localSheetId="13">#REF!</definedName>
    <definedName name="_ben30" localSheetId="22">#REF!</definedName>
    <definedName name="_ben30" localSheetId="4">#REF!</definedName>
    <definedName name="_ben30" localSheetId="0">#REF!</definedName>
    <definedName name="_ben30" localSheetId="10">#REF!</definedName>
    <definedName name="_ben30" localSheetId="11">#REF!</definedName>
    <definedName name="_ben30" localSheetId="9">#REF!</definedName>
    <definedName name="_ben30" localSheetId="12">#REF!</definedName>
    <definedName name="_ben30" localSheetId="15">#REF!</definedName>
    <definedName name="_ben30" localSheetId="14">#REF!</definedName>
    <definedName name="_ben30" localSheetId="1">#REF!</definedName>
    <definedName name="_ben30" localSheetId="2">#REF!</definedName>
    <definedName name="_ben30" localSheetId="5">#REF!</definedName>
    <definedName name="_ben30">#REF!</definedName>
    <definedName name="_BEN4" localSheetId="16">#REF!</definedName>
    <definedName name="_BEN4" localSheetId="21">#REF!</definedName>
    <definedName name="_BEN4" localSheetId="8">#REF!</definedName>
    <definedName name="_BEN4" localSheetId="6">#REF!</definedName>
    <definedName name="_BEN4" localSheetId="7">#REF!</definedName>
    <definedName name="_BEN4" localSheetId="3">#REF!</definedName>
    <definedName name="_BEN4" localSheetId="13">#REF!</definedName>
    <definedName name="_BEN4" localSheetId="22">#REF!</definedName>
    <definedName name="_BEN4" localSheetId="4">#REF!</definedName>
    <definedName name="_BEN4" localSheetId="0">#REF!</definedName>
    <definedName name="_BEN4" localSheetId="10">#REF!</definedName>
    <definedName name="_BEN4" localSheetId="11">#REF!</definedName>
    <definedName name="_BEN4" localSheetId="9">#REF!</definedName>
    <definedName name="_BEN4" localSheetId="12">#REF!</definedName>
    <definedName name="_BEN4" localSheetId="15">#REF!</definedName>
    <definedName name="_BEN4" localSheetId="14">#REF!</definedName>
    <definedName name="_BEN4" localSheetId="1">#REF!</definedName>
    <definedName name="_BEN4" localSheetId="2">#REF!</definedName>
    <definedName name="_BEN4" localSheetId="5">#REF!</definedName>
    <definedName name="_BEN4">#REF!</definedName>
    <definedName name="_ben5" localSheetId="16">#REF!</definedName>
    <definedName name="_ben5" localSheetId="21">#REF!</definedName>
    <definedName name="_ben5" localSheetId="8">#REF!</definedName>
    <definedName name="_ben5" localSheetId="6">#REF!</definedName>
    <definedName name="_ben5" localSheetId="7">#REF!</definedName>
    <definedName name="_ben5" localSheetId="3">#REF!</definedName>
    <definedName name="_ben5" localSheetId="13">#REF!</definedName>
    <definedName name="_ben5" localSheetId="22">#REF!</definedName>
    <definedName name="_ben5" localSheetId="4">#REF!</definedName>
    <definedName name="_ben5" localSheetId="0">#REF!</definedName>
    <definedName name="_ben5" localSheetId="10">#REF!</definedName>
    <definedName name="_ben5" localSheetId="11">#REF!</definedName>
    <definedName name="_ben5" localSheetId="9">#REF!</definedName>
    <definedName name="_ben5" localSheetId="12">#REF!</definedName>
    <definedName name="_ben5" localSheetId="15">#REF!</definedName>
    <definedName name="_ben5" localSheetId="14">#REF!</definedName>
    <definedName name="_ben5" localSheetId="1">#REF!</definedName>
    <definedName name="_ben5" localSheetId="2">#REF!</definedName>
    <definedName name="_ben5" localSheetId="5">#REF!</definedName>
    <definedName name="_ben5">#REF!</definedName>
    <definedName name="_ben52" localSheetId="16">#REF!</definedName>
    <definedName name="_ben52" localSheetId="21">#REF!</definedName>
    <definedName name="_ben52" localSheetId="8">#REF!</definedName>
    <definedName name="_ben52" localSheetId="6">#REF!</definedName>
    <definedName name="_ben52" localSheetId="7">#REF!</definedName>
    <definedName name="_ben52" localSheetId="3">#REF!</definedName>
    <definedName name="_ben52" localSheetId="13">#REF!</definedName>
    <definedName name="_ben52" localSheetId="22">#REF!</definedName>
    <definedName name="_ben52" localSheetId="4">#REF!</definedName>
    <definedName name="_ben52" localSheetId="0">#REF!</definedName>
    <definedName name="_ben52" localSheetId="10">#REF!</definedName>
    <definedName name="_ben52" localSheetId="11">#REF!</definedName>
    <definedName name="_ben52" localSheetId="9">#REF!</definedName>
    <definedName name="_ben52" localSheetId="12">#REF!</definedName>
    <definedName name="_ben52" localSheetId="15">#REF!</definedName>
    <definedName name="_ben52" localSheetId="14">#REF!</definedName>
    <definedName name="_ben52" localSheetId="1">#REF!</definedName>
    <definedName name="_ben52" localSheetId="2">#REF!</definedName>
    <definedName name="_ben52" localSheetId="5">#REF!</definedName>
    <definedName name="_ben52">#REF!</definedName>
    <definedName name="_d2" localSheetId="16" hidden="1">{"NORMAL",#N/A,FALSE,"02"}</definedName>
    <definedName name="_d2" localSheetId="21" hidden="1">{"NORMAL",#N/A,FALSE,"02"}</definedName>
    <definedName name="_d2" localSheetId="6" hidden="1">{"NORMAL",#N/A,FALSE,"02"}</definedName>
    <definedName name="_d2" localSheetId="7" hidden="1">{"NORMAL",#N/A,FALSE,"02"}</definedName>
    <definedName name="_d2" localSheetId="17" hidden="1">{"NORMAL",#N/A,FALSE,"02"}</definedName>
    <definedName name="_d2" localSheetId="20" hidden="1">{"NORMAL",#N/A,FALSE,"02"}</definedName>
    <definedName name="_d2" localSheetId="15" hidden="1">{"NORMAL",#N/A,FALSE,"02"}</definedName>
    <definedName name="_d2" localSheetId="14" hidden="1">{"NORMAL",#N/A,FALSE,"02"}</definedName>
    <definedName name="_d2" localSheetId="23" hidden="1">{"NORMAL",#N/A,FALSE,"02"}</definedName>
    <definedName name="_d2" hidden="1">{"NORMAL",#N/A,FALSE,"02"}</definedName>
    <definedName name="_f" localSheetId="16" hidden="1">{"DECIMAL",#N/A,FALSE,"02"}</definedName>
    <definedName name="_f" localSheetId="21" hidden="1">{"DECIMAL",#N/A,FALSE,"02"}</definedName>
    <definedName name="_f" localSheetId="6" hidden="1">{"DECIMAL",#N/A,FALSE,"02"}</definedName>
    <definedName name="_f" localSheetId="7" hidden="1">{"DECIMAL",#N/A,FALSE,"02"}</definedName>
    <definedName name="_f" localSheetId="17" hidden="1">{"DECIMAL",#N/A,FALSE,"02"}</definedName>
    <definedName name="_f" localSheetId="20" hidden="1">{"DECIMAL",#N/A,FALSE,"02"}</definedName>
    <definedName name="_f" localSheetId="15" hidden="1">{"DECIMAL",#N/A,FALSE,"02"}</definedName>
    <definedName name="_f" localSheetId="14" hidden="1">{"DECIMAL",#N/A,FALSE,"02"}</definedName>
    <definedName name="_f" localSheetId="23" hidden="1">{"DECIMAL",#N/A,FALSE,"02"}</definedName>
    <definedName name="_f" hidden="1">{"DECIMAL",#N/A,FALSE,"02"}</definedName>
    <definedName name="_Fill" localSheetId="16" hidden="1">#REF!</definedName>
    <definedName name="_Fill" localSheetId="21" hidden="1">#REF!</definedName>
    <definedName name="_Fill" localSheetId="8" hidden="1">#REF!</definedName>
    <definedName name="_Fill" localSheetId="6" hidden="1">#REF!</definedName>
    <definedName name="_Fill" localSheetId="7" hidden="1">#REF!</definedName>
    <definedName name="_Fill" localSheetId="3" hidden="1">#REF!</definedName>
    <definedName name="_Fill" localSheetId="13" hidden="1">#REF!</definedName>
    <definedName name="_Fill" localSheetId="22" hidden="1">#REF!</definedName>
    <definedName name="_Fill" localSheetId="4" hidden="1">#REF!</definedName>
    <definedName name="_Fill" localSheetId="17" hidden="1">#REF!</definedName>
    <definedName name="_Fill" localSheetId="0" hidden="1">#REF!</definedName>
    <definedName name="_Fill" localSheetId="20" hidden="1">#REF!</definedName>
    <definedName name="_Fill" localSheetId="10" hidden="1">#REF!</definedName>
    <definedName name="_Fill" localSheetId="11" hidden="1">#REF!</definedName>
    <definedName name="_Fill" localSheetId="9" hidden="1">#REF!</definedName>
    <definedName name="_Fill" localSheetId="12" hidden="1">#REF!</definedName>
    <definedName name="_Fill" localSheetId="15" hidden="1">#REF!</definedName>
    <definedName name="_Fill" localSheetId="14" hidden="1">#REF!</definedName>
    <definedName name="_Fill" localSheetId="1" hidden="1">#REF!</definedName>
    <definedName name="_Fill" localSheetId="2" hidden="1">#REF!</definedName>
    <definedName name="_Fill" localSheetId="5" hidden="1">#REF!</definedName>
    <definedName name="_Fill" hidden="1">#REF!</definedName>
    <definedName name="_xlnm._FilterDatabase" localSheetId="16" hidden="1">'01'!$A$8:$V$218</definedName>
    <definedName name="_xlnm._FilterDatabase" localSheetId="21" hidden="1">'01 (2)'!$A$8:$V$234</definedName>
    <definedName name="_xlnm._FilterDatabase" localSheetId="6" hidden="1">'Cert. Pto. 01'!$A$4:$V$46</definedName>
    <definedName name="_xlnm._FilterDatabase" localSheetId="7" hidden="1">'Cert. Pto. 02'!$B$9:$K$215</definedName>
    <definedName name="_xlnm._FilterDatabase" localSheetId="3" hidden="1">Certificados!$A$11:$H$77</definedName>
    <definedName name="_xlnm._FilterDatabase" localSheetId="15" hidden="1">'P. Costo'!$B$8:$M$234</definedName>
    <definedName name="_xlnm._FilterDatabase" localSheetId="14" hidden="1">'Preventivo Vta'!$A$8:$G$236</definedName>
    <definedName name="_xlnm._FilterDatabase" localSheetId="23" hidden="1">'TC USD MEP'!$B$5:$C$6</definedName>
    <definedName name="_GoBack" localSheetId="16">'01'!#REF!</definedName>
    <definedName name="_GoBack" localSheetId="21">'01 (2)'!#REF!</definedName>
    <definedName name="_GoBack" localSheetId="6">'Cert. Pto. 01'!#REF!</definedName>
    <definedName name="_GoBack" localSheetId="7">'Cert. Pto. 02'!#REF!</definedName>
    <definedName name="_GoBack" localSheetId="15">'P. Costo'!#REF!</definedName>
    <definedName name="_GoBack" localSheetId="14">'Preventivo Vta'!#REF!</definedName>
    <definedName name="_HJJ2" localSheetId="16">#REF!</definedName>
    <definedName name="_HJJ2" localSheetId="20">#REF!</definedName>
    <definedName name="_HJJ2">#REF!</definedName>
    <definedName name="_Key1" localSheetId="20" hidden="1">#REF!</definedName>
    <definedName name="_Key1" hidden="1">#REF!</definedName>
    <definedName name="_KH170" localSheetId="20">#REF!</definedName>
    <definedName name="_KH170">#REF!</definedName>
    <definedName name="_MatMult_A" localSheetId="16" hidden="1">#REF!</definedName>
    <definedName name="_MatMult_A" localSheetId="21" hidden="1">#REF!</definedName>
    <definedName name="_MatMult_A" localSheetId="8" hidden="1">#REF!</definedName>
    <definedName name="_MatMult_A" localSheetId="6" hidden="1">#REF!</definedName>
    <definedName name="_MatMult_A" localSheetId="7" hidden="1">#REF!</definedName>
    <definedName name="_MatMult_A" localSheetId="3" hidden="1">#REF!</definedName>
    <definedName name="_MatMult_A" localSheetId="13" hidden="1">#REF!</definedName>
    <definedName name="_MatMult_A" localSheetId="22" hidden="1">#REF!</definedName>
    <definedName name="_MatMult_A" localSheetId="4" hidden="1">#REF!</definedName>
    <definedName name="_MatMult_A" localSheetId="17" hidden="1">#REF!</definedName>
    <definedName name="_MatMult_A" localSheetId="0" hidden="1">#REF!</definedName>
    <definedName name="_MatMult_A" localSheetId="10" hidden="1">#REF!</definedName>
    <definedName name="_MatMult_A" localSheetId="11" hidden="1">#REF!</definedName>
    <definedName name="_MatMult_A" localSheetId="9" hidden="1">#REF!</definedName>
    <definedName name="_MatMult_A" localSheetId="12" hidden="1">#REF!</definedName>
    <definedName name="_MatMult_A" localSheetId="15" hidden="1">#REF!</definedName>
    <definedName name="_MatMult_A" localSheetId="14" hidden="1">#REF!</definedName>
    <definedName name="_MatMult_A" localSheetId="1" hidden="1">#REF!</definedName>
    <definedName name="_MatMult_A" localSheetId="2" hidden="1">#REF!</definedName>
    <definedName name="_MatMult_A" localSheetId="5" hidden="1">#REF!</definedName>
    <definedName name="_MatMult_A" hidden="1">#REF!</definedName>
    <definedName name="_Order1">255</definedName>
    <definedName name="_Order2">255</definedName>
    <definedName name="_prc6" localSheetId="16">#REF!</definedName>
    <definedName name="_prc6" localSheetId="20">#REF!</definedName>
    <definedName name="_prc6">#REF!</definedName>
    <definedName name="_R" localSheetId="16">#REF!</definedName>
    <definedName name="_R" localSheetId="20">#REF!</definedName>
    <definedName name="_R">#REF!</definedName>
    <definedName name="_RAN1" localSheetId="16">#REF!</definedName>
    <definedName name="_RAN1" localSheetId="20">#REF!</definedName>
    <definedName name="_RAN1">#REF!</definedName>
    <definedName name="_RAN2">#N/A</definedName>
    <definedName name="_RAN3" localSheetId="16">#REF!</definedName>
    <definedName name="_RAN3" localSheetId="20">#REF!</definedName>
    <definedName name="_RAN3">#REF!</definedName>
    <definedName name="_Sort" localSheetId="16" hidden="1">#REF!</definedName>
    <definedName name="_Sort" localSheetId="20" hidden="1">#REF!</definedName>
    <definedName name="_Sort" hidden="1">#REF!</definedName>
    <definedName name="_to11" localSheetId="16">#REF!</definedName>
    <definedName name="_to11" localSheetId="20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16">'01'!#REF!</definedName>
    <definedName name="_Toc502326724" localSheetId="21">'01 (2)'!#REF!</definedName>
    <definedName name="_Toc502326724" localSheetId="6">'Cert. Pto. 01'!#REF!</definedName>
    <definedName name="_Toc502326724" localSheetId="7">'Cert. Pto. 02'!#REF!</definedName>
    <definedName name="_Toc502326724" localSheetId="15">'P. Costo'!#REF!</definedName>
    <definedName name="_Toc502326724" localSheetId="14">'Preventivo Vta'!#REF!</definedName>
    <definedName name="_Toc502326725" localSheetId="16">'01'!#REF!</definedName>
    <definedName name="_Toc502326725" localSheetId="21">'01 (2)'!#REF!</definedName>
    <definedName name="_Toc502326725" localSheetId="6">'Cert. Pto. 01'!#REF!</definedName>
    <definedName name="_Toc502326725" localSheetId="7">'Cert. Pto. 02'!#REF!</definedName>
    <definedName name="_Toc502326725" localSheetId="15">'P. Costo'!#REF!</definedName>
    <definedName name="_Toc502326725" localSheetId="14">'Preventivo Vta'!#REF!</definedName>
    <definedName name="_Toc502326726" localSheetId="16">'01'!#REF!</definedName>
    <definedName name="_Toc502326726" localSheetId="21">'01 (2)'!#REF!</definedName>
    <definedName name="_Toc502326726" localSheetId="6">'Cert. Pto. 01'!#REF!</definedName>
    <definedName name="_Toc502326726" localSheetId="7">'Cert. Pto. 02'!#REF!</definedName>
    <definedName name="_Toc502326726" localSheetId="15">'P. Costo'!#REF!</definedName>
    <definedName name="_Toc502326726" localSheetId="14">'Preventivo Vta'!#REF!</definedName>
    <definedName name="_tu3" localSheetId="16">#REF!</definedName>
    <definedName name="_tu3" localSheetId="21">#REF!</definedName>
    <definedName name="_tu3" localSheetId="8">#REF!</definedName>
    <definedName name="_tu3" localSheetId="6">#REF!</definedName>
    <definedName name="_tu3" localSheetId="7">#REF!</definedName>
    <definedName name="_tu3" localSheetId="3">#REF!</definedName>
    <definedName name="_tu3" localSheetId="13">#REF!</definedName>
    <definedName name="_tu3" localSheetId="22">#REF!</definedName>
    <definedName name="_tu3" localSheetId="4">#REF!</definedName>
    <definedName name="_tu3" localSheetId="0">#REF!</definedName>
    <definedName name="_tu3" localSheetId="10">#REF!</definedName>
    <definedName name="_tu3" localSheetId="11">#REF!</definedName>
    <definedName name="_tu3" localSheetId="9">#REF!</definedName>
    <definedName name="_tu3" localSheetId="12">#REF!</definedName>
    <definedName name="_tu3" localSheetId="15">#REF!</definedName>
    <definedName name="_tu3" localSheetId="14">#REF!</definedName>
    <definedName name="_tu3" localSheetId="1">#REF!</definedName>
    <definedName name="_tu3" localSheetId="2">#REF!</definedName>
    <definedName name="_tu3" localSheetId="5">#REF!</definedName>
    <definedName name="_tu3">#REF!</definedName>
    <definedName name="_VS2">#REF!</definedName>
    <definedName name="_VS3">#REF!</definedName>
    <definedName name="a" localSheetId="8">#REF!</definedName>
    <definedName name="a" localSheetId="3">#REF!</definedName>
    <definedName name="a" localSheetId="13">#REF!</definedName>
    <definedName name="a" localSheetId="22">#REF!</definedName>
    <definedName name="a" localSheetId="4">#REF!</definedName>
    <definedName name="a" localSheetId="0">#REF!</definedName>
    <definedName name="A" localSheetId="20">SUM(#REF!)</definedName>
    <definedName name="a" localSheetId="10">#REF!</definedName>
    <definedName name="a" localSheetId="11">#REF!</definedName>
    <definedName name="a" localSheetId="9">#REF!</definedName>
    <definedName name="a" localSheetId="12">#REF!</definedName>
    <definedName name="a" localSheetId="1">#REF!</definedName>
    <definedName name="a" localSheetId="2">#REF!</definedName>
    <definedName name="a" localSheetId="5">#REF!</definedName>
    <definedName name="a">#REF!</definedName>
    <definedName name="A.1" localSheetId="16">#REF!</definedName>
    <definedName name="A.1" localSheetId="20">#REF!</definedName>
    <definedName name="A.1">#REF!</definedName>
    <definedName name="A.2" localSheetId="16">#REF!</definedName>
    <definedName name="A.2" localSheetId="20">#REF!</definedName>
    <definedName name="A.2">#REF!</definedName>
    <definedName name="A_impresión_IM" localSheetId="16">#REF!</definedName>
    <definedName name="A_impresión_IM" localSheetId="21">#REF!</definedName>
    <definedName name="A_impresión_IM" localSheetId="8">#REF!</definedName>
    <definedName name="A_impresión_IM" localSheetId="6">#REF!</definedName>
    <definedName name="A_impresión_IM" localSheetId="7">#REF!</definedName>
    <definedName name="A_impresión_IM" localSheetId="3">#REF!</definedName>
    <definedName name="A_impresión_IM" localSheetId="13">#REF!</definedName>
    <definedName name="A_impresión_IM" localSheetId="22">#REF!</definedName>
    <definedName name="A_impresión_IM" localSheetId="4">#REF!</definedName>
    <definedName name="A_impresión_IM" localSheetId="0">#REF!</definedName>
    <definedName name="A_impresión_IM" localSheetId="20">#REF!</definedName>
    <definedName name="A_impresión_IM" localSheetId="10">#REF!</definedName>
    <definedName name="A_impresión_IM" localSheetId="11">#REF!</definedName>
    <definedName name="A_impresión_IM" localSheetId="9">#REF!</definedName>
    <definedName name="A_impresión_IM" localSheetId="12">#REF!</definedName>
    <definedName name="A_impresión_IM" localSheetId="15">#REF!</definedName>
    <definedName name="A_impresión_IM" localSheetId="14">#REF!</definedName>
    <definedName name="A_impresión_IM" localSheetId="1">#REF!</definedName>
    <definedName name="A_impresión_IM" localSheetId="2">#REF!</definedName>
    <definedName name="A_impresión_IM" localSheetId="5">#REF!</definedName>
    <definedName name="A_impresión_IM">#REF!</definedName>
    <definedName name="ABA15A" localSheetId="16">#REF!</definedName>
    <definedName name="ABA15A" localSheetId="20">#REF!</definedName>
    <definedName name="ABA15A">#REF!</definedName>
    <definedName name="ABA15B" localSheetId="16">#REF!</definedName>
    <definedName name="ABA15B" localSheetId="20">#REF!</definedName>
    <definedName name="ABA15B">#REF!</definedName>
    <definedName name="ABELSON" localSheetId="16">#REF!</definedName>
    <definedName name="ABELSON" localSheetId="20">#REF!</definedName>
    <definedName name="ABELSON">#REF!</definedName>
    <definedName name="abr.23" localSheetId="23">'[1]Indice CAC'!#REF!</definedName>
    <definedName name="abr.23">'Indice CAC'!#REF!</definedName>
    <definedName name="abr.24">'Indice CAC'!#REF!</definedName>
    <definedName name="abr.25">'Indice CAC'!$B$6</definedName>
    <definedName name="abril23" localSheetId="23">'[1]Indice CAC'!#REF!</definedName>
    <definedName name="abril23">'Indice CAC'!#REF!</definedName>
    <definedName name="abril24">'Indice CAC'!#REF!</definedName>
    <definedName name="acdul" localSheetId="16">#REF!</definedName>
    <definedName name="acdul" localSheetId="20">#REF!</definedName>
    <definedName name="acdul">#REF!</definedName>
    <definedName name="Acero" localSheetId="16">#REF!</definedName>
    <definedName name="Acero" localSheetId="20">#REF!</definedName>
    <definedName name="Acero">#REF!</definedName>
    <definedName name="acero1200" localSheetId="16">#REF!</definedName>
    <definedName name="acero1200" localSheetId="20">#REF!</definedName>
    <definedName name="acero1200">#REF!</definedName>
    <definedName name="acesp" localSheetId="16">#REF!</definedName>
    <definedName name="acesp" localSheetId="20">#REF!</definedName>
    <definedName name="acesp">#REF!</definedName>
    <definedName name="acindec" localSheetId="16">#REF!</definedName>
    <definedName name="acindec" localSheetId="20">#REF!</definedName>
    <definedName name="acindec">#REF!</definedName>
    <definedName name="aCLaccesoreadec" localSheetId="16">#REF!</definedName>
    <definedName name="aCLaccesoreadec" localSheetId="20">#REF!</definedName>
    <definedName name="aCLaccesoreadec">#REF!</definedName>
    <definedName name="aCLacondct" localSheetId="16">#REF!</definedName>
    <definedName name="aCLacondct" localSheetId="20">#REF!</definedName>
    <definedName name="aCLacondct">#REF!</definedName>
    <definedName name="aCLalcantarilla" localSheetId="16">#REF!</definedName>
    <definedName name="aCLalcantarilla" localSheetId="20">#REF!</definedName>
    <definedName name="aCLalcantarilla">#REF!</definedName>
    <definedName name="aCLalteo" localSheetId="16">#REF!</definedName>
    <definedName name="aCLalteo" localSheetId="20">#REF!</definedName>
    <definedName name="aCLalteo">#REF!</definedName>
    <definedName name="aCLalteoreadec" localSheetId="16">#REF!</definedName>
    <definedName name="aCLalteoreadec" localSheetId="20">#REF!</definedName>
    <definedName name="aCLalteoreadec">#REF!</definedName>
    <definedName name="aclam" localSheetId="16">#REF!</definedName>
    <definedName name="aclam" localSheetId="20">#REF!</definedName>
    <definedName name="aclam">#REF!</definedName>
    <definedName name="aCLApartido" localSheetId="16">#REF!</definedName>
    <definedName name="aCLApartido" localSheetId="20">#REF!</definedName>
    <definedName name="aCLApartido">#REF!</definedName>
    <definedName name="aCLapoyos" localSheetId="20">#REF!</definedName>
    <definedName name="aCLapoyos">#REF!</definedName>
    <definedName name="aCLbacheo" localSheetId="20">#REF!</definedName>
    <definedName name="aCLbacheo">#REF!</definedName>
    <definedName name="aCLbacheosan">#REF!</definedName>
    <definedName name="aCLbandason">#REF!</definedName>
    <definedName name="aCLbanquina">#REF!</definedName>
    <definedName name="aCLbaranda" localSheetId="16">#REF!</definedName>
    <definedName name="aCLbaranda" localSheetId="20">#REF!</definedName>
    <definedName name="aCLbaranda">#REF!</definedName>
    <definedName name="aCLbase" localSheetId="16">#REF!</definedName>
    <definedName name="aCLbase" localSheetId="20">#REF!</definedName>
    <definedName name="aCLbase">#REF!</definedName>
    <definedName name="aCLcabezales" localSheetId="20">#REF!</definedName>
    <definedName name="aCLcabezales">#REF!</definedName>
    <definedName name="aCLcalzadas" localSheetId="20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 localSheetId="16">#REF!</definedName>
    <definedName name="aCLCCurareadec" localSheetId="20">#REF!</definedName>
    <definedName name="aCLCCurareadec">#REF!</definedName>
    <definedName name="aCLciclovía" localSheetId="16">#REF!</definedName>
    <definedName name="aCLciclovía" localSheetId="20">#REF!</definedName>
    <definedName name="aCLciclovía">#REF!</definedName>
    <definedName name="aCLciclovíareadec" localSheetId="16">#REF!</definedName>
    <definedName name="aCLciclovíareadec" localSheetId="20">#REF!</definedName>
    <definedName name="aCLciclovíareadec">#REF!</definedName>
    <definedName name="aCLcolumnas" localSheetId="16">#REF!</definedName>
    <definedName name="aCLcolumnas" localSheetId="20">#REF!</definedName>
    <definedName name="aCLcolumnas">#REF!</definedName>
    <definedName name="aCLcortepasto" localSheetId="20">#REF!</definedName>
    <definedName name="aCLcortepasto">#REF!</definedName>
    <definedName name="aCLdemolicion" localSheetId="20">#REF!</definedName>
    <definedName name="aCLdemolicion">#REF!</definedName>
    <definedName name="aCLdesembanque">#REF!</definedName>
    <definedName name="aCLdren" localSheetId="16">#REF!</definedName>
    <definedName name="aCLdren" localSheetId="20">#REF!</definedName>
    <definedName name="aCLdren">#REF!</definedName>
    <definedName name="aCLescarifbanq" localSheetId="16">#REF!</definedName>
    <definedName name="aCLescarifbanq" localSheetId="20">#REF!</definedName>
    <definedName name="aCLescarifbanq">#REF!</definedName>
    <definedName name="aCLescarificado" localSheetId="16">#REF!</definedName>
    <definedName name="aCLescarificado" localSheetId="20">#REF!</definedName>
    <definedName name="aCLescarificado">#REF!</definedName>
    <definedName name="aCLestribos" localSheetId="16">#REF!</definedName>
    <definedName name="aCLestribos" localSheetId="20">#REF!</definedName>
    <definedName name="aCLestribos">#REF!</definedName>
    <definedName name="aCLexcavacion" localSheetId="20">#REF!</definedName>
    <definedName name="aCLexcavacion">#REF!</definedName>
    <definedName name="aCLexcavacionreadec" localSheetId="16">#REF!</definedName>
    <definedName name="aCLexcavacionreadec" localSheetId="20">#REF!</definedName>
    <definedName name="aCLexcavacionreadec">#REF!</definedName>
    <definedName name="aCLgaviones" localSheetId="16">#REF!</definedName>
    <definedName name="aCLgaviones" localSheetId="20">#REF!</definedName>
    <definedName name="aCLgaviones">#REF!</definedName>
    <definedName name="aCLhorC" localSheetId="16">#REF!</definedName>
    <definedName name="aCLhorC" localSheetId="20">#REF!</definedName>
    <definedName name="aCLhorC">#REF!</definedName>
    <definedName name="aCLhormigon" localSheetId="16">#REF!</definedName>
    <definedName name="aCLhormigon" localSheetId="20">#REF!</definedName>
    <definedName name="aCLhormigon">#REF!</definedName>
    <definedName name="aCLimprimacion" localSheetId="16">#REF!</definedName>
    <definedName name="aCLimprimacion" localSheetId="20">#REF!</definedName>
    <definedName name="aCLimprimacion">#REF!</definedName>
    <definedName name="aCLimprimacionreadec" localSheetId="16">#REF!</definedName>
    <definedName name="aCLimprimacionreadec" localSheetId="20">#REF!</definedName>
    <definedName name="aCLimprimacionreadec">#REF!</definedName>
    <definedName name="aCLimprimrefor" localSheetId="16">#REF!</definedName>
    <definedName name="aCLimprimrefor" localSheetId="20">#REF!</definedName>
    <definedName name="aCLimprimrefor">#REF!</definedName>
    <definedName name="aCLinvernal" localSheetId="20">#REF!</definedName>
    <definedName name="aCLinvernal">#REF!</definedName>
    <definedName name="aCLjunta" localSheetId="20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 localSheetId="16">#REF!</definedName>
    <definedName name="aCLlimptransp" localSheetId="20">#REF!</definedName>
    <definedName name="aCLlimptransp">#REF!</definedName>
    <definedName name="aCLlosa" localSheetId="16">#REF!</definedName>
    <definedName name="aCLlosa" localSheetId="20">#REF!</definedName>
    <definedName name="aCLlosa">#REF!</definedName>
    <definedName name="aCLmicroaglom" localSheetId="20">#REF!</definedName>
    <definedName name="aCLmicroaglom">#REF!</definedName>
    <definedName name="aCLmicroaglomreadec" localSheetId="20">#REF!</definedName>
    <definedName name="aCLmicroaglomreadec">#REF!</definedName>
    <definedName name="aCLmicroreadec" localSheetId="16">#REF!</definedName>
    <definedName name="aCLmicroreadec" localSheetId="20">#REF!</definedName>
    <definedName name="aCLmicroreadec">#REF!</definedName>
    <definedName name="aCLmontaje" localSheetId="16">#REF!</definedName>
    <definedName name="aCLmontaje" localSheetId="20">#REF!</definedName>
    <definedName name="aCLmontaje">#REF!</definedName>
    <definedName name="aCLpasamano" localSheetId="20">#REF!</definedName>
    <definedName name="aCLpasamano">#REF!</definedName>
    <definedName name="aCLperfilado" localSheetId="16">#REF!</definedName>
    <definedName name="aCLperfilado" localSheetId="20">#REF!</definedName>
    <definedName name="aCLperfilado">#REF!</definedName>
    <definedName name="aCLpilotes" localSheetId="16">#REF!</definedName>
    <definedName name="aCLpilotes" localSheetId="20">#REF!</definedName>
    <definedName name="aCLpilotes">#REF!</definedName>
    <definedName name="aCLpintado" localSheetId="20">#REF!</definedName>
    <definedName name="aCLpintado">#REF!</definedName>
    <definedName name="aCLpretiles" localSheetId="20">#REF!</definedName>
    <definedName name="aCLpretiles">#REF!</definedName>
    <definedName name="aCLpretilesreadec" localSheetId="16">#REF!</definedName>
    <definedName name="aCLpretilesreadec" localSheetId="20">#REF!</definedName>
    <definedName name="aCLpretilesreadec">#REF!</definedName>
    <definedName name="aCLprolongacion" localSheetId="16">#REF!</definedName>
    <definedName name="aCLprolongacion" localSheetId="20">#REF!</definedName>
    <definedName name="aCLprolongacion">#REF!</definedName>
    <definedName name="aCLproteccion" localSheetId="20">#REF!</definedName>
    <definedName name="aCLproteccion">#REF!</definedName>
    <definedName name="aCLrelleno" localSheetId="20">#REF!</definedName>
    <definedName name="aCLrelleno">#REF!</definedName>
    <definedName name="aCLrellenoreadec" localSheetId="16">#REF!</definedName>
    <definedName name="aCLrellenoreadec" localSheetId="20">#REF!</definedName>
    <definedName name="aCLrellenoreadec">#REF!</definedName>
    <definedName name="aCLrep8026" localSheetId="16">#REF!</definedName>
    <definedName name="aCLrep8026" localSheetId="20">#REF!</definedName>
    <definedName name="aCLrep8026">#REF!</definedName>
    <definedName name="aCLrep8026readec" localSheetId="16">#REF!</definedName>
    <definedName name="aCLrep8026readec" localSheetId="20">#REF!</definedName>
    <definedName name="aCLrep8026readec">#REF!</definedName>
    <definedName name="aCLrepalc" localSheetId="16">#REF!</definedName>
    <definedName name="aCLrepalc" localSheetId="20">#REF!</definedName>
    <definedName name="aCLrepalc">#REF!</definedName>
    <definedName name="aCLrestdrenaje" localSheetId="16">#REF!</definedName>
    <definedName name="aCLrestdrenaje" localSheetId="20">#REF!</definedName>
    <definedName name="aCLrestdrenaje">#REF!</definedName>
    <definedName name="aCLretderrumbe" localSheetId="16">#REF!</definedName>
    <definedName name="aCLretderrumbe" localSheetId="20">#REF!</definedName>
    <definedName name="aCLretderrumbe">#REF!</definedName>
    <definedName name="aCLretrecolbaranda" localSheetId="16">#REF!</definedName>
    <definedName name="aCLretrecolbaranda" localSheetId="20">#REF!</definedName>
    <definedName name="aCLretrecolbaranda">#REF!</definedName>
    <definedName name="aCLRHermoso" localSheetId="16">#REF!</definedName>
    <definedName name="aCLRHermoso" localSheetId="20">#REF!</definedName>
    <definedName name="aCLRHermoso">#REF!</definedName>
    <definedName name="aCLRHermosoreadec" localSheetId="16">#REF!</definedName>
    <definedName name="aCLRHermosoreadec" localSheetId="20">#REF!</definedName>
    <definedName name="aCLRHermosoreadec">#REF!</definedName>
    <definedName name="aCLriego" localSheetId="16">#REF!</definedName>
    <definedName name="aCLriego" localSheetId="20">#REF!</definedName>
    <definedName name="aCLriego">#REF!</definedName>
    <definedName name="aCLrotondas" localSheetId="20">#REF!</definedName>
    <definedName name="aCLrotondas">#REF!</definedName>
    <definedName name="aCLsandef" localSheetId="16">#REF!</definedName>
    <definedName name="aCLsandef" localSheetId="20">#REF!</definedName>
    <definedName name="aCLsandef">#REF!</definedName>
    <definedName name="aCLsellado" localSheetId="16">#REF!</definedName>
    <definedName name="aCLsellado" localSheetId="20">#REF!</definedName>
    <definedName name="aCLsellado">#REF!</definedName>
    <definedName name="aCLsenda" localSheetId="20">#REF!</definedName>
    <definedName name="aCLsenda">#REF!</definedName>
    <definedName name="aCLsendareadec" localSheetId="16">#REF!</definedName>
    <definedName name="aCLsendareadec" localSheetId="20">#REF!</definedName>
    <definedName name="aCLsendareadec">#REF!</definedName>
    <definedName name="aCLseñalamiento" localSheetId="16">#REF!</definedName>
    <definedName name="aCLseñalamiento" localSheetId="20">#REF!</definedName>
    <definedName name="aCLseñalamiento">#REF!</definedName>
    <definedName name="aCLseñalextrusion" localSheetId="20">#REF!</definedName>
    <definedName name="aCLseñalextrusion">#REF!</definedName>
    <definedName name="aCLseñalizacion" localSheetId="20">#REF!</definedName>
    <definedName name="aCLseñalizacion">#REF!</definedName>
    <definedName name="aCLseñalvertreadec" localSheetId="16">#REF!</definedName>
    <definedName name="aCLseñalvertreadec" localSheetId="20">#REF!</definedName>
    <definedName name="aCLseñalvertreadec">#REF!</definedName>
    <definedName name="aCLsistdren1071" localSheetId="16">#REF!</definedName>
    <definedName name="aCLsistdren1071" localSheetId="20">#REF!</definedName>
    <definedName name="aCLsistdren1071">#REF!</definedName>
    <definedName name="aCLsubbase" localSheetId="20">#REF!</definedName>
    <definedName name="aCLsubbase">#REF!</definedName>
    <definedName name="aCLterraplen" localSheetId="16">#REF!</definedName>
    <definedName name="aCLterraplen" localSheetId="20">#REF!</definedName>
    <definedName name="aCLterraplen">#REF!</definedName>
    <definedName name="aCLterrapreadec" localSheetId="16">#REF!</definedName>
    <definedName name="aCLterrapreadec" localSheetId="20">#REF!</definedName>
    <definedName name="aCLterrapreadec">#REF!</definedName>
    <definedName name="aCLterrsincomp" localSheetId="16">#REF!</definedName>
    <definedName name="aCLterrsincomp" localSheetId="20">#REF!</definedName>
    <definedName name="aCLterrsincomp">#REF!</definedName>
    <definedName name="aCLtravesia" localSheetId="20">#REF!</definedName>
    <definedName name="aCLtravesia">#REF!</definedName>
    <definedName name="aCLvigas" localSheetId="20">#REF!</definedName>
    <definedName name="aCLvigas">#REF!</definedName>
    <definedName name="ACTUAL">#REF!</definedName>
    <definedName name="ACUEDUCTO_A_LOS_FRENTONES_Y_H._CAMPO" localSheetId="16">#REF!</definedName>
    <definedName name="ACUEDUCTO_A_LOS_FRENTONES_Y_H._CAMPO" localSheetId="20">#REF!</definedName>
    <definedName name="ACUEDUCTO_A_LOS_FRENTONES_Y_H._CAMPO">#REF!</definedName>
    <definedName name="ACUEDUCTO_A_PAMPA_DEL_INDIO" localSheetId="20">#REF!</definedName>
    <definedName name="ACUEDUCTO_A_PAMPA_DEL_INDIO">#REF!</definedName>
    <definedName name="ACUEDUCTO_A_S._SYLVINA_Y_v._BERTHET" localSheetId="20">#REF!</definedName>
    <definedName name="ACUEDUCTO_A_S._SYLVINA_Y_v._BERTHET">#REF!</definedName>
    <definedName name="ACUMULADA">#REF!</definedName>
    <definedName name="ACUMULADO" localSheetId="16">#REF!</definedName>
    <definedName name="ACUMULADO" localSheetId="20">#REF!</definedName>
    <definedName name="ACUMULADO">#REF!</definedName>
    <definedName name="Adecuación" localSheetId="16">L2C1:L372C15</definedName>
    <definedName name="Adecuación" localSheetId="21">L2C1:L372C15</definedName>
    <definedName name="Adecuación" localSheetId="19">L2C1:L372C15</definedName>
    <definedName name="Adecuación" localSheetId="6">L2C1:L372C15</definedName>
    <definedName name="Adecuación" localSheetId="7">L2C1:L372C15</definedName>
    <definedName name="Adecuación" localSheetId="3">L2C1:L372C15</definedName>
    <definedName name="Adecuación" localSheetId="22">L2C1:L372C15</definedName>
    <definedName name="Adecuación" localSheetId="17">L2C1:L372C15</definedName>
    <definedName name="Adecuación" localSheetId="20">L2C1:L372C15</definedName>
    <definedName name="Adecuación" localSheetId="10">L2C1:L372C15</definedName>
    <definedName name="Adecuación" localSheetId="11">L2C1:L372C15</definedName>
    <definedName name="Adecuación" localSheetId="12">L2C1:L372C15</definedName>
    <definedName name="Adecuación" localSheetId="15">L2C1:L372C15</definedName>
    <definedName name="Adecuación" localSheetId="14">L2C1:L372C15</definedName>
    <definedName name="Adecuación" localSheetId="2">L2C1:L372C15</definedName>
    <definedName name="Adecuación" localSheetId="5">L2C1:L372C15</definedName>
    <definedName name="Adecuación" localSheetId="23">L2C1:L372C15</definedName>
    <definedName name="Adecuación">L2C1:L372C15</definedName>
    <definedName name="ADICT" localSheetId="16">#REF!</definedName>
    <definedName name="ADICT" localSheetId="20">#REF!</definedName>
    <definedName name="ADICT">#REF!</definedName>
    <definedName name="ADICT1" localSheetId="20">#REF!</definedName>
    <definedName name="ADICT1">#REF!</definedName>
    <definedName name="aeir" localSheetId="16">#REF!</definedName>
    <definedName name="aeir" localSheetId="20">#REF!</definedName>
    <definedName name="aeir">#REF!</definedName>
    <definedName name="ago.22" localSheetId="23">'[1]Indice CAC'!#REF!</definedName>
    <definedName name="ago.22">'Indice CAC'!#REF!</definedName>
    <definedName name="ago.23" localSheetId="23">'[1]Indice CAC'!#REF!</definedName>
    <definedName name="ago.23">'Indice CAC'!#REF!</definedName>
    <definedName name="ago.24">'Indice CAC'!#REF!</definedName>
    <definedName name="agos22" localSheetId="23">'[1]Indice CAC'!#REF!</definedName>
    <definedName name="agos22">'Indice CAC'!#REF!</definedName>
    <definedName name="agos23" localSheetId="23">'[1]Indice CAC'!#REF!</definedName>
    <definedName name="agos23">'Indice CAC'!#REF!</definedName>
    <definedName name="agos24">'Indice CAC'!#REF!</definedName>
    <definedName name="AIML" localSheetId="16">#REF!</definedName>
    <definedName name="AIML" localSheetId="3">#REF!</definedName>
    <definedName name="AIML" localSheetId="13">#REF!</definedName>
    <definedName name="AIML" localSheetId="22">#REF!</definedName>
    <definedName name="AIML" localSheetId="4">#REF!</definedName>
    <definedName name="AIML" localSheetId="17">#REF!</definedName>
    <definedName name="AIML" localSheetId="0">#REF!</definedName>
    <definedName name="AIML" localSheetId="20">#REF!</definedName>
    <definedName name="AIML">#REF!</definedName>
    <definedName name="AISS" localSheetId="16">#REF!</definedName>
    <definedName name="AISS" localSheetId="3">#REF!</definedName>
    <definedName name="AISS" localSheetId="22">#REF!</definedName>
    <definedName name="AISS" localSheetId="4">#REF!</definedName>
    <definedName name="AISS" localSheetId="17">#REF!</definedName>
    <definedName name="AISS" localSheetId="0">#REF!</definedName>
    <definedName name="AISS" localSheetId="20">#REF!</definedName>
    <definedName name="AISS">#REF!</definedName>
    <definedName name="ALFA" localSheetId="16">#REF!</definedName>
    <definedName name="ALFA" localSheetId="20">#REF!</definedName>
    <definedName name="ALFA">#REF!</definedName>
    <definedName name="alfa_s" localSheetId="16">#REF!</definedName>
    <definedName name="alfa_s" localSheetId="20">#REF!</definedName>
    <definedName name="alfa_s">#REF!</definedName>
    <definedName name="alfa_s_c" localSheetId="16">#REF!</definedName>
    <definedName name="alfa_s_c" localSheetId="20">#REF!</definedName>
    <definedName name="alfa_s_c">#REF!</definedName>
    <definedName name="ALTR" localSheetId="16">#REF!</definedName>
    <definedName name="ALTR" localSheetId="17">#REF!</definedName>
    <definedName name="ALTR" localSheetId="0">#REF!</definedName>
    <definedName name="ALTR" localSheetId="20">#REF!</definedName>
    <definedName name="ALTR">#REF!</definedName>
    <definedName name="am1cañodren" localSheetId="16">#REF!</definedName>
    <definedName name="am1cañodren" localSheetId="20">#REF!</definedName>
    <definedName name="am1cañodren">#REF!</definedName>
    <definedName name="am1cemento" localSheetId="20">#REF!</definedName>
    <definedName name="am1cemento">#REF!</definedName>
    <definedName name="am1hierro" localSheetId="20">#REF!</definedName>
    <definedName name="am1hierro">#REF!</definedName>
    <definedName name="aMacceso">#REF!</definedName>
    <definedName name="aMaccesoreadec" localSheetId="16">#REF!</definedName>
    <definedName name="aMaccesoreadec" localSheetId="20">#REF!</definedName>
    <definedName name="aMaccesoreadec">#REF!</definedName>
    <definedName name="aMacondct" localSheetId="16">#REF!</definedName>
    <definedName name="aMacondct" localSheetId="20">#REF!</definedName>
    <definedName name="aMacondct">#REF!</definedName>
    <definedName name="aMalcantarilla" localSheetId="16">#REF!</definedName>
    <definedName name="aMalcantarilla" localSheetId="20">#REF!</definedName>
    <definedName name="aMalcantarilla">#REF!</definedName>
    <definedName name="aMalteo" localSheetId="16">#REF!</definedName>
    <definedName name="aMalteo" localSheetId="20">#REF!</definedName>
    <definedName name="aMalteo">#REF!</definedName>
    <definedName name="aMalteoreadec" localSheetId="16">#REF!</definedName>
    <definedName name="aMalteoreadec" localSheetId="20">#REF!</definedName>
    <definedName name="aMalteoreadec">#REF!</definedName>
    <definedName name="aMApartido" localSheetId="16">#REF!</definedName>
    <definedName name="aMApartido" localSheetId="20">#REF!</definedName>
    <definedName name="aMApartido">#REF!</definedName>
    <definedName name="aMapoyos" localSheetId="20">#REF!</definedName>
    <definedName name="aMapoyos">#REF!</definedName>
    <definedName name="aMbacheo" localSheetId="20">#REF!</definedName>
    <definedName name="aMbacheo">#REF!</definedName>
    <definedName name="aMbacheosan">#REF!</definedName>
    <definedName name="aMbandason">#REF!</definedName>
    <definedName name="aMbanquina">#REF!</definedName>
    <definedName name="aMbaranda" localSheetId="16">#REF!</definedName>
    <definedName name="aMbaranda" localSheetId="20">#REF!</definedName>
    <definedName name="aMbaranda">#REF!</definedName>
    <definedName name="aMbase" localSheetId="16">#REF!</definedName>
    <definedName name="aMbase" localSheetId="20">#REF!</definedName>
    <definedName name="aMbase">#REF!</definedName>
    <definedName name="aMcabezales" localSheetId="20">#REF!</definedName>
    <definedName name="aMcabezales">#REF!</definedName>
    <definedName name="aMcalzadas" localSheetId="20">#REF!</definedName>
    <definedName name="aMcalzadas">#REF!</definedName>
    <definedName name="aMcarpeta">#REF!</definedName>
    <definedName name="aMcarpetariego">#REF!</definedName>
    <definedName name="aMCCura">#REF!</definedName>
    <definedName name="aMCCurareadec" localSheetId="16">#REF!</definedName>
    <definedName name="aMCCurareadec" localSheetId="20">#REF!</definedName>
    <definedName name="aMCCurareadec">#REF!</definedName>
    <definedName name="aMciclovía" localSheetId="16">#REF!</definedName>
    <definedName name="aMciclovía" localSheetId="20">#REF!</definedName>
    <definedName name="aMciclovía">#REF!</definedName>
    <definedName name="aMciclovíareadec" localSheetId="16">#REF!</definedName>
    <definedName name="aMciclovíareadec" localSheetId="20">#REF!</definedName>
    <definedName name="aMciclovíareadec">#REF!</definedName>
    <definedName name="aMcolumnas" localSheetId="16">#REF!</definedName>
    <definedName name="aMcolumnas" localSheetId="20">#REF!</definedName>
    <definedName name="aMcolumnas">#REF!</definedName>
    <definedName name="aMcortepasto" localSheetId="20">#REF!</definedName>
    <definedName name="aMcortepasto">#REF!</definedName>
    <definedName name="aMdemolicion" localSheetId="20">#REF!</definedName>
    <definedName name="aMdemolicion">#REF!</definedName>
    <definedName name="aMdesembanque">#REF!</definedName>
    <definedName name="aMdren" localSheetId="16">#REF!</definedName>
    <definedName name="aMdren" localSheetId="20">#REF!</definedName>
    <definedName name="aMdren">#REF!</definedName>
    <definedName name="AMEA" localSheetId="16">#REF!</definedName>
    <definedName name="AMEA" localSheetId="17">#REF!</definedName>
    <definedName name="AMEA" localSheetId="0">#REF!</definedName>
    <definedName name="AMEA" localSheetId="20">#REF!</definedName>
    <definedName name="AMEA">#REF!</definedName>
    <definedName name="aMEacceso" localSheetId="16">#REF!</definedName>
    <definedName name="aMEacceso" localSheetId="20">#REF!</definedName>
    <definedName name="aMEacceso">#REF!</definedName>
    <definedName name="aMEaccesoreadec" localSheetId="16">#REF!</definedName>
    <definedName name="aMEaccesoreadec" localSheetId="20">#REF!</definedName>
    <definedName name="aMEaccesoreadec">#REF!</definedName>
    <definedName name="aMEacondct" localSheetId="16">#REF!</definedName>
    <definedName name="aMEacondct" localSheetId="20">#REF!</definedName>
    <definedName name="aMEacondct">#REF!</definedName>
    <definedName name="aMEalcantarilla" localSheetId="16">#REF!</definedName>
    <definedName name="aMEalcantarilla" localSheetId="20">#REF!</definedName>
    <definedName name="aMEalcantarilla">#REF!</definedName>
    <definedName name="aMEalteo" localSheetId="16">#REF!</definedName>
    <definedName name="aMEalteo" localSheetId="20">#REF!</definedName>
    <definedName name="aMEalteo">#REF!</definedName>
    <definedName name="aMEalteoreadec" localSheetId="16">#REF!</definedName>
    <definedName name="aMEalteoreadec" localSheetId="20">#REF!</definedName>
    <definedName name="aMEalteoreadec">#REF!</definedName>
    <definedName name="aMEApartido" localSheetId="16">#REF!</definedName>
    <definedName name="aMEApartido" localSheetId="20">#REF!</definedName>
    <definedName name="aMEApartido">#REF!</definedName>
    <definedName name="aMEapoyos" localSheetId="20">#REF!</definedName>
    <definedName name="aMEapoyos">#REF!</definedName>
    <definedName name="aMEbacheo" localSheetId="20">#REF!</definedName>
    <definedName name="aMEbacheo">#REF!</definedName>
    <definedName name="aMEbacheosan">#REF!</definedName>
    <definedName name="aMEbandason">#REF!</definedName>
    <definedName name="aMEbanquina">#REF!</definedName>
    <definedName name="aMEbaranda" localSheetId="16">#REF!</definedName>
    <definedName name="aMEbaranda" localSheetId="20">#REF!</definedName>
    <definedName name="aMEbaranda">#REF!</definedName>
    <definedName name="AMEC" localSheetId="16">#REF!</definedName>
    <definedName name="AMEC" localSheetId="0">#REF!</definedName>
    <definedName name="AMEC" localSheetId="20">#REF!</definedName>
    <definedName name="AMEC">#REF!</definedName>
    <definedName name="aMEcabezales" localSheetId="16">#REF!</definedName>
    <definedName name="aMEcabezales" localSheetId="20">#REF!</definedName>
    <definedName name="aMEcabezales">#REF!</definedName>
    <definedName name="aMEcalzadas" localSheetId="20">#REF!</definedName>
    <definedName name="aMEcalzadas">#REF!</definedName>
    <definedName name="aMEcarpeta" localSheetId="20">#REF!</definedName>
    <definedName name="aMEcarpeta">#REF!</definedName>
    <definedName name="aMEcarpetariego">#REF!</definedName>
    <definedName name="aMECCura">#REF!</definedName>
    <definedName name="aMECCurareadec" localSheetId="16">#REF!</definedName>
    <definedName name="aMECCurareadec" localSheetId="20">#REF!</definedName>
    <definedName name="aMECCurareadec">#REF!</definedName>
    <definedName name="aMEciclovía" localSheetId="16">#REF!</definedName>
    <definedName name="aMEciclovía" localSheetId="20">#REF!</definedName>
    <definedName name="aMEciclovía">#REF!</definedName>
    <definedName name="aMEciclovíareadec" localSheetId="16">#REF!</definedName>
    <definedName name="aMEciclovíareadec" localSheetId="20">#REF!</definedName>
    <definedName name="aMEciclovíareadec">#REF!</definedName>
    <definedName name="AMECL" localSheetId="16">#REF!</definedName>
    <definedName name="AMECL" localSheetId="0">#REF!</definedName>
    <definedName name="AMECL" localSheetId="20">#REF!</definedName>
    <definedName name="AMECL">#REF!</definedName>
    <definedName name="aMEcolumnas" localSheetId="16">#REF!</definedName>
    <definedName name="aMEcolumnas" localSheetId="20">#REF!</definedName>
    <definedName name="aMEcolumnas">#REF!</definedName>
    <definedName name="aMEcortepasto" localSheetId="20">#REF!</definedName>
    <definedName name="aMEcortepasto">#REF!</definedName>
    <definedName name="AMECT" localSheetId="16">#REF!</definedName>
    <definedName name="AMECT" localSheetId="0">#REF!</definedName>
    <definedName name="AMECT" localSheetId="20">#REF!</definedName>
    <definedName name="AMECT">#REF!</definedName>
    <definedName name="aMEdemolicion" localSheetId="16">#REF!</definedName>
    <definedName name="aMEdemolicion" localSheetId="20">#REF!</definedName>
    <definedName name="aMEdemolicion">#REF!</definedName>
    <definedName name="aMEdesembanque" localSheetId="20">#REF!</definedName>
    <definedName name="aMEdesembanque">#REF!</definedName>
    <definedName name="aMEdren" localSheetId="16">#REF!</definedName>
    <definedName name="aMEdren" localSheetId="20">#REF!</definedName>
    <definedName name="aMEdren">#REF!</definedName>
    <definedName name="AMEE" localSheetId="16">#REF!</definedName>
    <definedName name="AMEE" localSheetId="0">#REF!</definedName>
    <definedName name="AMEE" localSheetId="20">#REF!</definedName>
    <definedName name="AMEE">#REF!</definedName>
    <definedName name="aMEescarifbanq" localSheetId="16">#REF!</definedName>
    <definedName name="aMEescarifbanq" localSheetId="20">#REF!</definedName>
    <definedName name="aMEescarifbanq">#REF!</definedName>
    <definedName name="aMEescarificado" localSheetId="20">#REF!</definedName>
    <definedName name="aMEescarificado">#REF!</definedName>
    <definedName name="aMEescarificadoreadec" localSheetId="16">#REF!</definedName>
    <definedName name="aMEescarificadoreadec" localSheetId="20">#REF!</definedName>
    <definedName name="aMEescarificadoreadec">#REF!</definedName>
    <definedName name="aMEestribos" localSheetId="16">#REF!</definedName>
    <definedName name="aMEestribos" localSheetId="20">#REF!</definedName>
    <definedName name="aMEestribos">#REF!</definedName>
    <definedName name="aMEexcavacion" localSheetId="20">#REF!</definedName>
    <definedName name="aMEexcavacion">#REF!</definedName>
    <definedName name="aMEexcavacionreadec" localSheetId="16">#REF!</definedName>
    <definedName name="aMEexcavacionreadec" localSheetId="20">#REF!</definedName>
    <definedName name="aMEexcavacionreadec">#REF!</definedName>
    <definedName name="AMEF" localSheetId="16">#REF!</definedName>
    <definedName name="AMEF" localSheetId="0">#REF!</definedName>
    <definedName name="AMEF" localSheetId="20">#REF!</definedName>
    <definedName name="AMEF">#REF!</definedName>
    <definedName name="AMEG" localSheetId="16">#REF!</definedName>
    <definedName name="AMEG" localSheetId="0">#REF!</definedName>
    <definedName name="AMEG" localSheetId="20">#REF!</definedName>
    <definedName name="AMEG">#REF!</definedName>
    <definedName name="aMEgaviones" localSheetId="16">#REF!</definedName>
    <definedName name="aMEgaviones" localSheetId="20">#REF!</definedName>
    <definedName name="aMEgaviones">#REF!</definedName>
    <definedName name="aMEHermosoreadec" localSheetId="16">#REF!</definedName>
    <definedName name="aMEHermosoreadec" localSheetId="20">#REF!</definedName>
    <definedName name="aMEHermosoreadec">#REF!</definedName>
    <definedName name="aMEhorC" localSheetId="16">#REF!</definedName>
    <definedName name="aMEhorC" localSheetId="20">#REF!</definedName>
    <definedName name="aMEhorC">#REF!</definedName>
    <definedName name="aMEhormigon" localSheetId="16">#REF!</definedName>
    <definedName name="aMEhormigon" localSheetId="20">#REF!</definedName>
    <definedName name="aMEhormigon">#REF!</definedName>
    <definedName name="aMEimprimacion" localSheetId="16">#REF!</definedName>
    <definedName name="aMEimprimacion" localSheetId="20">#REF!</definedName>
    <definedName name="aMEimprimacion">#REF!</definedName>
    <definedName name="aMEimprimacionreadec" localSheetId="16">#REF!</definedName>
    <definedName name="aMEimprimacionreadec" localSheetId="20">#REF!</definedName>
    <definedName name="aMEimprimacionreadec">#REF!</definedName>
    <definedName name="aMEimprimrefor" localSheetId="16">#REF!</definedName>
    <definedName name="aMEimprimrefor" localSheetId="20">#REF!</definedName>
    <definedName name="aMEimprimrefor">#REF!</definedName>
    <definedName name="aMEinvernal" localSheetId="20">#REF!</definedName>
    <definedName name="aMEinvernal">#REF!</definedName>
    <definedName name="aMEjunta" localSheetId="20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 localSheetId="16">#REF!</definedName>
    <definedName name="aMElimptransp" localSheetId="20">#REF!</definedName>
    <definedName name="aMElimptransp">#REF!</definedName>
    <definedName name="aMElosa" localSheetId="16">#REF!</definedName>
    <definedName name="aMElosa" localSheetId="20">#REF!</definedName>
    <definedName name="aMElosa">#REF!</definedName>
    <definedName name="aMEmicroaglom" localSheetId="20">#REF!</definedName>
    <definedName name="aMEmicroaglom">#REF!</definedName>
    <definedName name="aMEmicroaglomreadec" localSheetId="20">#REF!</definedName>
    <definedName name="aMEmicroaglomreadec">#REF!</definedName>
    <definedName name="aMEmicroreadec" localSheetId="16">#REF!</definedName>
    <definedName name="aMEmicroreadec" localSheetId="20">#REF!</definedName>
    <definedName name="aMEmicroreadec">#REF!</definedName>
    <definedName name="aMEmontaje" localSheetId="16">#REF!</definedName>
    <definedName name="aMEmontaje" localSheetId="20">#REF!</definedName>
    <definedName name="aMEmontaje">#REF!</definedName>
    <definedName name="aMEpasamano" localSheetId="20">#REF!</definedName>
    <definedName name="aMEpasamano">#REF!</definedName>
    <definedName name="aMEperfilado" localSheetId="16">#REF!</definedName>
    <definedName name="aMEperfilado" localSheetId="20">#REF!</definedName>
    <definedName name="aMEperfilado">#REF!</definedName>
    <definedName name="aMEpilotes" localSheetId="16">#REF!</definedName>
    <definedName name="aMEpilotes" localSheetId="20">#REF!</definedName>
    <definedName name="aMEpilotes">#REF!</definedName>
    <definedName name="aMEpintado" localSheetId="20">#REF!</definedName>
    <definedName name="aMEpintado">#REF!</definedName>
    <definedName name="aMEpretiles" localSheetId="20">#REF!</definedName>
    <definedName name="aMEpretiles">#REF!</definedName>
    <definedName name="aMEpretilesreadec" localSheetId="16">#REF!</definedName>
    <definedName name="aMEpretilesreadec" localSheetId="20">#REF!</definedName>
    <definedName name="aMEpretilesreadec">#REF!</definedName>
    <definedName name="aMEprolongacion" localSheetId="16">#REF!</definedName>
    <definedName name="aMEprolongacion" localSheetId="20">#REF!</definedName>
    <definedName name="aMEprolongacion">#REF!</definedName>
    <definedName name="aMEprolongacionreadec" localSheetId="16">#REF!</definedName>
    <definedName name="aMEprolongacionreadec" localSheetId="20">#REF!</definedName>
    <definedName name="aMEprolongacionreadec">#REF!</definedName>
    <definedName name="aMEproteccion" localSheetId="16">#REF!</definedName>
    <definedName name="aMEproteccion" localSheetId="20">#REF!</definedName>
    <definedName name="aMEproteccion">#REF!</definedName>
    <definedName name="aMErelleno" localSheetId="20">#REF!</definedName>
    <definedName name="aMErelleno">#REF!</definedName>
    <definedName name="aMErellenoreadec" localSheetId="16">#REF!</definedName>
    <definedName name="aMErellenoreadec" localSheetId="20">#REF!</definedName>
    <definedName name="aMErellenoreadec">#REF!</definedName>
    <definedName name="aMErep8026" localSheetId="16">#REF!</definedName>
    <definedName name="aMErep8026" localSheetId="20">#REF!</definedName>
    <definedName name="aMErep8026">#REF!</definedName>
    <definedName name="aMErep8026readec" localSheetId="16">#REF!</definedName>
    <definedName name="aMErep8026readec" localSheetId="20">#REF!</definedName>
    <definedName name="aMErep8026readec">#REF!</definedName>
    <definedName name="aMErepalc" localSheetId="16">#REF!</definedName>
    <definedName name="aMErepalc" localSheetId="20">#REF!</definedName>
    <definedName name="aMErepalc">#REF!</definedName>
    <definedName name="aMErestdrenaje" localSheetId="16">#REF!</definedName>
    <definedName name="aMErestdrenaje" localSheetId="20">#REF!</definedName>
    <definedName name="aMErestdrenaje">#REF!</definedName>
    <definedName name="aMErestdrenajereadec" localSheetId="16">#REF!</definedName>
    <definedName name="aMErestdrenajereadec" localSheetId="20">#REF!</definedName>
    <definedName name="aMErestdrenajereadec">#REF!</definedName>
    <definedName name="aMEretderrumbe" localSheetId="16">#REF!</definedName>
    <definedName name="aMEretderrumbe" localSheetId="20">#REF!</definedName>
    <definedName name="aMEretderrumbe">#REF!</definedName>
    <definedName name="aMEretrecolbaranda" localSheetId="16">#REF!</definedName>
    <definedName name="aMEretrecolbaranda" localSheetId="20">#REF!</definedName>
    <definedName name="aMEretrecolbaranda">#REF!</definedName>
    <definedName name="aMERHermoso" localSheetId="16">#REF!</definedName>
    <definedName name="aMERHermoso" localSheetId="20">#REF!</definedName>
    <definedName name="aMERHermoso">#REF!</definedName>
    <definedName name="aMEriego" localSheetId="20">#REF!</definedName>
    <definedName name="aMEriego">#REF!</definedName>
    <definedName name="aMErotondas" localSheetId="20">#REF!</definedName>
    <definedName name="aMErotondas">#REF!</definedName>
    <definedName name="aMEsandef" localSheetId="16">#REF!</definedName>
    <definedName name="aMEsandef" localSheetId="20">#REF!</definedName>
    <definedName name="aMEsandef">#REF!</definedName>
    <definedName name="aMescarifbanq" localSheetId="16">#REF!</definedName>
    <definedName name="aMescarifbanq" localSheetId="20">#REF!</definedName>
    <definedName name="aMescarifbanq">#REF!</definedName>
    <definedName name="aMescarificado" localSheetId="20">#REF!</definedName>
    <definedName name="aMescarificado">#REF!</definedName>
    <definedName name="aMEsellado" localSheetId="20">#REF!</definedName>
    <definedName name="aMEsellado">#REF!</definedName>
    <definedName name="aMEsenda">#REF!</definedName>
    <definedName name="aMEsendareadec" localSheetId="16">#REF!</definedName>
    <definedName name="aMEsendareadec" localSheetId="20">#REF!</definedName>
    <definedName name="aMEsendareadec">#REF!</definedName>
    <definedName name="aMEseñalamiento" localSheetId="16">#REF!</definedName>
    <definedName name="aMEseñalamiento" localSheetId="20">#REF!</definedName>
    <definedName name="aMEseñalamiento">#REF!</definedName>
    <definedName name="aMEseñalamientoreadec" localSheetId="16">#REF!</definedName>
    <definedName name="aMEseñalamientoreadec" localSheetId="20">#REF!</definedName>
    <definedName name="aMEseñalamientoreadec">#REF!</definedName>
    <definedName name="aMEseñalextrusion" localSheetId="16">#REF!</definedName>
    <definedName name="aMEseñalextrusion" localSheetId="20">#REF!</definedName>
    <definedName name="aMEseñalextrusion">#REF!</definedName>
    <definedName name="aMEseñalextrusionreadec" localSheetId="16">#REF!</definedName>
    <definedName name="aMEseñalextrusionreadec" localSheetId="20">#REF!</definedName>
    <definedName name="aMEseñalextrusionreadec">#REF!</definedName>
    <definedName name="aMEseñalizacion" localSheetId="16">#REF!</definedName>
    <definedName name="aMEseñalizacion" localSheetId="20">#REF!</definedName>
    <definedName name="aMEseñalizacion">#REF!</definedName>
    <definedName name="aMEseñalizacionreadec" localSheetId="16">#REF!</definedName>
    <definedName name="aMEseñalizacionreadec" localSheetId="20">#REF!</definedName>
    <definedName name="aMEseñalizacionreadec">#REF!</definedName>
    <definedName name="aMEseñalvertreadec" localSheetId="16">#REF!</definedName>
    <definedName name="aMEseñalvertreadec" localSheetId="20">#REF!</definedName>
    <definedName name="aMEseñalvertreadec">#REF!</definedName>
    <definedName name="aMEsistdren1071" localSheetId="16">#REF!</definedName>
    <definedName name="aMEsistdren1071" localSheetId="20">#REF!</definedName>
    <definedName name="aMEsistdren1071">#REF!</definedName>
    <definedName name="aMestribos" localSheetId="20">#REF!</definedName>
    <definedName name="aMestribos">#REF!</definedName>
    <definedName name="aMEsubbase" localSheetId="20">#REF!</definedName>
    <definedName name="aMEsubbase">#REF!</definedName>
    <definedName name="aMEterraplen" localSheetId="16">#REF!</definedName>
    <definedName name="aMEterraplen" localSheetId="20">#REF!</definedName>
    <definedName name="aMEterraplen">#REF!</definedName>
    <definedName name="aMEterrapreadec" localSheetId="16">#REF!</definedName>
    <definedName name="aMEterrapreadec" localSheetId="20">#REF!</definedName>
    <definedName name="aMEterrapreadec">#REF!</definedName>
    <definedName name="aMEterrsincomp" localSheetId="16">#REF!</definedName>
    <definedName name="aMEterrsincomp" localSheetId="20">#REF!</definedName>
    <definedName name="aMEterrsincomp">#REF!</definedName>
    <definedName name="aMEtravesia" localSheetId="20">#REF!</definedName>
    <definedName name="aMEtravesia">#REF!</definedName>
    <definedName name="aMEvigas" localSheetId="20">#REF!</definedName>
    <definedName name="aMEvigas">#REF!</definedName>
    <definedName name="aMexcavacion">#REF!</definedName>
    <definedName name="aMexcavacionreadec" localSheetId="16">#REF!</definedName>
    <definedName name="aMexcavacionreadec" localSheetId="20">#REF!</definedName>
    <definedName name="aMexcavacionreadec">#REF!</definedName>
    <definedName name="aMgaviones" localSheetId="16">#REF!</definedName>
    <definedName name="aMgaviones" localSheetId="20">#REF!</definedName>
    <definedName name="aMgaviones">#REF!</definedName>
    <definedName name="aMHermosoreadec" localSheetId="16">#REF!</definedName>
    <definedName name="aMHermosoreadec" localSheetId="20">#REF!</definedName>
    <definedName name="aMHermosoreadec">#REF!</definedName>
    <definedName name="aMhorC" localSheetId="16">#REF!</definedName>
    <definedName name="aMhorC" localSheetId="20">#REF!</definedName>
    <definedName name="aMhorC">#REF!</definedName>
    <definedName name="aMhormigon" localSheetId="16">#REF!</definedName>
    <definedName name="aMhormigon" localSheetId="20">#REF!</definedName>
    <definedName name="aMhormigon">#REF!</definedName>
    <definedName name="aMimprimacion" localSheetId="16">#REF!</definedName>
    <definedName name="aMimprimacion" localSheetId="20">#REF!</definedName>
    <definedName name="aMimprimacion">#REF!</definedName>
    <definedName name="aMimprimacionreadec" localSheetId="16">#REF!</definedName>
    <definedName name="aMimprimacionreadec" localSheetId="20">#REF!</definedName>
    <definedName name="aMimprimacionreadec">#REF!</definedName>
    <definedName name="aMimprimrefor" localSheetId="16">#REF!</definedName>
    <definedName name="aMimprimrefor" localSheetId="20">#REF!</definedName>
    <definedName name="aMimprimrefor">#REF!</definedName>
    <definedName name="aMinvernal" localSheetId="20">#REF!</definedName>
    <definedName name="aMinvernal">#REF!</definedName>
    <definedName name="aMjunta" localSheetId="20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 localSheetId="16">#REF!</definedName>
    <definedName name="aMlimptransp" localSheetId="20">#REF!</definedName>
    <definedName name="aMlimptransp">#REF!</definedName>
    <definedName name="aMlosa" localSheetId="16">#REF!</definedName>
    <definedName name="aMlosa" localSheetId="20">#REF!</definedName>
    <definedName name="aMlosa">#REF!</definedName>
    <definedName name="aMmatbase" localSheetId="16">#REF!</definedName>
    <definedName name="aMmatbase" localSheetId="20">#REF!</definedName>
    <definedName name="aMmatbase">#REF!</definedName>
    <definedName name="aMmicroaglem" localSheetId="16">#REF!</definedName>
    <definedName name="aMmicroaglem" localSheetId="20">#REF!</definedName>
    <definedName name="aMmicroaglem">#REF!</definedName>
    <definedName name="aMmicroaglom" localSheetId="20">#REF!</definedName>
    <definedName name="aMmicroaglom">#REF!</definedName>
    <definedName name="aMmicroaglomreadec" localSheetId="20">#REF!</definedName>
    <definedName name="aMmicroaglomreadec">#REF!</definedName>
    <definedName name="aMmicroreadec" localSheetId="16">#REF!</definedName>
    <definedName name="aMmicroreadec" localSheetId="20">#REF!</definedName>
    <definedName name="aMmicroreadec">#REF!</definedName>
    <definedName name="aMmontaje" localSheetId="16">#REF!</definedName>
    <definedName name="aMmontaje" localSheetId="20">#REF!</definedName>
    <definedName name="aMmontaje">#REF!</definedName>
    <definedName name="aMOacceso" localSheetId="20">#REF!</definedName>
    <definedName name="aMOacceso">#REF!</definedName>
    <definedName name="aMOaccesoreadec" localSheetId="16">#REF!</definedName>
    <definedName name="aMOaccesoreadec" localSheetId="20">#REF!</definedName>
    <definedName name="aMOaccesoreadec">#REF!</definedName>
    <definedName name="aMOacondct" localSheetId="16">#REF!</definedName>
    <definedName name="aMOacondct" localSheetId="20">#REF!</definedName>
    <definedName name="aMOacondct">#REF!</definedName>
    <definedName name="aMOalcantarilla" localSheetId="16">#REF!</definedName>
    <definedName name="aMOalcantarilla" localSheetId="20">#REF!</definedName>
    <definedName name="aMOalcantarilla">#REF!</definedName>
    <definedName name="aMOalcantarillareadec" localSheetId="16">#REF!</definedName>
    <definedName name="aMOalcantarillareadec" localSheetId="20">#REF!</definedName>
    <definedName name="aMOalcantarillareadec">#REF!</definedName>
    <definedName name="aMOalteo" localSheetId="16">#REF!</definedName>
    <definedName name="aMOalteo" localSheetId="20">#REF!</definedName>
    <definedName name="aMOalteo">#REF!</definedName>
    <definedName name="aMOalteoreadec" localSheetId="16">#REF!</definedName>
    <definedName name="aMOalteoreadec" localSheetId="20">#REF!</definedName>
    <definedName name="aMOalteoreadec">#REF!</definedName>
    <definedName name="aMOApartido" localSheetId="16">#REF!</definedName>
    <definedName name="aMOApartido" localSheetId="20">#REF!</definedName>
    <definedName name="aMOApartido">#REF!</definedName>
    <definedName name="aMOapoyos" localSheetId="20">#REF!</definedName>
    <definedName name="aMOapoyos">#REF!</definedName>
    <definedName name="aMObacheo" localSheetId="20">#REF!</definedName>
    <definedName name="aMObacheo">#REF!</definedName>
    <definedName name="aMObacheosan">#REF!</definedName>
    <definedName name="aMObandason">#REF!</definedName>
    <definedName name="aMObanquina">#REF!</definedName>
    <definedName name="aMObaranda" localSheetId="16">#REF!</definedName>
    <definedName name="aMObaranda" localSheetId="20">#REF!</definedName>
    <definedName name="aMObaranda">#REF!</definedName>
    <definedName name="aMObarandareadec" localSheetId="16">#REF!</definedName>
    <definedName name="aMObarandareadec" localSheetId="20">#REF!</definedName>
    <definedName name="aMObarandareadec">#REF!</definedName>
    <definedName name="aMObase" localSheetId="16">#REF!</definedName>
    <definedName name="aMObase" localSheetId="20">#REF!</definedName>
    <definedName name="aMObase">#REF!</definedName>
    <definedName name="aMOcabezales" localSheetId="16">#REF!</definedName>
    <definedName name="aMOcabezales" localSheetId="20">#REF!</definedName>
    <definedName name="aMOcabezales">#REF!</definedName>
    <definedName name="aMOcalzadahorm" localSheetId="20">#REF!</definedName>
    <definedName name="aMOcalzadahorm">#REF!</definedName>
    <definedName name="aMOcalzadas" localSheetId="20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 localSheetId="16">#REF!</definedName>
    <definedName name="aMOCCurareadec" localSheetId="20">#REF!</definedName>
    <definedName name="aMOCCurareadec">#REF!</definedName>
    <definedName name="aMOciclovía" localSheetId="16">#REF!</definedName>
    <definedName name="aMOciclovía" localSheetId="20">#REF!</definedName>
    <definedName name="aMOciclovía">#REF!</definedName>
    <definedName name="aMOciclovíareadec" localSheetId="16">#REF!</definedName>
    <definedName name="aMOciclovíareadec" localSheetId="20">#REF!</definedName>
    <definedName name="aMOciclovíareadec">#REF!</definedName>
    <definedName name="aMOcolumnas" localSheetId="16">#REF!</definedName>
    <definedName name="aMOcolumnas" localSheetId="20">#REF!</definedName>
    <definedName name="aMOcolumnas">#REF!</definedName>
    <definedName name="aMOcortepasto" localSheetId="20">#REF!</definedName>
    <definedName name="aMOcortepasto">#REF!</definedName>
    <definedName name="aMOdemolicion" localSheetId="20">#REF!</definedName>
    <definedName name="aMOdemolicion">#REF!</definedName>
    <definedName name="aMOdesembanque">#REF!</definedName>
    <definedName name="aMOdren" localSheetId="16">#REF!</definedName>
    <definedName name="aMOdren" localSheetId="20">#REF!</definedName>
    <definedName name="aMOdren">#REF!</definedName>
    <definedName name="aMOescarifbanq" localSheetId="16">#REF!</definedName>
    <definedName name="aMOescarifbanq" localSheetId="20">#REF!</definedName>
    <definedName name="aMOescarifbanq">#REF!</definedName>
    <definedName name="aMOescarificado" localSheetId="16">#REF!</definedName>
    <definedName name="aMOescarificado" localSheetId="20">#REF!</definedName>
    <definedName name="aMOescarificado">#REF!</definedName>
    <definedName name="aMOestribos" localSheetId="16">#REF!</definedName>
    <definedName name="aMOestribos" localSheetId="20">#REF!</definedName>
    <definedName name="aMOestribos">#REF!</definedName>
    <definedName name="aMOexcavacion" localSheetId="20">#REF!</definedName>
    <definedName name="aMOexcavacion">#REF!</definedName>
    <definedName name="aMOexcavacionreadec" localSheetId="16">#REF!</definedName>
    <definedName name="aMOexcavacionreadec" localSheetId="20">#REF!</definedName>
    <definedName name="aMOexcavacionreadec">#REF!</definedName>
    <definedName name="aMOgaviones" localSheetId="16">#REF!</definedName>
    <definedName name="aMOgaviones" localSheetId="20">#REF!</definedName>
    <definedName name="aMOgaviones">#REF!</definedName>
    <definedName name="aMOHermosoreadec" localSheetId="16">#REF!</definedName>
    <definedName name="aMOHermosoreadec" localSheetId="20">#REF!</definedName>
    <definedName name="aMOHermosoreadec">#REF!</definedName>
    <definedName name="aMOhorC" localSheetId="16">#REF!</definedName>
    <definedName name="aMOhorC" localSheetId="20">#REF!</definedName>
    <definedName name="aMOhorC">#REF!</definedName>
    <definedName name="aMOhormigon" localSheetId="16">#REF!</definedName>
    <definedName name="aMOhormigon" localSheetId="20">#REF!</definedName>
    <definedName name="aMOhormigon">#REF!</definedName>
    <definedName name="aMOimprimacion" localSheetId="16">#REF!</definedName>
    <definedName name="aMOimprimacion" localSheetId="20">#REF!</definedName>
    <definedName name="aMOimprimacion">#REF!</definedName>
    <definedName name="aMOimprimacionreadec" localSheetId="16">#REF!</definedName>
    <definedName name="aMOimprimacionreadec" localSheetId="20">#REF!</definedName>
    <definedName name="aMOimprimacionreadec">#REF!</definedName>
    <definedName name="aMOimprimrefor" localSheetId="16">#REF!</definedName>
    <definedName name="aMOimprimrefor" localSheetId="20">#REF!</definedName>
    <definedName name="aMOimprimrefor">#REF!</definedName>
    <definedName name="aMOinvernal" localSheetId="20">#REF!</definedName>
    <definedName name="aMOinvernal">#REF!</definedName>
    <definedName name="aMOjunta" localSheetId="20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 localSheetId="16">#REF!</definedName>
    <definedName name="aMOlimptransp" localSheetId="20">#REF!</definedName>
    <definedName name="aMOlimptransp">#REF!</definedName>
    <definedName name="aMOlosa" localSheetId="16">#REF!</definedName>
    <definedName name="aMOlosa" localSheetId="20">#REF!</definedName>
    <definedName name="aMOlosa">#REF!</definedName>
    <definedName name="aMOmatbase" localSheetId="16">#REF!</definedName>
    <definedName name="aMOmatbase" localSheetId="20">#REF!</definedName>
    <definedName name="aMOmatbase">#REF!</definedName>
    <definedName name="aMOmicroaglom" localSheetId="16">#REF!</definedName>
    <definedName name="aMOmicroaglom" localSheetId="20">#REF!</definedName>
    <definedName name="aMOmicroaglom">#REF!</definedName>
    <definedName name="aMOmicroaglomreadec" localSheetId="20">#REF!</definedName>
    <definedName name="aMOmicroaglomreadec">#REF!</definedName>
    <definedName name="aMOmicroreadec" localSheetId="16">#REF!</definedName>
    <definedName name="aMOmicroreadec" localSheetId="20">#REF!</definedName>
    <definedName name="aMOmicroreadec">#REF!</definedName>
    <definedName name="aMOmontaje" localSheetId="16">#REF!</definedName>
    <definedName name="aMOmontaje" localSheetId="20">#REF!</definedName>
    <definedName name="aMOmontaje">#REF!</definedName>
    <definedName name="aMOpasamano" localSheetId="20">#REF!</definedName>
    <definedName name="aMOpasamano">#REF!</definedName>
    <definedName name="aMOperfilado" localSheetId="16">#REF!</definedName>
    <definedName name="aMOperfilado" localSheetId="20">#REF!</definedName>
    <definedName name="aMOperfilado">#REF!</definedName>
    <definedName name="aMOpintado" localSheetId="16">#REF!</definedName>
    <definedName name="aMOpintado" localSheetId="20">#REF!</definedName>
    <definedName name="aMOpintado">#REF!</definedName>
    <definedName name="aMOpretiles" localSheetId="20">#REF!</definedName>
    <definedName name="aMOpretiles">#REF!</definedName>
    <definedName name="aMOpretilesreadec" localSheetId="16">#REF!</definedName>
    <definedName name="aMOpretilesreadec" localSheetId="20">#REF!</definedName>
    <definedName name="aMOpretilesreadec">#REF!</definedName>
    <definedName name="aMOprolongacion" localSheetId="16">#REF!</definedName>
    <definedName name="aMOprolongacion" localSheetId="20">#REF!</definedName>
    <definedName name="aMOprolongacion">#REF!</definedName>
    <definedName name="aMOprolongacionreadec" localSheetId="16">#REF!</definedName>
    <definedName name="aMOprolongacionreadec" localSheetId="20">#REF!</definedName>
    <definedName name="aMOprolongacionreadec">#REF!</definedName>
    <definedName name="aMOproteccion" localSheetId="16">#REF!</definedName>
    <definedName name="aMOproteccion" localSheetId="20">#REF!</definedName>
    <definedName name="aMOproteccion">#REF!</definedName>
    <definedName name="aMOrelleno" localSheetId="20">#REF!</definedName>
    <definedName name="aMOrelleno">#REF!</definedName>
    <definedName name="aMOrellenoreadec" localSheetId="16">#REF!</definedName>
    <definedName name="aMOrellenoreadec" localSheetId="20">#REF!</definedName>
    <definedName name="aMOrellenoreadec">#REF!</definedName>
    <definedName name="aMOrep8026" localSheetId="16">#REF!</definedName>
    <definedName name="aMOrep8026" localSheetId="20">#REF!</definedName>
    <definedName name="aMOrep8026">#REF!</definedName>
    <definedName name="aMOrep8026readec" localSheetId="16">#REF!</definedName>
    <definedName name="aMOrep8026readec" localSheetId="20">#REF!</definedName>
    <definedName name="aMOrep8026readec">#REF!</definedName>
    <definedName name="aMOrepalc" localSheetId="16">#REF!</definedName>
    <definedName name="aMOrepalc" localSheetId="20">#REF!</definedName>
    <definedName name="aMOrepalc">#REF!</definedName>
    <definedName name="aMOrestdrenaje" localSheetId="16">#REF!</definedName>
    <definedName name="aMOrestdrenaje" localSheetId="20">#REF!</definedName>
    <definedName name="aMOrestdrenaje">#REF!</definedName>
    <definedName name="aMOrestdrenajereadec" localSheetId="16">#REF!</definedName>
    <definedName name="aMOrestdrenajereadec" localSheetId="20">#REF!</definedName>
    <definedName name="aMOrestdrenajereadec">#REF!</definedName>
    <definedName name="aMOretderrumbe" localSheetId="16">#REF!</definedName>
    <definedName name="aMOretderrumbe" localSheetId="20">#REF!</definedName>
    <definedName name="aMOretderrumbe">#REF!</definedName>
    <definedName name="aMOretrecolbaranda" localSheetId="16">#REF!</definedName>
    <definedName name="aMOretrecolbaranda" localSheetId="20">#REF!</definedName>
    <definedName name="aMOretrecolbaranda">#REF!</definedName>
    <definedName name="aMOrexcavacion" localSheetId="16">#REF!</definedName>
    <definedName name="aMOrexcavacion" localSheetId="20">#REF!</definedName>
    <definedName name="aMOrexcavacion">#REF!</definedName>
    <definedName name="aMORHermoso" localSheetId="20">#REF!</definedName>
    <definedName name="aMORHermoso">#REF!</definedName>
    <definedName name="aMOriego" localSheetId="20">#REF!</definedName>
    <definedName name="aMOriego">#REF!</definedName>
    <definedName name="aMOrotondas">#REF!</definedName>
    <definedName name="aMOsandef" localSheetId="16">#REF!</definedName>
    <definedName name="aMOsandef" localSheetId="20">#REF!</definedName>
    <definedName name="aMOsandef">#REF!</definedName>
    <definedName name="aMOsellado" localSheetId="16">#REF!</definedName>
    <definedName name="aMOsellado" localSheetId="20">#REF!</definedName>
    <definedName name="aMOsellado">#REF!</definedName>
    <definedName name="aMOsenda" localSheetId="20">#REF!</definedName>
    <definedName name="aMOsenda">#REF!</definedName>
    <definedName name="aMOsendareadec" localSheetId="16">#REF!</definedName>
    <definedName name="aMOsendareadec" localSheetId="20">#REF!</definedName>
    <definedName name="aMOsendareadec">#REF!</definedName>
    <definedName name="aMOseñalamiento" localSheetId="16">#REF!</definedName>
    <definedName name="aMOseñalamiento" localSheetId="20">#REF!</definedName>
    <definedName name="aMOseñalamiento">#REF!</definedName>
    <definedName name="aMOseñalamientoreadec" localSheetId="16">#REF!</definedName>
    <definedName name="aMOseñalamientoreadec" localSheetId="20">#REF!</definedName>
    <definedName name="aMOseñalamientoreadec">#REF!</definedName>
    <definedName name="aMOseñalextrusion" localSheetId="16">#REF!</definedName>
    <definedName name="aMOseñalextrusion" localSheetId="20">#REF!</definedName>
    <definedName name="aMOseñalextrusion">#REF!</definedName>
    <definedName name="aMOseñalextrusionreadec" localSheetId="16">#REF!</definedName>
    <definedName name="aMOseñalextrusionreadec" localSheetId="20">#REF!</definedName>
    <definedName name="aMOseñalextrusionreadec">#REF!</definedName>
    <definedName name="aMOseñalizacion" localSheetId="16">#REF!</definedName>
    <definedName name="aMOseñalizacion" localSheetId="20">#REF!</definedName>
    <definedName name="aMOseñalizacion">#REF!</definedName>
    <definedName name="aMOseñalizacionreadec" localSheetId="16">#REF!</definedName>
    <definedName name="aMOseñalizacionreadec" localSheetId="20">#REF!</definedName>
    <definedName name="aMOseñalizacionreadec">#REF!</definedName>
    <definedName name="aMOseñalvertreadec" localSheetId="16">#REF!</definedName>
    <definedName name="aMOseñalvertreadec" localSheetId="20">#REF!</definedName>
    <definedName name="aMOseñalvertreadec">#REF!</definedName>
    <definedName name="aMOsistdren1071" localSheetId="16">#REF!</definedName>
    <definedName name="aMOsistdren1071" localSheetId="20">#REF!</definedName>
    <definedName name="aMOsistdren1071">#REF!</definedName>
    <definedName name="aMOsubbase" localSheetId="20">#REF!</definedName>
    <definedName name="aMOsubbase">#REF!</definedName>
    <definedName name="aMOterraplen" localSheetId="16">#REF!</definedName>
    <definedName name="aMOterraplen" localSheetId="20">#REF!</definedName>
    <definedName name="aMOterraplen">#REF!</definedName>
    <definedName name="aMOterrapreadec" localSheetId="16">#REF!</definedName>
    <definedName name="aMOterrapreadec" localSheetId="20">#REF!</definedName>
    <definedName name="aMOterrapreadec">#REF!</definedName>
    <definedName name="aMOterrsincomp" localSheetId="16">#REF!</definedName>
    <definedName name="aMOterrsincomp" localSheetId="20">#REF!</definedName>
    <definedName name="aMOterrsincomp">#REF!</definedName>
    <definedName name="aMOtravesia" localSheetId="20">#REF!</definedName>
    <definedName name="aMOtravesia">#REF!</definedName>
    <definedName name="aMOvigas" localSheetId="20">#REF!</definedName>
    <definedName name="aMOvigas">#REF!</definedName>
    <definedName name="aMpasamano">#REF!</definedName>
    <definedName name="aMperfilado" localSheetId="16">#REF!</definedName>
    <definedName name="aMperfilado" localSheetId="20">#REF!</definedName>
    <definedName name="aMperfilado">#REF!</definedName>
    <definedName name="aMpilotes" localSheetId="16">#REF!</definedName>
    <definedName name="aMpilotes" localSheetId="20">#REF!</definedName>
    <definedName name="aMpilotes">#REF!</definedName>
    <definedName name="aMpintado" localSheetId="20">#REF!</definedName>
    <definedName name="aMpintado">#REF!</definedName>
    <definedName name="aMpretiles" localSheetId="20">#REF!</definedName>
    <definedName name="aMpretiles">#REF!</definedName>
    <definedName name="aMpretilesreadec" localSheetId="16">#REF!</definedName>
    <definedName name="aMpretilesreadec" localSheetId="20">#REF!</definedName>
    <definedName name="aMpretilesreadec">#REF!</definedName>
    <definedName name="aMprolongacion" localSheetId="16">#REF!</definedName>
    <definedName name="aMprolongacion" localSheetId="20">#REF!</definedName>
    <definedName name="aMprolongacion">#REF!</definedName>
    <definedName name="aMprolongacionreadec" localSheetId="16">#REF!</definedName>
    <definedName name="aMprolongacionreadec" localSheetId="20">#REF!</definedName>
    <definedName name="aMprolongacionreadec">#REF!</definedName>
    <definedName name="aMproteccion" localSheetId="16">#REF!</definedName>
    <definedName name="aMproteccion" localSheetId="20">#REF!</definedName>
    <definedName name="aMproteccion">#REF!</definedName>
    <definedName name="aMrelleno" localSheetId="20">#REF!</definedName>
    <definedName name="aMrelleno">#REF!</definedName>
    <definedName name="aMrellenoreadec" localSheetId="16">#REF!</definedName>
    <definedName name="aMrellenoreadec" localSheetId="20">#REF!</definedName>
    <definedName name="aMrellenoreadec">#REF!</definedName>
    <definedName name="aMrep8026" localSheetId="16">#REF!</definedName>
    <definedName name="aMrep8026" localSheetId="20">#REF!</definedName>
    <definedName name="aMrep8026">#REF!</definedName>
    <definedName name="aMrep8026readec" localSheetId="16">#REF!</definedName>
    <definedName name="aMrep8026readec" localSheetId="20">#REF!</definedName>
    <definedName name="aMrep8026readec">#REF!</definedName>
    <definedName name="aMrepalc" localSheetId="16">#REF!</definedName>
    <definedName name="aMrepalc" localSheetId="20">#REF!</definedName>
    <definedName name="aMrepalc">#REF!</definedName>
    <definedName name="aMrestdrenaje" localSheetId="16">#REF!</definedName>
    <definedName name="aMrestdrenaje" localSheetId="20">#REF!</definedName>
    <definedName name="aMrestdrenaje">#REF!</definedName>
    <definedName name="aMrestdrenajereadec" localSheetId="16">#REF!</definedName>
    <definedName name="aMrestdrenajereadec" localSheetId="20">#REF!</definedName>
    <definedName name="aMrestdrenajereadec">#REF!</definedName>
    <definedName name="aMretderrumbe" localSheetId="16">#REF!</definedName>
    <definedName name="aMretderrumbe" localSheetId="20">#REF!</definedName>
    <definedName name="aMretderrumbe">#REF!</definedName>
    <definedName name="aMretrecolbaranda" localSheetId="16">#REF!</definedName>
    <definedName name="aMretrecolbaranda" localSheetId="20">#REF!</definedName>
    <definedName name="aMretrecolbaranda">#REF!</definedName>
    <definedName name="aMRHermoso" localSheetId="16">#REF!</definedName>
    <definedName name="aMRHermoso" localSheetId="20">#REF!</definedName>
    <definedName name="aMRHermoso">#REF!</definedName>
    <definedName name="aMriego" localSheetId="20">#REF!</definedName>
    <definedName name="aMriego">#REF!</definedName>
    <definedName name="aMrotondas" localSheetId="20">#REF!</definedName>
    <definedName name="aMrotondas">#REF!</definedName>
    <definedName name="aMsandef" localSheetId="16">#REF!</definedName>
    <definedName name="aMsandef" localSheetId="20">#REF!</definedName>
    <definedName name="aMsandef">#REF!</definedName>
    <definedName name="aMsellado" localSheetId="16">#REF!</definedName>
    <definedName name="aMsellado" localSheetId="20">#REF!</definedName>
    <definedName name="aMsellado">#REF!</definedName>
    <definedName name="aMsenda" localSheetId="20">#REF!</definedName>
    <definedName name="aMsenda">#REF!</definedName>
    <definedName name="aMsendareadec" localSheetId="16">#REF!</definedName>
    <definedName name="aMsendareadec" localSheetId="20">#REF!</definedName>
    <definedName name="aMsendareadec">#REF!</definedName>
    <definedName name="aMseñalamiento" localSheetId="16">#REF!</definedName>
    <definedName name="aMseñalamiento" localSheetId="20">#REF!</definedName>
    <definedName name="aMseñalamiento">#REF!</definedName>
    <definedName name="aMseñalamientoreadec" localSheetId="16">#REF!</definedName>
    <definedName name="aMseñalamientoreadec" localSheetId="20">#REF!</definedName>
    <definedName name="aMseñalamientoreadec">#REF!</definedName>
    <definedName name="aMseñalextrusion" localSheetId="16">#REF!</definedName>
    <definedName name="aMseñalextrusion" localSheetId="20">#REF!</definedName>
    <definedName name="aMseñalextrusion">#REF!</definedName>
    <definedName name="aMseñalextrusionreadec" localSheetId="16">#REF!</definedName>
    <definedName name="aMseñalextrusionreadec" localSheetId="20">#REF!</definedName>
    <definedName name="aMseñalextrusionreadec">#REF!</definedName>
    <definedName name="aMseñalizacion" localSheetId="16">#REF!</definedName>
    <definedName name="aMseñalizacion" localSheetId="20">#REF!</definedName>
    <definedName name="aMseñalizacion">#REF!</definedName>
    <definedName name="aMseñalizacionreadec" localSheetId="16">#REF!</definedName>
    <definedName name="aMseñalizacionreadec" localSheetId="20">#REF!</definedName>
    <definedName name="aMseñalizacionreadec">#REF!</definedName>
    <definedName name="aMseñalvertreadec" localSheetId="16">#REF!</definedName>
    <definedName name="aMseñalvertreadec" localSheetId="20">#REF!</definedName>
    <definedName name="aMseñalvertreadec">#REF!</definedName>
    <definedName name="aMsistdren1071" localSheetId="16">#REF!</definedName>
    <definedName name="aMsistdren1071" localSheetId="20">#REF!</definedName>
    <definedName name="aMsistdren1071">#REF!</definedName>
    <definedName name="aMsubbase" localSheetId="20">#REF!</definedName>
    <definedName name="aMsubbase">#REF!</definedName>
    <definedName name="AMTE" localSheetId="16">#REF!</definedName>
    <definedName name="AMTE" localSheetId="0">#REF!</definedName>
    <definedName name="AMTE" localSheetId="20">#REF!</definedName>
    <definedName name="AMTE">#REF!</definedName>
    <definedName name="aMterraplen" localSheetId="16">#REF!</definedName>
    <definedName name="aMterraplen" localSheetId="20">#REF!</definedName>
    <definedName name="aMterraplen">#REF!</definedName>
    <definedName name="aMterrapreadec" localSheetId="16">#REF!</definedName>
    <definedName name="aMterrapreadec" localSheetId="20">#REF!</definedName>
    <definedName name="aMterrapreadec">#REF!</definedName>
    <definedName name="aMterrsincomp" localSheetId="16">#REF!</definedName>
    <definedName name="aMterrsincomp" localSheetId="20">#REF!</definedName>
    <definedName name="aMterrsincomp">#REF!</definedName>
    <definedName name="aMtravesia" localSheetId="20">#REF!</definedName>
    <definedName name="aMtravesia">#REF!</definedName>
    <definedName name="aMvigas" localSheetId="20">#REF!</definedName>
    <definedName name="aMvigas">#REF!</definedName>
    <definedName name="Ana_Cent_Com" localSheetId="16">#REF!</definedName>
    <definedName name="Ana_Cent_Com" localSheetId="20">#REF!</definedName>
    <definedName name="Ana_Cent_Com">#REF!</definedName>
    <definedName name="Ana_Ed_3" localSheetId="16">#REF!</definedName>
    <definedName name="Ana_Ed_3" localSheetId="20">#REF!</definedName>
    <definedName name="Ana_Ed_3">#REF!</definedName>
    <definedName name="Ana_Edi_1" localSheetId="16">#REF!</definedName>
    <definedName name="Ana_Edi_1" localSheetId="20">#REF!</definedName>
    <definedName name="Ana_Edi_1">#REF!</definedName>
    <definedName name="Ana_Edi_2" localSheetId="16">#REF!</definedName>
    <definedName name="Ana_Edi_2" localSheetId="20">#REF!</definedName>
    <definedName name="Ana_Edi_2">#REF!</definedName>
    <definedName name="Ana_Edi_2_Var" localSheetId="16">#REF!</definedName>
    <definedName name="Ana_Edi_2_Var" localSheetId="20">#REF!</definedName>
    <definedName name="Ana_Edi_2_Var">#REF!</definedName>
    <definedName name="Ana_Edi_3_Var" localSheetId="16">#REF!</definedName>
    <definedName name="Ana_Edi_3_Var" localSheetId="20">#REF!</definedName>
    <definedName name="Ana_Edi_3_Var">#REF!</definedName>
    <definedName name="Ana_OEX" localSheetId="16">#REF!</definedName>
    <definedName name="Ana_OEX" localSheetId="20">#REF!</definedName>
    <definedName name="Ana_OEX">#REF!</definedName>
    <definedName name="Ana_Resumen" localSheetId="16">#REF!</definedName>
    <definedName name="Ana_Resumen" localSheetId="20">#REF!</definedName>
    <definedName name="Ana_Resumen">#REF!</definedName>
    <definedName name="ANAE1" localSheetId="8">#REF!</definedName>
    <definedName name="ANAE1" localSheetId="3">#REF!</definedName>
    <definedName name="ANAE1" localSheetId="13">#REF!</definedName>
    <definedName name="ANAE1" localSheetId="22">#REF!</definedName>
    <definedName name="ANAE1" localSheetId="4">#REF!</definedName>
    <definedName name="ANAE1" localSheetId="17">#REF!</definedName>
    <definedName name="ANAE1" localSheetId="0">#REF!</definedName>
    <definedName name="ANAE1" localSheetId="20">#REF!</definedName>
    <definedName name="ANAE1" localSheetId="10">#REF!</definedName>
    <definedName name="ANAE1" localSheetId="11">#REF!</definedName>
    <definedName name="ANAE1" localSheetId="9">#REF!</definedName>
    <definedName name="ANAE1" localSheetId="12">#REF!</definedName>
    <definedName name="ANAE1" localSheetId="1">#REF!</definedName>
    <definedName name="ANAE1" localSheetId="2">#REF!</definedName>
    <definedName name="ANAE1" localSheetId="5">#REF!</definedName>
    <definedName name="ANAE1">#REF!</definedName>
    <definedName name="analiprecios" localSheetId="16">#REF!</definedName>
    <definedName name="analiprecios" localSheetId="21">#REF!</definedName>
    <definedName name="analiprecios" localSheetId="8">#REF!</definedName>
    <definedName name="analiprecios" localSheetId="6">#REF!</definedName>
    <definedName name="analiprecios" localSheetId="7">#REF!</definedName>
    <definedName name="analiprecios" localSheetId="3">#REF!</definedName>
    <definedName name="analiprecios" localSheetId="13">#REF!</definedName>
    <definedName name="analiprecios" localSheetId="22">#REF!</definedName>
    <definedName name="analiprecios" localSheetId="4">#REF!</definedName>
    <definedName name="analiprecios" localSheetId="0">#REF!</definedName>
    <definedName name="analiprecios" localSheetId="20">#REF!</definedName>
    <definedName name="analiprecios" localSheetId="10">#REF!</definedName>
    <definedName name="analiprecios" localSheetId="11">#REF!</definedName>
    <definedName name="analiprecios" localSheetId="9">#REF!</definedName>
    <definedName name="analiprecios" localSheetId="12">#REF!</definedName>
    <definedName name="analiprecios" localSheetId="15">#REF!</definedName>
    <definedName name="analiprecios" localSheetId="14">#REF!</definedName>
    <definedName name="analiprecios" localSheetId="1">#REF!</definedName>
    <definedName name="analiprecios" localSheetId="2">#REF!</definedName>
    <definedName name="analiprecios" localSheetId="5">#REF!</definedName>
    <definedName name="analiprecios">#REF!</definedName>
    <definedName name="ANALISIS" localSheetId="8">#REF!</definedName>
    <definedName name="ANALISIS" localSheetId="3">#REF!</definedName>
    <definedName name="ANALISIS" localSheetId="13">#REF!</definedName>
    <definedName name="ANALISIS" localSheetId="22">#REF!</definedName>
    <definedName name="ANALISIS" localSheetId="4">#REF!</definedName>
    <definedName name="ANALISIS" localSheetId="0">#REF!</definedName>
    <definedName name="ANALISIS" localSheetId="20">#REF!</definedName>
    <definedName name="ANALISIS" localSheetId="10">#REF!</definedName>
    <definedName name="ANALISIS" localSheetId="11">#REF!</definedName>
    <definedName name="ANALISIS" localSheetId="9">#REF!</definedName>
    <definedName name="ANALISIS" localSheetId="12">#REF!</definedName>
    <definedName name="ANALISIS" localSheetId="1">#REF!</definedName>
    <definedName name="ANALISIS" localSheetId="2">#REF!</definedName>
    <definedName name="ANALISIS" localSheetId="5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16">#REF!</definedName>
    <definedName name="analisisequipo" localSheetId="21">#REF!</definedName>
    <definedName name="analisisequipo" localSheetId="8">#REF!</definedName>
    <definedName name="analisisequipo" localSheetId="6">#REF!</definedName>
    <definedName name="analisisequipo" localSheetId="7">#REF!</definedName>
    <definedName name="analisisequipo" localSheetId="3">#REF!</definedName>
    <definedName name="analisisequipo" localSheetId="13">#REF!</definedName>
    <definedName name="analisisequipo" localSheetId="22">#REF!</definedName>
    <definedName name="analisisequipo" localSheetId="4">#REF!</definedName>
    <definedName name="analisisequipo" localSheetId="0">#REF!</definedName>
    <definedName name="analisisequipo" localSheetId="10">#REF!</definedName>
    <definedName name="analisisequipo" localSheetId="11">#REF!</definedName>
    <definedName name="analisisequipo" localSheetId="9">#REF!</definedName>
    <definedName name="analisisequipo" localSheetId="12">#REF!</definedName>
    <definedName name="analisisequipo" localSheetId="15">#REF!</definedName>
    <definedName name="analisisequipo" localSheetId="14">#REF!</definedName>
    <definedName name="analisisequipo" localSheetId="1">#REF!</definedName>
    <definedName name="analisisequipo" localSheetId="2">#REF!</definedName>
    <definedName name="analisisequipo" localSheetId="5">#REF!</definedName>
    <definedName name="analisisequipo">#REF!</definedName>
    <definedName name="analizado" localSheetId="16">#REF!</definedName>
    <definedName name="analizado" localSheetId="20">#REF!</definedName>
    <definedName name="analizado">#REF!</definedName>
    <definedName name="angulo" localSheetId="16">#REF!</definedName>
    <definedName name="angulo" localSheetId="20">#REF!</definedName>
    <definedName name="angulo">#REF!</definedName>
    <definedName name="angulo_lim" localSheetId="16">#REF!</definedName>
    <definedName name="angulo_lim" localSheetId="20">#REF!</definedName>
    <definedName name="angulo_lim">#REF!</definedName>
    <definedName name="angulolim" localSheetId="16">#REF!</definedName>
    <definedName name="angulolim" localSheetId="20">#REF!</definedName>
    <definedName name="angulolim">#REF!</definedName>
    <definedName name="angulolim_c" localSheetId="16">#REF!</definedName>
    <definedName name="angulolim_c" localSheetId="20">#REF!</definedName>
    <definedName name="angulolim_c">#REF!</definedName>
    <definedName name="ANTICIPO" localSheetId="20">#REF!</definedName>
    <definedName name="ANTICIPO">#REF!</definedName>
    <definedName name="AR" localSheetId="20">#REF!</definedName>
    <definedName name="AR">#REF!</definedName>
    <definedName name="Arand.">#REF!</definedName>
    <definedName name="ardos">#REF!</definedName>
    <definedName name="AREA_DE_IMPRESION">#REF!</definedName>
    <definedName name="AREA1" localSheetId="16">#REF!</definedName>
    <definedName name="AREA1" localSheetId="20">#REF!</definedName>
    <definedName name="AREA1">#REF!</definedName>
    <definedName name="AREA2" localSheetId="20">#REF!</definedName>
    <definedName name="AREA2">#REF!</definedName>
    <definedName name="arena" localSheetId="16">#REF!</definedName>
    <definedName name="arena" localSheetId="20">#REF!</definedName>
    <definedName name="arena">#REF!</definedName>
    <definedName name="AReq" localSheetId="20">#REF!</definedName>
    <definedName name="AReq">#REF!</definedName>
    <definedName name="Armadura" localSheetId="20">#REF!</definedName>
    <definedName name="Armadura">#REF!</definedName>
    <definedName name="armco" localSheetId="16">#REF!</definedName>
    <definedName name="armco" localSheetId="20">#REF!</definedName>
    <definedName name="armco">#REF!</definedName>
    <definedName name="armdis" localSheetId="16">#REF!</definedName>
    <definedName name="armdis" localSheetId="20">#REF!</definedName>
    <definedName name="armdis">#REF!</definedName>
    <definedName name="ARR">#N/A</definedName>
    <definedName name="ARRA" localSheetId="16">#REF!</definedName>
    <definedName name="ARRA" localSheetId="3">#REF!</definedName>
    <definedName name="ARRA" localSheetId="13">#REF!</definedName>
    <definedName name="ARRA" localSheetId="22">#REF!</definedName>
    <definedName name="ARRA" localSheetId="4">#REF!</definedName>
    <definedName name="ARRA" localSheetId="17">#REF!</definedName>
    <definedName name="ARRA" localSheetId="0">#REF!</definedName>
    <definedName name="ARRA" localSheetId="20">#REF!</definedName>
    <definedName name="ARRA">#REF!</definedName>
    <definedName name="ARRC" localSheetId="16">#REF!</definedName>
    <definedName name="ARRC" localSheetId="3">#REF!</definedName>
    <definedName name="ARRC" localSheetId="22">#REF!</definedName>
    <definedName name="ARRC" localSheetId="4">#REF!</definedName>
    <definedName name="ARRC" localSheetId="17">#REF!</definedName>
    <definedName name="ARRC" localSheetId="0">#REF!</definedName>
    <definedName name="ARRC" localSheetId="20">#REF!</definedName>
    <definedName name="ARRC">#REF!</definedName>
    <definedName name="ARREM" localSheetId="16">#REF!</definedName>
    <definedName name="ARREM" localSheetId="17">#REF!</definedName>
    <definedName name="ARREM" localSheetId="0">#REF!</definedName>
    <definedName name="ARREM" localSheetId="20">#REF!</definedName>
    <definedName name="ARREM">#REF!</definedName>
    <definedName name="ARREP" localSheetId="16">#REF!</definedName>
    <definedName name="ARREP" localSheetId="17">#REF!</definedName>
    <definedName name="ARREP" localSheetId="0">#REF!</definedName>
    <definedName name="ARREP" localSheetId="20">#REF!</definedName>
    <definedName name="ARREP">#REF!</definedName>
    <definedName name="arriba" localSheetId="8">#REF!</definedName>
    <definedName name="arriba" localSheetId="3">#REF!</definedName>
    <definedName name="arriba" localSheetId="13">#REF!</definedName>
    <definedName name="arriba" localSheetId="22">#REF!</definedName>
    <definedName name="arriba" localSheetId="4">#REF!</definedName>
    <definedName name="arriba" localSheetId="17">#REF!</definedName>
    <definedName name="arriba" localSheetId="0">#REF!</definedName>
    <definedName name="arriba" localSheetId="20">#REF!</definedName>
    <definedName name="arriba" localSheetId="10">#REF!</definedName>
    <definedName name="arriba" localSheetId="11">#REF!</definedName>
    <definedName name="arriba" localSheetId="9">#REF!</definedName>
    <definedName name="arriba" localSheetId="12">#REF!</definedName>
    <definedName name="arriba" localSheetId="1">#REF!</definedName>
    <definedName name="arriba" localSheetId="2">#REF!</definedName>
    <definedName name="arriba" localSheetId="5">#REF!</definedName>
    <definedName name="arriba">#REF!</definedName>
    <definedName name="ARRRR" localSheetId="16">#REF!</definedName>
    <definedName name="ARRRR" localSheetId="17">#REF!</definedName>
    <definedName name="ARRRR" localSheetId="0">#REF!</definedName>
    <definedName name="ARRRR" localSheetId="20">#REF!</definedName>
    <definedName name="ARRRR">#REF!</definedName>
    <definedName name="ARSC" localSheetId="16">#REF!</definedName>
    <definedName name="ARSC" localSheetId="17">#REF!</definedName>
    <definedName name="ARSC" localSheetId="0">#REF!</definedName>
    <definedName name="ARSC" localSheetId="20">#REF!</definedName>
    <definedName name="ARSC">#REF!</definedName>
    <definedName name="ARSCE" localSheetId="16">#REF!</definedName>
    <definedName name="ARSCE" localSheetId="0">#REF!</definedName>
    <definedName name="ARSCE" localSheetId="20">#REF!</definedName>
    <definedName name="ARSCE">#REF!</definedName>
    <definedName name="ARSDA" localSheetId="16">#REF!</definedName>
    <definedName name="ARSDA" localSheetId="0">#REF!</definedName>
    <definedName name="ARSDA" localSheetId="20">#REF!</definedName>
    <definedName name="ARSDA">#REF!</definedName>
    <definedName name="ARSEC" localSheetId="16">#REF!</definedName>
    <definedName name="ARSEC" localSheetId="0">#REF!</definedName>
    <definedName name="ARSEC" localSheetId="20">#REF!</definedName>
    <definedName name="ARSEC">#REF!</definedName>
    <definedName name="ARSED" localSheetId="16">#REF!</definedName>
    <definedName name="ARSED" localSheetId="0">#REF!</definedName>
    <definedName name="ARSED" localSheetId="20">#REF!</definedName>
    <definedName name="ARSED">#REF!</definedName>
    <definedName name="ARSEM" localSheetId="16">#REF!</definedName>
    <definedName name="ARSEM" localSheetId="0">#REF!</definedName>
    <definedName name="ARSEM" localSheetId="20">#REF!</definedName>
    <definedName name="ARSEM">#REF!</definedName>
    <definedName name="ARSEP" localSheetId="16">#REF!</definedName>
    <definedName name="ARSEP" localSheetId="0">#REF!</definedName>
    <definedName name="ARSEP" localSheetId="20">#REF!</definedName>
    <definedName name="ARSEP">#REF!</definedName>
    <definedName name="ARSLE" localSheetId="16">#REF!</definedName>
    <definedName name="ARSLE" localSheetId="0">#REF!</definedName>
    <definedName name="ARSLE" localSheetId="20">#REF!</definedName>
    <definedName name="ARSLE">#REF!</definedName>
    <definedName name="ARSNA" localSheetId="16">#REF!</definedName>
    <definedName name="ARSNA" localSheetId="0">#REF!</definedName>
    <definedName name="ARSNA" localSheetId="20">#REF!</definedName>
    <definedName name="ARSNA">#REF!</definedName>
    <definedName name="ART" localSheetId="16">#REF!</definedName>
    <definedName name="ART" localSheetId="20">#REF!</definedName>
    <definedName name="ART">#REF!</definedName>
    <definedName name="ART_Cargo_Fijo" localSheetId="16">#REF!</definedName>
    <definedName name="ART_Cargo_Fijo" localSheetId="20">#REF!</definedName>
    <definedName name="ART_Cargo_Fijo">#REF!</definedName>
    <definedName name="aruno" localSheetId="16">#REF!</definedName>
    <definedName name="aruno" localSheetId="20">#REF!</definedName>
    <definedName name="aruno">#REF!</definedName>
    <definedName name="as" localSheetId="20">#REF!</definedName>
    <definedName name="as">#REF!</definedName>
    <definedName name="asd" localSheetId="16">L2C1:L372C15</definedName>
    <definedName name="asd" localSheetId="21">L2C1:L372C15</definedName>
    <definedName name="asd" localSheetId="19">L2C1:L372C15</definedName>
    <definedName name="asd" localSheetId="6">L2C1:L372C15</definedName>
    <definedName name="asd" localSheetId="7">L2C1:L372C15</definedName>
    <definedName name="asd" localSheetId="3">L2C1:L372C15</definedName>
    <definedName name="asd" localSheetId="22">L2C1:L372C15</definedName>
    <definedName name="asd" localSheetId="17">L2C1:L372C15</definedName>
    <definedName name="asd" localSheetId="20">L2C1:L372C15</definedName>
    <definedName name="asd" localSheetId="10">L2C1:L372C15</definedName>
    <definedName name="asd" localSheetId="11">L2C1:L372C15</definedName>
    <definedName name="asd" localSheetId="12">L2C1:L372C15</definedName>
    <definedName name="asd" localSheetId="15">L2C1:L372C15</definedName>
    <definedName name="asd" localSheetId="14">L2C1:L372C15</definedName>
    <definedName name="asd" localSheetId="2">L2C1:L372C15</definedName>
    <definedName name="asd" localSheetId="5">L2C1:L372C15</definedName>
    <definedName name="asd" localSheetId="23">L2C1:L372C15</definedName>
    <definedName name="asd">L2C1:L372C15</definedName>
    <definedName name="asdaaa" localSheetId="8">#REF!</definedName>
    <definedName name="asdaaa" localSheetId="3">#REF!</definedName>
    <definedName name="asdaaa" localSheetId="13">#REF!</definedName>
    <definedName name="asdaaa" localSheetId="22">#REF!</definedName>
    <definedName name="asdaaa" localSheetId="4">#REF!</definedName>
    <definedName name="asdaaa" localSheetId="17">#REF!</definedName>
    <definedName name="asdaaa" localSheetId="0">#REF!</definedName>
    <definedName name="asdaaa" localSheetId="20">#REF!</definedName>
    <definedName name="asdaaa" localSheetId="10">#REF!</definedName>
    <definedName name="asdaaa" localSheetId="11">#REF!</definedName>
    <definedName name="asdaaa" localSheetId="9">#REF!</definedName>
    <definedName name="asdaaa" localSheetId="12">#REF!</definedName>
    <definedName name="asdaaa" localSheetId="1">#REF!</definedName>
    <definedName name="asdaaa" localSheetId="2">#REF!</definedName>
    <definedName name="asdaaa" localSheetId="5">#REF!</definedName>
    <definedName name="asdaaa">#REF!</definedName>
    <definedName name="ASDAASD" localSheetId="16">L2C1:L372C15</definedName>
    <definedName name="ASDAASD" localSheetId="21">L2C1:L372C15</definedName>
    <definedName name="ASDAASD" localSheetId="19">L2C1:L372C15</definedName>
    <definedName name="ASDAASD" localSheetId="6">L2C1:L372C15</definedName>
    <definedName name="ASDAASD" localSheetId="7">L2C1:L372C15</definedName>
    <definedName name="ASDAASD" localSheetId="3">L2C1:L372C15</definedName>
    <definedName name="ASDAASD" localSheetId="22">L2C1:L372C15</definedName>
    <definedName name="ASDAASD" localSheetId="17">L2C1:L372C15</definedName>
    <definedName name="ASDAASD" localSheetId="20">L2C1:L372C15</definedName>
    <definedName name="ASDAASD" localSheetId="10">L2C1:L372C15</definedName>
    <definedName name="ASDAASD" localSheetId="11">L2C1:L372C15</definedName>
    <definedName name="ASDAASD" localSheetId="12">L2C1:L372C15</definedName>
    <definedName name="ASDAASD" localSheetId="15">L2C1:L372C15</definedName>
    <definedName name="ASDAASD" localSheetId="14">L2C1:L372C15</definedName>
    <definedName name="ASDAASD" localSheetId="2">L2C1:L372C15</definedName>
    <definedName name="ASDAASD" localSheetId="5">L2C1:L372C15</definedName>
    <definedName name="ASDAASD" localSheetId="23">L2C1:L372C15</definedName>
    <definedName name="ASDAASD">L2C1:L372C15</definedName>
    <definedName name="asdis" localSheetId="16">#REF!</definedName>
    <definedName name="asdis" localSheetId="20">#REF!</definedName>
    <definedName name="asdis">#REF!</definedName>
    <definedName name="asew" localSheetId="8">#REF!</definedName>
    <definedName name="asew" localSheetId="3">#REF!</definedName>
    <definedName name="asew" localSheetId="13">#REF!</definedName>
    <definedName name="asew" localSheetId="22">#REF!</definedName>
    <definedName name="asew" localSheetId="4">#REF!</definedName>
    <definedName name="asew" localSheetId="17">#REF!</definedName>
    <definedName name="asew" localSheetId="0">#REF!</definedName>
    <definedName name="asew" localSheetId="20">#REF!</definedName>
    <definedName name="asew" localSheetId="10">#REF!</definedName>
    <definedName name="asew" localSheetId="11">#REF!</definedName>
    <definedName name="asew" localSheetId="9">#REF!</definedName>
    <definedName name="asew" localSheetId="12">#REF!</definedName>
    <definedName name="asew" localSheetId="1">#REF!</definedName>
    <definedName name="asew" localSheetId="2">#REF!</definedName>
    <definedName name="asew" localSheetId="5">#REF!</definedName>
    <definedName name="asew">#REF!</definedName>
    <definedName name="Asistencia" localSheetId="16">#REF!</definedName>
    <definedName name="Asistencia" localSheetId="20">#REF!</definedName>
    <definedName name="Asistencia">#REF!</definedName>
    <definedName name="at1cañodren" localSheetId="16">#REF!</definedName>
    <definedName name="at1cañodren" localSheetId="20">#REF!</definedName>
    <definedName name="at1cañodren">#REF!</definedName>
    <definedName name="at1cemento" localSheetId="20">#REF!</definedName>
    <definedName name="at1cemento">#REF!</definedName>
    <definedName name="at1hierro" localSheetId="20">#REF!</definedName>
    <definedName name="at1hierro">#REF!</definedName>
    <definedName name="aTacceso">#REF!</definedName>
    <definedName name="aTaccesoreadec" localSheetId="16">#REF!</definedName>
    <definedName name="aTaccesoreadec" localSheetId="20">#REF!</definedName>
    <definedName name="aTaccesoreadec">#REF!</definedName>
    <definedName name="aTacondct" localSheetId="16">#REF!</definedName>
    <definedName name="aTacondct" localSheetId="20">#REF!</definedName>
    <definedName name="aTacondct">#REF!</definedName>
    <definedName name="aTalcantarilla" localSheetId="16">#REF!</definedName>
    <definedName name="aTalcantarilla" localSheetId="20">#REF!</definedName>
    <definedName name="aTalcantarilla">#REF!</definedName>
    <definedName name="aTalcantarillareadec" localSheetId="16">#REF!</definedName>
    <definedName name="aTalcantarillareadec" localSheetId="20">#REF!</definedName>
    <definedName name="aTalcantarillareadec">#REF!</definedName>
    <definedName name="aTalteo" localSheetId="16">#REF!</definedName>
    <definedName name="aTalteo" localSheetId="20">#REF!</definedName>
    <definedName name="aTalteo">#REF!</definedName>
    <definedName name="aTalteoreadec" localSheetId="16">#REF!</definedName>
    <definedName name="aTalteoreadec" localSheetId="20">#REF!</definedName>
    <definedName name="aTalteoreadec">#REF!</definedName>
    <definedName name="aTApartido" localSheetId="16">#REF!</definedName>
    <definedName name="aTApartido" localSheetId="20">#REF!</definedName>
    <definedName name="aTApartido">#REF!</definedName>
    <definedName name="aTbacheo" localSheetId="20">#REF!</definedName>
    <definedName name="aTbacheo">#REF!</definedName>
    <definedName name="aTbacheosan" localSheetId="20">#REF!</definedName>
    <definedName name="aTbacheosan">#REF!</definedName>
    <definedName name="aTbandason">#REF!</definedName>
    <definedName name="aTbanquina">#REF!</definedName>
    <definedName name="aTbaranda" localSheetId="16">#REF!</definedName>
    <definedName name="aTbaranda" localSheetId="20">#REF!</definedName>
    <definedName name="aTbaranda">#REF!</definedName>
    <definedName name="aTbarandareadec" localSheetId="16">#REF!</definedName>
    <definedName name="aTbarandareadec" localSheetId="20">#REF!</definedName>
    <definedName name="aTbarandareadec">#REF!</definedName>
    <definedName name="aTbase" localSheetId="16">#REF!</definedName>
    <definedName name="aTbase" localSheetId="20">#REF!</definedName>
    <definedName name="aTbase">#REF!</definedName>
    <definedName name="aTcabezales" localSheetId="16">#REF!</definedName>
    <definedName name="aTcabezales" localSheetId="20">#REF!</definedName>
    <definedName name="aTcabezales">#REF!</definedName>
    <definedName name="aTcalzadahorm" localSheetId="20">#REF!</definedName>
    <definedName name="aTcalzadahorm">#REF!</definedName>
    <definedName name="aTcalzadas" localSheetId="20">#REF!</definedName>
    <definedName name="aTcalzadas">#REF!</definedName>
    <definedName name="aTcarpeta">#REF!</definedName>
    <definedName name="aTcarpetariego">#REF!</definedName>
    <definedName name="aTCCura">#REF!</definedName>
    <definedName name="aTCCurareadec" localSheetId="16">#REF!</definedName>
    <definedName name="aTCCurareadec" localSheetId="20">#REF!</definedName>
    <definedName name="aTCCurareadec">#REF!</definedName>
    <definedName name="aTciclovía" localSheetId="16">#REF!</definedName>
    <definedName name="aTciclovía" localSheetId="20">#REF!</definedName>
    <definedName name="aTciclovía">#REF!</definedName>
    <definedName name="aTciclovíareadec" localSheetId="16">#REF!</definedName>
    <definedName name="aTciclovíareadec" localSheetId="20">#REF!</definedName>
    <definedName name="aTciclovíareadec">#REF!</definedName>
    <definedName name="aTcolumnas" localSheetId="16">#REF!</definedName>
    <definedName name="aTcolumnas" localSheetId="20">#REF!</definedName>
    <definedName name="aTcolumnas">#REF!</definedName>
    <definedName name="aTcortepasto" localSheetId="20">#REF!</definedName>
    <definedName name="aTcortepasto">#REF!</definedName>
    <definedName name="aTdemolicion" localSheetId="20">#REF!</definedName>
    <definedName name="aTdemolicion">#REF!</definedName>
    <definedName name="aTdesembanque">#REF!</definedName>
    <definedName name="aTdren" localSheetId="16">#REF!</definedName>
    <definedName name="aTdren" localSheetId="20">#REF!</definedName>
    <definedName name="aTdren">#REF!</definedName>
    <definedName name="aTescarifbanq" localSheetId="16">#REF!</definedName>
    <definedName name="aTescarifbanq" localSheetId="20">#REF!</definedName>
    <definedName name="aTescarifbanq">#REF!</definedName>
    <definedName name="aTescarificado" localSheetId="16">#REF!</definedName>
    <definedName name="aTescarificado" localSheetId="20">#REF!</definedName>
    <definedName name="aTescarificado">#REF!</definedName>
    <definedName name="aTestribos" localSheetId="16">#REF!</definedName>
    <definedName name="aTestribos" localSheetId="20">#REF!</definedName>
    <definedName name="aTestribos">#REF!</definedName>
    <definedName name="aTexcavacion" localSheetId="20">#REF!</definedName>
    <definedName name="aTexcavacion">#REF!</definedName>
    <definedName name="aTexcavacionreadec" localSheetId="16">#REF!</definedName>
    <definedName name="aTexcavacionreadec" localSheetId="20">#REF!</definedName>
    <definedName name="aTexcavacionreadec">#REF!</definedName>
    <definedName name="aTgaviones" localSheetId="16">#REF!</definedName>
    <definedName name="aTgaviones" localSheetId="20">#REF!</definedName>
    <definedName name="aTgaviones">#REF!</definedName>
    <definedName name="aTHermosoreadec" localSheetId="16">#REF!</definedName>
    <definedName name="aTHermosoreadec" localSheetId="20">#REF!</definedName>
    <definedName name="aTHermosoreadec">#REF!</definedName>
    <definedName name="aThorC" localSheetId="16">#REF!</definedName>
    <definedName name="aThorC" localSheetId="20">#REF!</definedName>
    <definedName name="aThorC">#REF!</definedName>
    <definedName name="aThormigon" localSheetId="16">#REF!</definedName>
    <definedName name="aThormigon" localSheetId="20">#REF!</definedName>
    <definedName name="aThormigon">#REF!</definedName>
    <definedName name="aTimprimacion" localSheetId="16">#REF!</definedName>
    <definedName name="aTimprimacion" localSheetId="20">#REF!</definedName>
    <definedName name="aTimprimacion">#REF!</definedName>
    <definedName name="aTimprimacionreadec" localSheetId="16">#REF!</definedName>
    <definedName name="aTimprimacionreadec" localSheetId="20">#REF!</definedName>
    <definedName name="aTimprimacionreadec">#REF!</definedName>
    <definedName name="aTimprimrefor" localSheetId="16">#REF!</definedName>
    <definedName name="aTimprimrefor" localSheetId="20">#REF!</definedName>
    <definedName name="aTimprimrefor">#REF!</definedName>
    <definedName name="aTinvernal" localSheetId="20">#REF!</definedName>
    <definedName name="aTinvernal">#REF!</definedName>
    <definedName name="aTjunta" localSheetId="20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 localSheetId="16">#REF!</definedName>
    <definedName name="aTlimptransp" localSheetId="20">#REF!</definedName>
    <definedName name="aTlimptransp">#REF!</definedName>
    <definedName name="aTlosa" localSheetId="16">#REF!</definedName>
    <definedName name="aTlosa" localSheetId="20">#REF!</definedName>
    <definedName name="aTlosa">#REF!</definedName>
    <definedName name="aTmatbase" localSheetId="16">#REF!</definedName>
    <definedName name="aTmatbase" localSheetId="20">#REF!</definedName>
    <definedName name="aTmatbase">#REF!</definedName>
    <definedName name="aTmicroaglom" localSheetId="16">#REF!</definedName>
    <definedName name="aTmicroaglom" localSheetId="20">#REF!</definedName>
    <definedName name="aTmicroaglom">#REF!</definedName>
    <definedName name="aTmicroaglomreadec" localSheetId="20">#REF!</definedName>
    <definedName name="aTmicroaglomreadec">#REF!</definedName>
    <definedName name="aTmicroreadec" localSheetId="16">#REF!</definedName>
    <definedName name="aTmicroreadec" localSheetId="20">#REF!</definedName>
    <definedName name="aTmicroreadec">#REF!</definedName>
    <definedName name="aTmontaje" localSheetId="16">#REF!</definedName>
    <definedName name="aTmontaje" localSheetId="20">#REF!</definedName>
    <definedName name="aTmontaje">#REF!</definedName>
    <definedName name="aTpasamano" localSheetId="20">#REF!</definedName>
    <definedName name="aTpasamano">#REF!</definedName>
    <definedName name="aTperfilado" localSheetId="16">#REF!</definedName>
    <definedName name="aTperfilado" localSheetId="20">#REF!</definedName>
    <definedName name="aTperfilado">#REF!</definedName>
    <definedName name="aTpilotes" localSheetId="16">#REF!</definedName>
    <definedName name="aTpilotes" localSheetId="20">#REF!</definedName>
    <definedName name="aTpilotes">#REF!</definedName>
    <definedName name="aTpintado" localSheetId="20">#REF!</definedName>
    <definedName name="aTpintado">#REF!</definedName>
    <definedName name="aTpretiles" localSheetId="20">#REF!</definedName>
    <definedName name="aTpretiles">#REF!</definedName>
    <definedName name="aTpretilesreadec" localSheetId="16">#REF!</definedName>
    <definedName name="aTpretilesreadec" localSheetId="20">#REF!</definedName>
    <definedName name="aTpretilesreadec">#REF!</definedName>
    <definedName name="aTprolongacion" localSheetId="16">#REF!</definedName>
    <definedName name="aTprolongacion" localSheetId="20">#REF!</definedName>
    <definedName name="aTprolongacion">#REF!</definedName>
    <definedName name="aTprolongacionreadec" localSheetId="16">#REF!</definedName>
    <definedName name="aTprolongacionreadec" localSheetId="20">#REF!</definedName>
    <definedName name="aTprolongacionreadec">#REF!</definedName>
    <definedName name="aTproteccion" localSheetId="16">#REF!</definedName>
    <definedName name="aTproteccion" localSheetId="20">#REF!</definedName>
    <definedName name="aTproteccion">#REF!</definedName>
    <definedName name="aTrelleno" localSheetId="20">#REF!</definedName>
    <definedName name="aTrelleno">#REF!</definedName>
    <definedName name="aTrellenoreadec" localSheetId="16">#REF!</definedName>
    <definedName name="aTrellenoreadec" localSheetId="20">#REF!</definedName>
    <definedName name="aTrellenoreadec">#REF!</definedName>
    <definedName name="aTrep8026" localSheetId="16">#REF!</definedName>
    <definedName name="aTrep8026" localSheetId="20">#REF!</definedName>
    <definedName name="aTrep8026">#REF!</definedName>
    <definedName name="aTrep8026readec" localSheetId="16">#REF!</definedName>
    <definedName name="aTrep8026readec" localSheetId="20">#REF!</definedName>
    <definedName name="aTrep8026readec">#REF!</definedName>
    <definedName name="aTrepalc" localSheetId="16">#REF!</definedName>
    <definedName name="aTrepalc" localSheetId="20">#REF!</definedName>
    <definedName name="aTrepalc">#REF!</definedName>
    <definedName name="aTrepalcreadec" localSheetId="20">#REF!</definedName>
    <definedName name="aTrepalcreadec">#REF!</definedName>
    <definedName name="aTrestdrenaje" localSheetId="16">#REF!</definedName>
    <definedName name="aTrestdrenaje" localSheetId="20">#REF!</definedName>
    <definedName name="aTrestdrenaje">#REF!</definedName>
    <definedName name="aTrestdrenajereadec" localSheetId="16">#REF!</definedName>
    <definedName name="aTrestdrenajereadec" localSheetId="20">#REF!</definedName>
    <definedName name="aTrestdrenajereadec">#REF!</definedName>
    <definedName name="aTretderrumbe" localSheetId="16">#REF!</definedName>
    <definedName name="aTretderrumbe" localSheetId="20">#REF!</definedName>
    <definedName name="aTretderrumbe">#REF!</definedName>
    <definedName name="aTretrecolbaranda" localSheetId="16">#REF!</definedName>
    <definedName name="aTretrecolbaranda" localSheetId="20">#REF!</definedName>
    <definedName name="aTretrecolbaranda">#REF!</definedName>
    <definedName name="aTRHermoso" localSheetId="16">#REF!</definedName>
    <definedName name="aTRHermoso" localSheetId="20">#REF!</definedName>
    <definedName name="aTRHermoso">#REF!</definedName>
    <definedName name="aTriego" localSheetId="20">#REF!</definedName>
    <definedName name="aTriego">#REF!</definedName>
    <definedName name="aTrotondas" localSheetId="20">#REF!</definedName>
    <definedName name="aTrotondas">#REF!</definedName>
    <definedName name="aTsandef" localSheetId="16">#REF!</definedName>
    <definedName name="aTsandef" localSheetId="20">#REF!</definedName>
    <definedName name="aTsandef">#REF!</definedName>
    <definedName name="aTsellado" localSheetId="16">#REF!</definedName>
    <definedName name="aTsellado" localSheetId="20">#REF!</definedName>
    <definedName name="aTsellado">#REF!</definedName>
    <definedName name="aTsenda" localSheetId="20">#REF!</definedName>
    <definedName name="aTsenda">#REF!</definedName>
    <definedName name="aTsendareadec" localSheetId="16">#REF!</definedName>
    <definedName name="aTsendareadec" localSheetId="20">#REF!</definedName>
    <definedName name="aTsendareadec">#REF!</definedName>
    <definedName name="aTseñalamiento" localSheetId="16">#REF!</definedName>
    <definedName name="aTseñalamiento" localSheetId="20">#REF!</definedName>
    <definedName name="aTseñalamiento">#REF!</definedName>
    <definedName name="aTseñalamientoreadec" localSheetId="16">#REF!</definedName>
    <definedName name="aTseñalamientoreadec" localSheetId="20">#REF!</definedName>
    <definedName name="aTseñalamientoreadec">#REF!</definedName>
    <definedName name="aTseñalextrusion" localSheetId="16">#REF!</definedName>
    <definedName name="aTseñalextrusion" localSheetId="20">#REF!</definedName>
    <definedName name="aTseñalextrusion">#REF!</definedName>
    <definedName name="aTseñalextrusionreadec" localSheetId="16">#REF!</definedName>
    <definedName name="aTseñalextrusionreadec" localSheetId="20">#REF!</definedName>
    <definedName name="aTseñalextrusionreadec">#REF!</definedName>
    <definedName name="aTseñalizacion" localSheetId="16">#REF!</definedName>
    <definedName name="aTseñalizacion" localSheetId="20">#REF!</definedName>
    <definedName name="aTseñalizacion">#REF!</definedName>
    <definedName name="aTseñalizacionreadec" localSheetId="16">#REF!</definedName>
    <definedName name="aTseñalizacionreadec" localSheetId="20">#REF!</definedName>
    <definedName name="aTseñalizacionreadec">#REF!</definedName>
    <definedName name="aTseñalvertreadec" localSheetId="16">#REF!</definedName>
    <definedName name="aTseñalvertreadec" localSheetId="20">#REF!</definedName>
    <definedName name="aTseñalvertreadec">#REF!</definedName>
    <definedName name="aTsistdren1071" localSheetId="16">#REF!</definedName>
    <definedName name="aTsistdren1071" localSheetId="20">#REF!</definedName>
    <definedName name="aTsistdren1071">#REF!</definedName>
    <definedName name="aTsubbase" localSheetId="20">#REF!</definedName>
    <definedName name="aTsubbase">#REF!</definedName>
    <definedName name="aTterraplen" localSheetId="16">#REF!</definedName>
    <definedName name="aTterraplen" localSheetId="20">#REF!</definedName>
    <definedName name="aTterraplen">#REF!</definedName>
    <definedName name="aTterrapreadec" localSheetId="16">#REF!</definedName>
    <definedName name="aTterrapreadec" localSheetId="20">#REF!</definedName>
    <definedName name="aTterrapreadec">#REF!</definedName>
    <definedName name="aTterrsincomp" localSheetId="16">#REF!</definedName>
    <definedName name="aTterrsincomp" localSheetId="20">#REF!</definedName>
    <definedName name="aTterrsincomp">#REF!</definedName>
    <definedName name="aTtravesia" localSheetId="20">#REF!</definedName>
    <definedName name="aTtravesia">#REF!</definedName>
    <definedName name="aTvigas" localSheetId="20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localSheetId="16" hidden="1">{#N/A,#N/A,FALSE,"Monthly report";#N/A,#N/A,FALSE,"M.R. UEM";#N/A,#N/A,FALSE,"M.R. VCM"}</definedName>
    <definedName name="Avance" localSheetId="21" hidden="1">{#N/A,#N/A,FALSE,"Monthly report";#N/A,#N/A,FALSE,"M.R. UEM";#N/A,#N/A,FALSE,"M.R. VCM"}</definedName>
    <definedName name="Avance" localSheetId="6" hidden="1">{#N/A,#N/A,FALSE,"Monthly report";#N/A,#N/A,FALSE,"M.R. UEM";#N/A,#N/A,FALSE,"M.R. VCM"}</definedName>
    <definedName name="Avance" localSheetId="7" hidden="1">{#N/A,#N/A,FALSE,"Monthly report";#N/A,#N/A,FALSE,"M.R. UEM";#N/A,#N/A,FALSE,"M.R. VCM"}</definedName>
    <definedName name="Avance" localSheetId="17" hidden="1">{#N/A,#N/A,FALSE,"Monthly report";#N/A,#N/A,FALSE,"M.R. UEM";#N/A,#N/A,FALSE,"M.R. VCM"}</definedName>
    <definedName name="Avance" localSheetId="20" hidden="1">{#N/A,#N/A,FALSE,"Monthly report";#N/A,#N/A,FALSE,"M.R. UEM";#N/A,#N/A,FALSE,"M.R. VCM"}</definedName>
    <definedName name="Avance" localSheetId="15" hidden="1">{#N/A,#N/A,FALSE,"Monthly report";#N/A,#N/A,FALSE,"M.R. UEM";#N/A,#N/A,FALSE,"M.R. VCM"}</definedName>
    <definedName name="Avance" localSheetId="14" hidden="1">{#N/A,#N/A,FALSE,"Monthly report";#N/A,#N/A,FALSE,"M.R. UEM";#N/A,#N/A,FALSE,"M.R. VCM"}</definedName>
    <definedName name="Avance" localSheetId="23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2" localSheetId="16" hidden="1">{#N/A,#N/A,FALSE,"Monthly report";#N/A,#N/A,FALSE,"M.R. UEM";#N/A,#N/A,FALSE,"M.R. VCM"}</definedName>
    <definedName name="Avance2" localSheetId="21" hidden="1">{#N/A,#N/A,FALSE,"Monthly report";#N/A,#N/A,FALSE,"M.R. UEM";#N/A,#N/A,FALSE,"M.R. VCM"}</definedName>
    <definedName name="Avance2" localSheetId="6" hidden="1">{#N/A,#N/A,FALSE,"Monthly report";#N/A,#N/A,FALSE,"M.R. UEM";#N/A,#N/A,FALSE,"M.R. VCM"}</definedName>
    <definedName name="Avance2" localSheetId="7" hidden="1">{#N/A,#N/A,FALSE,"Monthly report";#N/A,#N/A,FALSE,"M.R. UEM";#N/A,#N/A,FALSE,"M.R. VCM"}</definedName>
    <definedName name="Avance2" localSheetId="17" hidden="1">{#N/A,#N/A,FALSE,"Monthly report";#N/A,#N/A,FALSE,"M.R. UEM";#N/A,#N/A,FALSE,"M.R. VCM"}</definedName>
    <definedName name="Avance2" localSheetId="20" hidden="1">{#N/A,#N/A,FALSE,"Monthly report";#N/A,#N/A,FALSE,"M.R. UEM";#N/A,#N/A,FALSE,"M.R. VCM"}</definedName>
    <definedName name="Avance2" localSheetId="15" hidden="1">{#N/A,#N/A,FALSE,"Monthly report";#N/A,#N/A,FALSE,"M.R. UEM";#N/A,#N/A,FALSE,"M.R. VCM"}</definedName>
    <definedName name="Avance2" localSheetId="14" hidden="1">{#N/A,#N/A,FALSE,"Monthly report";#N/A,#N/A,FALSE,"M.R. UEM";#N/A,#N/A,FALSE,"M.R. VCM"}</definedName>
    <definedName name="Avance2" localSheetId="23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 localSheetId="16">#REF!</definedName>
    <definedName name="ayudante" localSheetId="8">#REF!</definedName>
    <definedName name="ayudante" localSheetId="3">#REF!</definedName>
    <definedName name="ayudante" localSheetId="13">#REF!</definedName>
    <definedName name="ayudante" localSheetId="22">#REF!</definedName>
    <definedName name="ayudante" localSheetId="4">#REF!</definedName>
    <definedName name="ayudante" localSheetId="20">#REF!</definedName>
    <definedName name="ayudante" localSheetId="10">#REF!</definedName>
    <definedName name="ayudante" localSheetId="11">#REF!</definedName>
    <definedName name="ayudante" localSheetId="9">#REF!</definedName>
    <definedName name="ayudante" localSheetId="12">#REF!</definedName>
    <definedName name="ayudante" localSheetId="1">#REF!</definedName>
    <definedName name="ayudante" localSheetId="2">#REF!</definedName>
    <definedName name="ayudante" localSheetId="5">#REF!</definedName>
    <definedName name="ayudante">#REF!</definedName>
    <definedName name="ayudante4" localSheetId="16">#REF!</definedName>
    <definedName name="ayudante4" localSheetId="20">#REF!</definedName>
    <definedName name="ayudante4">#REF!</definedName>
    <definedName name="ayudante6" localSheetId="16">#REF!</definedName>
    <definedName name="ayudante6" localSheetId="20">#REF!</definedName>
    <definedName name="ayudante6">#REF!</definedName>
    <definedName name="ayudante8" localSheetId="16">#REF!</definedName>
    <definedName name="ayudante8" localSheetId="20">#REF!</definedName>
    <definedName name="ayudante8">#REF!</definedName>
    <definedName name="ayudr" localSheetId="16">#REF!</definedName>
    <definedName name="ayudr" localSheetId="20">#REF!</definedName>
    <definedName name="ayudr">#REF!</definedName>
    <definedName name="b" localSheetId="16">#REF!</definedName>
    <definedName name="B" localSheetId="20">SUM(#REF!)</definedName>
    <definedName name="b">#REF!</definedName>
    <definedName name="B.1" localSheetId="20">#REF!</definedName>
    <definedName name="B.1">#REF!</definedName>
    <definedName name="B.2">#N/A</definedName>
    <definedName name="b_rec_h" localSheetId="16">#REF!</definedName>
    <definedName name="b_rec_h" localSheetId="20">#REF!</definedName>
    <definedName name="b_rec_h">#REF!</definedName>
    <definedName name="b_rec_v" localSheetId="16">#REF!</definedName>
    <definedName name="b_rec_v" localSheetId="20">#REF!</definedName>
    <definedName name="b_rec_v">#REF!</definedName>
    <definedName name="BASE" localSheetId="16">#REF!</definedName>
    <definedName name="BASE" localSheetId="20">#REF!</definedName>
    <definedName name="BASE">#REF!</definedName>
    <definedName name="base_insumos" localSheetId="16">#REF!</definedName>
    <definedName name="base_insumos" localSheetId="20">#REF!</definedName>
    <definedName name="base_insumos">#REF!</definedName>
    <definedName name="BASEABELSON" localSheetId="16">#REF!</definedName>
    <definedName name="BASEABELSON" localSheetId="20">#REF!</definedName>
    <definedName name="BASEABELSON">#REF!</definedName>
    <definedName name="BASEINSU" localSheetId="16">L2C1:L372C15</definedName>
    <definedName name="BASEINSU" localSheetId="21">L2C1:L372C15</definedName>
    <definedName name="BASEINSU" localSheetId="19">L2C1:L372C15</definedName>
    <definedName name="BASEINSU" localSheetId="6">L2C1:L372C15</definedName>
    <definedName name="BASEINSU" localSheetId="7">L2C1:L372C15</definedName>
    <definedName name="BASEINSU" localSheetId="3">L2C1:L372C15</definedName>
    <definedName name="BASEINSU" localSheetId="22">L2C1:L372C15</definedName>
    <definedName name="BASEINSU" localSheetId="17">L2C1:L372C15</definedName>
    <definedName name="BASEINSU" localSheetId="20">L2C1:L372C15</definedName>
    <definedName name="BASEINSU" localSheetId="10">L2C1:L372C15</definedName>
    <definedName name="BASEINSU" localSheetId="11">L2C1:L372C15</definedName>
    <definedName name="BASEINSU" localSheetId="12">L2C1:L372C15</definedName>
    <definedName name="BASEINSU" localSheetId="15">L2C1:L372C15</definedName>
    <definedName name="BASEINSU" localSheetId="14">L2C1:L372C15</definedName>
    <definedName name="BASEINSU" localSheetId="2">L2C1:L372C15</definedName>
    <definedName name="BASEINSU" localSheetId="5">L2C1:L372C15</definedName>
    <definedName name="BASEINSU" localSheetId="23">L2C1:L372C15</definedName>
    <definedName name="BASEINSU">L2C1:L372C15</definedName>
    <definedName name="baseinsumos" localSheetId="16">L2C1:L372C15</definedName>
    <definedName name="baseinsumos" localSheetId="21">L2C1:L372C15</definedName>
    <definedName name="baseinsumos" localSheetId="19">L2C1:L372C15</definedName>
    <definedName name="baseinsumos" localSheetId="6">L2C1:L372C15</definedName>
    <definedName name="baseinsumos" localSheetId="7">L2C1:L372C15</definedName>
    <definedName name="baseinsumos" localSheetId="3">L2C1:L372C15</definedName>
    <definedName name="baseinsumos" localSheetId="22">L2C1:L372C15</definedName>
    <definedName name="baseinsumos" localSheetId="17">L2C1:L372C15</definedName>
    <definedName name="baseinsumos" localSheetId="20">L2C1:L372C15</definedName>
    <definedName name="baseinsumos" localSheetId="10">L2C1:L372C15</definedName>
    <definedName name="baseinsumos" localSheetId="11">L2C1:L372C15</definedName>
    <definedName name="baseinsumos" localSheetId="12">L2C1:L372C15</definedName>
    <definedName name="baseinsumos" localSheetId="15">L2C1:L372C15</definedName>
    <definedName name="baseinsumos" localSheetId="14">L2C1:L372C15</definedName>
    <definedName name="baseinsumos" localSheetId="2">L2C1:L372C15</definedName>
    <definedName name="baseinsumos" localSheetId="5">L2C1:L372C15</definedName>
    <definedName name="baseinsumos" localSheetId="23">L2C1:L372C15</definedName>
    <definedName name="baseinsumos">L2C1:L372C15</definedName>
    <definedName name="be" localSheetId="16">#REF!</definedName>
    <definedName name="be" localSheetId="20">#REF!</definedName>
    <definedName name="be">#REF!</definedName>
    <definedName name="Beg_Bal" localSheetId="20">#REF!</definedName>
    <definedName name="Beg_Bal">#REF!</definedName>
    <definedName name="bene" localSheetId="16">#REF!</definedName>
    <definedName name="bene" localSheetId="21">#REF!</definedName>
    <definedName name="bene" localSheetId="8">#REF!</definedName>
    <definedName name="bene" localSheetId="6">#REF!</definedName>
    <definedName name="bene" localSheetId="7">#REF!</definedName>
    <definedName name="bene" localSheetId="3">#REF!</definedName>
    <definedName name="bene" localSheetId="13">#REF!</definedName>
    <definedName name="bene" localSheetId="22">#REF!</definedName>
    <definedName name="bene" localSheetId="4">#REF!</definedName>
    <definedName name="bene" localSheetId="0">#REF!</definedName>
    <definedName name="bene" localSheetId="20">#REF!</definedName>
    <definedName name="bene" localSheetId="10">#REF!</definedName>
    <definedName name="bene" localSheetId="11">#REF!</definedName>
    <definedName name="bene" localSheetId="9">#REF!</definedName>
    <definedName name="bene" localSheetId="12">#REF!</definedName>
    <definedName name="bene" localSheetId="15">#REF!</definedName>
    <definedName name="bene" localSheetId="14">#REF!</definedName>
    <definedName name="bene" localSheetId="1">#REF!</definedName>
    <definedName name="bene" localSheetId="2">#REF!</definedName>
    <definedName name="bene" localSheetId="5">#REF!</definedName>
    <definedName name="bene">#REF!</definedName>
    <definedName name="BENEFICIO">#REF!</definedName>
    <definedName name="BETA">#N/A</definedName>
    <definedName name="betar">#REF!</definedName>
    <definedName name="betar_c" localSheetId="16">#REF!</definedName>
    <definedName name="betar_c" localSheetId="20">#REF!</definedName>
    <definedName name="betar_c">#REF!</definedName>
    <definedName name="betas" localSheetId="16">#REF!</definedName>
    <definedName name="betas" localSheetId="20">#REF!</definedName>
    <definedName name="betas">#REF!</definedName>
    <definedName name="betas_c" localSheetId="16">#REF!</definedName>
    <definedName name="betas_c" localSheetId="20">#REF!</definedName>
    <definedName name="betas_c">#REF!</definedName>
    <definedName name="BETON" localSheetId="16">#REF!</definedName>
    <definedName name="BETON" localSheetId="20">#REF!</definedName>
    <definedName name="BETON">#REF!</definedName>
    <definedName name="bettar" localSheetId="16">#REF!</definedName>
    <definedName name="bettar" localSheetId="20">#REF!</definedName>
    <definedName name="bettar">#REF!</definedName>
    <definedName name="BI" localSheetId="16">L2C1:L372C15</definedName>
    <definedName name="BI" localSheetId="21">L2C1:L372C15</definedName>
    <definedName name="BI" localSheetId="19">L2C1:L372C15</definedName>
    <definedName name="BI" localSheetId="6">L2C1:L372C15</definedName>
    <definedName name="BI" localSheetId="7">L2C1:L372C15</definedName>
    <definedName name="BI" localSheetId="3">L2C1:L372C15</definedName>
    <definedName name="BI" localSheetId="22">L2C1:L372C15</definedName>
    <definedName name="BI" localSheetId="17">L2C1:L372C15</definedName>
    <definedName name="BI" localSheetId="20">L2C1:L372C15</definedName>
    <definedName name="BI" localSheetId="10">L2C1:L372C15</definedName>
    <definedName name="BI" localSheetId="11">L2C1:L372C15</definedName>
    <definedName name="BI" localSheetId="12">L2C1:L372C15</definedName>
    <definedName name="BI" localSheetId="15">L2C1:L372C15</definedName>
    <definedName name="BI" localSheetId="14">L2C1:L372C15</definedName>
    <definedName name="BI" localSheetId="2">L2C1:L372C15</definedName>
    <definedName name="BI" localSheetId="5">L2C1:L372C15</definedName>
    <definedName name="BI" localSheetId="23">L2C1:L372C15</definedName>
    <definedName name="BI">L2C1:L372C15</definedName>
    <definedName name="bloque20x20x40" localSheetId="16">#REF!</definedName>
    <definedName name="bloque20x20x40" localSheetId="20">#REF!</definedName>
    <definedName name="bloque20x20x40">#REF!</definedName>
    <definedName name="br" localSheetId="16">#REF!</definedName>
    <definedName name="br" localSheetId="20">#REF!</definedName>
    <definedName name="br">#REF!</definedName>
    <definedName name="BRAZ" localSheetId="16">#REF!</definedName>
    <definedName name="BRAZ" localSheetId="20">#REF!</definedName>
    <definedName name="BRAZ">#REF!</definedName>
    <definedName name="BRAZO" localSheetId="20">#REF!</definedName>
    <definedName name="BRAZO">#REF!</definedName>
    <definedName name="bs" localSheetId="20">#REF!</definedName>
    <definedName name="bs">#REF!</definedName>
    <definedName name="BSociales" localSheetId="16">#REF!</definedName>
    <definedName name="BSociales" localSheetId="20">#REF!</definedName>
    <definedName name="BSociales">#REF!</definedName>
    <definedName name="bss" localSheetId="16">#REF!</definedName>
    <definedName name="bss" localSheetId="20">#REF!</definedName>
    <definedName name="bss">#REF!</definedName>
    <definedName name="bsss" localSheetId="16">#REF!</definedName>
    <definedName name="bsss" localSheetId="20">#REF!</definedName>
    <definedName name="bsss">#REF!</definedName>
    <definedName name="C_" localSheetId="20">INDEX(#REF!,MATCH("*[C]*",#REF!,0))</definedName>
    <definedName name="C_">#REF!</definedName>
    <definedName name="ca" localSheetId="16">#REF!</definedName>
    <definedName name="ca" localSheetId="20">#REF!</definedName>
    <definedName name="ca">#REF!</definedName>
    <definedName name="Caeacceso" localSheetId="16">#REF!</definedName>
    <definedName name="Caeacceso" localSheetId="20">#REF!</definedName>
    <definedName name="Caeacceso">#REF!</definedName>
    <definedName name="Caeacondct" localSheetId="16">#REF!</definedName>
    <definedName name="Caeacondct" localSheetId="20">#REF!</definedName>
    <definedName name="Caeacondct">#REF!</definedName>
    <definedName name="Caealcantarilla" localSheetId="16">#REF!</definedName>
    <definedName name="Caealcantarilla" localSheetId="20">#REF!</definedName>
    <definedName name="Caealcantarilla">#REF!</definedName>
    <definedName name="Caealcantarillareadec" localSheetId="16">#REF!</definedName>
    <definedName name="Caealcantarillareadec" localSheetId="20">#REF!</definedName>
    <definedName name="Caealcantarillareadec">#REF!</definedName>
    <definedName name="Caealteomyg" localSheetId="16">#REF!</definedName>
    <definedName name="Caealteomyg" localSheetId="20">#REF!</definedName>
    <definedName name="Caealteomyg">#REF!</definedName>
    <definedName name="CaeApartido" localSheetId="16">#REF!</definedName>
    <definedName name="CaeApartido" localSheetId="20">#REF!</definedName>
    <definedName name="CaeApartido">#REF!</definedName>
    <definedName name="Caeapoyos" localSheetId="20">#REF!</definedName>
    <definedName name="Caeapoyos">#REF!</definedName>
    <definedName name="Caebacheo" localSheetId="20">#REF!</definedName>
    <definedName name="Caebacheo">#REF!</definedName>
    <definedName name="Caebandason">#REF!</definedName>
    <definedName name="Caebandasonreadec" localSheetId="16">#REF!</definedName>
    <definedName name="Caebandasonreadec" localSheetId="20">#REF!</definedName>
    <definedName name="Caebandasonreadec">#REF!</definedName>
    <definedName name="Caebanquina" localSheetId="16">#REF!</definedName>
    <definedName name="Caebanquina" localSheetId="20">#REF!</definedName>
    <definedName name="Caebanquina">#REF!</definedName>
    <definedName name="Caebaranda" localSheetId="16">#REF!</definedName>
    <definedName name="Caebaranda" localSheetId="20">#REF!</definedName>
    <definedName name="Caebaranda">#REF!</definedName>
    <definedName name="Caebarandareadec" localSheetId="16">#REF!</definedName>
    <definedName name="Caebarandareadec" localSheetId="20">#REF!</definedName>
    <definedName name="Caebarandareadec">#REF!</definedName>
    <definedName name="Caebase" localSheetId="16">#REF!</definedName>
    <definedName name="Caebase" localSheetId="20">#REF!</definedName>
    <definedName name="Caebase">#REF!</definedName>
    <definedName name="Caecabezales" localSheetId="16">#REF!</definedName>
    <definedName name="Caecabezales" localSheetId="20">#REF!</definedName>
    <definedName name="Caecabezales">#REF!</definedName>
    <definedName name="Caecalzadahorm" localSheetId="20">#REF!</definedName>
    <definedName name="Caecalzadahorm">#REF!</definedName>
    <definedName name="Caecalzadas" localSheetId="20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 localSheetId="16">#REF!</definedName>
    <definedName name="Caeescarificado" localSheetId="20">#REF!</definedName>
    <definedName name="Caeescarificado">#REF!</definedName>
    <definedName name="Caeestribos" localSheetId="16">#REF!</definedName>
    <definedName name="Caeestribos" localSheetId="20">#REF!</definedName>
    <definedName name="Caeestribos">#REF!</definedName>
    <definedName name="Caeexcavacion" localSheetId="20">#REF!</definedName>
    <definedName name="Caeexcavacion">#REF!</definedName>
    <definedName name="Caeexcavacionreadec" localSheetId="16">#REF!</definedName>
    <definedName name="Caeexcavacionreadec" localSheetId="20">#REF!</definedName>
    <definedName name="Caeexcavacionreadec">#REF!</definedName>
    <definedName name="Caegaviones" localSheetId="16">#REF!</definedName>
    <definedName name="Caegaviones" localSheetId="20">#REF!</definedName>
    <definedName name="Caegaviones">#REF!</definedName>
    <definedName name="Caehor" localSheetId="16">#REF!</definedName>
    <definedName name="Caehor" localSheetId="20">#REF!</definedName>
    <definedName name="Caehor">#REF!</definedName>
    <definedName name="CaehorC" localSheetId="16">#REF!</definedName>
    <definedName name="CaehorC" localSheetId="20">#REF!</definedName>
    <definedName name="CaehorC">#REF!</definedName>
    <definedName name="CaehorCreadec" localSheetId="16">#REF!</definedName>
    <definedName name="CaehorCreadec" localSheetId="20">#REF!</definedName>
    <definedName name="CaehorCreadec">#REF!</definedName>
    <definedName name="Caeimprimacion" localSheetId="16">#REF!</definedName>
    <definedName name="Caeimprimacion" localSheetId="20">#REF!</definedName>
    <definedName name="Caeimprimacion">#REF!</definedName>
    <definedName name="Caeimprimrefor" localSheetId="16">#REF!</definedName>
    <definedName name="Caeimprimrefor" localSheetId="20">#REF!</definedName>
    <definedName name="Caeimprimrefor">#REF!</definedName>
    <definedName name="Caeinvernal" localSheetId="20">#REF!</definedName>
    <definedName name="Caeinvernal">#REF!</definedName>
    <definedName name="Caejunta" localSheetId="20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 localSheetId="16">#REF!</definedName>
    <definedName name="Caelimptransp" localSheetId="20">#REF!</definedName>
    <definedName name="Caelimptransp">#REF!</definedName>
    <definedName name="Caelosa" localSheetId="16">#REF!</definedName>
    <definedName name="Caelosa" localSheetId="20">#REF!</definedName>
    <definedName name="Caelosa">#REF!</definedName>
    <definedName name="Caematbase" localSheetId="16">#REF!</definedName>
    <definedName name="Caematbase" localSheetId="20">#REF!</definedName>
    <definedName name="Caematbase">#REF!</definedName>
    <definedName name="Caemicroaglom" localSheetId="16">#REF!</definedName>
    <definedName name="Caemicroaglom" localSheetId="20">#REF!</definedName>
    <definedName name="Caemicroaglom">#REF!</definedName>
    <definedName name="Caemicroaglomreadec" localSheetId="20">#REF!</definedName>
    <definedName name="Caemicroaglomreadec">#REF!</definedName>
    <definedName name="Caepasamano" localSheetId="20">#REF!</definedName>
    <definedName name="Caepasamano">#REF!</definedName>
    <definedName name="Caeperfilado" localSheetId="16">#REF!</definedName>
    <definedName name="Caeperfilado" localSheetId="20">#REF!</definedName>
    <definedName name="Caeperfilado">#REF!</definedName>
    <definedName name="Caepintado" localSheetId="16">#REF!</definedName>
    <definedName name="Caepintado" localSheetId="20">#REF!</definedName>
    <definedName name="Caepintado">#REF!</definedName>
    <definedName name="Caepretiles" localSheetId="20">#REF!</definedName>
    <definedName name="Caepretiles">#REF!</definedName>
    <definedName name="Caeprolongacion" localSheetId="20">#REF!</definedName>
    <definedName name="Caeprolongacion">#REF!</definedName>
    <definedName name="Caeprolongacionreadec" localSheetId="16">#REF!</definedName>
    <definedName name="Caeprolongacionreadec" localSheetId="20">#REF!</definedName>
    <definedName name="Caeprolongacionreadec">#REF!</definedName>
    <definedName name="Caeproteccion" localSheetId="16">#REF!</definedName>
    <definedName name="Caeproteccion" localSheetId="20">#REF!</definedName>
    <definedName name="Caeproteccion">#REF!</definedName>
    <definedName name="Caereadsistdren1071" localSheetId="16">#REF!</definedName>
    <definedName name="Caereadsistdren1071" localSheetId="20">#REF!</definedName>
    <definedName name="Caereadsistdren1071">#REF!</definedName>
    <definedName name="Caerelleno" localSheetId="16">#REF!</definedName>
    <definedName name="Caerelleno" localSheetId="20">#REF!</definedName>
    <definedName name="Caerelleno">#REF!</definedName>
    <definedName name="CaeRep8026" localSheetId="20">#REF!</definedName>
    <definedName name="CaeRep8026">#REF!</definedName>
    <definedName name="Caerepalc" localSheetId="20">#REF!</definedName>
    <definedName name="Caerepalc">#REF!</definedName>
    <definedName name="Caerestdrenajereadec" localSheetId="16">#REF!</definedName>
    <definedName name="Caerestdrenajereadec" localSheetId="20">#REF!</definedName>
    <definedName name="Caerestdrenajereadec">#REF!</definedName>
    <definedName name="Caeretderrumbe" localSheetId="16">#REF!</definedName>
    <definedName name="Caeretderrumbe" localSheetId="20">#REF!</definedName>
    <definedName name="Caeretderrumbe">#REF!</definedName>
    <definedName name="Caeretrecolbaranda" localSheetId="16">#REF!</definedName>
    <definedName name="Caeretrecolbaranda" localSheetId="20">#REF!</definedName>
    <definedName name="Caeretrecolbaranda">#REF!</definedName>
    <definedName name="CaeRHermoso" localSheetId="16">#REF!</definedName>
    <definedName name="CaeRHermoso" localSheetId="20">#REF!</definedName>
    <definedName name="CaeRHermoso">#REF!</definedName>
    <definedName name="Caeriego" localSheetId="20">#REF!</definedName>
    <definedName name="Caeriego">#REF!</definedName>
    <definedName name="Caerotondas" localSheetId="20">#REF!</definedName>
    <definedName name="Caerotondas">#REF!</definedName>
    <definedName name="Caesandef" localSheetId="16">#REF!</definedName>
    <definedName name="Caesandef" localSheetId="20">#REF!</definedName>
    <definedName name="Caesandef">#REF!</definedName>
    <definedName name="Caesellado" localSheetId="16">#REF!</definedName>
    <definedName name="Caesellado" localSheetId="20">#REF!</definedName>
    <definedName name="Caesellado">#REF!</definedName>
    <definedName name="Caesenda" localSheetId="20">#REF!</definedName>
    <definedName name="Caesenda">#REF!</definedName>
    <definedName name="Caeseñalamiento" localSheetId="20">#REF!</definedName>
    <definedName name="Caeseñalamiento">#REF!</definedName>
    <definedName name="Caeseñalamientoreadec" localSheetId="16">#REF!</definedName>
    <definedName name="Caeseñalamientoreadec" localSheetId="20">#REF!</definedName>
    <definedName name="Caeseñalamientoreadec">#REF!</definedName>
    <definedName name="Caeseñalextrusion" localSheetId="16">#REF!</definedName>
    <definedName name="Caeseñalextrusion" localSheetId="20">#REF!</definedName>
    <definedName name="Caeseñalextrusion">#REF!</definedName>
    <definedName name="Caeseñalextrusionreadec" localSheetId="16">#REF!</definedName>
    <definedName name="Caeseñalextrusionreadec" localSheetId="20">#REF!</definedName>
    <definedName name="Caeseñalextrusionreadec">#REF!</definedName>
    <definedName name="Caeseñalizacion" localSheetId="16">#REF!</definedName>
    <definedName name="Caeseñalizacion" localSheetId="20">#REF!</definedName>
    <definedName name="Caeseñalizacion">#REF!</definedName>
    <definedName name="Caeseñalizacionreadec" localSheetId="16">#REF!</definedName>
    <definedName name="Caeseñalizacionreadec" localSheetId="20">#REF!</definedName>
    <definedName name="Caeseñalizacionreadec">#REF!</definedName>
    <definedName name="Caeseñalvertreadec" localSheetId="16">#REF!</definedName>
    <definedName name="Caeseñalvertreadec" localSheetId="20">#REF!</definedName>
    <definedName name="Caeseñalvertreadec">#REF!</definedName>
    <definedName name="Caesistdren" localSheetId="16">#REF!</definedName>
    <definedName name="Caesistdren" localSheetId="20">#REF!</definedName>
    <definedName name="Caesistdren">#REF!</definedName>
    <definedName name="Caesistdrenreadec" localSheetId="16">#REF!</definedName>
    <definedName name="Caesistdrenreadec" localSheetId="20">#REF!</definedName>
    <definedName name="Caesistdrenreadec">#REF!</definedName>
    <definedName name="Caesubbase" localSheetId="16">#REF!</definedName>
    <definedName name="Caesubbase" localSheetId="20">#REF!</definedName>
    <definedName name="Caesubbase">#REF!</definedName>
    <definedName name="Caeterraplen" localSheetId="20">#REF!</definedName>
    <definedName name="Caeterraplen">#REF!</definedName>
    <definedName name="Caeterraplenreadec" localSheetId="16">#REF!</definedName>
    <definedName name="Caeterraplenreadec" localSheetId="20">#REF!</definedName>
    <definedName name="Caeterraplenreadec">#REF!</definedName>
    <definedName name="Caeterrsincomp" localSheetId="16">#REF!</definedName>
    <definedName name="Caeterrsincomp" localSheetId="20">#REF!</definedName>
    <definedName name="Caeterrsincomp">#REF!</definedName>
    <definedName name="Caetravesia" localSheetId="20">#REF!</definedName>
    <definedName name="Caetravesia">#REF!</definedName>
    <definedName name="Caevigas" localSheetId="20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 localSheetId="16">#REF!</definedName>
    <definedName name="calHidr" localSheetId="20">#REF!</definedName>
    <definedName name="calHidr">#REF!</definedName>
    <definedName name="CalidadAcero" localSheetId="16">#REF!</definedName>
    <definedName name="CalidadAcero" localSheetId="20">#REF!</definedName>
    <definedName name="CalidadAcero">#REF!</definedName>
    <definedName name="campocodigoanalisis" localSheetId="16">#REF!</definedName>
    <definedName name="campocodigoanalisis" localSheetId="20">#REF!</definedName>
    <definedName name="campocodigoanalisis">#REF!</definedName>
    <definedName name="CAÑERIA_DE_IMPULSION__P._LAVALLE_SAENZ_PEÑA" localSheetId="16">#REF!</definedName>
    <definedName name="CAÑERIA_DE_IMPULSION__P._LAVALLE_SAENZ_PEÑA" localSheetId="20">#REF!</definedName>
    <definedName name="CAÑERIA_DE_IMPULSION__P._LAVALLE_SAENZ_PEÑA">#REF!</definedName>
    <definedName name="Caracteres_del_Alfabeto_Griego" localSheetId="20">#REF!</definedName>
    <definedName name="Caracteres_del_Alfabeto_Griego">#REF!</definedName>
    <definedName name="CARGAS" localSheetId="16">#REF!</definedName>
    <definedName name="CARGAS" localSheetId="20">#REF!</definedName>
    <definedName name="CARGAS">#REF!</definedName>
    <definedName name="Cargas_Sociales" localSheetId="16">#REF!</definedName>
    <definedName name="Cargas_Sociales" localSheetId="20">#REF!</definedName>
    <definedName name="Cargas_Sociales">#REF!</definedName>
    <definedName name="carlosa" localSheetId="16">#REF!</definedName>
    <definedName name="carlosa" localSheetId="20">#REF!</definedName>
    <definedName name="carlosa">#REF!</definedName>
    <definedName name="carlosar" localSheetId="20">#REF!</definedName>
    <definedName name="carlosar">#REF!</definedName>
    <definedName name="cascada" localSheetId="16">#REF!</definedName>
    <definedName name="cascada" localSheetId="20">#REF!</definedName>
    <definedName name="cascada">#REF!</definedName>
    <definedName name="CAT" localSheetId="16">#REF!</definedName>
    <definedName name="CAT" localSheetId="20">#REF!</definedName>
    <definedName name="CAT">#REF!</definedName>
    <definedName name="CC" localSheetId="20">#REF!</definedName>
    <definedName name="CC">#REF!</definedName>
    <definedName name="cccccc" localSheetId="8">#REF!</definedName>
    <definedName name="cccccc" localSheetId="3">#REF!</definedName>
    <definedName name="cccccc" localSheetId="13">#REF!</definedName>
    <definedName name="cccccc" localSheetId="22">#REF!</definedName>
    <definedName name="cccccc" localSheetId="4">#REF!</definedName>
    <definedName name="cccccc" localSheetId="0">#REF!</definedName>
    <definedName name="cccccc" localSheetId="20">#REF!</definedName>
    <definedName name="cccccc" localSheetId="10">#REF!</definedName>
    <definedName name="cccccc" localSheetId="11">#REF!</definedName>
    <definedName name="cccccc" localSheetId="9">#REF!</definedName>
    <definedName name="cccccc" localSheetId="12">#REF!</definedName>
    <definedName name="cccccc" localSheetId="1">#REF!</definedName>
    <definedName name="cccccc" localSheetId="2">#REF!</definedName>
    <definedName name="cccccc" localSheetId="5">#REF!</definedName>
    <definedName name="cccccc">#REF!</definedName>
    <definedName name="cd" localSheetId="20">#REF!</definedName>
    <definedName name="cd">#REF!</definedName>
    <definedName name="cddos" localSheetId="20">#REF!</definedName>
    <definedName name="cddos">#REF!</definedName>
    <definedName name="CDT" localSheetId="20">#REF!</definedName>
    <definedName name="CDT">#REF!</definedName>
    <definedName name="CE0" localSheetId="16">#REF!</definedName>
    <definedName name="CE0" localSheetId="3">#REF!</definedName>
    <definedName name="CE0" localSheetId="13">#REF!</definedName>
    <definedName name="CE0" localSheetId="22">#REF!</definedName>
    <definedName name="CE0" localSheetId="4">#REF!</definedName>
    <definedName name="CE0" localSheetId="17">#REF!</definedName>
    <definedName name="CE0" localSheetId="0">#REF!</definedName>
    <definedName name="CE0" localSheetId="20">#REF!</definedName>
    <definedName name="CE0">#REF!</definedName>
    <definedName name="CE1_" localSheetId="16">#REF!</definedName>
    <definedName name="CE1_" localSheetId="3">#REF!</definedName>
    <definedName name="CE1_" localSheetId="22">#REF!</definedName>
    <definedName name="CE1_" localSheetId="4">#REF!</definedName>
    <definedName name="CE1_" localSheetId="17">#REF!</definedName>
    <definedName name="CE1_" localSheetId="0">#REF!</definedName>
    <definedName name="CE1_" localSheetId="20">#REF!</definedName>
    <definedName name="CE1_">#REF!</definedName>
    <definedName name="CE2_" localSheetId="16">#REF!</definedName>
    <definedName name="CE2_" localSheetId="17">#REF!</definedName>
    <definedName name="CE2_" localSheetId="0">#REF!</definedName>
    <definedName name="CE2_" localSheetId="20">#REF!</definedName>
    <definedName name="CE2_">#REF!</definedName>
    <definedName name="CE3_" localSheetId="16">#REF!</definedName>
    <definedName name="CE3_" localSheetId="17">#REF!</definedName>
    <definedName name="CE3_" localSheetId="0">#REF!</definedName>
    <definedName name="CE3_" localSheetId="20">#REF!</definedName>
    <definedName name="CE3_">#REF!</definedName>
    <definedName name="CEBE" localSheetId="16">#REF!</definedName>
    <definedName name="CEBE" localSheetId="20">#REF!</definedName>
    <definedName name="CEBE">#REF!</definedName>
    <definedName name="CECF" localSheetId="16">#REF!</definedName>
    <definedName name="CECF" localSheetId="20">#REF!</definedName>
    <definedName name="CECF">#REF!</definedName>
    <definedName name="CEGG" localSheetId="16">#REF!</definedName>
    <definedName name="CEGG" localSheetId="20">#REF!</definedName>
    <definedName name="CEGG">#REF!</definedName>
    <definedName name="CEIM" localSheetId="16">#REF!</definedName>
    <definedName name="CEIM" localSheetId="20">#REF!</definedName>
    <definedName name="CEIM">#REF!</definedName>
    <definedName name="ceme" localSheetId="16">#REF!</definedName>
    <definedName name="ceme" localSheetId="20">#REF!</definedName>
    <definedName name="ceme">#REF!</definedName>
    <definedName name="cemento" localSheetId="16">#REF!</definedName>
    <definedName name="cemento" localSheetId="20">#REF!</definedName>
    <definedName name="cemento">#REF!</definedName>
    <definedName name="CEMR" localSheetId="16">#REF!</definedName>
    <definedName name="CEMR" localSheetId="20">#REF!</definedName>
    <definedName name="CEMR">#REF!</definedName>
    <definedName name="CEo" localSheetId="16">#REF!</definedName>
    <definedName name="CEo" localSheetId="20">#REF!</definedName>
    <definedName name="CEo">#REF!</definedName>
    <definedName name="Certificado2" localSheetId="16">#REF!</definedName>
    <definedName name="Certificado2" localSheetId="21">#REF!</definedName>
    <definedName name="Certificado2" localSheetId="8">#REF!</definedName>
    <definedName name="Certificado2" localSheetId="6">#REF!</definedName>
    <definedName name="Certificado2" localSheetId="7">#REF!</definedName>
    <definedName name="Certificado2" localSheetId="3">#REF!</definedName>
    <definedName name="Certificado2" localSheetId="13">#REF!</definedName>
    <definedName name="Certificado2" localSheetId="22">#REF!</definedName>
    <definedName name="Certificado2" localSheetId="4">#REF!</definedName>
    <definedName name="Certificado2" localSheetId="0">#REF!</definedName>
    <definedName name="Certificado2" localSheetId="20">#REF!</definedName>
    <definedName name="Certificado2" localSheetId="10">#REF!</definedName>
    <definedName name="Certificado2" localSheetId="11">#REF!</definedName>
    <definedName name="Certificado2" localSheetId="9">#REF!</definedName>
    <definedName name="Certificado2" localSheetId="12">#REF!</definedName>
    <definedName name="Certificado2" localSheetId="15">#REF!</definedName>
    <definedName name="Certificado2" localSheetId="14">#REF!</definedName>
    <definedName name="Certificado2" localSheetId="1">#REF!</definedName>
    <definedName name="Certificado2" localSheetId="2">#REF!</definedName>
    <definedName name="Certificado2" localSheetId="5">#REF!</definedName>
    <definedName name="Certificado2">#REF!</definedName>
    <definedName name="Ch.Tech" localSheetId="20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 localSheetId="16">#REF!</definedName>
    <definedName name="CICVH" localSheetId="3">#REF!</definedName>
    <definedName name="CICVH" localSheetId="22">#REF!</definedName>
    <definedName name="CICVH" localSheetId="4">#REF!</definedName>
    <definedName name="CICVH" localSheetId="0">#REF!</definedName>
    <definedName name="CICVH" localSheetId="20">#REF!</definedName>
    <definedName name="CICVH">#REF!</definedName>
    <definedName name="CIEA" localSheetId="16">#REF!</definedName>
    <definedName name="CIEA" localSheetId="3">#REF!</definedName>
    <definedName name="CIEA" localSheetId="22">#REF!</definedName>
    <definedName name="CIEA" localSheetId="4">#REF!</definedName>
    <definedName name="CIEA" localSheetId="0">#REF!</definedName>
    <definedName name="CIEA" localSheetId="20">#REF!</definedName>
    <definedName name="CIEA">#REF!</definedName>
    <definedName name="CIEE" localSheetId="16">#REF!</definedName>
    <definedName name="CIEE" localSheetId="0">#REF!</definedName>
    <definedName name="CIEE" localSheetId="20">#REF!</definedName>
    <definedName name="CIEE">#REF!</definedName>
    <definedName name="CIEF" localSheetId="16">#REF!</definedName>
    <definedName name="CIEF" localSheetId="0">#REF!</definedName>
    <definedName name="CIEF" localSheetId="20">#REF!</definedName>
    <definedName name="CIEF">#REF!</definedName>
    <definedName name="CIEG" localSheetId="16">#REF!</definedName>
    <definedName name="CIEG" localSheetId="0">#REF!</definedName>
    <definedName name="CIEG" localSheetId="20">#REF!</definedName>
    <definedName name="CIEG">#REF!</definedName>
    <definedName name="CISTERNA_Y_E.E._EN_SAENZ_PEÑA" localSheetId="16">#REF!</definedName>
    <definedName name="CISTERNA_Y_E.E._EN_SAENZ_PEÑA" localSheetId="20">#REF!</definedName>
    <definedName name="CISTERNA_Y_E.E._EN_SAENZ_PEÑA">#REF!</definedName>
    <definedName name="clase" localSheetId="16">#REF!</definedName>
    <definedName name="clase" localSheetId="20">#REF!</definedName>
    <definedName name="clase">#REF!</definedName>
    <definedName name="Clases_Edificios" localSheetId="16">#REF!</definedName>
    <definedName name="Clases_Edificios" localSheetId="20">#REF!</definedName>
    <definedName name="Clases_Edificios">#REF!</definedName>
    <definedName name="clav" localSheetId="16">#REF!</definedName>
    <definedName name="clav" localSheetId="20">#REF!</definedName>
    <definedName name="clav">#REF!</definedName>
    <definedName name="clavos" localSheetId="16">#REF!</definedName>
    <definedName name="clavos" localSheetId="20">#REF!</definedName>
    <definedName name="clavos">#REF!</definedName>
    <definedName name="cm_prsum">#REF!</definedName>
    <definedName name="cm_sum">#REF!</definedName>
    <definedName name="CM0" localSheetId="16">#REF!</definedName>
    <definedName name="CM0" localSheetId="0">#REF!</definedName>
    <definedName name="CM0" localSheetId="20">#REF!</definedName>
    <definedName name="CM0">#REF!</definedName>
    <definedName name="CM1_" localSheetId="16">#REF!</definedName>
    <definedName name="CM1_" localSheetId="0">#REF!</definedName>
    <definedName name="CM1_" localSheetId="20">#REF!</definedName>
    <definedName name="CM1_">#REF!</definedName>
    <definedName name="CM3_" localSheetId="16">#REF!</definedName>
    <definedName name="CM3_" localSheetId="0">#REF!</definedName>
    <definedName name="CM3_" localSheetId="20">#REF!</definedName>
    <definedName name="CM3_">#REF!</definedName>
    <definedName name="CM4_" localSheetId="16">#REF!</definedName>
    <definedName name="CM4_" localSheetId="0">#REF!</definedName>
    <definedName name="CM4_" localSheetId="20">#REF!</definedName>
    <definedName name="CM4_">#REF!</definedName>
    <definedName name="CMA" localSheetId="16">#REF!</definedName>
    <definedName name="CMA" localSheetId="0">#REF!</definedName>
    <definedName name="CMA" localSheetId="20">#REF!</definedName>
    <definedName name="CMA">#REF!</definedName>
    <definedName name="CMAX" localSheetId="16">#REF!</definedName>
    <definedName name="CMAX" localSheetId="20">#REF!</definedName>
    <definedName name="CMAX">#REF!</definedName>
    <definedName name="CMMO" localSheetId="16">#REF!</definedName>
    <definedName name="CMMO" localSheetId="0">#REF!</definedName>
    <definedName name="CMMO" localSheetId="20">#REF!</definedName>
    <definedName name="CMMO">#REF!</definedName>
    <definedName name="CMO" localSheetId="16">#REF!</definedName>
    <definedName name="CMO" localSheetId="0">#REF!</definedName>
    <definedName name="CMO" localSheetId="20">#REF!</definedName>
    <definedName name="CMO">#REF!</definedName>
    <definedName name="CMOE" localSheetId="16">#REF!</definedName>
    <definedName name="CMOE" localSheetId="0">#REF!</definedName>
    <definedName name="CMOE" localSheetId="20">#REF!</definedName>
    <definedName name="CMOE">#REF!</definedName>
    <definedName name="CMP" localSheetId="16">#REF!</definedName>
    <definedName name="CMP" localSheetId="0">#REF!</definedName>
    <definedName name="CMP" localSheetId="20">#REF!</definedName>
    <definedName name="CMP">#REF!</definedName>
    <definedName name="CMZ" localSheetId="16">#REF!</definedName>
    <definedName name="CMZ" localSheetId="0">#REF!</definedName>
    <definedName name="CMZ" localSheetId="20">#REF!</definedName>
    <definedName name="CMZ">#REF!</definedName>
    <definedName name="codigoanalisis" localSheetId="16">#REF!</definedName>
    <definedName name="codigoanalisis" localSheetId="20">#REF!</definedName>
    <definedName name="codigoanalisis">#REF!</definedName>
    <definedName name="codigoformulas" localSheetId="16">#REF!</definedName>
    <definedName name="codigoformulas" localSheetId="20">#REF!</definedName>
    <definedName name="codigoformulas">#REF!</definedName>
    <definedName name="codigoinsumos" localSheetId="16">#REF!</definedName>
    <definedName name="codigoinsumos" localSheetId="20">#REF!</definedName>
    <definedName name="codigoinsumos">#REF!</definedName>
    <definedName name="codigoitems" localSheetId="16">#REF!</definedName>
    <definedName name="codigoitems" localSheetId="20">#REF!</definedName>
    <definedName name="codigoitems">#REF!</definedName>
    <definedName name="codigomat" localSheetId="16">#REF!</definedName>
    <definedName name="codigomat" localSheetId="20">#REF!</definedName>
    <definedName name="codigomat">#REF!</definedName>
    <definedName name="CodigoParametrico" localSheetId="8">#REF!</definedName>
    <definedName name="CodigoParametrico" localSheetId="3">#REF!</definedName>
    <definedName name="CodigoParametrico" localSheetId="13">#REF!</definedName>
    <definedName name="CodigoParametrico" localSheetId="22">#REF!</definedName>
    <definedName name="CodigoParametrico" localSheetId="4">#REF!</definedName>
    <definedName name="CodigoParametrico" localSheetId="17">#REF!</definedName>
    <definedName name="CodigoParametrico" localSheetId="0">#REF!</definedName>
    <definedName name="CodigoParametrico" localSheetId="20">#REF!</definedName>
    <definedName name="CodigoParametrico" localSheetId="10">#REF!</definedName>
    <definedName name="CodigoParametrico" localSheetId="11">#REF!</definedName>
    <definedName name="CodigoParametrico" localSheetId="9">#REF!</definedName>
    <definedName name="CodigoParametrico" localSheetId="12">#REF!</definedName>
    <definedName name="CodigoParametrico" localSheetId="1">#REF!</definedName>
    <definedName name="CodigoParametrico" localSheetId="2">#REF!</definedName>
    <definedName name="CodigoParametrico" localSheetId="5">#REF!</definedName>
    <definedName name="CodigoParametrico">#REF!</definedName>
    <definedName name="coef" localSheetId="16">#REF!</definedName>
    <definedName name="coef" localSheetId="21">#REF!</definedName>
    <definedName name="coef" localSheetId="8">#REF!</definedName>
    <definedName name="coef" localSheetId="6">#REF!</definedName>
    <definedName name="coef" localSheetId="7">#REF!</definedName>
    <definedName name="coef" localSheetId="3">#REF!</definedName>
    <definedName name="coef" localSheetId="13">#REF!</definedName>
    <definedName name="coef" localSheetId="22">#REF!</definedName>
    <definedName name="coef" localSheetId="4">#REF!</definedName>
    <definedName name="coef" localSheetId="0">#REF!</definedName>
    <definedName name="coef" localSheetId="20">#REF!</definedName>
    <definedName name="coef" localSheetId="10">#REF!</definedName>
    <definedName name="coef" localSheetId="11">#REF!</definedName>
    <definedName name="coef" localSheetId="9">#REF!</definedName>
    <definedName name="coef" localSheetId="12">#REF!</definedName>
    <definedName name="coef" localSheetId="15">#REF!</definedName>
    <definedName name="coef" localSheetId="14">#REF!</definedName>
    <definedName name="coef" localSheetId="1">#REF!</definedName>
    <definedName name="coef" localSheetId="2">#REF!</definedName>
    <definedName name="coef" localSheetId="5">#REF!</definedName>
    <definedName name="coef">#REF!</definedName>
    <definedName name="Coef_GG_B_I" localSheetId="8">#REF!</definedName>
    <definedName name="Coef_GG_B_I" localSheetId="3">#REF!</definedName>
    <definedName name="Coef_GG_B_I" localSheetId="13">#REF!</definedName>
    <definedName name="Coef_GG_B_I" localSheetId="22">#REF!</definedName>
    <definedName name="Coef_GG_B_I" localSheetId="4">#REF!</definedName>
    <definedName name="Coef_GG_B_I" localSheetId="0">#REF!</definedName>
    <definedName name="Coef_GG_B_I" localSheetId="10">#REF!</definedName>
    <definedName name="Coef_GG_B_I" localSheetId="11">#REF!</definedName>
    <definedName name="Coef_GG_B_I" localSheetId="9">#REF!</definedName>
    <definedName name="Coef_GG_B_I" localSheetId="12">#REF!</definedName>
    <definedName name="Coef_GG_B_I" localSheetId="1">#REF!</definedName>
    <definedName name="Coef_GG_B_I" localSheetId="2">#REF!</definedName>
    <definedName name="Coef_GG_B_I" localSheetId="5">#REF!</definedName>
    <definedName name="Coef_GG_B_I">#REF!</definedName>
    <definedName name="columna">#REF!</definedName>
    <definedName name="COLUMNAS" localSheetId="16">#REF!</definedName>
    <definedName name="COLUMNAS" localSheetId="20">#REF!</definedName>
    <definedName name="COLUMNAS">#REF!</definedName>
    <definedName name="Comb" localSheetId="16">#REF!</definedName>
    <definedName name="Comb" localSheetId="20">#REF!</definedName>
    <definedName name="Comb">#REF!</definedName>
    <definedName name="Combinaciones_cargas" localSheetId="16">#REF!</definedName>
    <definedName name="Combinaciones_cargas" localSheetId="20">#REF!</definedName>
    <definedName name="Combinaciones_cargas">#REF!</definedName>
    <definedName name="COMPANIA" localSheetId="16">#REF!</definedName>
    <definedName name="COMPANIA" localSheetId="8">#REF!</definedName>
    <definedName name="COMPANIA" localSheetId="13">#REF!</definedName>
    <definedName name="COMPANIA" localSheetId="20">#REF!</definedName>
    <definedName name="COMPANIA" localSheetId="10">#REF!</definedName>
    <definedName name="COMPANIA" localSheetId="11">#REF!</definedName>
    <definedName name="COMPANIA" localSheetId="9">#REF!</definedName>
    <definedName name="COMPANIA" localSheetId="12">#REF!</definedName>
    <definedName name="COMPANIA" localSheetId="1">#REF!</definedName>
    <definedName name="COMPANIA" localSheetId="2">#REF!</definedName>
    <definedName name="COMPANIA" localSheetId="5">#REF!</definedName>
    <definedName name="COMPANIA">#REF!</definedName>
    <definedName name="COMPUTO" localSheetId="20">#REF!</definedName>
    <definedName name="COMPUTO">#REF!</definedName>
    <definedName name="COMPUTOS" localSheetId="20">#REF!</definedName>
    <definedName name="COMPUTOS">#REF!</definedName>
    <definedName name="Constante_de_los_Gases" localSheetId="20">#REF!</definedName>
    <definedName name="Constante_de_los_Gases">#REF!</definedName>
    <definedName name="constantes" localSheetId="16">#REF!</definedName>
    <definedName name="constantes" localSheetId="20">#REF!</definedName>
    <definedName name="constantes">#REF!</definedName>
    <definedName name="Consumo" localSheetId="16">#REF!</definedName>
    <definedName name="Consumo" localSheetId="20">#REF!</definedName>
    <definedName name="Consumo">#REF!</definedName>
    <definedName name="Contribucion_Patronal_s_Decreto_2641" localSheetId="16">#REF!</definedName>
    <definedName name="Contribucion_Patronal_s_Decreto_2641" localSheetId="20">#REF!</definedName>
    <definedName name="Contribucion_Patronal_s_Decreto_2641">#REF!</definedName>
    <definedName name="copete" localSheetId="16">#REF!</definedName>
    <definedName name="copete" localSheetId="20">#REF!</definedName>
    <definedName name="copete">#REF!</definedName>
    <definedName name="COPIA" localSheetId="16">#REF!</definedName>
    <definedName name="COPIA" localSheetId="20">#REF!</definedName>
    <definedName name="COPIA">#REF!</definedName>
    <definedName name="Correa" localSheetId="20">#REF!</definedName>
    <definedName name="Correa">#REF!</definedName>
    <definedName name="COSTO">#N/A</definedName>
    <definedName name="COSTO_DIRECTO" localSheetId="16">#REF!</definedName>
    <definedName name="COSTO_DIRECTO" localSheetId="20">#REF!</definedName>
    <definedName name="COSTO_DIRECTO">#REF!</definedName>
    <definedName name="COSTO_INDIRECTO" localSheetId="16">#REF!</definedName>
    <definedName name="COSTO_INDIRECTO" localSheetId="20">#REF!</definedName>
    <definedName name="COSTO_INDIRECTO">#REF!</definedName>
    <definedName name="CostoEquipos" localSheetId="16">#REF!</definedName>
    <definedName name="CostoEquipos" localSheetId="20">#REF!</definedName>
    <definedName name="CostoEquipos">#REF!</definedName>
    <definedName name="coti3" localSheetId="8">#REF!</definedName>
    <definedName name="coti3" localSheetId="3">#REF!</definedName>
    <definedName name="coti3" localSheetId="13">#REF!</definedName>
    <definedName name="coti3" localSheetId="22">#REF!</definedName>
    <definedName name="coti3" localSheetId="4">#REF!</definedName>
    <definedName name="coti3" localSheetId="17">#REF!</definedName>
    <definedName name="coti3" localSheetId="0">#REF!</definedName>
    <definedName name="coti3" localSheetId="20">#REF!</definedName>
    <definedName name="coti3" localSheetId="24">#REF!</definedName>
    <definedName name="coti3" localSheetId="10">#REF!</definedName>
    <definedName name="coti3" localSheetId="11">#REF!</definedName>
    <definedName name="coti3" localSheetId="9">#REF!</definedName>
    <definedName name="coti3" localSheetId="12">#REF!</definedName>
    <definedName name="coti3" localSheetId="1">#REF!</definedName>
    <definedName name="coti3" localSheetId="2">#REF!</definedName>
    <definedName name="coti3" localSheetId="5">#REF!</definedName>
    <definedName name="coti3">#REF!</definedName>
    <definedName name="coti4" localSheetId="8">#REF!</definedName>
    <definedName name="coti4" localSheetId="3">#REF!</definedName>
    <definedName name="coti4" localSheetId="13">#REF!</definedName>
    <definedName name="coti4" localSheetId="22">#REF!</definedName>
    <definedName name="coti4" localSheetId="4">#REF!</definedName>
    <definedName name="coti4" localSheetId="17">#REF!</definedName>
    <definedName name="coti4" localSheetId="0">#REF!</definedName>
    <definedName name="coti4" localSheetId="20">#REF!</definedName>
    <definedName name="coti4" localSheetId="10">#REF!</definedName>
    <definedName name="coti4" localSheetId="11">#REF!</definedName>
    <definedName name="coti4" localSheetId="9">#REF!</definedName>
    <definedName name="coti4" localSheetId="12">#REF!</definedName>
    <definedName name="coti4" localSheetId="1">#REF!</definedName>
    <definedName name="coti4" localSheetId="2">#REF!</definedName>
    <definedName name="coti4" localSheetId="5">#REF!</definedName>
    <definedName name="coti4">#REF!</definedName>
    <definedName name="Cotizador_automatico_del_pedido." localSheetId="8">#REF!</definedName>
    <definedName name="Cotizador_automatico_del_pedido." localSheetId="3">#REF!</definedName>
    <definedName name="Cotizador_automatico_del_pedido." localSheetId="13">#REF!</definedName>
    <definedName name="Cotizador_automatico_del_pedido." localSheetId="22">#REF!</definedName>
    <definedName name="Cotizador_automatico_del_pedido." localSheetId="4">#REF!</definedName>
    <definedName name="Cotizador_automatico_del_pedido." localSheetId="17">#REF!</definedName>
    <definedName name="Cotizador_automatico_del_pedido." localSheetId="0">#REF!</definedName>
    <definedName name="Cotizador_automatico_del_pedido." localSheetId="20">#REF!</definedName>
    <definedName name="Cotizador_automatico_del_pedido." localSheetId="10">#REF!</definedName>
    <definedName name="Cotizador_automatico_del_pedido." localSheetId="11">#REF!</definedName>
    <definedName name="Cotizador_automatico_del_pedido." localSheetId="9">#REF!</definedName>
    <definedName name="Cotizador_automatico_del_pedido." localSheetId="12">#REF!</definedName>
    <definedName name="Cotizador_automatico_del_pedido." localSheetId="1">#REF!</definedName>
    <definedName name="Cotizador_automatico_del_pedido." localSheetId="2">#REF!</definedName>
    <definedName name="Cotizador_automatico_del_pedido." localSheetId="5">#REF!</definedName>
    <definedName name="Cotizador_automatico_del_pedido.">#REF!</definedName>
    <definedName name="cotizador2" localSheetId="8">#REF!</definedName>
    <definedName name="cotizador2" localSheetId="3">#REF!</definedName>
    <definedName name="cotizador2" localSheetId="13">#REF!</definedName>
    <definedName name="cotizador2" localSheetId="22">#REF!</definedName>
    <definedName name="cotizador2" localSheetId="4">#REF!</definedName>
    <definedName name="cotizador2" localSheetId="0">#REF!</definedName>
    <definedName name="cotizador2" localSheetId="20">#REF!</definedName>
    <definedName name="cotizador2" localSheetId="10">#REF!</definedName>
    <definedName name="cotizador2" localSheetId="11">#REF!</definedName>
    <definedName name="cotizador2" localSheetId="9">#REF!</definedName>
    <definedName name="cotizador2" localSheetId="12">#REF!</definedName>
    <definedName name="cotizador2" localSheetId="1">#REF!</definedName>
    <definedName name="cotizador2" localSheetId="2">#REF!</definedName>
    <definedName name="cotizador2" localSheetId="5">#REF!</definedName>
    <definedName name="cotizador2">#REF!</definedName>
    <definedName name="CreditoFiscal" localSheetId="20">#REF!</definedName>
    <definedName name="CreditoFiscal">#REF!</definedName>
    <definedName name="_xlnm.Criteria" localSheetId="8">#REF!</definedName>
    <definedName name="_xlnm.Criteria" localSheetId="3">#REF!</definedName>
    <definedName name="_xlnm.Criteria" localSheetId="13">#REF!</definedName>
    <definedName name="_xlnm.Criteria" localSheetId="22">#REF!</definedName>
    <definedName name="_xlnm.Criteria" localSheetId="4">#REF!</definedName>
    <definedName name="_xlnm.Criteria" localSheetId="0">#REF!</definedName>
    <definedName name="_xlnm.Criteria" localSheetId="20">#REF!</definedName>
    <definedName name="_xlnm.Criteria" localSheetId="10">#REF!</definedName>
    <definedName name="_xlnm.Criteria" localSheetId="11">#REF!</definedName>
    <definedName name="_xlnm.Criteria" localSheetId="9">#REF!</definedName>
    <definedName name="_xlnm.Criteria" localSheetId="12">#REF!</definedName>
    <definedName name="_xlnm.Criteria" localSheetId="1">#REF!</definedName>
    <definedName name="_xlnm.Criteria" localSheetId="2">#REF!</definedName>
    <definedName name="_xlnm.Criteria" localSheetId="5">#REF!</definedName>
    <definedName name="_xlnm.Criteria">#REF!</definedName>
    <definedName name="Crracceso" localSheetId="20">#REF!</definedName>
    <definedName name="Crracceso">#REF!</definedName>
    <definedName name="Crracondct" localSheetId="16">#REF!</definedName>
    <definedName name="Crracondct" localSheetId="20">#REF!</definedName>
    <definedName name="Crracondct">#REF!</definedName>
    <definedName name="Crralcantarilla" localSheetId="16">#REF!</definedName>
    <definedName name="Crralcantarilla" localSheetId="20">#REF!</definedName>
    <definedName name="Crralcantarilla">#REF!</definedName>
    <definedName name="Crralcantarillareadec" localSheetId="16">#REF!</definedName>
    <definedName name="Crralcantarillareadec" localSheetId="20">#REF!</definedName>
    <definedName name="Crralcantarillareadec">#REF!</definedName>
    <definedName name="Crralteomyg" localSheetId="16">#REF!</definedName>
    <definedName name="Crralteomyg" localSheetId="20">#REF!</definedName>
    <definedName name="Crralteomyg">#REF!</definedName>
    <definedName name="CrrApartido" localSheetId="16">#REF!</definedName>
    <definedName name="CrrApartido" localSheetId="20">#REF!</definedName>
    <definedName name="CrrApartido">#REF!</definedName>
    <definedName name="Crrapoyos" localSheetId="20">#REF!</definedName>
    <definedName name="Crrapoyos">#REF!</definedName>
    <definedName name="Crrbacheo" localSheetId="20">#REF!</definedName>
    <definedName name="Crrbacheo">#REF!</definedName>
    <definedName name="Crrbandason">#REF!</definedName>
    <definedName name="Crrbandasonreadec" localSheetId="16">#REF!</definedName>
    <definedName name="Crrbandasonreadec" localSheetId="20">#REF!</definedName>
    <definedName name="Crrbandasonreadec">#REF!</definedName>
    <definedName name="Crrbanquina" localSheetId="16">#REF!</definedName>
    <definedName name="Crrbanquina" localSheetId="20">#REF!</definedName>
    <definedName name="Crrbanquina">#REF!</definedName>
    <definedName name="Crrbaranda" localSheetId="16">#REF!</definedName>
    <definedName name="Crrbaranda" localSheetId="20">#REF!</definedName>
    <definedName name="Crrbaranda">#REF!</definedName>
    <definedName name="Crrbarandareadec" localSheetId="16">#REF!</definedName>
    <definedName name="Crrbarandareadec" localSheetId="20">#REF!</definedName>
    <definedName name="Crrbarandareadec">#REF!</definedName>
    <definedName name="Crrbase" localSheetId="16">#REF!</definedName>
    <definedName name="Crrbase" localSheetId="20">#REF!</definedName>
    <definedName name="Crrbase">#REF!</definedName>
    <definedName name="Crrcabezales" localSheetId="16">#REF!</definedName>
    <definedName name="Crrcabezales" localSheetId="20">#REF!</definedName>
    <definedName name="Crrcabezales">#REF!</definedName>
    <definedName name="Crrcalzadahorm" localSheetId="20">#REF!</definedName>
    <definedName name="Crrcalzadahorm">#REF!</definedName>
    <definedName name="Crrcalzadas" localSheetId="20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 localSheetId="16">#REF!</definedName>
    <definedName name="Crrescarificado" localSheetId="20">#REF!</definedName>
    <definedName name="Crrescarificado">#REF!</definedName>
    <definedName name="Crrestribos" localSheetId="16">#REF!</definedName>
    <definedName name="Crrestribos" localSheetId="20">#REF!</definedName>
    <definedName name="Crrestribos">#REF!</definedName>
    <definedName name="Crrexcavacion" localSheetId="20">#REF!</definedName>
    <definedName name="Crrexcavacion">#REF!</definedName>
    <definedName name="Crrexcavacionreadec" localSheetId="16">#REF!</definedName>
    <definedName name="Crrexcavacionreadec" localSheetId="20">#REF!</definedName>
    <definedName name="Crrexcavacionreadec">#REF!</definedName>
    <definedName name="Crrgaviones" localSheetId="16">#REF!</definedName>
    <definedName name="Crrgaviones" localSheetId="20">#REF!</definedName>
    <definedName name="Crrgaviones">#REF!</definedName>
    <definedName name="Crrhor" localSheetId="16">#REF!</definedName>
    <definedName name="Crrhor" localSheetId="20">#REF!</definedName>
    <definedName name="Crrhor">#REF!</definedName>
    <definedName name="CrrhorC" localSheetId="16">#REF!</definedName>
    <definedName name="CrrhorC" localSheetId="20">#REF!</definedName>
    <definedName name="CrrhorC">#REF!</definedName>
    <definedName name="CrrhorCreadec" localSheetId="16">#REF!</definedName>
    <definedName name="CrrhorCreadec" localSheetId="20">#REF!</definedName>
    <definedName name="CrrhorCreadec">#REF!</definedName>
    <definedName name="Crrimprimacion" localSheetId="16">#REF!</definedName>
    <definedName name="Crrimprimacion" localSheetId="20">#REF!</definedName>
    <definedName name="Crrimprimacion">#REF!</definedName>
    <definedName name="Crrimprimrefor" localSheetId="16">#REF!</definedName>
    <definedName name="Crrimprimrefor" localSheetId="20">#REF!</definedName>
    <definedName name="Crrimprimrefor">#REF!</definedName>
    <definedName name="Crrinvernal" localSheetId="20">#REF!</definedName>
    <definedName name="Crrinvernal">#REF!</definedName>
    <definedName name="Crrjunta" localSheetId="20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 localSheetId="16">#REF!</definedName>
    <definedName name="Crrlimptransp" localSheetId="20">#REF!</definedName>
    <definedName name="Crrlimptransp">#REF!</definedName>
    <definedName name="Crrlosa" localSheetId="16">#REF!</definedName>
    <definedName name="Crrlosa" localSheetId="20">#REF!</definedName>
    <definedName name="Crrlosa">#REF!</definedName>
    <definedName name="Crrmatbase" localSheetId="16">#REF!</definedName>
    <definedName name="Crrmatbase" localSheetId="20">#REF!</definedName>
    <definedName name="Crrmatbase">#REF!</definedName>
    <definedName name="Crrmicroaglom" localSheetId="16">#REF!</definedName>
    <definedName name="Crrmicroaglom" localSheetId="20">#REF!</definedName>
    <definedName name="Crrmicroaglom">#REF!</definedName>
    <definedName name="Crrmicroaglomreadec" localSheetId="20">#REF!</definedName>
    <definedName name="Crrmicroaglomreadec">#REF!</definedName>
    <definedName name="Crrmontaje" localSheetId="20">#REF!</definedName>
    <definedName name="Crrmontaje">#REF!</definedName>
    <definedName name="Crrpasamano">#REF!</definedName>
    <definedName name="Crrperfilado" localSheetId="16">#REF!</definedName>
    <definedName name="Crrperfilado" localSheetId="20">#REF!</definedName>
    <definedName name="Crrperfilado">#REF!</definedName>
    <definedName name="Crrpilotes" localSheetId="16">#REF!</definedName>
    <definedName name="Crrpilotes" localSheetId="20">#REF!</definedName>
    <definedName name="Crrpilotes">#REF!</definedName>
    <definedName name="Crrpintado" localSheetId="20">#REF!</definedName>
    <definedName name="Crrpintado">#REF!</definedName>
    <definedName name="Crrpretiles" localSheetId="20">#REF!</definedName>
    <definedName name="Crrpretiles">#REF!</definedName>
    <definedName name="Crrprolongacion">#REF!</definedName>
    <definedName name="Crrprolongacionreadec" localSheetId="16">#REF!</definedName>
    <definedName name="Crrprolongacionreadec" localSheetId="20">#REF!</definedName>
    <definedName name="Crrprolongacionreadec">#REF!</definedName>
    <definedName name="Crrproteccion" localSheetId="16">#REF!</definedName>
    <definedName name="Crrproteccion" localSheetId="20">#REF!</definedName>
    <definedName name="Crrproteccion">#REF!</definedName>
    <definedName name="Crrreadsistdren1071" localSheetId="16">#REF!</definedName>
    <definedName name="Crrreadsistdren1071" localSheetId="20">#REF!</definedName>
    <definedName name="Crrreadsistdren1071">#REF!</definedName>
    <definedName name="Crrrelleno" localSheetId="16">#REF!</definedName>
    <definedName name="Crrrelleno" localSheetId="20">#REF!</definedName>
    <definedName name="Crrrelleno">#REF!</definedName>
    <definedName name="Crrrep8026" localSheetId="20">#REF!</definedName>
    <definedName name="Crrrep8026">#REF!</definedName>
    <definedName name="Crrrepalc" localSheetId="20">#REF!</definedName>
    <definedName name="Crrrepalc">#REF!</definedName>
    <definedName name="Crrrestdrenajereadec" localSheetId="16">#REF!</definedName>
    <definedName name="Crrrestdrenajereadec" localSheetId="20">#REF!</definedName>
    <definedName name="Crrrestdrenajereadec">#REF!</definedName>
    <definedName name="Crrretderrumbe" localSheetId="16">#REF!</definedName>
    <definedName name="Crrretderrumbe" localSheetId="20">#REF!</definedName>
    <definedName name="Crrretderrumbe">#REF!</definedName>
    <definedName name="Crrretrecolbaranda" localSheetId="16">#REF!</definedName>
    <definedName name="Crrretrecolbaranda" localSheetId="20">#REF!</definedName>
    <definedName name="Crrretrecolbaranda">#REF!</definedName>
    <definedName name="CrrRHermoso" localSheetId="16">#REF!</definedName>
    <definedName name="CrrRHermoso" localSheetId="20">#REF!</definedName>
    <definedName name="CrrRHermoso">#REF!</definedName>
    <definedName name="Crrriego" localSheetId="20">#REF!</definedName>
    <definedName name="Crrriego">#REF!</definedName>
    <definedName name="Crrrotondas" localSheetId="20">#REF!</definedName>
    <definedName name="Crrrotondas">#REF!</definedName>
    <definedName name="Crrsandef" localSheetId="16">#REF!</definedName>
    <definedName name="Crrsandef" localSheetId="20">#REF!</definedName>
    <definedName name="Crrsandef">#REF!</definedName>
    <definedName name="Crrsellado" localSheetId="16">#REF!</definedName>
    <definedName name="Crrsellado" localSheetId="20">#REF!</definedName>
    <definedName name="Crrsellado">#REF!</definedName>
    <definedName name="Crrsenda" localSheetId="20">#REF!</definedName>
    <definedName name="Crrsenda">#REF!</definedName>
    <definedName name="Crrseñalamientoreadec" localSheetId="16">#REF!</definedName>
    <definedName name="Crrseñalamientoreadec" localSheetId="20">#REF!</definedName>
    <definedName name="Crrseñalamientoreadec">#REF!</definedName>
    <definedName name="Crrseñalextrusion" localSheetId="16">#REF!</definedName>
    <definedName name="Crrseñalextrusion" localSheetId="20">#REF!</definedName>
    <definedName name="Crrseñalextrusion">#REF!</definedName>
    <definedName name="Crrseñalextrusionreadec" localSheetId="16">#REF!</definedName>
    <definedName name="Crrseñalextrusionreadec" localSheetId="20">#REF!</definedName>
    <definedName name="Crrseñalextrusionreadec">#REF!</definedName>
    <definedName name="Crrseñalizacion" localSheetId="16">#REF!</definedName>
    <definedName name="Crrseñalizacion" localSheetId="20">#REF!</definedName>
    <definedName name="Crrseñalizacion">#REF!</definedName>
    <definedName name="Crrseñalizacionreadec" localSheetId="16">#REF!</definedName>
    <definedName name="Crrseñalizacionreadec" localSheetId="20">#REF!</definedName>
    <definedName name="Crrseñalizacionreadec">#REF!</definedName>
    <definedName name="Crrseñalvertreadec" localSheetId="16">#REF!</definedName>
    <definedName name="Crrseñalvertreadec" localSheetId="20">#REF!</definedName>
    <definedName name="Crrseñalvertreadec">#REF!</definedName>
    <definedName name="Crrsistdren" localSheetId="16">#REF!</definedName>
    <definedName name="Crrsistdren" localSheetId="20">#REF!</definedName>
    <definedName name="Crrsistdren">#REF!</definedName>
    <definedName name="Crrsistdrenreadec" localSheetId="16">#REF!</definedName>
    <definedName name="Crrsistdrenreadec" localSheetId="20">#REF!</definedName>
    <definedName name="Crrsistdrenreadec">#REF!</definedName>
    <definedName name="Crrsubbase" localSheetId="16">#REF!</definedName>
    <definedName name="Crrsubbase" localSheetId="20">#REF!</definedName>
    <definedName name="Crrsubbase">#REF!</definedName>
    <definedName name="Crrterraplen" localSheetId="16">#REF!</definedName>
    <definedName name="Crrterraplen" localSheetId="20">#REF!</definedName>
    <definedName name="Crrterraplen">#REF!</definedName>
    <definedName name="Crrterraplenreadec" localSheetId="16">#REF!</definedName>
    <definedName name="Crrterraplenreadec" localSheetId="20">#REF!</definedName>
    <definedName name="Crrterraplenreadec">#REF!</definedName>
    <definedName name="Crrterrsincomp" localSheetId="16">#REF!</definedName>
    <definedName name="Crrterrsincomp" localSheetId="20">#REF!</definedName>
    <definedName name="Crrterrsincomp">#REF!</definedName>
    <definedName name="Crrtravesia" localSheetId="20">#REF!</definedName>
    <definedName name="Crrtravesia">#REF!</definedName>
    <definedName name="Crrvigas" localSheetId="20">#REF!</definedName>
    <definedName name="Crrvigas">#REF!</definedName>
    <definedName name="Cuad.">#REF!</definedName>
    <definedName name="CUANT">#N/A</definedName>
    <definedName name="cub" localSheetId="16">#REF!</definedName>
    <definedName name="cub" localSheetId="20">#REF!</definedName>
    <definedName name="cub">#REF!</definedName>
    <definedName name="cucu" localSheetId="16">#REF!</definedName>
    <definedName name="cucu" localSheetId="20">#REF!</definedName>
    <definedName name="cucu">#REF!</definedName>
    <definedName name="CUR_MONTH">#REF!</definedName>
    <definedName name="CurrentBudget2CAt">#REF!</definedName>
    <definedName name="CurrentMonth">#REF!</definedName>
    <definedName name="CurrentYear">#REF!</definedName>
    <definedName name="CurrentYearCat">#REF!</definedName>
    <definedName name="Cus" localSheetId="16">#REF!</definedName>
    <definedName name="Cus" localSheetId="20">#REF!</definedName>
    <definedName name="Cus">#REF!</definedName>
    <definedName name="d" localSheetId="16">#REF!</definedName>
    <definedName name="d" localSheetId="21">#REF!</definedName>
    <definedName name="d" localSheetId="8">#REF!</definedName>
    <definedName name="d" localSheetId="6">#REF!</definedName>
    <definedName name="d" localSheetId="7">#REF!</definedName>
    <definedName name="d" localSheetId="3">#REF!</definedName>
    <definedName name="d" localSheetId="13">#REF!</definedName>
    <definedName name="d" localSheetId="22">#REF!</definedName>
    <definedName name="d" localSheetId="4">#REF!</definedName>
    <definedName name="d" localSheetId="0">#REF!</definedName>
    <definedName name="D" localSheetId="20">INDEX(#REF!,MATCH("*[D]*",#REF!,0))</definedName>
    <definedName name="d" localSheetId="10">#REF!</definedName>
    <definedName name="d" localSheetId="11">#REF!</definedName>
    <definedName name="d" localSheetId="9">#REF!</definedName>
    <definedName name="d" localSheetId="12">#REF!</definedName>
    <definedName name="d" localSheetId="15">#REF!</definedName>
    <definedName name="d" localSheetId="14">#REF!</definedName>
    <definedName name="d" localSheetId="1">#REF!</definedName>
    <definedName name="d" localSheetId="2">#REF!</definedName>
    <definedName name="d" localSheetId="5">#REF!</definedName>
    <definedName name="d">#REF!</definedName>
    <definedName name="d.10" localSheetId="16">#REF!</definedName>
    <definedName name="d.10" localSheetId="20">#REF!</definedName>
    <definedName name="d.10">#REF!</definedName>
    <definedName name="d.12" localSheetId="16">#REF!</definedName>
    <definedName name="d.12" localSheetId="20">#REF!</definedName>
    <definedName name="d.12">#REF!</definedName>
    <definedName name="d.16" localSheetId="16">#REF!</definedName>
    <definedName name="d.16" localSheetId="20">#REF!</definedName>
    <definedName name="d.16">#REF!</definedName>
    <definedName name="d.20" localSheetId="16">#REF!</definedName>
    <definedName name="d.20" localSheetId="20">#REF!</definedName>
    <definedName name="d.20">#REF!</definedName>
    <definedName name="d.25" localSheetId="16">#REF!</definedName>
    <definedName name="d.25" localSheetId="20">#REF!</definedName>
    <definedName name="d.25">#REF!</definedName>
    <definedName name="d.6" localSheetId="16">#REF!</definedName>
    <definedName name="d.6" localSheetId="20">#REF!</definedName>
    <definedName name="d.6">#REF!</definedName>
    <definedName name="d.8" localSheetId="16">#REF!</definedName>
    <definedName name="d.8" localSheetId="20">#REF!</definedName>
    <definedName name="d.8">#REF!</definedName>
    <definedName name="dat">#REF!</definedName>
    <definedName name="Data" localSheetId="16">#REF!</definedName>
    <definedName name="Data" localSheetId="20">#REF!</definedName>
    <definedName name="Data">#REF!</definedName>
    <definedName name="_xlnm.Database" localSheetId="20">#REF!</definedName>
    <definedName name="_xlnm.Database">#REF!</definedName>
    <definedName name="DATOS" localSheetId="20">#REF!</definedName>
    <definedName name="DATOS">#REF!</definedName>
    <definedName name="DCC" localSheetId="16">#REF!</definedName>
    <definedName name="DCC" localSheetId="8">#REF!</definedName>
    <definedName name="DCC" localSheetId="3">#REF!</definedName>
    <definedName name="DCC" localSheetId="22">#REF!</definedName>
    <definedName name="DCC" localSheetId="4">#REF!</definedName>
    <definedName name="DCC" localSheetId="0">#REF!</definedName>
    <definedName name="DCC" localSheetId="20">#REF!</definedName>
    <definedName name="DCC" localSheetId="24">#REF!</definedName>
    <definedName name="DCC" localSheetId="1">#REF!</definedName>
    <definedName name="DCC" localSheetId="2">#REF!</definedName>
    <definedName name="DCC" localSheetId="5">#REF!</definedName>
    <definedName name="DCC">#REF!</definedName>
    <definedName name="ddlim" localSheetId="20">#REF!</definedName>
    <definedName name="ddlim">#REF!</definedName>
    <definedName name="decimal" localSheetId="16" hidden="1">{"DECIMAL",#N/A,FALSE,"02"}</definedName>
    <definedName name="decimal" localSheetId="21" hidden="1">{"DECIMAL",#N/A,FALSE,"02"}</definedName>
    <definedName name="decimal" localSheetId="6" hidden="1">{"DECIMAL",#N/A,FALSE,"02"}</definedName>
    <definedName name="decimal" localSheetId="7" hidden="1">{"DECIMAL",#N/A,FALSE,"02"}</definedName>
    <definedName name="decimal" localSheetId="17" hidden="1">{"DECIMAL",#N/A,FALSE,"02"}</definedName>
    <definedName name="decimal" localSheetId="20" hidden="1">{"DECIMAL",#N/A,FALSE,"02"}</definedName>
    <definedName name="decimal" localSheetId="15" hidden="1">{"DECIMAL",#N/A,FALSE,"02"}</definedName>
    <definedName name="decimal" localSheetId="14" hidden="1">{"DECIMAL",#N/A,FALSE,"02"}</definedName>
    <definedName name="decimal" localSheetId="23" hidden="1">{"DECIMAL",#N/A,FALSE,"02"}</definedName>
    <definedName name="decimal" hidden="1">{"DECIMAL",#N/A,FALSE,"02"}</definedName>
    <definedName name="Decreto_2641_02" localSheetId="16">#REF!</definedName>
    <definedName name="Decreto_2641_02" localSheetId="20">#REF!</definedName>
    <definedName name="Decreto_2641_02">#REF!</definedName>
    <definedName name="DEESP" localSheetId="16">#REF!</definedName>
    <definedName name="DEESP" localSheetId="3">#REF!</definedName>
    <definedName name="DEESP" localSheetId="13">#REF!</definedName>
    <definedName name="DEESP" localSheetId="22">#REF!</definedName>
    <definedName name="DEESP" localSheetId="4">#REF!</definedName>
    <definedName name="DEESP" localSheetId="17">#REF!</definedName>
    <definedName name="DEESP" localSheetId="0">#REF!</definedName>
    <definedName name="DEESP" localSheetId="20">#REF!</definedName>
    <definedName name="DEESP">#REF!</definedName>
    <definedName name="DELTA">#N/A</definedName>
    <definedName name="DenominacionAcero" localSheetId="16">#REF!</definedName>
    <definedName name="DenominacionAcero" localSheetId="20">#REF!</definedName>
    <definedName name="DenominacionAcero">#REF!</definedName>
    <definedName name="DenominacioPerfiles" localSheetId="20">#REF!</definedName>
    <definedName name="DenominacioPerfiles">#REF!</definedName>
    <definedName name="Descuentos" localSheetId="8">#REF!</definedName>
    <definedName name="Descuentos" localSheetId="3">#REF!</definedName>
    <definedName name="Descuentos" localSheetId="13">#REF!</definedName>
    <definedName name="Descuentos" localSheetId="22">#REF!</definedName>
    <definedName name="Descuentos" localSheetId="4">#REF!</definedName>
    <definedName name="Descuentos" localSheetId="17">#REF!</definedName>
    <definedName name="Descuentos" localSheetId="0">#REF!</definedName>
    <definedName name="Descuentos" localSheetId="20">#REF!</definedName>
    <definedName name="Descuentos" localSheetId="10">#REF!</definedName>
    <definedName name="Descuentos" localSheetId="11">#REF!</definedName>
    <definedName name="Descuentos" localSheetId="9">#REF!</definedName>
    <definedName name="Descuentos" localSheetId="12">#REF!</definedName>
    <definedName name="Descuentos" localSheetId="1">#REF!</definedName>
    <definedName name="Descuentos" localSheetId="2">#REF!</definedName>
    <definedName name="Descuentos" localSheetId="5">#REF!</definedName>
    <definedName name="Descuentos">#REF!</definedName>
    <definedName name="Descuentos2" localSheetId="8">#REF!</definedName>
    <definedName name="Descuentos2" localSheetId="3">#REF!</definedName>
    <definedName name="Descuentos2" localSheetId="13">#REF!</definedName>
    <definedName name="Descuentos2" localSheetId="22">#REF!</definedName>
    <definedName name="Descuentos2" localSheetId="4">#REF!</definedName>
    <definedName name="Descuentos2" localSheetId="17">#REF!</definedName>
    <definedName name="Descuentos2" localSheetId="0">#REF!</definedName>
    <definedName name="Descuentos2" localSheetId="20">#REF!</definedName>
    <definedName name="Descuentos2" localSheetId="10">#REF!</definedName>
    <definedName name="Descuentos2" localSheetId="11">#REF!</definedName>
    <definedName name="Descuentos2" localSheetId="9">#REF!</definedName>
    <definedName name="Descuentos2" localSheetId="12">#REF!</definedName>
    <definedName name="Descuentos2" localSheetId="1">#REF!</definedName>
    <definedName name="Descuentos2" localSheetId="2">#REF!</definedName>
    <definedName name="Descuentos2" localSheetId="5">#REF!</definedName>
    <definedName name="Descuentos2">#REF!</definedName>
    <definedName name="Desperdicio_Armadura" localSheetId="16">#REF!</definedName>
    <definedName name="Desperdicio_Armadura" localSheetId="20">#REF!</definedName>
    <definedName name="Desperdicio_Armadura">#REF!</definedName>
    <definedName name="Destino_Edificio" localSheetId="16">#REF!</definedName>
    <definedName name="Destino_Edificio" localSheetId="20">#REF!</definedName>
    <definedName name="Destino_Edificio">#REF!</definedName>
    <definedName name="Detalle" localSheetId="16" hidden="1">{"NORMAL",#N/A,FALSE,"02"}</definedName>
    <definedName name="Detalle" localSheetId="21" hidden="1">{"NORMAL",#N/A,FALSE,"02"}</definedName>
    <definedName name="Detalle" localSheetId="6" hidden="1">{"NORMAL",#N/A,FALSE,"02"}</definedName>
    <definedName name="Detalle" localSheetId="7" hidden="1">{"NORMAL",#N/A,FALSE,"02"}</definedName>
    <definedName name="Detalle" localSheetId="17" hidden="1">{"NORMAL",#N/A,FALSE,"02"}</definedName>
    <definedName name="Detalle" localSheetId="20" hidden="1">{"NORMAL",#N/A,FALSE,"02"}</definedName>
    <definedName name="Detalle" localSheetId="15" hidden="1">{"NORMAL",#N/A,FALSE,"02"}</definedName>
    <definedName name="Detalle" localSheetId="14" hidden="1">{"NORMAL",#N/A,FALSE,"02"}</definedName>
    <definedName name="Detalle" localSheetId="23" hidden="1">{"NORMAL",#N/A,FALSE,"02"}</definedName>
    <definedName name="Detalle" hidden="1">{"NORMAL",#N/A,FALSE,"02"}</definedName>
    <definedName name="dF">#REF!</definedName>
    <definedName name="dfgsgsg">#REF!</definedName>
    <definedName name="DHDAM" localSheetId="16">#REF!</definedName>
    <definedName name="DHDAM" localSheetId="3">#REF!</definedName>
    <definedName name="DHDAM" localSheetId="13">#REF!</definedName>
    <definedName name="DHDAM" localSheetId="22">#REF!</definedName>
    <definedName name="DHDAM" localSheetId="4">#REF!</definedName>
    <definedName name="DHDAM" localSheetId="17">#REF!</definedName>
    <definedName name="DHDAM" localSheetId="0">#REF!</definedName>
    <definedName name="DHDAM" localSheetId="20">#REF!</definedName>
    <definedName name="DHDAM">#REF!</definedName>
    <definedName name="DHDD" localSheetId="16">#REF!</definedName>
    <definedName name="DHDD" localSheetId="3">#REF!</definedName>
    <definedName name="DHDD" localSheetId="22">#REF!</definedName>
    <definedName name="DHDD" localSheetId="4">#REF!</definedName>
    <definedName name="DHDD" localSheetId="17">#REF!</definedName>
    <definedName name="DHDD" localSheetId="0">#REF!</definedName>
    <definedName name="DHDD" localSheetId="20">#REF!</definedName>
    <definedName name="DHDD">#REF!</definedName>
    <definedName name="DHDDA" localSheetId="16">#REF!</definedName>
    <definedName name="DHDDA" localSheetId="17">#REF!</definedName>
    <definedName name="DHDDA" localSheetId="0">#REF!</definedName>
    <definedName name="DHDDA" localSheetId="20">#REF!</definedName>
    <definedName name="DHDDA">#REF!</definedName>
    <definedName name="DHDDB" localSheetId="16">#REF!</definedName>
    <definedName name="DHDDB" localSheetId="20">#REF!</definedName>
    <definedName name="DHDDB">#REF!</definedName>
    <definedName name="DHDDE" localSheetId="16">#REF!</definedName>
    <definedName name="DHDDE" localSheetId="3">#REF!</definedName>
    <definedName name="DHDDE" localSheetId="13">#REF!</definedName>
    <definedName name="DHDDE" localSheetId="22">#REF!</definedName>
    <definedName name="DHDDE" localSheetId="4">#REF!</definedName>
    <definedName name="DHDDE" localSheetId="17">#REF!</definedName>
    <definedName name="DHDDE" localSheetId="0">#REF!</definedName>
    <definedName name="DHDDE" localSheetId="20">#REF!</definedName>
    <definedName name="DHDDE">#REF!</definedName>
    <definedName name="DHDEM" localSheetId="16">#REF!</definedName>
    <definedName name="DHDEM" localSheetId="3">#REF!</definedName>
    <definedName name="DHDEM" localSheetId="22">#REF!</definedName>
    <definedName name="DHDEM" localSheetId="4">#REF!</definedName>
    <definedName name="DHDEM" localSheetId="17">#REF!</definedName>
    <definedName name="DHDEM" localSheetId="0">#REF!</definedName>
    <definedName name="DHDEM" localSheetId="20">#REF!</definedName>
    <definedName name="DHDEM">#REF!</definedName>
    <definedName name="DHDPO" localSheetId="16">#REF!</definedName>
    <definedName name="DHDPO" localSheetId="17">#REF!</definedName>
    <definedName name="DHDPO" localSheetId="0">#REF!</definedName>
    <definedName name="DHDPO" localSheetId="20">#REF!</definedName>
    <definedName name="DHDPO">#REF!</definedName>
    <definedName name="DHMPO" localSheetId="16">#REF!</definedName>
    <definedName name="DHMPO" localSheetId="17">#REF!</definedName>
    <definedName name="DHMPO" localSheetId="0">#REF!</definedName>
    <definedName name="DHMPO" localSheetId="20">#REF!</definedName>
    <definedName name="DHMPO">#REF!</definedName>
    <definedName name="DIAMETROS" localSheetId="16">#REF!</definedName>
    <definedName name="DIAMETROS" localSheetId="20">#REF!</definedName>
    <definedName name="DIAMETROS">#REF!</definedName>
    <definedName name="Diámetros_y_Espesores_de_P.V.C." localSheetId="20">#REF!</definedName>
    <definedName name="Diámetros_y_Espesores_de_P.V.C.">#REF!</definedName>
    <definedName name="Dias_Enfermedad" localSheetId="16">#REF!</definedName>
    <definedName name="Dias_Enfermedad" localSheetId="20">#REF!</definedName>
    <definedName name="Dias_Enfermedad">#REF!</definedName>
    <definedName name="dic.21" localSheetId="23">'[1]Indice CAC'!#REF!</definedName>
    <definedName name="dic.21">'Indice CAC'!#REF!</definedName>
    <definedName name="dic.22" localSheetId="23">'[1]Indice CAC'!#REF!</definedName>
    <definedName name="dic.22">'Indice CAC'!#REF!</definedName>
    <definedName name="dic.23">'Indice CAC'!#REF!</definedName>
    <definedName name="dic.24">'Indice CAC'!$B$2</definedName>
    <definedName name="dic.25">'Indice CAC'!$B$14</definedName>
    <definedName name="dici21" localSheetId="23">'[1]Indice CAC'!#REF!</definedName>
    <definedName name="dici21">'Indice CAC'!#REF!</definedName>
    <definedName name="dici22" localSheetId="23">'[1]Indice CAC'!#REF!</definedName>
    <definedName name="dici22">'Indice CAC'!#REF!</definedName>
    <definedName name="dici23">'Indice CAC'!#REF!</definedName>
    <definedName name="Diesel" localSheetId="16">#REF!</definedName>
    <definedName name="Diesel" localSheetId="20">#REF!</definedName>
    <definedName name="Diesel">#REF!</definedName>
    <definedName name="dil" localSheetId="16">#REF!</definedName>
    <definedName name="dil" localSheetId="20">#REF!</definedName>
    <definedName name="dil">#REF!</definedName>
    <definedName name="DINTS" localSheetId="16">#REF!</definedName>
    <definedName name="DINTS" localSheetId="3">#REF!</definedName>
    <definedName name="DINTS" localSheetId="13">#REF!</definedName>
    <definedName name="DINTS" localSheetId="22">#REF!</definedName>
    <definedName name="DINTS" localSheetId="4">#REF!</definedName>
    <definedName name="DINTS" localSheetId="17">#REF!</definedName>
    <definedName name="DINTS" localSheetId="0">#REF!</definedName>
    <definedName name="DINTS" localSheetId="20">#REF!</definedName>
    <definedName name="DINTS">#REF!</definedName>
    <definedName name="dlim" localSheetId="16">#REF!</definedName>
    <definedName name="dlim" localSheetId="20">#REF!</definedName>
    <definedName name="dlim">#REF!</definedName>
    <definedName name="DMPGR" localSheetId="16">#REF!</definedName>
    <definedName name="DMPGR" localSheetId="20">#REF!</definedName>
    <definedName name="DMPGR">#REF!</definedName>
    <definedName name="DMPGRAM" localSheetId="16">#REF!</definedName>
    <definedName name="DMPGRAM" localSheetId="20">#REF!</definedName>
    <definedName name="DMPGRAM">#REF!</definedName>
    <definedName name="docum" localSheetId="16">#REF!</definedName>
    <definedName name="docum" localSheetId="20">#REF!</definedName>
    <definedName name="docum">#REF!</definedName>
    <definedName name="DOLAR" localSheetId="20">#REF!</definedName>
    <definedName name="DOLAR">#REF!</definedName>
    <definedName name="Dólar" localSheetId="20">#REF!</definedName>
    <definedName name="Dólar">#REF!</definedName>
    <definedName name="Dollar" localSheetId="16">#REF!</definedName>
    <definedName name="Dollar" localSheetId="20">#REF!</definedName>
    <definedName name="Dollar">#REF!</definedName>
    <definedName name="DR" localSheetId="16">#REF!</definedName>
    <definedName name="DR" localSheetId="20">#REF!</definedName>
    <definedName name="DR">#REF!</definedName>
    <definedName name="DRdos" localSheetId="20">#REF!</definedName>
    <definedName name="DRdos">#REF!</definedName>
    <definedName name="DReq" localSheetId="20">#REF!</definedName>
    <definedName name="DReq">#REF!</definedName>
    <definedName name="DReqdos">#REF!</definedName>
    <definedName name="DRuno">#REF!</definedName>
    <definedName name="drwtr">#REF!</definedName>
    <definedName name="DTHBMPG" localSheetId="16">#REF!</definedName>
    <definedName name="DTHBMPG" localSheetId="20">#REF!</definedName>
    <definedName name="DTHBMPG">#REF!</definedName>
    <definedName name="DTHDABM" localSheetId="16">#REF!</definedName>
    <definedName name="DTHDABM" localSheetId="20">#REF!</definedName>
    <definedName name="DTHDABM">#REF!</definedName>
    <definedName name="DTHDAPM" localSheetId="16">#REF!</definedName>
    <definedName name="DTHDAPM" localSheetId="20">#REF!</definedName>
    <definedName name="DTHDAPM">#REF!</definedName>
    <definedName name="DTHDBPM" localSheetId="16">#REF!</definedName>
    <definedName name="DTHDBPM" localSheetId="20">#REF!</definedName>
    <definedName name="DTHDBPM">#REF!</definedName>
    <definedName name="DTHPDCO" localSheetId="16">#REF!</definedName>
    <definedName name="DTHPDCO" localSheetId="20">#REF!</definedName>
    <definedName name="DTHPDCO">#REF!</definedName>
    <definedName name="DTHPDDA" localSheetId="16">#REF!</definedName>
    <definedName name="DTHPDDA" localSheetId="20">#REF!</definedName>
    <definedName name="DTHPDDA">#REF!</definedName>
    <definedName name="DTHPDDB" localSheetId="16">#REF!</definedName>
    <definedName name="DTHPDDB" localSheetId="20">#REF!</definedName>
    <definedName name="DTHPDDB">#REF!</definedName>
    <definedName name="DTHPGCO" localSheetId="16">#REF!</definedName>
    <definedName name="DTHPGCO" localSheetId="20">#REF!</definedName>
    <definedName name="DTHPGCO">#REF!</definedName>
    <definedName name="DTHPMBM" localSheetId="16">#REF!</definedName>
    <definedName name="DTHPMBM" localSheetId="20">#REF!</definedName>
    <definedName name="DTHPMBM">#REF!</definedName>
    <definedName name="DVDD" localSheetId="16">#REF!</definedName>
    <definedName name="DVDD" localSheetId="3">#REF!</definedName>
    <definedName name="DVDD" localSheetId="13">#REF!</definedName>
    <definedName name="DVDD" localSheetId="22">#REF!</definedName>
    <definedName name="DVDD" localSheetId="4">#REF!</definedName>
    <definedName name="DVDD" localSheetId="17">#REF!</definedName>
    <definedName name="DVDD" localSheetId="0">#REF!</definedName>
    <definedName name="DVDD" localSheetId="20">#REF!</definedName>
    <definedName name="DVDD">#REF!</definedName>
    <definedName name="DVDEM" localSheetId="16">#REF!</definedName>
    <definedName name="DVDEM" localSheetId="3">#REF!</definedName>
    <definedName name="DVDEM" localSheetId="22">#REF!</definedName>
    <definedName name="DVDEM" localSheetId="4">#REF!</definedName>
    <definedName name="DVDEM" localSheetId="17">#REF!</definedName>
    <definedName name="DVDEM" localSheetId="0">#REF!</definedName>
    <definedName name="DVDEM" localSheetId="20">#REF!</definedName>
    <definedName name="DVDEM">#REF!</definedName>
    <definedName name="DVEM" localSheetId="16">#REF!</definedName>
    <definedName name="DVEM" localSheetId="17">#REF!</definedName>
    <definedName name="DVEM" localSheetId="0">#REF!</definedName>
    <definedName name="DVEM" localSheetId="20">#REF!</definedName>
    <definedName name="DVEM">#REF!</definedName>
    <definedName name="E" localSheetId="20">#REF!</definedName>
    <definedName name="E">#N/A</definedName>
    <definedName name="EASP" localSheetId="16">#REF!</definedName>
    <definedName name="EASP" localSheetId="17">#REF!</definedName>
    <definedName name="EASP" localSheetId="0">#REF!</definedName>
    <definedName name="EASP" localSheetId="20">#REF!</definedName>
    <definedName name="EASP">#REF!</definedName>
    <definedName name="Ee" localSheetId="16">#REF!</definedName>
    <definedName name="Ee" localSheetId="20">#REF!</definedName>
    <definedName name="Ee">#REF!</definedName>
    <definedName name="Ef" localSheetId="20">#REF!</definedName>
    <definedName name="Ef">#REF!</definedName>
    <definedName name="Ei" localSheetId="20">#REF!</definedName>
    <definedName name="Ei">#REF!</definedName>
    <definedName name="EINC">#REF!</definedName>
    <definedName name="Eléctrica" localSheetId="16">#REF!</definedName>
    <definedName name="Eléctrica" localSheetId="20">#REF!</definedName>
    <definedName name="Eléctrica">#REF!</definedName>
    <definedName name="Em" localSheetId="16">#REF!</definedName>
    <definedName name="Em" localSheetId="20">#REF!</definedName>
    <definedName name="Em">#REF!</definedName>
    <definedName name="Empleados">#REF!</definedName>
    <definedName name="EMSP" localSheetId="16">#REF!</definedName>
    <definedName name="EMSP" localSheetId="0">#REF!</definedName>
    <definedName name="EMSP" localSheetId="20">#REF!</definedName>
    <definedName name="EMSP">#REF!</definedName>
    <definedName name="EncabezadoAnalisis" localSheetId="16">#REF!</definedName>
    <definedName name="EncabezadoAnalisis" localSheetId="20">#REF!</definedName>
    <definedName name="EncabezadoAnalisis">#REF!</definedName>
    <definedName name="End_Bal" localSheetId="16">#REF!</definedName>
    <definedName name="End_Bal" localSheetId="20">#REF!</definedName>
    <definedName name="End_Bal">#REF!</definedName>
    <definedName name="ene.23" localSheetId="23">'[1]Indice CAC'!#REF!</definedName>
    <definedName name="ene.23">'Indice CAC'!#REF!</definedName>
    <definedName name="ene.24">'Indice CAC'!#REF!</definedName>
    <definedName name="ene.25">'Indice CAC'!$B$3</definedName>
    <definedName name="ene.26">'Indice CAC'!$B$15</definedName>
    <definedName name="ener23" localSheetId="23">'[1]Indice CAC'!#REF!</definedName>
    <definedName name="ener23">'Indice CAC'!#REF!</definedName>
    <definedName name="ener24">'Indice CAC'!#REF!</definedName>
    <definedName name="ENERGIA" localSheetId="16">#REF!</definedName>
    <definedName name="ENERGIA" localSheetId="20">#REF!</definedName>
    <definedName name="ENERGIA">#REF!</definedName>
    <definedName name="ENREUTAB" localSheetId="16">#REF!</definedName>
    <definedName name="ENREUTAB" localSheetId="20">#REF!</definedName>
    <definedName name="ENREUTAB">#REF!</definedName>
    <definedName name="ENREUTIR" localSheetId="16">#REF!</definedName>
    <definedName name="ENREUTIR" localSheetId="20">#REF!</definedName>
    <definedName name="ENREUTIR">#REF!</definedName>
    <definedName name="Eo" localSheetId="16">#REF!</definedName>
    <definedName name="Eo" localSheetId="20">#REF!</definedName>
    <definedName name="Eo">#REF!</definedName>
    <definedName name="eq" localSheetId="16">#REF!</definedName>
    <definedName name="eq" localSheetId="20">#REF!</definedName>
    <definedName name="eq">#REF!</definedName>
    <definedName name="eqimp" localSheetId="16">#REF!</definedName>
    <definedName name="eqimp" localSheetId="20">#REF!</definedName>
    <definedName name="eqimp">#REF!</definedName>
    <definedName name="eqnac" localSheetId="16">#REF!</definedName>
    <definedName name="eqnac" localSheetId="20">#REF!</definedName>
    <definedName name="eqnac">#REF!</definedName>
    <definedName name="EQS" localSheetId="16">#REF!</definedName>
    <definedName name="EQS" localSheetId="20">#REF!</definedName>
    <definedName name="EQS">#REF!</definedName>
    <definedName name="equipo" localSheetId="16">#REF!</definedName>
    <definedName name="equipo" localSheetId="20">#REF!</definedName>
    <definedName name="equipo">#REF!</definedName>
    <definedName name="EQUIPOS" localSheetId="16">#REF!</definedName>
    <definedName name="EQUIPOS" localSheetId="20">#REF!</definedName>
    <definedName name="EQUIPOS">#REF!</definedName>
    <definedName name="ES" localSheetId="20">#REF!</definedName>
    <definedName name="ES">#REF!</definedName>
    <definedName name="escala" localSheetId="20">#REF!</definedName>
    <definedName name="escala">#REF!</definedName>
    <definedName name="Escenarios">#REF!</definedName>
    <definedName name="espera_del_pago" localSheetId="16">#REF!</definedName>
    <definedName name="espera_del_pago" localSheetId="20">#REF!</definedName>
    <definedName name="espera_del_pago">#REF!</definedName>
    <definedName name="Et" localSheetId="16">#REF!</definedName>
    <definedName name="Et" localSheetId="20">#REF!</definedName>
    <definedName name="Et">#REF!</definedName>
    <definedName name="etapaII" localSheetId="16">#REF!</definedName>
    <definedName name="etapaII" localSheetId="20">#REF!</definedName>
    <definedName name="etapaII">#REF!</definedName>
    <definedName name="etapaIII" localSheetId="16">#REF!</definedName>
    <definedName name="etapaIII" localSheetId="20">#REF!</definedName>
    <definedName name="etapaIII">#REF!</definedName>
    <definedName name="EX">#N/A</definedName>
    <definedName name="EXAP" localSheetId="16">#REF!</definedName>
    <definedName name="EXAP" localSheetId="3">#REF!</definedName>
    <definedName name="EXAP" localSheetId="13">#REF!</definedName>
    <definedName name="EXAP" localSheetId="22">#REF!</definedName>
    <definedName name="EXAP" localSheetId="4">#REF!</definedName>
    <definedName name="EXAP" localSheetId="17">#REF!</definedName>
    <definedName name="EXAP" localSheetId="0">#REF!</definedName>
    <definedName name="EXAP" localSheetId="20">#REF!</definedName>
    <definedName name="EXAP">#REF!</definedName>
    <definedName name="EXAPI" localSheetId="16">#REF!</definedName>
    <definedName name="EXAPI" localSheetId="3">#REF!</definedName>
    <definedName name="EXAPI" localSheetId="22">#REF!</definedName>
    <definedName name="EXAPI" localSheetId="4">#REF!</definedName>
    <definedName name="EXAPI" localSheetId="17">#REF!</definedName>
    <definedName name="EXAPI" localSheetId="0">#REF!</definedName>
    <definedName name="EXAPI" localSheetId="20">#REF!</definedName>
    <definedName name="EXAPI">#REF!</definedName>
    <definedName name="EXAS" localSheetId="16">#REF!</definedName>
    <definedName name="EXAS" localSheetId="17">#REF!</definedName>
    <definedName name="EXAS" localSheetId="0">#REF!</definedName>
    <definedName name="EXAS" localSheetId="20">#REF!</definedName>
    <definedName name="EXAS">#REF!</definedName>
    <definedName name="EXAZ" localSheetId="16">#REF!</definedName>
    <definedName name="EXAZ" localSheetId="17">#REF!</definedName>
    <definedName name="EXAZ" localSheetId="0">#REF!</definedName>
    <definedName name="EXAZ" localSheetId="20">#REF!</definedName>
    <definedName name="EXAZ">#REF!</definedName>
    <definedName name="EXBE" localSheetId="16">#REF!</definedName>
    <definedName name="EXBE" localSheetId="0">#REF!</definedName>
    <definedName name="EXBE" localSheetId="20">#REF!</definedName>
    <definedName name="EXBE">#REF!</definedName>
    <definedName name="EXCD" localSheetId="16">#REF!</definedName>
    <definedName name="EXCD" localSheetId="0">#REF!</definedName>
    <definedName name="EXCD" localSheetId="20">#REF!</definedName>
    <definedName name="EXCD">#REF!</definedName>
    <definedName name="EXCM" localSheetId="16">#REF!</definedName>
    <definedName name="EXCM" localSheetId="0">#REF!</definedName>
    <definedName name="EXCM" localSheetId="20">#REF!</definedName>
    <definedName name="EXCM">#REF!</definedName>
    <definedName name="EXCT" localSheetId="16">#REF!</definedName>
    <definedName name="EXCT" localSheetId="0">#REF!</definedName>
    <definedName name="EXCT" localSheetId="20">#REF!</definedName>
    <definedName name="EXCT">#REF!</definedName>
    <definedName name="EXESP" localSheetId="16">#REF!</definedName>
    <definedName name="EXESP" localSheetId="0">#REF!</definedName>
    <definedName name="EXESP" localSheetId="20">#REF!</definedName>
    <definedName name="EXESP">#REF!</definedName>
    <definedName name="EXLP" localSheetId="16">#REF!</definedName>
    <definedName name="EXLP" localSheetId="0">#REF!</definedName>
    <definedName name="EXLP" localSheetId="20">#REF!</definedName>
    <definedName name="EXLP">#REF!</definedName>
    <definedName name="EXLS" localSheetId="16">#REF!</definedName>
    <definedName name="EXLS" localSheetId="0">#REF!</definedName>
    <definedName name="EXLS" localSheetId="20">#REF!</definedName>
    <definedName name="EXLS">#REF!</definedName>
    <definedName name="EXNC" localSheetId="16">#REF!</definedName>
    <definedName name="EXNC" localSheetId="0">#REF!</definedName>
    <definedName name="EXNC" localSheetId="20">#REF!</definedName>
    <definedName name="EXNC">#REF!</definedName>
    <definedName name="EXNP" localSheetId="16">#REF!</definedName>
    <definedName name="EXNP" localSheetId="0">#REF!</definedName>
    <definedName name="EXNP" localSheetId="20">#REF!</definedName>
    <definedName name="EXNP">#REF!</definedName>
    <definedName name="EXPOSICION" localSheetId="16">#REF!</definedName>
    <definedName name="EXPOSICION" localSheetId="20">#REF!</definedName>
    <definedName name="EXPOSICION">#REF!</definedName>
    <definedName name="EXPZ" localSheetId="16">#REF!</definedName>
    <definedName name="EXPZ" localSheetId="0">#REF!</definedName>
    <definedName name="EXPZ" localSheetId="20">#REF!</definedName>
    <definedName name="EXPZ">#REF!</definedName>
    <definedName name="EXSP" localSheetId="16">#REF!</definedName>
    <definedName name="EXSP" localSheetId="0">#REF!</definedName>
    <definedName name="EXSP" localSheetId="20">#REF!</definedName>
    <definedName name="EXSP">#REF!</definedName>
    <definedName name="Extra_Pay" localSheetId="16">#REF!</definedName>
    <definedName name="Extra_Pay" localSheetId="20">#REF!</definedName>
    <definedName name="Extra_Pay">#REF!</definedName>
    <definedName name="EY">#N/A</definedName>
    <definedName name="FASES">#N/A</definedName>
    <definedName name="FCT" localSheetId="16">#REF!</definedName>
    <definedName name="FCT" localSheetId="20">#REF!</definedName>
    <definedName name="FCT">#REF!</definedName>
    <definedName name="Fe" localSheetId="16">#REF!</definedName>
    <definedName name="Fe" localSheetId="20">#REF!</definedName>
    <definedName name="Fe">#REF!</definedName>
    <definedName name="feb.23" localSheetId="23">'[1]Indice CAC'!#REF!</definedName>
    <definedName name="feb.23">'Indice CAC'!#REF!</definedName>
    <definedName name="feb.24">'Indice CAC'!#REF!</definedName>
    <definedName name="feb.25">'Indice CAC'!$B$4</definedName>
    <definedName name="febr24">'Indice CAC'!#REF!</definedName>
    <definedName name="febre23" localSheetId="23">'[1]Indice CAC'!#REF!</definedName>
    <definedName name="febre23">'Indice CAC'!#REF!</definedName>
    <definedName name="Fecha" localSheetId="16">#REF!</definedName>
    <definedName name="Fecha" localSheetId="20">#REF!</definedName>
    <definedName name="Fecha">#REF!</definedName>
    <definedName name="FF" localSheetId="16">#REF!</definedName>
    <definedName name="FF" localSheetId="20">#REF!</definedName>
    <definedName name="FF">#REF!</definedName>
    <definedName name="ffdfsd" localSheetId="16">#REF!</definedName>
    <definedName name="ffdfsd" localSheetId="20">#REF!</definedName>
    <definedName name="ffdfsd">#REF!</definedName>
    <definedName name="fi" localSheetId="16">#REF!</definedName>
    <definedName name="fi" localSheetId="20">#REF!</definedName>
    <definedName name="fi">#REF!</definedName>
    <definedName name="fin" localSheetId="16">#REF!</definedName>
    <definedName name="fin" localSheetId="3">#REF!</definedName>
    <definedName name="fin" localSheetId="13">#REF!</definedName>
    <definedName name="fin" localSheetId="22">#REF!</definedName>
    <definedName name="fin" localSheetId="4">#REF!</definedName>
    <definedName name="fin" localSheetId="17">#REF!</definedName>
    <definedName name="fin" localSheetId="0">#REF!</definedName>
    <definedName name="fin" localSheetId="20">#REF!</definedName>
    <definedName name="fin">#REF!</definedName>
    <definedName name="finor" localSheetId="16">#REF!</definedName>
    <definedName name="finor" localSheetId="20">#REF!</definedName>
    <definedName name="finor">#REF!</definedName>
    <definedName name="FL" localSheetId="16">#REF!</definedName>
    <definedName name="FL" localSheetId="20">#REF!</definedName>
    <definedName name="FL">#REF!</definedName>
    <definedName name="FLECHA" localSheetId="20">#REF!</definedName>
    <definedName name="FLECHA">#REF!</definedName>
    <definedName name="Flete" localSheetId="16">#REF!</definedName>
    <definedName name="Flete" localSheetId="20">#REF!</definedName>
    <definedName name="Flete">#REF!</definedName>
    <definedName name="FleteReal" localSheetId="16">#REF!</definedName>
    <definedName name="FleteReal" localSheetId="20">#REF!</definedName>
    <definedName name="FleteReal">#REF!</definedName>
    <definedName name="flex" localSheetId="16">#REF!</definedName>
    <definedName name="flex" localSheetId="20">#REF!</definedName>
    <definedName name="flex">#REF!</definedName>
    <definedName name="flexposte" localSheetId="16">#REF!</definedName>
    <definedName name="flexposte" localSheetId="20">#REF!</definedName>
    <definedName name="flexposte">#REF!</definedName>
    <definedName name="fo" localSheetId="16">#REF!</definedName>
    <definedName name="fo" localSheetId="20">#REF!</definedName>
    <definedName name="fo">#REF!</definedName>
    <definedName name="Fondo_Desempleo" localSheetId="16">#REF!</definedName>
    <definedName name="Fondo_Desempleo" localSheetId="20">#REF!</definedName>
    <definedName name="Fondo_Desempleo">#REF!</definedName>
    <definedName name="Forecast2">#REF!</definedName>
    <definedName name="Forecast2Cat">#REF!</definedName>
    <definedName name="formula_analisis" localSheetId="16">#REF!</definedName>
    <definedName name="formula_analisis" localSheetId="20">#REF!</definedName>
    <definedName name="formula_analisis">#REF!</definedName>
    <definedName name="formula_formula" localSheetId="16">#REF!</definedName>
    <definedName name="formula_formula" localSheetId="20">#REF!</definedName>
    <definedName name="formula_formula">#REF!</definedName>
    <definedName name="Fórmula_General_para_Determinación_de_f" localSheetId="16">#REF!</definedName>
    <definedName name="Fórmula_General_para_Determinación_de_f" localSheetId="20">#REF!</definedName>
    <definedName name="Fórmula_General_para_Determinación_de_f">#REF!</definedName>
    <definedName name="formula_insumo" localSheetId="16">#REF!</definedName>
    <definedName name="formula_insumo" localSheetId="20">#REF!</definedName>
    <definedName name="formula_insumo">#REF!</definedName>
    <definedName name="formula_presupuesto" localSheetId="16">#REF!</definedName>
    <definedName name="formula_presupuesto" localSheetId="20">#REF!</definedName>
    <definedName name="formula_presupuesto">#REF!</definedName>
    <definedName name="formula_rubro" localSheetId="16">#REF!</definedName>
    <definedName name="formula_rubro" localSheetId="20">#REF!</definedName>
    <definedName name="formula_rubro">#REF!</definedName>
    <definedName name="formulapatron" localSheetId="16">#REF!</definedName>
    <definedName name="formulapatron" localSheetId="20">#REF!</definedName>
    <definedName name="formulapatron">#REF!</definedName>
    <definedName name="formulas" localSheetId="16">#REF!</definedName>
    <definedName name="formulas" localSheetId="20">#REF!</definedName>
    <definedName name="formulas">#REF!</definedName>
    <definedName name="formulasenlace" localSheetId="16">#REF!</definedName>
    <definedName name="formulasenlace" localSheetId="3">#REF!</definedName>
    <definedName name="formulasenlace" localSheetId="13">#REF!</definedName>
    <definedName name="formulasenlace" localSheetId="22">#REF!</definedName>
    <definedName name="formulasenlace" localSheetId="4">#REF!</definedName>
    <definedName name="formulasenlace" localSheetId="17">#REF!</definedName>
    <definedName name="formulasenlace" localSheetId="0">#REF!</definedName>
    <definedName name="formulasenlace" localSheetId="20">#REF!</definedName>
    <definedName name="formulasenlace">#REF!</definedName>
    <definedName name="FP" localSheetId="16">#REF!</definedName>
    <definedName name="FP" localSheetId="20">#REF!</definedName>
    <definedName name="FP">#REF!</definedName>
    <definedName name="FP_" localSheetId="16">#REF!</definedName>
    <definedName name="FP_" localSheetId="20">#REF!</definedName>
    <definedName name="FP_">#REF!</definedName>
    <definedName name="FP__" localSheetId="20">#REF!</definedName>
    <definedName name="FP__">#REF!</definedName>
    <definedName name="frame0" localSheetId="20">#REF!</definedName>
    <definedName name="frame0">#REF!</definedName>
    <definedName name="frameF">#REF!</definedName>
    <definedName name="framevs">#REF!</definedName>
    <definedName name="FT" localSheetId="16">#REF!</definedName>
    <definedName name="ft" localSheetId="20">#REF!</definedName>
    <definedName name="FT">#REF!</definedName>
    <definedName name="fu" localSheetId="16">#REF!</definedName>
    <definedName name="fu" localSheetId="20">#REF!</definedName>
    <definedName name="fu">#REF!</definedName>
    <definedName name="Full_Print" localSheetId="16">#REF!</definedName>
    <definedName name="Full_Print" localSheetId="20">#REF!</definedName>
    <definedName name="Full_Print">#REF!</definedName>
    <definedName name="FX_" localSheetId="20">#REF!</definedName>
    <definedName name="FX_">#REF!</definedName>
    <definedName name="FY" localSheetId="20">#REF!</definedName>
    <definedName name="FY">#REF!</definedName>
    <definedName name="G" localSheetId="20">INDEX(#REF!,MATCH("*[G]*",#REF!,0))</definedName>
    <definedName name="g">#REF!</definedName>
    <definedName name="G0">#REF!</definedName>
    <definedName name="G6333333" localSheetId="20">#REF!</definedName>
    <definedName name="G6333333">#REF!</definedName>
    <definedName name="gama">#REF!</definedName>
    <definedName name="gamma">#REF!</definedName>
    <definedName name="gamma_c" localSheetId="16">#REF!</definedName>
    <definedName name="gamma_c" localSheetId="20">#REF!</definedName>
    <definedName name="gamma_c">#REF!</definedName>
    <definedName name="GAMMAH" localSheetId="16">#REF!</definedName>
    <definedName name="GAMMAH" localSheetId="20">#REF!</definedName>
    <definedName name="GAMMAH">#REF!</definedName>
    <definedName name="GAMMAH_" localSheetId="20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 localSheetId="16">#REF!</definedName>
    <definedName name="Garantia" localSheetId="20">#REF!</definedName>
    <definedName name="Garantia">#REF!</definedName>
    <definedName name="GASOIL" localSheetId="16">#REF!</definedName>
    <definedName name="GASOIL" localSheetId="20">#REF!</definedName>
    <definedName name="GASOIL">#REF!</definedName>
    <definedName name="gaviones" localSheetId="16">#REF!</definedName>
    <definedName name="gaviones" localSheetId="20">#REF!</definedName>
    <definedName name="gaviones">#REF!</definedName>
    <definedName name="gavr" localSheetId="16">#REF!</definedName>
    <definedName name="gavr" localSheetId="20">#REF!</definedName>
    <definedName name="gavr">#REF!</definedName>
    <definedName name="gc" localSheetId="16">#REF!</definedName>
    <definedName name="gc" localSheetId="20">#REF!</definedName>
    <definedName name="gc">#REF!</definedName>
    <definedName name="GE" localSheetId="20">#REF!</definedName>
    <definedName name="GE">#REF!</definedName>
    <definedName name="gel" localSheetId="16">#REF!</definedName>
    <definedName name="gel" localSheetId="20">#REF!</definedName>
    <definedName name="gel">#REF!</definedName>
    <definedName name="geot" localSheetId="16">#REF!</definedName>
    <definedName name="geot" localSheetId="20">#REF!</definedName>
    <definedName name="geot">#REF!</definedName>
    <definedName name="gfgfgf" localSheetId="16">#REF!</definedName>
    <definedName name="gfgfgf" localSheetId="8">#REF!</definedName>
    <definedName name="gfgfgf" localSheetId="13">#REF!</definedName>
    <definedName name="gfgfgf" localSheetId="17">#REF!</definedName>
    <definedName name="gfgfgf" localSheetId="0">#REF!</definedName>
    <definedName name="gfgfgf" localSheetId="20">#REF!</definedName>
    <definedName name="gfgfgf" localSheetId="10">#REF!</definedName>
    <definedName name="gfgfgf" localSheetId="11">#REF!</definedName>
    <definedName name="gfgfgf" localSheetId="9">#REF!</definedName>
    <definedName name="gfgfgf" localSheetId="12">#REF!</definedName>
    <definedName name="gfgfgf" localSheetId="1">#REF!</definedName>
    <definedName name="gfgfgf" localSheetId="2">#REF!</definedName>
    <definedName name="gfgfgf" localSheetId="5">#REF!</definedName>
    <definedName name="gfgfgf">#REF!</definedName>
    <definedName name="gfhds">#REF!</definedName>
    <definedName name="GFINANCIEROS" localSheetId="20">#REF!</definedName>
    <definedName name="GFINANCIEROS">#REF!</definedName>
    <definedName name="GGDirecto" localSheetId="16">#REF!</definedName>
    <definedName name="GGDirecto" localSheetId="20">#REF!</definedName>
    <definedName name="GGDirecto">#REF!</definedName>
    <definedName name="GGENERALES" localSheetId="16">#REF!</definedName>
    <definedName name="GGENERALES" localSheetId="20">#REF!</definedName>
    <definedName name="GGENERALES">#REF!</definedName>
    <definedName name="GGIndirecto" localSheetId="16">#REF!</definedName>
    <definedName name="GGIndirecto" localSheetId="20">#REF!</definedName>
    <definedName name="GGIndirecto">#REF!</definedName>
    <definedName name="Gh" localSheetId="16">#REF!</definedName>
    <definedName name="Gh" localSheetId="20">#REF!</definedName>
    <definedName name="Gh">#REF!</definedName>
    <definedName name="GImpositivos" localSheetId="16">#REF!</definedName>
    <definedName name="GImpositivos" localSheetId="20">#REF!</definedName>
    <definedName name="GImpositivos">#REF!</definedName>
    <definedName name="GLDP" localSheetId="16">#REF!</definedName>
    <definedName name="GLDP" localSheetId="3">#REF!</definedName>
    <definedName name="GLDP" localSheetId="22">#REF!</definedName>
    <definedName name="GLDP" localSheetId="4">#REF!</definedName>
    <definedName name="GLDP" localSheetId="17">#REF!</definedName>
    <definedName name="GLDP" localSheetId="0">#REF!</definedName>
    <definedName name="GLDP" localSheetId="20">#REF!</definedName>
    <definedName name="GLDP">#REF!</definedName>
    <definedName name="go" localSheetId="16">#REF!</definedName>
    <definedName name="go" localSheetId="20">#REF!</definedName>
    <definedName name="go">#REF!</definedName>
    <definedName name="Gradiente_En__Canales" localSheetId="16">#REF!</definedName>
    <definedName name="Gradiente_En__Canales" localSheetId="20">#REF!</definedName>
    <definedName name="Gradiente_En__Canales">#REF!</definedName>
    <definedName name="Gradiente_En__Canales_Circulares_a_Sección_Llena" localSheetId="20">#REF!</definedName>
    <definedName name="Gradiente_En__Canales_Circulares_a_Sección_Llena">#REF!</definedName>
    <definedName name="Gradiente_En__Orificio_de_Fondo" localSheetId="20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localSheetId="16" hidden="1">{#N/A,#N/A,TRUE,"Cert.Global";#N/A,#N/A,TRUE,"Cert. M&amp;C";#N/A,#N/A,TRUE,"Cert. Engineering";#N/A,#N/A,TRUE,"Cert. Procurement ";#N/A,#N/A,TRUE,"Cert. Constr. Manag."}</definedName>
    <definedName name="graf" localSheetId="21" hidden="1">{#N/A,#N/A,TRUE,"Cert.Global";#N/A,#N/A,TRUE,"Cert. M&amp;C";#N/A,#N/A,TRUE,"Cert. Engineering";#N/A,#N/A,TRUE,"Cert. Procurement ";#N/A,#N/A,TRUE,"Cert. Constr. Manag."}</definedName>
    <definedName name="graf" localSheetId="6" hidden="1">{#N/A,#N/A,TRUE,"Cert.Global";#N/A,#N/A,TRUE,"Cert. M&amp;C";#N/A,#N/A,TRUE,"Cert. Engineering";#N/A,#N/A,TRUE,"Cert. Procurement ";#N/A,#N/A,TRUE,"Cert. Constr. Manag."}</definedName>
    <definedName name="graf" localSheetId="7" hidden="1">{#N/A,#N/A,TRUE,"Cert.Global";#N/A,#N/A,TRUE,"Cert. M&amp;C";#N/A,#N/A,TRUE,"Cert. Engineering";#N/A,#N/A,TRUE,"Cert. Procurement ";#N/A,#N/A,TRUE,"Cert. Constr. Manag."}</definedName>
    <definedName name="graf" localSheetId="17" hidden="1">{#N/A,#N/A,TRUE,"Cert.Global";#N/A,#N/A,TRUE,"Cert. M&amp;C";#N/A,#N/A,TRUE,"Cert. Engineering";#N/A,#N/A,TRUE,"Cert. Procurement ";#N/A,#N/A,TRUE,"Cert. Constr. Manag."}</definedName>
    <definedName name="graf" localSheetId="20" hidden="1">{#N/A,#N/A,TRUE,"Cert.Global";#N/A,#N/A,TRUE,"Cert. M&amp;C";#N/A,#N/A,TRUE,"Cert. Engineering";#N/A,#N/A,TRUE,"Cert. Procurement ";#N/A,#N/A,TRUE,"Cert. Constr. Manag."}</definedName>
    <definedName name="graf" localSheetId="15" hidden="1">{#N/A,#N/A,TRUE,"Cert.Global";#N/A,#N/A,TRUE,"Cert. M&amp;C";#N/A,#N/A,TRUE,"Cert. Engineering";#N/A,#N/A,TRUE,"Cert. Procurement ";#N/A,#N/A,TRUE,"Cert. Constr. Manag."}</definedName>
    <definedName name="graf" localSheetId="14" hidden="1">{#N/A,#N/A,TRUE,"Cert.Global";#N/A,#N/A,TRUE,"Cert. M&amp;C";#N/A,#N/A,TRUE,"Cert. Engineering";#N/A,#N/A,TRUE,"Cert. Procurement ";#N/A,#N/A,TRUE,"Cert. Constr. Manag."}</definedName>
    <definedName name="graf" localSheetId="23" hidden="1">{#N/A,#N/A,TRUE,"Cert.Global";#N/A,#N/A,TRUE,"Cert. M&amp;C";#N/A,#N/A,TRUE,"Cert. Engineering";#N/A,#N/A,TRUE,"Cert. Procurement ";#N/A,#N/A,TRUE,"Cert. Constr. Manag."}</definedName>
    <definedName name="graf" hidden="1">{#N/A,#N/A,TRUE,"Cert.Global";#N/A,#N/A,TRUE,"Cert. M&amp;C";#N/A,#N/A,TRUE,"Cert. Engineering";#N/A,#N/A,TRUE,"Cert. Procurement ";#N/A,#N/A,TRUE,"Cert. Constr. Manag."}</definedName>
    <definedName name="grr" localSheetId="16">#REF!</definedName>
    <definedName name="grr" localSheetId="20">#REF!</definedName>
    <definedName name="grr">#REF!</definedName>
    <definedName name="GRUPOS" localSheetId="16">#REF!</definedName>
    <definedName name="GRUPOS" localSheetId="20">#REF!</definedName>
    <definedName name="GRUPOS">#REF!</definedName>
    <definedName name="guarderia" localSheetId="16">#REF!</definedName>
    <definedName name="guarderia" localSheetId="21">#REF!</definedName>
    <definedName name="guarderia" localSheetId="8">#REF!</definedName>
    <definedName name="guarderia" localSheetId="6">#REF!</definedName>
    <definedName name="guarderia" localSheetId="7">#REF!</definedName>
    <definedName name="guarderia" localSheetId="3">#REF!</definedName>
    <definedName name="guarderia" localSheetId="13">#REF!</definedName>
    <definedName name="guarderia" localSheetId="22">#REF!</definedName>
    <definedName name="guarderia" localSheetId="4">#REF!</definedName>
    <definedName name="guarderia" localSheetId="0">#REF!</definedName>
    <definedName name="guarderia" localSheetId="20">#REF!</definedName>
    <definedName name="guarderia" localSheetId="10">#REF!</definedName>
    <definedName name="guarderia" localSheetId="11">#REF!</definedName>
    <definedName name="guarderia" localSheetId="9">#REF!</definedName>
    <definedName name="guarderia" localSheetId="12">#REF!</definedName>
    <definedName name="guarderia" localSheetId="15">#REF!</definedName>
    <definedName name="guarderia" localSheetId="14">#REF!</definedName>
    <definedName name="guarderia" localSheetId="1">#REF!</definedName>
    <definedName name="guarderia" localSheetId="2">#REF!</definedName>
    <definedName name="guarderia" localSheetId="5">#REF!</definedName>
    <definedName name="guarderia">#REF!</definedName>
    <definedName name="H" localSheetId="20">INDEX(#REF!,MATCH("*[H]*",#REF!,0))</definedName>
    <definedName name="H">#REF!</definedName>
    <definedName name="H.Cuad." localSheetId="20">#REF!</definedName>
    <definedName name="H.Cuad.">#REF!</definedName>
    <definedName name="H.Red.">#REF!</definedName>
    <definedName name="Ha">#REF!</definedName>
    <definedName name="HAADB" localSheetId="16">#REF!</definedName>
    <definedName name="HAADB" localSheetId="3">#REF!</definedName>
    <definedName name="HAADB" localSheetId="22">#REF!</definedName>
    <definedName name="HAADB" localSheetId="4">#REF!</definedName>
    <definedName name="HAADB" localSheetId="0">#REF!</definedName>
    <definedName name="HAADB" localSheetId="20">#REF!</definedName>
    <definedName name="HAADB">#REF!</definedName>
    <definedName name="HAADC" localSheetId="16">#REF!</definedName>
    <definedName name="HAADC" localSheetId="0">#REF!</definedName>
    <definedName name="HAADC" localSheetId="20">#REF!</definedName>
    <definedName name="HAADC">#REF!</definedName>
    <definedName name="HAADE" localSheetId="16">#REF!</definedName>
    <definedName name="HAADE" localSheetId="0">#REF!</definedName>
    <definedName name="HAADE" localSheetId="20">#REF!</definedName>
    <definedName name="HAADE">#REF!</definedName>
    <definedName name="HAADL" localSheetId="16">#REF!</definedName>
    <definedName name="HAADL" localSheetId="0">#REF!</definedName>
    <definedName name="HAADL" localSheetId="20">#REF!</definedName>
    <definedName name="HAADL">#REF!</definedName>
    <definedName name="HAADT" localSheetId="16">#REF!</definedName>
    <definedName name="HAADT" localSheetId="0">#REF!</definedName>
    <definedName name="HAADT" localSheetId="20">#REF!</definedName>
    <definedName name="HAADT">#REF!</definedName>
    <definedName name="HAADV" localSheetId="16">#REF!</definedName>
    <definedName name="HAADV" localSheetId="0">#REF!</definedName>
    <definedName name="HAADV" localSheetId="20">#REF!</definedName>
    <definedName name="HAADV">#REF!</definedName>
    <definedName name="HAAP" localSheetId="16">#REF!</definedName>
    <definedName name="HAAP" localSheetId="0">#REF!</definedName>
    <definedName name="HAAP" localSheetId="20">#REF!</definedName>
    <definedName name="HAAP">#REF!</definedName>
    <definedName name="HAAT" localSheetId="16">#REF!</definedName>
    <definedName name="HAAT" localSheetId="0">#REF!</definedName>
    <definedName name="HAAT" localSheetId="20">#REF!</definedName>
    <definedName name="HAAT">#REF!</definedName>
    <definedName name="HAAV" localSheetId="16">#REF!</definedName>
    <definedName name="HAAV" localSheetId="0">#REF!</definedName>
    <definedName name="HAAV" localSheetId="20">#REF!</definedName>
    <definedName name="HAAV">#REF!</definedName>
    <definedName name="HACAB" localSheetId="16">#REF!</definedName>
    <definedName name="HACAB" localSheetId="0">#REF!</definedName>
    <definedName name="HACAB" localSheetId="20">#REF!</definedName>
    <definedName name="HACAB">#REF!</definedName>
    <definedName name="HACABCP" localSheetId="16">#REF!</definedName>
    <definedName name="HACABCP" localSheetId="0">#REF!</definedName>
    <definedName name="HACABCP" localSheetId="20">#REF!</definedName>
    <definedName name="HACABCP">#REF!</definedName>
    <definedName name="HACABE" localSheetId="16">#REF!</definedName>
    <definedName name="HACABE" localSheetId="0">#REF!</definedName>
    <definedName name="HACABE" localSheetId="20">#REF!</definedName>
    <definedName name="HACABE">#REF!</definedName>
    <definedName name="HACABEE" localSheetId="16">#REF!</definedName>
    <definedName name="HACABEE" localSheetId="0">#REF!</definedName>
    <definedName name="HACABEE" localSheetId="20">#REF!</definedName>
    <definedName name="HACABEE">#REF!</definedName>
    <definedName name="HACABLA" localSheetId="16">#REF!</definedName>
    <definedName name="HACABLA" localSheetId="0">#REF!</definedName>
    <definedName name="HACABLA" localSheetId="20">#REF!</definedName>
    <definedName name="HACABLA">#REF!</definedName>
    <definedName name="HACABLB" localSheetId="16">#REF!</definedName>
    <definedName name="HACABLB" localSheetId="0">#REF!</definedName>
    <definedName name="HACABLB" localSheetId="20">#REF!</definedName>
    <definedName name="HACABLB">#REF!</definedName>
    <definedName name="HACAC" localSheetId="16">#REF!</definedName>
    <definedName name="HACAC" localSheetId="0">#REF!</definedName>
    <definedName name="HACAC" localSheetId="20">#REF!</definedName>
    <definedName name="HACAC">#REF!</definedName>
    <definedName name="HACACT" localSheetId="16">#REF!</definedName>
    <definedName name="HACACT" localSheetId="0">#REF!</definedName>
    <definedName name="HACACT" localSheetId="20">#REF!</definedName>
    <definedName name="HACACT">#REF!</definedName>
    <definedName name="HACAE" localSheetId="16">#REF!</definedName>
    <definedName name="HACAE" localSheetId="0">#REF!</definedName>
    <definedName name="HACAE" localSheetId="20">#REF!</definedName>
    <definedName name="HACAE">#REF!</definedName>
    <definedName name="HACAL" localSheetId="16">#REF!</definedName>
    <definedName name="HACAL" localSheetId="0">#REF!</definedName>
    <definedName name="HACAL" localSheetId="20">#REF!</definedName>
    <definedName name="HACAL">#REF!</definedName>
    <definedName name="HACALF" localSheetId="16">#REF!</definedName>
    <definedName name="HACALF" localSheetId="0">#REF!</definedName>
    <definedName name="HACALF" localSheetId="20">#REF!</definedName>
    <definedName name="HACALF">#REF!</definedName>
    <definedName name="HACAP" localSheetId="16">#REF!</definedName>
    <definedName name="HACAP" localSheetId="0">#REF!</definedName>
    <definedName name="HACAP" localSheetId="20">#REF!</definedName>
    <definedName name="HACAP">#REF!</definedName>
    <definedName name="HACAT" localSheetId="16">#REF!</definedName>
    <definedName name="HACAT" localSheetId="0">#REF!</definedName>
    <definedName name="HACAT" localSheetId="20">#REF!</definedName>
    <definedName name="HACAT">#REF!</definedName>
    <definedName name="HACATS" localSheetId="16">#REF!</definedName>
    <definedName name="HACATS" localSheetId="0">#REF!</definedName>
    <definedName name="HACATS" localSheetId="20">#REF!</definedName>
    <definedName name="HACATS">#REF!</definedName>
    <definedName name="HACAV" localSheetId="16">#REF!</definedName>
    <definedName name="HACAV" localSheetId="0">#REF!</definedName>
    <definedName name="HACAV" localSheetId="20">#REF!</definedName>
    <definedName name="HACAV">#REF!</definedName>
    <definedName name="HACAVF" localSheetId="16">#REF!</definedName>
    <definedName name="HACAVF" localSheetId="0">#REF!</definedName>
    <definedName name="HACAVF" localSheetId="20">#REF!</definedName>
    <definedName name="HACAVF">#REF!</definedName>
    <definedName name="HACHE">#N/A</definedName>
    <definedName name="HACLB" localSheetId="16">#REF!</definedName>
    <definedName name="HACLB" localSheetId="0">#REF!</definedName>
    <definedName name="HACLB" localSheetId="20">#REF!</definedName>
    <definedName name="HACLB">#REF!</definedName>
    <definedName name="HACLD" localSheetId="16">#REF!</definedName>
    <definedName name="HACLD" localSheetId="0">#REF!</definedName>
    <definedName name="HACLD" localSheetId="20">#REF!</definedName>
    <definedName name="HACLD">#REF!</definedName>
    <definedName name="HACTLB" localSheetId="16">#REF!</definedName>
    <definedName name="HACTLB" localSheetId="0">#REF!</definedName>
    <definedName name="HACTLB" localSheetId="20">#REF!</definedName>
    <definedName name="HACTLB">#REF!</definedName>
    <definedName name="HACTLD" localSheetId="16">#REF!</definedName>
    <definedName name="HACTLD" localSheetId="0">#REF!</definedName>
    <definedName name="HACTLD" localSheetId="20">#REF!</definedName>
    <definedName name="HACTLD">#REF!</definedName>
    <definedName name="HAEL" localSheetId="16">#REF!</definedName>
    <definedName name="HAEL" localSheetId="0">#REF!</definedName>
    <definedName name="HAEL" localSheetId="20">#REF!</definedName>
    <definedName name="HAEL">#REF!</definedName>
    <definedName name="HAEMPSA" localSheetId="16">#REF!</definedName>
    <definedName name="HAEMPSA" localSheetId="0">#REF!</definedName>
    <definedName name="HAEMPSA" localSheetId="20">#REF!</definedName>
    <definedName name="HAEMPSA">#REF!</definedName>
    <definedName name="HAEMZA" localSheetId="16">#REF!</definedName>
    <definedName name="HAEMZA" localSheetId="0">#REF!</definedName>
    <definedName name="HAEMZA" localSheetId="20">#REF!</definedName>
    <definedName name="HAEMZA">#REF!</definedName>
    <definedName name="HAET" localSheetId="16">#REF!</definedName>
    <definedName name="HAET" localSheetId="0">#REF!</definedName>
    <definedName name="HAET" localSheetId="20">#REF!</definedName>
    <definedName name="HAET">#REF!</definedName>
    <definedName name="HAETBCP" localSheetId="16">#REF!</definedName>
    <definedName name="HAETBCP" localSheetId="0">#REF!</definedName>
    <definedName name="HAETBCP" localSheetId="20">#REF!</definedName>
    <definedName name="HAETBCP">#REF!</definedName>
    <definedName name="HAETS" localSheetId="16">#REF!</definedName>
    <definedName name="HAETS" localSheetId="0">#REF!</definedName>
    <definedName name="HAETS" localSheetId="20">#REF!</definedName>
    <definedName name="HAETS">#REF!</definedName>
    <definedName name="HAEV" localSheetId="16">#REF!</definedName>
    <definedName name="HAEV" localSheetId="0">#REF!</definedName>
    <definedName name="HAEV" localSheetId="20">#REF!</definedName>
    <definedName name="HAEV">#REF!</definedName>
    <definedName name="HAMH" localSheetId="16">#REF!</definedName>
    <definedName name="HAMH" localSheetId="0">#REF!</definedName>
    <definedName name="HAMH" localSheetId="20">#REF!</definedName>
    <definedName name="HAMH">#REF!</definedName>
    <definedName name="HAPC" localSheetId="16">#REF!</definedName>
    <definedName name="HAPC" localSheetId="0">#REF!</definedName>
    <definedName name="HAPC" localSheetId="20">#REF!</definedName>
    <definedName name="HAPC">#REF!</definedName>
    <definedName name="HAPL" localSheetId="16">#REF!</definedName>
    <definedName name="HAPL" localSheetId="0">#REF!</definedName>
    <definedName name="HAPL" localSheetId="20">#REF!</definedName>
    <definedName name="HAPL">#REF!</definedName>
    <definedName name="HAPV" localSheetId="16">#REF!</definedName>
    <definedName name="HAPV" localSheetId="0">#REF!</definedName>
    <definedName name="HAPV" localSheetId="20">#REF!</definedName>
    <definedName name="HAPV">#REF!</definedName>
    <definedName name="HAREM" localSheetId="16">#REF!</definedName>
    <definedName name="HAREM" localSheetId="0">#REF!</definedName>
    <definedName name="HAREM" localSheetId="20">#REF!</definedName>
    <definedName name="HAREM">#REF!</definedName>
    <definedName name="HARHE" localSheetId="16">#REF!</definedName>
    <definedName name="HARHE" localSheetId="0">#REF!</definedName>
    <definedName name="HARHE" localSheetId="20">#REF!</definedName>
    <definedName name="HARHE">#REF!</definedName>
    <definedName name="HATF" localSheetId="16">#REF!</definedName>
    <definedName name="HATF" localSheetId="0">#REF!</definedName>
    <definedName name="HATF" localSheetId="20">#REF!</definedName>
    <definedName name="HATF">#REF!</definedName>
    <definedName name="HAVE" localSheetId="16">#REF!</definedName>
    <definedName name="HAVE" localSheetId="0">#REF!</definedName>
    <definedName name="HAVE" localSheetId="20">#REF!</definedName>
    <definedName name="HAVE">#REF!</definedName>
    <definedName name="HEA" localSheetId="16">#REF!</definedName>
    <definedName name="HEA" localSheetId="20">#REF!</definedName>
    <definedName name="HEA">#REF!</definedName>
    <definedName name="HEAA" localSheetId="20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 localSheetId="16">#REF!</definedName>
    <definedName name="HOCI" localSheetId="3">#REF!</definedName>
    <definedName name="HOCI" localSheetId="22">#REF!</definedName>
    <definedName name="HOCI" localSheetId="4">#REF!</definedName>
    <definedName name="HOCI" localSheetId="0">#REF!</definedName>
    <definedName name="HOCI" localSheetId="20">#REF!</definedName>
    <definedName name="HOCI">#REF!</definedName>
    <definedName name="HOCP" localSheetId="16">#REF!</definedName>
    <definedName name="HOCP" localSheetId="3">#REF!</definedName>
    <definedName name="HOCP" localSheetId="22">#REF!</definedName>
    <definedName name="HOCP" localSheetId="4">#REF!</definedName>
    <definedName name="HOCP" localSheetId="0">#REF!</definedName>
    <definedName name="HOCP" localSheetId="20">#REF!</definedName>
    <definedName name="HOCP">#REF!</definedName>
    <definedName name="HOJA1" localSheetId="16">#REF!</definedName>
    <definedName name="HOJA1" localSheetId="20">#REF!</definedName>
    <definedName name="HOJA1">#REF!</definedName>
    <definedName name="HOJA2" localSheetId="20">#REF!</definedName>
    <definedName name="HOJA2">#REF!</definedName>
    <definedName name="HOJA3" localSheetId="20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 localSheetId="16">#REF!</definedName>
    <definedName name="Horas_Trabajadas_x_mes" localSheetId="20">#REF!</definedName>
    <definedName name="Horas_Trabajadas_x_mes">#REF!</definedName>
    <definedName name="HORM" localSheetId="20">#REF!</definedName>
    <definedName name="HORM">#REF!</definedName>
    <definedName name="HORMA" localSheetId="20">#REF!</definedName>
    <definedName name="HORMA">#REF!</definedName>
    <definedName name="HOY" localSheetId="20">#REF!</definedName>
    <definedName name="HOY">#REF!</definedName>
    <definedName name="HP" localSheetId="16">#REF!</definedName>
    <definedName name="HP" localSheetId="20">#REF!</definedName>
    <definedName name="HP">#REF!</definedName>
    <definedName name="HR" localSheetId="20">#REF!</definedName>
    <definedName name="HR">#REF!</definedName>
    <definedName name="Hs" localSheetId="20">#REF!</definedName>
    <definedName name="Hs">#REF!</definedName>
    <definedName name="HTR" localSheetId="16">#REF!</definedName>
    <definedName name="HTR" localSheetId="3">#REF!</definedName>
    <definedName name="HTR" localSheetId="13">#REF!</definedName>
    <definedName name="HTR" localSheetId="22">#REF!</definedName>
    <definedName name="HTR" localSheetId="4">#REF!</definedName>
    <definedName name="HTR" localSheetId="17">#REF!</definedName>
    <definedName name="HTR" localSheetId="0">#REF!</definedName>
    <definedName name="HTR" localSheetId="20">#REF!</definedName>
    <definedName name="HTR">#REF!</definedName>
    <definedName name="Huno" localSheetId="16">#REF!</definedName>
    <definedName name="Huno" localSheetId="20">#REF!</definedName>
    <definedName name="Huno">#REF!</definedName>
    <definedName name="I.E.R.I.C." localSheetId="16">#REF!</definedName>
    <definedName name="I.E.R.I.C." localSheetId="20">#REF!</definedName>
    <definedName name="I.E.R.I.C.">#REF!</definedName>
    <definedName name="ifnc" localSheetId="16">#REF!</definedName>
    <definedName name="ifnc" localSheetId="20">#REF!</definedName>
    <definedName name="ifnc">#REF!</definedName>
    <definedName name="iiiiluminacion" localSheetId="20">#REF!</definedName>
    <definedName name="iiiiluminacion">#REF!</definedName>
    <definedName name="iipuentes" localSheetId="20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 localSheetId="16">#REF!</definedName>
    <definedName name="Incap" localSheetId="20">#REF!</definedName>
    <definedName name="Incap">#REF!</definedName>
    <definedName name="Inenc" localSheetId="16">#REF!</definedName>
    <definedName name="Inenc" localSheetId="20">#REF!</definedName>
    <definedName name="Inenc">#REF!</definedName>
    <definedName name="inicia" localSheetId="16">#REF!</definedName>
    <definedName name="inicia" localSheetId="20">#REF!</definedName>
    <definedName name="inicia">#REF!</definedName>
    <definedName name="INSSJP" localSheetId="20">#REF!</definedName>
    <definedName name="INSSJP">#REF!</definedName>
    <definedName name="Insumos" localSheetId="8">#REF!</definedName>
    <definedName name="Insumos" localSheetId="3">#REF!</definedName>
    <definedName name="Insumos" localSheetId="13">#REF!</definedName>
    <definedName name="Insumos" localSheetId="22">#REF!</definedName>
    <definedName name="Insumos" localSheetId="4">#REF!</definedName>
    <definedName name="Insumos" localSheetId="17">#REF!</definedName>
    <definedName name="Insumos" localSheetId="0">#REF!</definedName>
    <definedName name="Insumos" localSheetId="20">#REF!</definedName>
    <definedName name="Insumos" localSheetId="10">#REF!</definedName>
    <definedName name="Insumos" localSheetId="11">#REF!</definedName>
    <definedName name="Insumos" localSheetId="9">#REF!</definedName>
    <definedName name="Insumos" localSheetId="12">#REF!</definedName>
    <definedName name="Insumos" localSheetId="1">#REF!</definedName>
    <definedName name="Insumos" localSheetId="2">#REF!</definedName>
    <definedName name="Insumos" localSheetId="5">#REF!</definedName>
    <definedName name="Insumos">#REF!</definedName>
    <definedName name="Insup" localSheetId="16">#REF!</definedName>
    <definedName name="Insup" localSheetId="20">#REF!</definedName>
    <definedName name="Insup">#REF!</definedName>
    <definedName name="Int" localSheetId="16">#REF!</definedName>
    <definedName name="Int" localSheetId="20">#REF!</definedName>
    <definedName name="Int">#REF!</definedName>
    <definedName name="INTERESES" localSheetId="20">#REF!</definedName>
    <definedName name="INTERESES">#REF!</definedName>
    <definedName name="Interest_Rate" localSheetId="20">#REF!</definedName>
    <definedName name="Interest_Rate">#REF!</definedName>
    <definedName name="Intop" localSheetId="16">#REF!</definedName>
    <definedName name="Intop" localSheetId="20">#REF!</definedName>
    <definedName name="Intop">#REF!</definedName>
    <definedName name="Ip" localSheetId="16">#REF!</definedName>
    <definedName name="Ip" localSheetId="20">#REF!</definedName>
    <definedName name="Ip">#REF!</definedName>
    <definedName name="IPE" localSheetId="20">#REF!</definedName>
    <definedName name="IPE">#REF!</definedName>
    <definedName name="IPEA" localSheetId="20">#REF!</definedName>
    <definedName name="IPEA">#REF!</definedName>
    <definedName name="IPEO">#REF!</definedName>
    <definedName name="IPN">#REF!</definedName>
    <definedName name="it25c" localSheetId="16">#REF!</definedName>
    <definedName name="it25c" localSheetId="20">#REF!</definedName>
    <definedName name="it25c">#REF!</definedName>
    <definedName name="it28ac" localSheetId="16">#REF!</definedName>
    <definedName name="it28ac" localSheetId="20">#REF!</definedName>
    <definedName name="it28ac">#REF!</definedName>
    <definedName name="it28bc" localSheetId="16">#REF!</definedName>
    <definedName name="it28bc" localSheetId="20">#REF!</definedName>
    <definedName name="it28bc">#REF!</definedName>
    <definedName name="it29c" localSheetId="16">#REF!</definedName>
    <definedName name="it29c" localSheetId="20">#REF!</definedName>
    <definedName name="it29c">#REF!</definedName>
    <definedName name="it30c" localSheetId="16">#REF!</definedName>
    <definedName name="it30c" localSheetId="20">#REF!</definedName>
    <definedName name="it30c">#REF!</definedName>
    <definedName name="it31c" localSheetId="16">#REF!</definedName>
    <definedName name="it31c" localSheetId="20">#REF!</definedName>
    <definedName name="it31c">#REF!</definedName>
    <definedName name="it32c" localSheetId="16">#REF!</definedName>
    <definedName name="it32c" localSheetId="20">#REF!</definedName>
    <definedName name="it32c">#REF!</definedName>
    <definedName name="it33c" localSheetId="16">#REF!</definedName>
    <definedName name="it33c" localSheetId="20">#REF!</definedName>
    <definedName name="it33c">#REF!</definedName>
    <definedName name="it34c" localSheetId="16">#REF!</definedName>
    <definedName name="it34c" localSheetId="20">#REF!</definedName>
    <definedName name="it34c">#REF!</definedName>
    <definedName name="it35c" localSheetId="16">#REF!</definedName>
    <definedName name="it35c" localSheetId="20">#REF!</definedName>
    <definedName name="it35c">#REF!</definedName>
    <definedName name="it36ac" localSheetId="16">#REF!</definedName>
    <definedName name="it36ac" localSheetId="20">#REF!</definedName>
    <definedName name="it36ac">#REF!</definedName>
    <definedName name="it36bc" localSheetId="16">#REF!</definedName>
    <definedName name="it36bc" localSheetId="20">#REF!</definedName>
    <definedName name="it36bc">#REF!</definedName>
    <definedName name="it37c" localSheetId="16">#REF!</definedName>
    <definedName name="it37c" localSheetId="20">#REF!</definedName>
    <definedName name="it37c">#REF!</definedName>
    <definedName name="it38c" localSheetId="16">#REF!</definedName>
    <definedName name="it38c" localSheetId="20">#REF!</definedName>
    <definedName name="it38c">#REF!</definedName>
    <definedName name="it39c" localSheetId="16">#REF!</definedName>
    <definedName name="it39c" localSheetId="20">#REF!</definedName>
    <definedName name="it39c">#REF!</definedName>
    <definedName name="it3ac" localSheetId="16">#REF!</definedName>
    <definedName name="it3ac" localSheetId="20">#REF!</definedName>
    <definedName name="it3ac">#REF!</definedName>
    <definedName name="it3bc" localSheetId="16">#REF!</definedName>
    <definedName name="it3bc" localSheetId="20">#REF!</definedName>
    <definedName name="it3bc">#REF!</definedName>
    <definedName name="it3p" localSheetId="16">#REF!</definedName>
    <definedName name="it3p" localSheetId="20">#REF!</definedName>
    <definedName name="it3p">#REF!</definedName>
    <definedName name="it41c1mod" localSheetId="16">#REF!</definedName>
    <definedName name="it41c1mod" localSheetId="20">#REF!</definedName>
    <definedName name="it41c1mod">#REF!</definedName>
    <definedName name="it42c1mod" localSheetId="16">#REF!</definedName>
    <definedName name="it42c1mod" localSheetId="20">#REF!</definedName>
    <definedName name="it42c1mod">#REF!</definedName>
    <definedName name="it4c" localSheetId="16">#REF!</definedName>
    <definedName name="it4c" localSheetId="20">#REF!</definedName>
    <definedName name="it4c">#REF!</definedName>
    <definedName name="it4p" localSheetId="16">#REF!</definedName>
    <definedName name="it4p" localSheetId="20">#REF!</definedName>
    <definedName name="it4p">#REF!</definedName>
    <definedName name="it5c" localSheetId="16">#REF!</definedName>
    <definedName name="it5c" localSheetId="20">#REF!</definedName>
    <definedName name="it5c">#REF!</definedName>
    <definedName name="it5p" localSheetId="16">#REF!</definedName>
    <definedName name="it5p" localSheetId="20">#REF!</definedName>
    <definedName name="it5p">#REF!</definedName>
    <definedName name="it6p" localSheetId="16">#REF!</definedName>
    <definedName name="it6p" localSheetId="20">#REF!</definedName>
    <definedName name="it6p">#REF!</definedName>
    <definedName name="it7ac" localSheetId="16">#REF!</definedName>
    <definedName name="it7ac" localSheetId="20">#REF!</definedName>
    <definedName name="it7ac">#REF!</definedName>
    <definedName name="it7bc" localSheetId="16">#REF!</definedName>
    <definedName name="it7bc" localSheetId="20">#REF!</definedName>
    <definedName name="it7bc">#REF!</definedName>
    <definedName name="it7cc" localSheetId="16">#REF!</definedName>
    <definedName name="it7cc" localSheetId="20">#REF!</definedName>
    <definedName name="it7cc">#REF!</definedName>
    <definedName name="it8c" localSheetId="16">#REF!</definedName>
    <definedName name="it8c" localSheetId="20">#REF!</definedName>
    <definedName name="it8c">#REF!</definedName>
    <definedName name="it9p" localSheetId="16">#REF!</definedName>
    <definedName name="it9p" localSheetId="20">#REF!</definedName>
    <definedName name="it9p">#REF!</definedName>
    <definedName name="Item_Ana" localSheetId="16">#REF!</definedName>
    <definedName name="Item_Ana" localSheetId="20">#REF!</definedName>
    <definedName name="Item_Ana">#REF!</definedName>
    <definedName name="item1" localSheetId="20">#REF!</definedName>
    <definedName name="item1">#REF!</definedName>
    <definedName name="ITEM30" localSheetId="16">#REF!</definedName>
    <definedName name="ITEM30" localSheetId="20">#REF!</definedName>
    <definedName name="ITEM30">#REF!</definedName>
    <definedName name="items" localSheetId="16">#REF!</definedName>
    <definedName name="items" localSheetId="20">#REF!</definedName>
    <definedName name="items">#REF!</definedName>
    <definedName name="IVA" localSheetId="16">#REF!</definedName>
    <definedName name="IVA" localSheetId="20">#REF!</definedName>
    <definedName name="IVA">#REF!</definedName>
    <definedName name="jj_indice_de_materiales" localSheetId="20">#REF!</definedName>
    <definedName name="jj_indice_de_materiales">#REF!</definedName>
    <definedName name="JOINT" localSheetId="20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 localSheetId="16">#REF!</definedName>
    <definedName name="JOR" localSheetId="20">#REF!</definedName>
    <definedName name="JOR">#REF!</definedName>
    <definedName name="JORNADA" localSheetId="16">#REF!</definedName>
    <definedName name="JORNADA" localSheetId="20">#REF!</definedName>
    <definedName name="JORNADA">#REF!</definedName>
    <definedName name="JORNADA1" localSheetId="20">#REF!</definedName>
    <definedName name="JORNADA1">#REF!</definedName>
    <definedName name="Jornal_Basico_Ayudante" localSheetId="16">#REF!</definedName>
    <definedName name="Jornal_Basico_Ayudante" localSheetId="20">#REF!</definedName>
    <definedName name="Jornal_Basico_Ayudante">#REF!</definedName>
    <definedName name="Jornal_Basico_Oficial" localSheetId="16">#REF!</definedName>
    <definedName name="Jornal_Basico_Oficial" localSheetId="20">#REF!</definedName>
    <definedName name="Jornal_Basico_Oficial">#REF!</definedName>
    <definedName name="Jornal_Basico_Oficial_Especializado" localSheetId="16">#REF!</definedName>
    <definedName name="Jornal_Basico_Oficial_Especializado" localSheetId="20">#REF!</definedName>
    <definedName name="Jornal_Basico_Oficial_Especializado">#REF!</definedName>
    <definedName name="JP" localSheetId="16">#REF!</definedName>
    <definedName name="JP" localSheetId="20">#REF!</definedName>
    <definedName name="JP">#REF!</definedName>
    <definedName name="JT" localSheetId="20">#REF!</definedName>
    <definedName name="JT">#REF!</definedName>
    <definedName name="JUBI" localSheetId="20">#REF!</definedName>
    <definedName name="JUBI">#REF!</definedName>
    <definedName name="jul.22" localSheetId="23">'[1]Indice CAC'!#REF!</definedName>
    <definedName name="jul.22">'Indice CAC'!#REF!</definedName>
    <definedName name="jul.23" localSheetId="23">'[1]Indice CAC'!#REF!</definedName>
    <definedName name="jul.23">'Indice CAC'!#REF!</definedName>
    <definedName name="jul.24">'Indice CAC'!#REF!</definedName>
    <definedName name="jul.25">'Indice CAC'!$B$9</definedName>
    <definedName name="juli22" localSheetId="23">'[1]Indice CAC'!#REF!</definedName>
    <definedName name="juli22">'Indice CAC'!#REF!</definedName>
    <definedName name="juli23" localSheetId="23">'[1]Indice CAC'!#REF!</definedName>
    <definedName name="juli23">'Indice CAC'!#REF!</definedName>
    <definedName name="juli24">'Indice CAC'!#REF!</definedName>
    <definedName name="jun.22" localSheetId="23">'[1]Indice CAC'!#REF!</definedName>
    <definedName name="jun.22">'Indice CAC'!#REF!</definedName>
    <definedName name="jun.23" localSheetId="23">'[1]Indice CAC'!#REF!</definedName>
    <definedName name="jun.23">'Indice CAC'!#REF!</definedName>
    <definedName name="jun.24">'Indice CAC'!#REF!</definedName>
    <definedName name="jun.25">'Indice CAC'!$B$8</definedName>
    <definedName name="juni22" localSheetId="23">'[1]Indice CAC'!#REF!</definedName>
    <definedName name="juni22">'Indice CAC'!#REF!</definedName>
    <definedName name="juni23" localSheetId="23">'[1]Indice CAC'!#REF!</definedName>
    <definedName name="juni23">'Indice CAC'!#REF!</definedName>
    <definedName name="juni24">'Indice CAC'!#REF!</definedName>
    <definedName name="K" localSheetId="16">#REF!</definedName>
    <definedName name="K" localSheetId="21">#REF!</definedName>
    <definedName name="K" localSheetId="8">#REF!</definedName>
    <definedName name="K" localSheetId="6">#REF!</definedName>
    <definedName name="K" localSheetId="7">#REF!</definedName>
    <definedName name="K" localSheetId="3">#REF!</definedName>
    <definedName name="K" localSheetId="13">#REF!</definedName>
    <definedName name="K" localSheetId="22">#REF!</definedName>
    <definedName name="K" localSheetId="4">#REF!</definedName>
    <definedName name="K" localSheetId="0">#REF!</definedName>
    <definedName name="K" localSheetId="10">#REF!</definedName>
    <definedName name="K" localSheetId="11">#REF!</definedName>
    <definedName name="K" localSheetId="9">#REF!</definedName>
    <definedName name="K" localSheetId="12">#REF!</definedName>
    <definedName name="K" localSheetId="15">#REF!</definedName>
    <definedName name="K" localSheetId="14">#REF!</definedName>
    <definedName name="K" localSheetId="1">#REF!</definedName>
    <definedName name="K" localSheetId="2">#REF!</definedName>
    <definedName name="K" localSheetId="5">#REF!</definedName>
    <definedName name="K">#REF!</definedName>
    <definedName name="kh">#REF!</definedName>
    <definedName name="kha" localSheetId="16">#REF!</definedName>
    <definedName name="kha" localSheetId="20">#REF!</definedName>
    <definedName name="kha">#REF!</definedName>
    <definedName name="l" localSheetId="16">#REF!</definedName>
    <definedName name="l" localSheetId="21">#REF!</definedName>
    <definedName name="l" localSheetId="8">#REF!</definedName>
    <definedName name="l" localSheetId="6">#REF!</definedName>
    <definedName name="l" localSheetId="7">#REF!</definedName>
    <definedName name="l" localSheetId="3">#REF!</definedName>
    <definedName name="l" localSheetId="13">#REF!</definedName>
    <definedName name="l" localSheetId="22">#REF!</definedName>
    <definedName name="l" localSheetId="4">#REF!</definedName>
    <definedName name="l" localSheetId="0">#REF!</definedName>
    <definedName name="l" localSheetId="20">#REF!</definedName>
    <definedName name="l" localSheetId="10">#REF!</definedName>
    <definedName name="l" localSheetId="11">#REF!</definedName>
    <definedName name="l" localSheetId="9">#REF!</definedName>
    <definedName name="l" localSheetId="12">#REF!</definedName>
    <definedName name="l" localSheetId="15">#REF!</definedName>
    <definedName name="l" localSheetId="14">#REF!</definedName>
    <definedName name="l" localSheetId="1">#REF!</definedName>
    <definedName name="l" localSheetId="2">#REF!</definedName>
    <definedName name="l" localSheetId="5">#REF!</definedName>
    <definedName name="l">#REF!</definedName>
    <definedName name="LA">#N/A</definedName>
    <definedName name="Last_Row">#N/A</definedName>
    <definedName name="LB">#N/A</definedName>
    <definedName name="LCPCB" localSheetId="16">#REF!</definedName>
    <definedName name="LCPCB" localSheetId="3">#REF!</definedName>
    <definedName name="LCPCB" localSheetId="22">#REF!</definedName>
    <definedName name="LCPCB" localSheetId="4">#REF!</definedName>
    <definedName name="LCPCB" localSheetId="0">#REF!</definedName>
    <definedName name="LCPCB" localSheetId="20">#REF!</definedName>
    <definedName name="LCPCB">#REF!</definedName>
    <definedName name="LCPCI06" localSheetId="16">#REF!</definedName>
    <definedName name="LCPCI06" localSheetId="0">#REF!</definedName>
    <definedName name="LCPCI06" localSheetId="20">#REF!</definedName>
    <definedName name="LCPCI06">#REF!</definedName>
    <definedName name="LCPCID12" localSheetId="16">#REF!</definedName>
    <definedName name="LCPCID12" localSheetId="0">#REF!</definedName>
    <definedName name="LCPCID12" localSheetId="20">#REF!</definedName>
    <definedName name="LCPCID12">#REF!</definedName>
    <definedName name="LCPCR" localSheetId="16">#REF!</definedName>
    <definedName name="LCPCR" localSheetId="0">#REF!</definedName>
    <definedName name="LCPCR" localSheetId="20">#REF!</definedName>
    <definedName name="LCPCR">#REF!</definedName>
    <definedName name="LCPCRE" localSheetId="16">#REF!</definedName>
    <definedName name="LCPCRE" localSheetId="0">#REF!</definedName>
    <definedName name="LCPCRE" localSheetId="20">#REF!</definedName>
    <definedName name="LCPCRE">#REF!</definedName>
    <definedName name="LCPCV" localSheetId="16">#REF!</definedName>
    <definedName name="LCPCV" localSheetId="0">#REF!</definedName>
    <definedName name="LCPCV" localSheetId="20">#REF!</definedName>
    <definedName name="LCPCV">#REF!</definedName>
    <definedName name="LCPPA" localSheetId="16">#REF!</definedName>
    <definedName name="LCPPA" localSheetId="0">#REF!</definedName>
    <definedName name="LCPPA" localSheetId="20">#REF!</definedName>
    <definedName name="LCPPA">#REF!</definedName>
    <definedName name="LIC" localSheetId="16">#REF!</definedName>
    <definedName name="LIC" localSheetId="20">#REF!</definedName>
    <definedName name="LIC">#REF!</definedName>
    <definedName name="lista" localSheetId="16" hidden="1">#REF!</definedName>
    <definedName name="lista" localSheetId="20" hidden="1">#REF!</definedName>
    <definedName name="lista" hidden="1">#REF!</definedName>
    <definedName name="Listaperfiles" localSheetId="16">#REF!</definedName>
    <definedName name="Listaperfiles" localSheetId="20">#REF!</definedName>
    <definedName name="Listaperfiles">#REF!</definedName>
    <definedName name="lk" localSheetId="20">#REF!</definedName>
    <definedName name="lk">#REF!</definedName>
    <definedName name="ll_tabla_para_calculo_de_costos" localSheetId="16">#REF!</definedName>
    <definedName name="ll_tabla_para_calculo_de_costos" localSheetId="20">#REF!</definedName>
    <definedName name="ll_tabla_para_calculo_de_costos">#REF!</definedName>
    <definedName name="llll" localSheetId="20">#REF!</definedName>
    <definedName name="llll">#REF!</definedName>
    <definedName name="Lm" localSheetId="20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 localSheetId="16">#REF!</definedName>
    <definedName name="Lubricantes" localSheetId="20">#REF!</definedName>
    <definedName name="Lubricantes">#REF!</definedName>
    <definedName name="M" localSheetId="16">#REF!</definedName>
    <definedName name="M" localSheetId="20">#REF!</definedName>
    <definedName name="M">#REF!</definedName>
    <definedName name="MAABC" localSheetId="16">#REF!</definedName>
    <definedName name="MAABC" localSheetId="0">#REF!</definedName>
    <definedName name="MAABC" localSheetId="20">#REF!</definedName>
    <definedName name="MAABC">#REF!</definedName>
    <definedName name="MAABY" localSheetId="16">#REF!</definedName>
    <definedName name="MAABY" localSheetId="0">#REF!</definedName>
    <definedName name="MAABY" localSheetId="20">#REF!</definedName>
    <definedName name="MAABY">#REF!</definedName>
    <definedName name="MAALC" localSheetId="16">#REF!</definedName>
    <definedName name="MAALC" localSheetId="0">#REF!</definedName>
    <definedName name="MAALC" localSheetId="20">#REF!</definedName>
    <definedName name="MAALC">#REF!</definedName>
    <definedName name="MAALH" localSheetId="16">#REF!</definedName>
    <definedName name="MAALH" localSheetId="0">#REF!</definedName>
    <definedName name="MAALH" localSheetId="20">#REF!</definedName>
    <definedName name="MAALH">#REF!</definedName>
    <definedName name="MAALHP" localSheetId="16">#REF!</definedName>
    <definedName name="MAALHP" localSheetId="0">#REF!</definedName>
    <definedName name="MAALHP" localSheetId="20">#REF!</definedName>
    <definedName name="MAALHP">#REF!</definedName>
    <definedName name="MAALV" localSheetId="16">#REF!</definedName>
    <definedName name="MAALV" localSheetId="0">#REF!</definedName>
    <definedName name="MAALV" localSheetId="20">#REF!</definedName>
    <definedName name="MAALV">#REF!</definedName>
    <definedName name="MAAP" localSheetId="16">#REF!</definedName>
    <definedName name="MAAP" localSheetId="0">#REF!</definedName>
    <definedName name="MAAP" localSheetId="20">#REF!</definedName>
    <definedName name="MAAP">#REF!</definedName>
    <definedName name="MAAPY" localSheetId="16">#REF!</definedName>
    <definedName name="MAAPY" localSheetId="0">#REF!</definedName>
    <definedName name="MAAPY" localSheetId="20">#REF!</definedName>
    <definedName name="MAAPY">#REF!</definedName>
    <definedName name="MABBC" localSheetId="16">#REF!</definedName>
    <definedName name="MABBC" localSheetId="0">#REF!</definedName>
    <definedName name="MABBC" localSheetId="20">#REF!</definedName>
    <definedName name="MABBC">#REF!</definedName>
    <definedName name="MABBY" localSheetId="16">#REF!</definedName>
    <definedName name="MABBY" localSheetId="0">#REF!</definedName>
    <definedName name="MABBY" localSheetId="20">#REF!</definedName>
    <definedName name="MABBY">#REF!</definedName>
    <definedName name="MABLC" localSheetId="16">#REF!</definedName>
    <definedName name="MABLC" localSheetId="0">#REF!</definedName>
    <definedName name="MABLC" localSheetId="20">#REF!</definedName>
    <definedName name="MABLC">#REF!</definedName>
    <definedName name="MABLH" localSheetId="16">#REF!</definedName>
    <definedName name="MABLH" localSheetId="0">#REF!</definedName>
    <definedName name="MABLH" localSheetId="20">#REF!</definedName>
    <definedName name="MABLH">#REF!</definedName>
    <definedName name="MABLHP" localSheetId="16">#REF!</definedName>
    <definedName name="MABLHP" localSheetId="0">#REF!</definedName>
    <definedName name="MABLHP" localSheetId="20">#REF!</definedName>
    <definedName name="MABLHP">#REF!</definedName>
    <definedName name="MABLV" localSheetId="16">#REF!</definedName>
    <definedName name="MABLV" localSheetId="0">#REF!</definedName>
    <definedName name="MABLV" localSheetId="20">#REF!</definedName>
    <definedName name="MABLV">#REF!</definedName>
    <definedName name="MABP" localSheetId="16">#REF!</definedName>
    <definedName name="MABP" localSheetId="0">#REF!</definedName>
    <definedName name="MABP" localSheetId="20">#REF!</definedName>
    <definedName name="MABP">#REF!</definedName>
    <definedName name="MABPY" localSheetId="16">#REF!</definedName>
    <definedName name="MABPY" localSheetId="0">#REF!</definedName>
    <definedName name="MABPY" localSheetId="20">#REF!</definedName>
    <definedName name="MABPY">#REF!</definedName>
    <definedName name="MACBC" localSheetId="16">#REF!</definedName>
    <definedName name="MACBC" localSheetId="0">#REF!</definedName>
    <definedName name="MACBC" localSheetId="20">#REF!</definedName>
    <definedName name="MACBC">#REF!</definedName>
    <definedName name="MACBY" localSheetId="16">#REF!</definedName>
    <definedName name="MACBY" localSheetId="0">#REF!</definedName>
    <definedName name="MACBY" localSheetId="20">#REF!</definedName>
    <definedName name="MACBY">#REF!</definedName>
    <definedName name="MACLC" localSheetId="16">#REF!</definedName>
    <definedName name="MACLC" localSheetId="0">#REF!</definedName>
    <definedName name="MACLC" localSheetId="20">#REF!</definedName>
    <definedName name="MACLC">#REF!</definedName>
    <definedName name="MACLH" localSheetId="16">#REF!</definedName>
    <definedName name="MACLH" localSheetId="0">#REF!</definedName>
    <definedName name="MACLH" localSheetId="20">#REF!</definedName>
    <definedName name="MACLH">#REF!</definedName>
    <definedName name="MACLHP" localSheetId="16">#REF!</definedName>
    <definedName name="MACLHP" localSheetId="0">#REF!</definedName>
    <definedName name="MACLHP" localSheetId="20">#REF!</definedName>
    <definedName name="MACLHP">#REF!</definedName>
    <definedName name="MACLV" localSheetId="16">#REF!</definedName>
    <definedName name="MACLV" localSheetId="0">#REF!</definedName>
    <definedName name="MACLV" localSheetId="20">#REF!</definedName>
    <definedName name="MACLV">#REF!</definedName>
    <definedName name="MACPLY" localSheetId="16">#REF!</definedName>
    <definedName name="MACPLY" localSheetId="0">#REF!</definedName>
    <definedName name="MACPLY" localSheetId="20">#REF!</definedName>
    <definedName name="MACPLY">#REF!</definedName>
    <definedName name="MACPY" localSheetId="16">#REF!</definedName>
    <definedName name="MACPY" localSheetId="0">#REF!</definedName>
    <definedName name="MACPY" localSheetId="20">#REF!</definedName>
    <definedName name="MACPY">#REF!</definedName>
    <definedName name="MACV" localSheetId="16">#REF!</definedName>
    <definedName name="MACV" localSheetId="0">#REF!</definedName>
    <definedName name="MACV" localSheetId="20">#REF!</definedName>
    <definedName name="MACV">#REF!</definedName>
    <definedName name="mad" localSheetId="16">#REF!</definedName>
    <definedName name="mad" localSheetId="20">#REF!</definedName>
    <definedName name="mad">#REF!</definedName>
    <definedName name="MADLH" localSheetId="16">#REF!</definedName>
    <definedName name="MADLH" localSheetId="0">#REF!</definedName>
    <definedName name="MADLH" localSheetId="20">#REF!</definedName>
    <definedName name="MADLH">#REF!</definedName>
    <definedName name="MAEJ" localSheetId="16">#REF!</definedName>
    <definedName name="MAEJ" localSheetId="0">#REF!</definedName>
    <definedName name="MAEJ" localSheetId="20">#REF!</definedName>
    <definedName name="MAEJ">#REF!</definedName>
    <definedName name="MAENM" localSheetId="16">#REF!</definedName>
    <definedName name="MAENM" localSheetId="0">#REF!</definedName>
    <definedName name="MAENM" localSheetId="20">#REF!</definedName>
    <definedName name="MAENM">#REF!</definedName>
    <definedName name="MAMPOSTERIA" localSheetId="16">#REF!</definedName>
    <definedName name="MAMPOSTERIA" localSheetId="20">#REF!</definedName>
    <definedName name="MAMPOSTERIA">#REF!</definedName>
    <definedName name="MANOBRA">#N/A</definedName>
    <definedName name="manodeo" localSheetId="16">#REF!</definedName>
    <definedName name="manodeo" localSheetId="20">#REF!</definedName>
    <definedName name="manodeo">#REF!</definedName>
    <definedName name="manodeobra" localSheetId="16">#REF!</definedName>
    <definedName name="manodeobra" localSheetId="21">#REF!</definedName>
    <definedName name="manodeobra" localSheetId="8">#REF!</definedName>
    <definedName name="manodeobra" localSheetId="6">#REF!</definedName>
    <definedName name="manodeobra" localSheetId="7">#REF!</definedName>
    <definedName name="manodeobra" localSheetId="3">#REF!</definedName>
    <definedName name="manodeobra" localSheetId="13">#REF!</definedName>
    <definedName name="manodeobra" localSheetId="22">#REF!</definedName>
    <definedName name="manodeobra" localSheetId="4">#REF!</definedName>
    <definedName name="manodeobra" localSheetId="0">#REF!</definedName>
    <definedName name="manodeobra" localSheetId="20">#REF!</definedName>
    <definedName name="manodeobra" localSheetId="10">#REF!</definedName>
    <definedName name="manodeobra" localSheetId="11">#REF!</definedName>
    <definedName name="manodeobra" localSheetId="9">#REF!</definedName>
    <definedName name="manodeobra" localSheetId="12">#REF!</definedName>
    <definedName name="manodeobra" localSheetId="15">#REF!</definedName>
    <definedName name="manodeobra" localSheetId="14">#REF!</definedName>
    <definedName name="manodeobra" localSheetId="1">#REF!</definedName>
    <definedName name="manodeobra" localSheetId="2">#REF!</definedName>
    <definedName name="manodeobra" localSheetId="5">#REF!</definedName>
    <definedName name="manodeobra">#REF!</definedName>
    <definedName name="MAPBC" localSheetId="16">#REF!</definedName>
    <definedName name="MAPBC" localSheetId="3">#REF!</definedName>
    <definedName name="MAPBC" localSheetId="22">#REF!</definedName>
    <definedName name="MAPBC" localSheetId="4">#REF!</definedName>
    <definedName name="MAPBC" localSheetId="0">#REF!</definedName>
    <definedName name="MAPBC" localSheetId="20">#REF!</definedName>
    <definedName name="MAPBC">#REF!</definedName>
    <definedName name="MAPBY" localSheetId="16">#REF!</definedName>
    <definedName name="MAPBY" localSheetId="3">#REF!</definedName>
    <definedName name="MAPBY" localSheetId="22">#REF!</definedName>
    <definedName name="MAPBY" localSheetId="4">#REF!</definedName>
    <definedName name="MAPBY" localSheetId="0">#REF!</definedName>
    <definedName name="MAPBY" localSheetId="20">#REF!</definedName>
    <definedName name="MAPBY">#REF!</definedName>
    <definedName name="MAPJ" localSheetId="16">#REF!</definedName>
    <definedName name="MAPJ" localSheetId="0">#REF!</definedName>
    <definedName name="MAPJ" localSheetId="20">#REF!</definedName>
    <definedName name="MAPJ">#REF!</definedName>
    <definedName name="MAPLC" localSheetId="16">#REF!</definedName>
    <definedName name="MAPLC" localSheetId="0">#REF!</definedName>
    <definedName name="MAPLC" localSheetId="20">#REF!</definedName>
    <definedName name="MAPLC">#REF!</definedName>
    <definedName name="MAPLH" localSheetId="16">#REF!</definedName>
    <definedName name="MAPLH" localSheetId="0">#REF!</definedName>
    <definedName name="MAPLH" localSheetId="20">#REF!</definedName>
    <definedName name="MAPLH">#REF!</definedName>
    <definedName name="MAPLHP" localSheetId="16">#REF!</definedName>
    <definedName name="MAPLHP" localSheetId="0">#REF!</definedName>
    <definedName name="MAPLHP" localSheetId="20">#REF!</definedName>
    <definedName name="MAPLHP">#REF!</definedName>
    <definedName name="MAPLV" localSheetId="16">#REF!</definedName>
    <definedName name="MAPLV" localSheetId="0">#REF!</definedName>
    <definedName name="MAPLV" localSheetId="20">#REF!</definedName>
    <definedName name="MAPLV">#REF!</definedName>
    <definedName name="MAPPY" localSheetId="16">#REF!</definedName>
    <definedName name="MAPPY" localSheetId="0">#REF!</definedName>
    <definedName name="MAPPY" localSheetId="20">#REF!</definedName>
    <definedName name="MAPPY">#REF!</definedName>
    <definedName name="MAR" localSheetId="16">#REF!</definedName>
    <definedName name="MAR" localSheetId="0">#REF!</definedName>
    <definedName name="MAR" localSheetId="20">#REF!</definedName>
    <definedName name="MAR">#REF!</definedName>
    <definedName name="mar.23" localSheetId="23">'[1]Indice CAC'!#REF!</definedName>
    <definedName name="mar.23">'Indice CAC'!#REF!</definedName>
    <definedName name="mar.24">'Indice CAC'!#REF!</definedName>
    <definedName name="mar.25">'Indice CAC'!$B$5</definedName>
    <definedName name="MARHD" localSheetId="16">#REF!</definedName>
    <definedName name="MARHD" localSheetId="0">#REF!</definedName>
    <definedName name="MARHD" localSheetId="20">#REF!</definedName>
    <definedName name="MARHD">#REF!</definedName>
    <definedName name="MARHH" localSheetId="16">#REF!</definedName>
    <definedName name="MARHH" localSheetId="0">#REF!</definedName>
    <definedName name="MARHH" localSheetId="20">#REF!</definedName>
    <definedName name="MARHH">#REF!</definedName>
    <definedName name="MARHM" localSheetId="16">#REF!</definedName>
    <definedName name="MARHM" localSheetId="0">#REF!</definedName>
    <definedName name="MARHM" localSheetId="20">#REF!</definedName>
    <definedName name="MARHM">#REF!</definedName>
    <definedName name="MARHR" localSheetId="16">#REF!</definedName>
    <definedName name="MARHR" localSheetId="0">#REF!</definedName>
    <definedName name="MARHR" localSheetId="20">#REF!</definedName>
    <definedName name="MARHR">#REF!</definedName>
    <definedName name="MARHT" localSheetId="16">#REF!</definedName>
    <definedName name="MARHT" localSheetId="0">#REF!</definedName>
    <definedName name="MARHT" localSheetId="20">#REF!</definedName>
    <definedName name="MARHT">#REF!</definedName>
    <definedName name="MARLA" localSheetId="16">#REF!</definedName>
    <definedName name="MARLA" localSheetId="0">#REF!</definedName>
    <definedName name="MARLA" localSheetId="20">#REF!</definedName>
    <definedName name="MARLA">#REF!</definedName>
    <definedName name="MARLB" localSheetId="16">#REF!</definedName>
    <definedName name="MARLB" localSheetId="0">#REF!</definedName>
    <definedName name="MARLB" localSheetId="20">#REF!</definedName>
    <definedName name="MARLB">#REF!</definedName>
    <definedName name="MARP" localSheetId="16">#REF!</definedName>
    <definedName name="MARP" localSheetId="0">#REF!</definedName>
    <definedName name="MARP" localSheetId="20">#REF!</definedName>
    <definedName name="MARP">#REF!</definedName>
    <definedName name="marz23" localSheetId="23">'[1]Indice CAC'!#REF!</definedName>
    <definedName name="marz23">'Indice CAC'!#REF!</definedName>
    <definedName name="marzo24">'Indice CAC'!#REF!</definedName>
    <definedName name="mat" localSheetId="16">#REF!</definedName>
    <definedName name="mat" localSheetId="20">#REF!</definedName>
    <definedName name="mat">#REF!</definedName>
    <definedName name="mat_prsum">#REF!</definedName>
    <definedName name="mat_sum">#REF!</definedName>
    <definedName name="materiales" localSheetId="16">#REF!</definedName>
    <definedName name="materiales" localSheetId="20">#REF!</definedName>
    <definedName name="materiales">#REF!</definedName>
    <definedName name="MATR" localSheetId="16">#REF!</definedName>
    <definedName name="MATR" localSheetId="0">#REF!</definedName>
    <definedName name="MATR" localSheetId="20">#REF!</definedName>
    <definedName name="MATR">#REF!</definedName>
    <definedName name="MATS" localSheetId="16">#REF!</definedName>
    <definedName name="MATS" localSheetId="20">#REF!</definedName>
    <definedName name="MATS">#REF!</definedName>
    <definedName name="may.22" localSheetId="23">'[1]Indice CAC'!#REF!</definedName>
    <definedName name="may.22">'Indice CAC'!#REF!</definedName>
    <definedName name="may.23" localSheetId="23">'[1]Indice CAC'!#REF!</definedName>
    <definedName name="may.23">'Indice CAC'!#REF!</definedName>
    <definedName name="may.24">'Indice CAC'!#REF!</definedName>
    <definedName name="may.25">'Indice CAC'!$B$7</definedName>
    <definedName name="mayo23" localSheetId="23">'[1]Indice CAC'!#REF!</definedName>
    <definedName name="mayo23">'Indice CAC'!#REF!</definedName>
    <definedName name="mayo24">'Indice CAC'!#REF!</definedName>
    <definedName name="mb" localSheetId="16">#REF!</definedName>
    <definedName name="mb" localSheetId="20">#REF!</definedName>
    <definedName name="mb">#REF!</definedName>
    <definedName name="mbs" localSheetId="16">#REF!</definedName>
    <definedName name="mbs" localSheetId="20">#REF!</definedName>
    <definedName name="mbs">#REF!</definedName>
    <definedName name="MC" localSheetId="16">#REF!</definedName>
    <definedName name="MC" localSheetId="20">#REF!</definedName>
    <definedName name="MC">#REF!</definedName>
    <definedName name="Mdespl." localSheetId="20">#REF!</definedName>
    <definedName name="Mdespl.">#REF!</definedName>
    <definedName name="MDODNV" localSheetId="16">#REF!</definedName>
    <definedName name="MDODNV" localSheetId="20">#REF!</definedName>
    <definedName name="MDODNV">#REF!</definedName>
    <definedName name="MDODPV" localSheetId="16">#REF!</definedName>
    <definedName name="MDODPV" localSheetId="20">#REF!</definedName>
    <definedName name="MDODPV">#REF!</definedName>
    <definedName name="Medio_Oficial" localSheetId="16">#REF!</definedName>
    <definedName name="Medio_Oficial" localSheetId="20">#REF!</definedName>
    <definedName name="Medio_Oficial">#REF!</definedName>
    <definedName name="medioofr" localSheetId="16">#REF!</definedName>
    <definedName name="medioofr" localSheetId="20">#REF!</definedName>
    <definedName name="medioofr">#REF!</definedName>
    <definedName name="MEDOLAR" localSheetId="16">#REF!</definedName>
    <definedName name="MEDOLAR" localSheetId="20">#REF!</definedName>
    <definedName name="MEDOLAR">#REF!</definedName>
    <definedName name="MENSUAL" localSheetId="16">#REF!</definedName>
    <definedName name="MENSUAL" localSheetId="20">#REF!</definedName>
    <definedName name="MENSUAL">#REF!</definedName>
    <definedName name="MENU" localSheetId="20">#REF!</definedName>
    <definedName name="MENU">#REF!</definedName>
    <definedName name="MES" localSheetId="20">#REF!</definedName>
    <definedName name="MES">#REF!</definedName>
    <definedName name="mes_retiro" localSheetId="16">#REF!</definedName>
    <definedName name="mes_retiro" localSheetId="20">#REF!</definedName>
    <definedName name="mes_retiro">#REF!</definedName>
    <definedName name="Meses" localSheetId="3">#REF!</definedName>
    <definedName name="Meses" localSheetId="22">#REF!</definedName>
    <definedName name="Meses" localSheetId="4">#REF!</definedName>
    <definedName name="Meses" localSheetId="20">#REF!</definedName>
    <definedName name="Meses">#REF!</definedName>
    <definedName name="MisAna" localSheetId="20">#REF!</definedName>
    <definedName name="MisAna">#REF!</definedName>
    <definedName name="MMCC" localSheetId="16">#REF!</definedName>
    <definedName name="MMCC" localSheetId="3">#REF!</definedName>
    <definedName name="MMCC" localSheetId="13">#REF!</definedName>
    <definedName name="MMCC" localSheetId="22">#REF!</definedName>
    <definedName name="MMCC" localSheetId="4">#REF!</definedName>
    <definedName name="MMCC" localSheetId="17">#REF!</definedName>
    <definedName name="MMCC" localSheetId="0">#REF!</definedName>
    <definedName name="MMCC" localSheetId="20">#REF!</definedName>
    <definedName name="MMCC">#REF!</definedName>
    <definedName name="MMCCA" localSheetId="16">#REF!</definedName>
    <definedName name="MMCCA" localSheetId="3">#REF!</definedName>
    <definedName name="MMCCA" localSheetId="22">#REF!</definedName>
    <definedName name="MMCCA" localSheetId="4">#REF!</definedName>
    <definedName name="MMCCA" localSheetId="17">#REF!</definedName>
    <definedName name="MMCCA" localSheetId="0">#REF!</definedName>
    <definedName name="MMCCA" localSheetId="20">#REF!</definedName>
    <definedName name="MMCCA">#REF!</definedName>
    <definedName name="MMCDE" localSheetId="16">#REF!</definedName>
    <definedName name="MMCDE" localSheetId="17">#REF!</definedName>
    <definedName name="MMCDE" localSheetId="0">#REF!</definedName>
    <definedName name="MMCDE" localSheetId="20">#REF!</definedName>
    <definedName name="MMCDE">#REF!</definedName>
    <definedName name="MMDMA" localSheetId="16">#REF!</definedName>
    <definedName name="MMDMA" localSheetId="17">#REF!</definedName>
    <definedName name="MMDMA" localSheetId="0">#REF!</definedName>
    <definedName name="MMDMA" localSheetId="20">#REF!</definedName>
    <definedName name="MMDMA">#REF!</definedName>
    <definedName name="MMDMC" localSheetId="16">#REF!</definedName>
    <definedName name="MMDMC" localSheetId="0">#REF!</definedName>
    <definedName name="MMDMC" localSheetId="20">#REF!</definedName>
    <definedName name="MMDMC">#REF!</definedName>
    <definedName name="MMDMD" localSheetId="16">#REF!</definedName>
    <definedName name="MMDMD" localSheetId="0">#REF!</definedName>
    <definedName name="MMDMD" localSheetId="20">#REF!</definedName>
    <definedName name="MMDMD">#REF!</definedName>
    <definedName name="MMDME" localSheetId="16">#REF!</definedName>
    <definedName name="MMDME" localSheetId="0">#REF!</definedName>
    <definedName name="MMDME" localSheetId="20">#REF!</definedName>
    <definedName name="MMDME">#REF!</definedName>
    <definedName name="MMDMP" localSheetId="16">#REF!</definedName>
    <definedName name="MMDMP" localSheetId="0">#REF!</definedName>
    <definedName name="MMDMP" localSheetId="20">#REF!</definedName>
    <definedName name="MMDMP">#REF!</definedName>
    <definedName name="MMDMT" localSheetId="16">#REF!</definedName>
    <definedName name="MMDMT" localSheetId="0">#REF!</definedName>
    <definedName name="MMDMT" localSheetId="20">#REF!</definedName>
    <definedName name="MMDMT">#REF!</definedName>
    <definedName name="MMDMV" localSheetId="16">#REF!</definedName>
    <definedName name="MMDMV" localSheetId="0">#REF!</definedName>
    <definedName name="MMDMV" localSheetId="20">#REF!</definedName>
    <definedName name="MMDMV">#REF!</definedName>
    <definedName name="mmm" localSheetId="16">#REF!</definedName>
    <definedName name="mmm" localSheetId="20">#REF!</definedName>
    <definedName name="mmm">#REF!</definedName>
    <definedName name="MMRC" localSheetId="16">#REF!</definedName>
    <definedName name="MMRC" localSheetId="0">#REF!</definedName>
    <definedName name="MMRC" localSheetId="20">#REF!</definedName>
    <definedName name="MMRC">#REF!</definedName>
    <definedName name="MMVC" localSheetId="16">#REF!</definedName>
    <definedName name="MMVC" localSheetId="0">#REF!</definedName>
    <definedName name="MMVC" localSheetId="20">#REF!</definedName>
    <definedName name="MMVC">#REF!</definedName>
    <definedName name="MONTH">#REF!</definedName>
    <definedName name="Monto_Certif." localSheetId="16">#REF!</definedName>
    <definedName name="Monto_Certif." localSheetId="20">#REF!</definedName>
    <definedName name="Monto_Certif.">#REF!</definedName>
    <definedName name="MOREGAS" localSheetId="16">#REF!</definedName>
    <definedName name="MOREGAS" localSheetId="20">#REF!</definedName>
    <definedName name="MOREGAS">#REF!</definedName>
    <definedName name="mov" localSheetId="16">#REF!</definedName>
    <definedName name="mov" localSheetId="20">#REF!</definedName>
    <definedName name="mov">#REF!</definedName>
    <definedName name="movilizacion" localSheetId="16">#REF!</definedName>
    <definedName name="movilizacion" localSheetId="20">#REF!</definedName>
    <definedName name="movilizacion">#REF!</definedName>
    <definedName name="MQ" localSheetId="16">#REF!</definedName>
    <definedName name="MQ" localSheetId="20">#REF!</definedName>
    <definedName name="MQ">#REF!</definedName>
    <definedName name="MSAP" localSheetId="16">#REF!</definedName>
    <definedName name="MSAP" localSheetId="3">#REF!</definedName>
    <definedName name="MSAP" localSheetId="13">#REF!</definedName>
    <definedName name="MSAP" localSheetId="22">#REF!</definedName>
    <definedName name="MSAP" localSheetId="4">#REF!</definedName>
    <definedName name="MSAP" localSheetId="17">#REF!</definedName>
    <definedName name="MSAP" localSheetId="0">#REF!</definedName>
    <definedName name="MSAP" localSheetId="20">#REF!</definedName>
    <definedName name="MSAP">#REF!</definedName>
    <definedName name="MSAS" localSheetId="16">#REF!</definedName>
    <definedName name="MSAS" localSheetId="3">#REF!</definedName>
    <definedName name="MSAS" localSheetId="22">#REF!</definedName>
    <definedName name="MSAS" localSheetId="4">#REF!</definedName>
    <definedName name="MSAS" localSheetId="17">#REF!</definedName>
    <definedName name="MSAS" localSheetId="0">#REF!</definedName>
    <definedName name="MSAS" localSheetId="20">#REF!</definedName>
    <definedName name="MSAS">#REF!</definedName>
    <definedName name="MSLS" localSheetId="16">#REF!</definedName>
    <definedName name="MSLS" localSheetId="17">#REF!</definedName>
    <definedName name="MSLS" localSheetId="0">#REF!</definedName>
    <definedName name="MSLS" localSheetId="20">#REF!</definedName>
    <definedName name="MSLS">#REF!</definedName>
    <definedName name="MSNP" localSheetId="16">#REF!</definedName>
    <definedName name="MSNP" localSheetId="17">#REF!</definedName>
    <definedName name="MSNP" localSheetId="0">#REF!</definedName>
    <definedName name="MSNP" localSheetId="20">#REF!</definedName>
    <definedName name="MSNP">#REF!</definedName>
    <definedName name="MU" localSheetId="16">#REF!</definedName>
    <definedName name="MU" localSheetId="20">#REF!</definedName>
    <definedName name="MU">#REF!</definedName>
    <definedName name="MWx" localSheetId="20">#REF!</definedName>
    <definedName name="MWx">#REF!</definedName>
    <definedName name="MWz" localSheetId="20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 localSheetId="16">#REF!</definedName>
    <definedName name="myy" localSheetId="20">#REF!</definedName>
    <definedName name="myy">#REF!</definedName>
    <definedName name="N">#N/A</definedName>
    <definedName name="NAFTA" localSheetId="16">#REF!</definedName>
    <definedName name="NAFTA" localSheetId="20">#REF!</definedName>
    <definedName name="NAFTA">#REF!</definedName>
    <definedName name="nago" localSheetId="16">#REF!</definedName>
    <definedName name="nago" localSheetId="20">#REF!</definedName>
    <definedName name="nago">#REF!</definedName>
    <definedName name="NEW" localSheetId="16">#REF!</definedName>
    <definedName name="NEW" localSheetId="20">#REF!</definedName>
    <definedName name="NEW">#REF!</definedName>
    <definedName name="NEW_E1" localSheetId="8">#REF!</definedName>
    <definedName name="NEW_E1" localSheetId="3">#REF!</definedName>
    <definedName name="NEW_E1" localSheetId="13">#REF!</definedName>
    <definedName name="NEW_E1" localSheetId="22">#REF!</definedName>
    <definedName name="NEW_E1" localSheetId="4">#REF!</definedName>
    <definedName name="NEW_E1" localSheetId="17">#REF!</definedName>
    <definedName name="NEW_E1" localSheetId="0">#REF!</definedName>
    <definedName name="NEW_E1" localSheetId="20">#REF!</definedName>
    <definedName name="NEW_E1" localSheetId="10">#REF!</definedName>
    <definedName name="NEW_E1" localSheetId="11">#REF!</definedName>
    <definedName name="NEW_E1" localSheetId="9">#REF!</definedName>
    <definedName name="NEW_E1" localSheetId="12">#REF!</definedName>
    <definedName name="NEW_E1" localSheetId="1">#REF!</definedName>
    <definedName name="NEW_E1" localSheetId="2">#REF!</definedName>
    <definedName name="NEW_E1" localSheetId="5">#REF!</definedName>
    <definedName name="NEW_E1">#REF!</definedName>
    <definedName name="Normal" localSheetId="16">#REF!</definedName>
    <definedName name="Normal" localSheetId="20">#REF!</definedName>
    <definedName name="Normal">#REF!</definedName>
    <definedName name="nov.22" localSheetId="23">'[1]Indice CAC'!#REF!</definedName>
    <definedName name="nov.22">'Indice CAC'!#REF!</definedName>
    <definedName name="nov.23" localSheetId="23">'[1]Indice CAC'!#REF!</definedName>
    <definedName name="nov.23">'Indice CAC'!#REF!</definedName>
    <definedName name="nov.24">'Indice CAC'!#REF!</definedName>
    <definedName name="nov.25">'Indice CAC'!$B$13</definedName>
    <definedName name="novi22" localSheetId="23">'[1]Indice CAC'!#REF!</definedName>
    <definedName name="novi22">'Indice CAC'!#REF!</definedName>
    <definedName name="novi23" localSheetId="23">'[1]Indice CAC'!#REF!</definedName>
    <definedName name="novi23">'Indice CAC'!#REF!</definedName>
    <definedName name="novi24">'Indice CAC'!#REF!</definedName>
    <definedName name="NRO" localSheetId="16">#REF!</definedName>
    <definedName name="NRO" localSheetId="20">#REF!</definedName>
    <definedName name="NRO">#REF!</definedName>
    <definedName name="Nro_Pisos" localSheetId="16">#REF!</definedName>
    <definedName name="Nro_Pisos" localSheetId="3">#REF!</definedName>
    <definedName name="Nro_Pisos" localSheetId="13">#REF!</definedName>
    <definedName name="Nro_Pisos" localSheetId="22">#REF!</definedName>
    <definedName name="Nro_Pisos" localSheetId="4">#REF!</definedName>
    <definedName name="Nro_Pisos" localSheetId="17">#REF!</definedName>
    <definedName name="Nro_Pisos" localSheetId="0">#REF!</definedName>
    <definedName name="Nro_Pisos" localSheetId="20">#REF!</definedName>
    <definedName name="Nro_Pisos">#REF!</definedName>
    <definedName name="NUEVAHOJA" localSheetId="16">#REF!</definedName>
    <definedName name="NUEVAHOJA" localSheetId="20">#REF!</definedName>
    <definedName name="NUEVAHOJA">#REF!</definedName>
    <definedName name="Num_Pmt_Per_Year" localSheetId="16">#REF!</definedName>
    <definedName name="Num_Pmt_Per_Year" localSheetId="20">#REF!</definedName>
    <definedName name="Num_Pmt_Per_Year">#REF!</definedName>
    <definedName name="Number_of_Payments" localSheetId="16">MATCH(0.01,'01'!End_Bal,-1)+1</definedName>
    <definedName name="Number_of_Payments" localSheetId="21">MATCH(0.01,End_Bal,-1)+1</definedName>
    <definedName name="Number_of_Payments" localSheetId="6">MATCH(0.01,End_Bal,-1)+1</definedName>
    <definedName name="Number_of_Payments" localSheetId="7">MATCH(0.01,End_Bal,-1)+1</definedName>
    <definedName name="Number_of_Payments" localSheetId="17">MATCH(0.01,End_Bal,-1)+1</definedName>
    <definedName name="Number_of_Payments" localSheetId="20">MATCH(0.01,'Indice CAC'!End_Bal,-1)+1</definedName>
    <definedName name="Number_of_Payments" localSheetId="15">MATCH(0.01,End_Bal,-1)+1</definedName>
    <definedName name="Number_of_Payments" localSheetId="14">MATCH(0.01,End_Bal,-1)+1</definedName>
    <definedName name="Number_of_Payments" localSheetId="23">MATCH(0.01,End_Bal,-1)+1</definedName>
    <definedName name="Number_of_Payments">MATCH(0.01,End_Bal,-1)+1</definedName>
    <definedName name="Numero_Unidades_Funcionales" localSheetId="16">#REF!</definedName>
    <definedName name="Numero_Unidades_Funcionales" localSheetId="20">#REF!</definedName>
    <definedName name="Numero_Unidades_Funcionales">#REF!</definedName>
    <definedName name="OBR" localSheetId="20">#REF!</definedName>
    <definedName name="OBR">#REF!</definedName>
    <definedName name="Obra" localSheetId="16">#REF!</definedName>
    <definedName name="Obra" localSheetId="20">#REF!</definedName>
    <definedName name="Obra">#REF!</definedName>
    <definedName name="OBRA__CASA_LOUZAN" localSheetId="16">#REF!</definedName>
    <definedName name="OBRA__CASA_LOUZAN" localSheetId="21">#REF!</definedName>
    <definedName name="OBRA__CASA_LOUZAN" localSheetId="6">#REF!</definedName>
    <definedName name="OBRA__CASA_LOUZAN" localSheetId="7">#REF!</definedName>
    <definedName name="OBRA__CASA_LOUZAN" localSheetId="3">#REF!</definedName>
    <definedName name="OBRA__CASA_LOUZAN" localSheetId="22">#REF!</definedName>
    <definedName name="OBRA__CASA_LOUZAN" localSheetId="4">#REF!</definedName>
    <definedName name="OBRA__CASA_LOUZAN" localSheetId="0">#REF!</definedName>
    <definedName name="OBRA__CASA_LOUZAN" localSheetId="20">#REF!</definedName>
    <definedName name="OBRA__CASA_LOUZAN" localSheetId="10">#REF!</definedName>
    <definedName name="OBRA__CASA_LOUZAN" localSheetId="11">#REF!</definedName>
    <definedName name="OBRA__CASA_LOUZAN" localSheetId="9">#REF!</definedName>
    <definedName name="OBRA__CASA_LOUZAN" localSheetId="12">#REF!</definedName>
    <definedName name="OBRA__CASA_LOUZAN" localSheetId="15">#REF!</definedName>
    <definedName name="OBRA__CASA_LOUZAN" localSheetId="14">#REF!</definedName>
    <definedName name="OBRA__CASA_LOUZAN">#REF!</definedName>
    <definedName name="OBRA_DE_TOMA" localSheetId="20">#REF!</definedName>
    <definedName name="OBRA_DE_TOMA">#REF!</definedName>
    <definedName name="oct.22" localSheetId="23">'[1]Indice CAC'!#REF!</definedName>
    <definedName name="oct.22">'Indice CAC'!#REF!</definedName>
    <definedName name="oct.23" localSheetId="23">'[1]Indice CAC'!#REF!</definedName>
    <definedName name="oct.23">'Indice CAC'!#REF!</definedName>
    <definedName name="oct.24">'Indice CAC'!#REF!</definedName>
    <definedName name="oct.25">'Indice CAC'!$B$12</definedName>
    <definedName name="octu22" localSheetId="23">'[1]Indice CAC'!#REF!</definedName>
    <definedName name="octu22">'Indice CAC'!#REF!</definedName>
    <definedName name="octu23" localSheetId="23">'[1]Indice CAC'!#REF!</definedName>
    <definedName name="octu23">'Indice CAC'!#REF!</definedName>
    <definedName name="octu24">'Indice CAC'!#REF!</definedName>
    <definedName name="OFER" localSheetId="16">#REF!</definedName>
    <definedName name="OFER" localSheetId="20">#REF!</definedName>
    <definedName name="OFER">#REF!</definedName>
    <definedName name="ofEspecial" localSheetId="16">#REF!</definedName>
    <definedName name="ofEspecial" localSheetId="8">#REF!</definedName>
    <definedName name="ofEspecial" localSheetId="3">#REF!</definedName>
    <definedName name="ofEspecial" localSheetId="13">#REF!</definedName>
    <definedName name="ofEspecial" localSheetId="22">#REF!</definedName>
    <definedName name="ofEspecial" localSheetId="4">#REF!</definedName>
    <definedName name="ofEspecial" localSheetId="20">#REF!</definedName>
    <definedName name="ofEspecial" localSheetId="10">#REF!</definedName>
    <definedName name="ofEspecial" localSheetId="11">#REF!</definedName>
    <definedName name="ofEspecial" localSheetId="9">#REF!</definedName>
    <definedName name="ofEspecial" localSheetId="12">#REF!</definedName>
    <definedName name="ofEspecial" localSheetId="1">#REF!</definedName>
    <definedName name="ofEspecial" localSheetId="2">#REF!</definedName>
    <definedName name="ofEspecial" localSheetId="5">#REF!</definedName>
    <definedName name="ofEspecial">#REF!</definedName>
    <definedName name="oficial" localSheetId="16">#REF!</definedName>
    <definedName name="oficial" localSheetId="8">#REF!</definedName>
    <definedName name="oficial" localSheetId="3">#REF!</definedName>
    <definedName name="oficial" localSheetId="13">#REF!</definedName>
    <definedName name="oficial" localSheetId="22">#REF!</definedName>
    <definedName name="oficial" localSheetId="4">#REF!</definedName>
    <definedName name="oficial" localSheetId="20">#REF!</definedName>
    <definedName name="oficial" localSheetId="10">#REF!</definedName>
    <definedName name="oficial" localSheetId="11">#REF!</definedName>
    <definedName name="oficial" localSheetId="9">#REF!</definedName>
    <definedName name="oficial" localSheetId="12">#REF!</definedName>
    <definedName name="oficial" localSheetId="1">#REF!</definedName>
    <definedName name="oficial" localSheetId="2">#REF!</definedName>
    <definedName name="oficial" localSheetId="5">#REF!</definedName>
    <definedName name="oficial">#REF!</definedName>
    <definedName name="Oficial_Especializado" localSheetId="20">#REF!</definedName>
    <definedName name="Oficial_Especializado">#REF!</definedName>
    <definedName name="oficial4" localSheetId="16">#REF!</definedName>
    <definedName name="oficial4" localSheetId="20">#REF!</definedName>
    <definedName name="oficial4">#REF!</definedName>
    <definedName name="oficial6" localSheetId="16">#REF!</definedName>
    <definedName name="oficial6" localSheetId="20">#REF!</definedName>
    <definedName name="oficial6">#REF!</definedName>
    <definedName name="ofies4" localSheetId="16">#REF!</definedName>
    <definedName name="ofies4" localSheetId="20">#REF!</definedName>
    <definedName name="ofies4">#REF!</definedName>
    <definedName name="ofr" localSheetId="16">#REF!</definedName>
    <definedName name="ofr" localSheetId="20">#REF!</definedName>
    <definedName name="ofr">#REF!</definedName>
    <definedName name="Organismo1" localSheetId="16">#REF!</definedName>
    <definedName name="Organismo1" localSheetId="20">#REF!</definedName>
    <definedName name="Organismo1">#REF!</definedName>
    <definedName name="Organismo2" localSheetId="16">#REF!</definedName>
    <definedName name="Organismo2" localSheetId="20">#REF!</definedName>
    <definedName name="Organismo2">#REF!</definedName>
    <definedName name="OSOC" localSheetId="16">#REF!</definedName>
    <definedName name="OSOC" localSheetId="20">#REF!</definedName>
    <definedName name="OSOC">#REF!</definedName>
    <definedName name="OTRA" localSheetId="20">#REF!</definedName>
    <definedName name="OTRA">#REF!</definedName>
    <definedName name="OTROS" localSheetId="20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16">#REF!</definedName>
    <definedName name="PASE" localSheetId="21">#REF!</definedName>
    <definedName name="PASE" localSheetId="8">#REF!</definedName>
    <definedName name="PASE" localSheetId="6">#REF!</definedName>
    <definedName name="PASE" localSheetId="7">#REF!</definedName>
    <definedName name="PASE" localSheetId="3">#REF!</definedName>
    <definedName name="PASE" localSheetId="13">#REF!</definedName>
    <definedName name="PASE" localSheetId="22">#REF!</definedName>
    <definedName name="PASE" localSheetId="4">#REF!</definedName>
    <definedName name="PASE" localSheetId="0">#REF!</definedName>
    <definedName name="PASE" localSheetId="20">#REF!</definedName>
    <definedName name="PASE" localSheetId="10">#REF!</definedName>
    <definedName name="PASE" localSheetId="11">#REF!</definedName>
    <definedName name="PASE" localSheetId="9">#REF!</definedName>
    <definedName name="PASE" localSheetId="12">#REF!</definedName>
    <definedName name="PASE" localSheetId="15">#REF!</definedName>
    <definedName name="PASE" localSheetId="14">#REF!</definedName>
    <definedName name="PASE" localSheetId="1">#REF!</definedName>
    <definedName name="PASE" localSheetId="2">#REF!</definedName>
    <definedName name="PASE" localSheetId="5">#REF!</definedName>
    <definedName name="PASE">#REF!</definedName>
    <definedName name="paso" localSheetId="16">#REF!</definedName>
    <definedName name="paso" localSheetId="20">#REF!</definedName>
    <definedName name="paso">#REF!</definedName>
    <definedName name="Pay_Date" localSheetId="16">#REF!</definedName>
    <definedName name="Pay_Date" localSheetId="20">#REF!</definedName>
    <definedName name="Pay_Date">#REF!</definedName>
    <definedName name="Pay_Num" localSheetId="20">#REF!</definedName>
    <definedName name="Pay_Num">#REF!</definedName>
    <definedName name="Payment_Date" localSheetId="16">DATE(YEAR(Loan_Start),MONTH(Loan_Start)+Payment_Number,DAY(Loan_Start))</definedName>
    <definedName name="Payment_Date" localSheetId="21">DATE(YEAR(Loan_Start),MONTH(Loan_Start)+Payment_Number,DAY(Loan_Start))</definedName>
    <definedName name="Payment_Date" localSheetId="19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22">DATE(YEAR([0]!Loan_Start),MONTH([0]!Loan_Start)+Payment_Number,DAY([0]!Loan_Start))</definedName>
    <definedName name="Payment_Date" localSheetId="17">DATE(YEAR(Loan_Start),MONTH(Loan_Start)+Payment_Number,DAY(Loan_Start))</definedName>
    <definedName name="Payment_Date" localSheetId="20">DATE(YEAR(Loan_Start),MONTH(Loan_Start)+Payment_Number,DAY(Loan_Start))</definedName>
    <definedName name="Payment_Date" localSheetId="10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 localSheetId="2">DATE(YEAR(#REF!),MONTH(#REF!)+Payment_Number,DAY(#REF!))</definedName>
    <definedName name="Payment_Date" localSheetId="5">DATE(YEAR(#REF!),MONTH(#REF!)+Payment_Number,DAY(#REF!))</definedName>
    <definedName name="Payment_Date" localSheetId="23">DATE(YEAR(Loan_Start),MONTH(Loan_Start)+Payment_Number,DAY(Loan_Start))</definedName>
    <definedName name="Payment_Date">DATE(YEAR(Loan_Start),MONTH(Loan_Start)+Payment_Number,DAY(Loan_Start))</definedName>
    <definedName name="PEESC" localSheetId="16">#REF!</definedName>
    <definedName name="PEESC" localSheetId="3">#REF!</definedName>
    <definedName name="PEESC" localSheetId="22">#REF!</definedName>
    <definedName name="PEESC" localSheetId="4">#REF!</definedName>
    <definedName name="PEESC" localSheetId="0">#REF!</definedName>
    <definedName name="PEESC" localSheetId="20">#REF!</definedName>
    <definedName name="PEESC">#REF!</definedName>
    <definedName name="pepe" localSheetId="16">#REF!</definedName>
    <definedName name="pepe" localSheetId="20">#REF!</definedName>
    <definedName name="pepe">#REF!</definedName>
    <definedName name="PerfilC" comment="PERFIL C" localSheetId="16">#REF!</definedName>
    <definedName name="PerfilC" comment="PERFIL C" localSheetId="20">#REF!</definedName>
    <definedName name="PerfilC" comment="PERFIL C">#REF!</definedName>
    <definedName name="perfiles" localSheetId="20">#REF!</definedName>
    <definedName name="perfiles">#REF!</definedName>
    <definedName name="Pern." localSheetId="20">#REF!</definedName>
    <definedName name="Pern.">#REF!</definedName>
    <definedName name="pf">#REF!</definedName>
    <definedName name="PIAM" localSheetId="16">#REF!</definedName>
    <definedName name="PIAM" localSheetId="3">#REF!</definedName>
    <definedName name="PIAM" localSheetId="22">#REF!</definedName>
    <definedName name="PIAM" localSheetId="4">#REF!</definedName>
    <definedName name="PIAM" localSheetId="0">#REF!</definedName>
    <definedName name="PIAM" localSheetId="20">#REF!</definedName>
    <definedName name="PIAM">#REF!</definedName>
    <definedName name="pibe" localSheetId="16">#REF!</definedName>
    <definedName name="pibe" localSheetId="20">#REF!</definedName>
    <definedName name="pibe">#REF!</definedName>
    <definedName name="pintref" localSheetId="16">#REF!</definedName>
    <definedName name="pintref" localSheetId="20">#REF!</definedName>
    <definedName name="pintref">#REF!</definedName>
    <definedName name="Pl" localSheetId="16">#REF!</definedName>
    <definedName name="Pl" localSheetId="20">#REF!</definedName>
    <definedName name="Pl">#REF!</definedName>
    <definedName name="PLAN" localSheetId="20">#REF!</definedName>
    <definedName name="PLAN">#REF!</definedName>
    <definedName name="PLANTA_DE_TRATAMIENTO" localSheetId="20">#REF!</definedName>
    <definedName name="PLANTA_DE_TRATAMIENTO">#REF!</definedName>
    <definedName name="plazo">#REF!</definedName>
    <definedName name="plazo.mes" localSheetId="16">#REF!</definedName>
    <definedName name="plazo.mes" localSheetId="20">#REF!</definedName>
    <definedName name="plazo.mes">#REF!</definedName>
    <definedName name="Plazo_de_obra" localSheetId="16">#REF!</definedName>
    <definedName name="Plazo_de_obra" localSheetId="20">#REF!</definedName>
    <definedName name="Plazo_de_obra">#REF!</definedName>
    <definedName name="Plazo_Obra" localSheetId="16">#REF!</definedName>
    <definedName name="Plazo_Obra" localSheetId="20">#REF!</definedName>
    <definedName name="Plazo_Obra">#REF!</definedName>
    <definedName name="Plus" localSheetId="16">#REF!</definedName>
    <definedName name="Plus" localSheetId="20">#REF!</definedName>
    <definedName name="Plus">#REF!</definedName>
    <definedName name="Plus_No_Remunerativo" localSheetId="16">#REF!</definedName>
    <definedName name="Plus_No_Remunerativo" localSheetId="20">#REF!</definedName>
    <definedName name="Plus_No_Remunerativo">#REF!</definedName>
    <definedName name="Plus_No_Remunerativo_Ayudante" localSheetId="16">#REF!</definedName>
    <definedName name="Plus_No_Remunerativo_Ayudante" localSheetId="20">#REF!</definedName>
    <definedName name="Plus_No_Remunerativo_Ayudante">#REF!</definedName>
    <definedName name="Plus_No_Remunerativo_Oficial" localSheetId="16">#REF!</definedName>
    <definedName name="Plus_No_Remunerativo_Oficial" localSheetId="20">#REF!</definedName>
    <definedName name="Plus_No_Remunerativo_Oficial">#REF!</definedName>
    <definedName name="Plus_No_Remunerativo_Oficial_Especializado" localSheetId="16">#REF!</definedName>
    <definedName name="Plus_No_Remunerativo_Oficial_Especializado" localSheetId="20">#REF!</definedName>
    <definedName name="Plus_No_Remunerativo_Oficial_Especializado">#REF!</definedName>
    <definedName name="Pmax" localSheetId="16">#REF!</definedName>
    <definedName name="Pmax" localSheetId="20">#REF!</definedName>
    <definedName name="Pmax">#REF!</definedName>
    <definedName name="PNA" localSheetId="16">#REF!</definedName>
    <definedName name="PNA" localSheetId="3">#REF!</definedName>
    <definedName name="PNA" localSheetId="13">#REF!</definedName>
    <definedName name="PNA" localSheetId="22">#REF!</definedName>
    <definedName name="PNA" localSheetId="4">#REF!</definedName>
    <definedName name="PNA" localSheetId="17">#REF!</definedName>
    <definedName name="PNA" localSheetId="0">#REF!</definedName>
    <definedName name="PNA" localSheetId="20">#REF!</definedName>
    <definedName name="PNA">#REF!</definedName>
    <definedName name="PNAV" localSheetId="16">#REF!</definedName>
    <definedName name="PNAV" localSheetId="3">#REF!</definedName>
    <definedName name="PNAV" localSheetId="22">#REF!</definedName>
    <definedName name="PNAV" localSheetId="4">#REF!</definedName>
    <definedName name="PNAV" localSheetId="17">#REF!</definedName>
    <definedName name="PNAV" localSheetId="0">#REF!</definedName>
    <definedName name="PNAV" localSheetId="20">#REF!</definedName>
    <definedName name="PNAV">#REF!</definedName>
    <definedName name="PNL" localSheetId="16">#REF!</definedName>
    <definedName name="PNL" localSheetId="17">#REF!</definedName>
    <definedName name="PNL" localSheetId="0">#REF!</definedName>
    <definedName name="PNL" localSheetId="20">#REF!</definedName>
    <definedName name="PNL">#REF!</definedName>
    <definedName name="PNP" localSheetId="16">#REF!</definedName>
    <definedName name="PNP" localSheetId="17">#REF!</definedName>
    <definedName name="PNP" localSheetId="0">#REF!</definedName>
    <definedName name="PNP" localSheetId="20">#REF!</definedName>
    <definedName name="PNP">#REF!</definedName>
    <definedName name="POficial" localSheetId="16">#REF!</definedName>
    <definedName name="POficial" localSheetId="20">#REF!</definedName>
    <definedName name="POficial">#REF!</definedName>
    <definedName name="Pp" localSheetId="16">#REF!</definedName>
    <definedName name="Pp" localSheetId="20">#REF!</definedName>
    <definedName name="Pp">#REF!</definedName>
    <definedName name="PPA" localSheetId="16">#REF!</definedName>
    <definedName name="PPA" localSheetId="0">#REF!</definedName>
    <definedName name="PPA" localSheetId="20">#REF!</definedName>
    <definedName name="PPA">#REF!</definedName>
    <definedName name="PPCOL" localSheetId="16">#REF!</definedName>
    <definedName name="PPCOL" localSheetId="0">#REF!</definedName>
    <definedName name="PPCOL" localSheetId="20">#REF!</definedName>
    <definedName name="PPCOL">#REF!</definedName>
    <definedName name="praccesoreadec" localSheetId="16">#REF!</definedName>
    <definedName name="praccesoreadec" localSheetId="20">#REF!</definedName>
    <definedName name="praccesoreadec">#REF!</definedName>
    <definedName name="praceroptereadec" localSheetId="16">#REF!</definedName>
    <definedName name="praceroptereadec" localSheetId="20">#REF!</definedName>
    <definedName name="praceroptereadec">#REF!</definedName>
    <definedName name="pracondct" localSheetId="16">#REF!</definedName>
    <definedName name="pracondct" localSheetId="20">#REF!</definedName>
    <definedName name="pracondct">#REF!</definedName>
    <definedName name="praguareadec" localSheetId="16">#REF!</definedName>
    <definedName name="praguareadec" localSheetId="20">#REF!</definedName>
    <definedName name="praguareadec">#REF!</definedName>
    <definedName name="pralcantreadec" localSheetId="16">#REF!</definedName>
    <definedName name="pralcantreadec" localSheetId="20">#REF!</definedName>
    <definedName name="pralcantreadec">#REF!</definedName>
    <definedName name="pralteo" localSheetId="16">#REF!</definedName>
    <definedName name="pralteo" localSheetId="20">#REF!</definedName>
    <definedName name="pralteo">#REF!</definedName>
    <definedName name="pralteomyg" localSheetId="16">#REF!</definedName>
    <definedName name="pralteomyg" localSheetId="20">#REF!</definedName>
    <definedName name="pralteomyg">#REF!</definedName>
    <definedName name="pralteoreadec" localSheetId="16">#REF!</definedName>
    <definedName name="pralteoreadec" localSheetId="20">#REF!</definedName>
    <definedName name="pralteoreadec">#REF!</definedName>
    <definedName name="prapoyos" localSheetId="16">#REF!</definedName>
    <definedName name="prapoyos" localSheetId="20">#REF!</definedName>
    <definedName name="prapoyos">#REF!</definedName>
    <definedName name="prarena" localSheetId="20">#REF!</definedName>
    <definedName name="prarena">#REF!</definedName>
    <definedName name="prarenatrit" localSheetId="20">#REF!</definedName>
    <definedName name="prarenatrit">#REF!</definedName>
    <definedName name="prb" localSheetId="16">#REF!</definedName>
    <definedName name="prb" localSheetId="20">#REF!</definedName>
    <definedName name="prb">#REF!</definedName>
    <definedName name="prbacheo" localSheetId="16">#REF!</definedName>
    <definedName name="prbacheo" localSheetId="20">#REF!</definedName>
    <definedName name="prbacheo">#REF!</definedName>
    <definedName name="prbacheosan" localSheetId="20">#REF!</definedName>
    <definedName name="prbacheosan">#REF!</definedName>
    <definedName name="prbacheosanreadec" localSheetId="16">#REF!</definedName>
    <definedName name="prbacheosanreadec" localSheetId="20">#REF!</definedName>
    <definedName name="prbacheosanreadec">#REF!</definedName>
    <definedName name="prbandas" localSheetId="16">#REF!</definedName>
    <definedName name="prbandas" localSheetId="20">#REF!</definedName>
    <definedName name="prbandas">#REF!</definedName>
    <definedName name="prbandassonoras" localSheetId="20">#REF!</definedName>
    <definedName name="prbandassonoras">#REF!</definedName>
    <definedName name="prbandassonorasreadec" localSheetId="16">#REF!</definedName>
    <definedName name="prbandassonorasreadec" localSheetId="20">#REF!</definedName>
    <definedName name="prbandassonorasreadec">#REF!</definedName>
    <definedName name="prbandassonreadec" localSheetId="16">#REF!</definedName>
    <definedName name="prbandassonreadec" localSheetId="20">#REF!</definedName>
    <definedName name="prbandassonreadec">#REF!</definedName>
    <definedName name="prbanq" localSheetId="16">#REF!</definedName>
    <definedName name="prbanq" localSheetId="20">#REF!</definedName>
    <definedName name="prbanq">#REF!</definedName>
    <definedName name="prbanqreadec" localSheetId="16">#REF!</definedName>
    <definedName name="prbanqreadec" localSheetId="20">#REF!</definedName>
    <definedName name="prbanqreadec">#REF!</definedName>
    <definedName name="prbanquina" localSheetId="16">#REF!</definedName>
    <definedName name="prbanquina" localSheetId="20">#REF!</definedName>
    <definedName name="prbanquina">#REF!</definedName>
    <definedName name="prbanquinasreadec" localSheetId="16">#REF!</definedName>
    <definedName name="prbanquinasreadec" localSheetId="20">#REF!</definedName>
    <definedName name="prbanquinasreadec">#REF!</definedName>
    <definedName name="prbaranda" localSheetId="16">#REF!</definedName>
    <definedName name="prbaranda" localSheetId="20">#REF!</definedName>
    <definedName name="prbaranda">#REF!</definedName>
    <definedName name="prbarandareadec" localSheetId="16">#REF!</definedName>
    <definedName name="prbarandareadec" localSheetId="20">#REF!</definedName>
    <definedName name="prbarandareadec">#REF!</definedName>
    <definedName name="prbarpasareadec" localSheetId="16">#REF!</definedName>
    <definedName name="prbarpasareadec" localSheetId="20">#REF!</definedName>
    <definedName name="prbarpasareadec">#REF!</definedName>
    <definedName name="prbase" localSheetId="20">#REF!</definedName>
    <definedName name="prbase">#REF!</definedName>
    <definedName name="prbasereadec" localSheetId="16">#REF!</definedName>
    <definedName name="prbasereadec" localSheetId="20">#REF!</definedName>
    <definedName name="prbasereadec">#REF!</definedName>
    <definedName name="prbflexreadec" localSheetId="16">#REF!</definedName>
    <definedName name="prbflexreadec" localSheetId="20">#REF!</definedName>
    <definedName name="prbflexreadec">#REF!</definedName>
    <definedName name="prc5readec" localSheetId="16">#REF!</definedName>
    <definedName name="prc5readec" localSheetId="20">#REF!</definedName>
    <definedName name="prc5readec">#REF!</definedName>
    <definedName name="prc6readec" localSheetId="16">#REF!</definedName>
    <definedName name="prc6readec" localSheetId="20">#REF!</definedName>
    <definedName name="prc6readec">#REF!</definedName>
    <definedName name="prca70100readec" localSheetId="16">#REF!</definedName>
    <definedName name="prca70100readec" localSheetId="20">#REF!</definedName>
    <definedName name="prca70100readec">#REF!</definedName>
    <definedName name="prcabezales" localSheetId="16">#REF!</definedName>
    <definedName name="prcabezales" localSheetId="20">#REF!</definedName>
    <definedName name="prcabezales">#REF!</definedName>
    <definedName name="prcalesreadec" localSheetId="16">#REF!</definedName>
    <definedName name="prcalesreadec" localSheetId="20">#REF!</definedName>
    <definedName name="prcalesreadec">#REF!</definedName>
    <definedName name="prcalzadahorm" localSheetId="16">#REF!</definedName>
    <definedName name="prcalzadahorm" localSheetId="20">#REF!</definedName>
    <definedName name="prcalzadahorm">#REF!</definedName>
    <definedName name="prcalzadas" localSheetId="20">#REF!</definedName>
    <definedName name="prcalzadas">#REF!</definedName>
    <definedName name="prcemreadec" localSheetId="16">#REF!</definedName>
    <definedName name="prcemreadec" localSheetId="20">#REF!</definedName>
    <definedName name="prcemreadec">#REF!</definedName>
    <definedName name="prciclovía" localSheetId="16">#REF!</definedName>
    <definedName name="prciclovía" localSheetId="20">#REF!</definedName>
    <definedName name="prciclovía">#REF!</definedName>
    <definedName name="prcicloviareadec" localSheetId="16">#REF!</definedName>
    <definedName name="prcicloviareadec" localSheetId="20">#REF!</definedName>
    <definedName name="prcicloviareadec">#REF!</definedName>
    <definedName name="prcolocacionalc" localSheetId="16">#REF!</definedName>
    <definedName name="prcolocacionalc" localSheetId="20">#REF!</definedName>
    <definedName name="prcolocacionalc">#REF!</definedName>
    <definedName name="prcolocacionalcreadec" localSheetId="16">#REF!</definedName>
    <definedName name="prcolocacionalcreadec" localSheetId="20">#REF!</definedName>
    <definedName name="prcolocacionalcreadec">#REF!</definedName>
    <definedName name="prcolumnas" localSheetId="16">#REF!</definedName>
    <definedName name="prcolumnas" localSheetId="20">#REF!</definedName>
    <definedName name="prcolumnas">#REF!</definedName>
    <definedName name="prcortepasto" localSheetId="16">#REF!</definedName>
    <definedName name="prcortepasto" localSheetId="20">#REF!</definedName>
    <definedName name="prcortepasto">#REF!</definedName>
    <definedName name="prcortepastoreadec" localSheetId="16">#REF!</definedName>
    <definedName name="prcortepastoreadec" localSheetId="20">#REF!</definedName>
    <definedName name="prcortepastoreadec">#REF!</definedName>
    <definedName name="prdemalcantarilla" localSheetId="16">#REF!</definedName>
    <definedName name="prdemalcantarilla" localSheetId="20">#REF!</definedName>
    <definedName name="prdemalcantarilla">#REF!</definedName>
    <definedName name="prdemalcantarillareadec" localSheetId="16">#REF!</definedName>
    <definedName name="prdemalcantarillareadec" localSheetId="20">#REF!</definedName>
    <definedName name="prdemalcantarillareadec">#REF!</definedName>
    <definedName name="prdesembanque" localSheetId="16">#REF!</definedName>
    <definedName name="prdesembanque" localSheetId="20">#REF!</definedName>
    <definedName name="prdesembanque">#REF!</definedName>
    <definedName name="prdesembanquereadec" localSheetId="16">#REF!</definedName>
    <definedName name="prdesembanquereadec" localSheetId="20">#REF!</definedName>
    <definedName name="prdesembanquereadec">#REF!</definedName>
    <definedName name="prdren" localSheetId="16">#REF!</definedName>
    <definedName name="prdren" localSheetId="20">#REF!</definedName>
    <definedName name="prdren">#REF!</definedName>
    <definedName name="pre" localSheetId="16">#REF!</definedName>
    <definedName name="pre" localSheetId="20">#REF!</definedName>
    <definedName name="pre">#REF!</definedName>
    <definedName name="PRECIO" localSheetId="16">#REF!</definedName>
    <definedName name="PRECIO" localSheetId="20">#REF!</definedName>
    <definedName name="PRECIO">#REF!</definedName>
    <definedName name="PRECIO_TOTAL" localSheetId="16">#REF!</definedName>
    <definedName name="PRECIO_TOTAL" localSheetId="20">#REF!</definedName>
    <definedName name="PRECIO_TOTAL">#REF!</definedName>
    <definedName name="premerreadec" localSheetId="16">#REF!</definedName>
    <definedName name="premerreadec" localSheetId="20">#REF!</definedName>
    <definedName name="premerreadec">#REF!</definedName>
    <definedName name="PRENUEVO" localSheetId="16">#REF!</definedName>
    <definedName name="PRENUEVO" localSheetId="8">#REF!</definedName>
    <definedName name="PRENUEVO" localSheetId="13">#REF!</definedName>
    <definedName name="PRENUEVO" localSheetId="20">#REF!</definedName>
    <definedName name="PRENUEVO" localSheetId="24">#REF!</definedName>
    <definedName name="PRENUEVO" localSheetId="10">#REF!</definedName>
    <definedName name="PRENUEVO" localSheetId="11">#REF!</definedName>
    <definedName name="PRENUEVO" localSheetId="9">#REF!</definedName>
    <definedName name="PRENUEVO" localSheetId="12">#REF!</definedName>
    <definedName name="PRENUEVO" localSheetId="1">#REF!</definedName>
    <definedName name="PRENUEVO" localSheetId="2">#REF!</definedName>
    <definedName name="PRENUEVO" localSheetId="5">#REF!</definedName>
    <definedName name="PRENUEVO">#REF!</definedName>
    <definedName name="prescarif" localSheetId="16">#REF!</definedName>
    <definedName name="prescarif" localSheetId="20">#REF!</definedName>
    <definedName name="prescarif">#REF!</definedName>
    <definedName name="prescarifbanq" localSheetId="16">#REF!</definedName>
    <definedName name="prescarifbanq" localSheetId="20">#REF!</definedName>
    <definedName name="prescarifbanq">#REF!</definedName>
    <definedName name="prescarifbanqreadec" localSheetId="16">#REF!</definedName>
    <definedName name="prescarifbanqreadec" localSheetId="20">#REF!</definedName>
    <definedName name="prescarifbanqreadec">#REF!</definedName>
    <definedName name="prescarifreadec" localSheetId="16">#REF!</definedName>
    <definedName name="prescarifreadec" localSheetId="20">#REF!</definedName>
    <definedName name="prescarifreadec">#REF!</definedName>
    <definedName name="Presión_de_Vapor_del_Agua" localSheetId="16">#REF!</definedName>
    <definedName name="Presión_de_Vapor_del_Agua" localSheetId="20">#REF!</definedName>
    <definedName name="Presión_de_Vapor_del_Agua">#REF!</definedName>
    <definedName name="prestribos" localSheetId="20">#REF!</definedName>
    <definedName name="prestribos">#REF!</definedName>
    <definedName name="PRESUP" localSheetId="16">#REF!</definedName>
    <definedName name="PRESUP" localSheetId="21">#REF!</definedName>
    <definedName name="PRESUP" localSheetId="8">#REF!</definedName>
    <definedName name="PRESUP" localSheetId="6">#REF!</definedName>
    <definedName name="PRESUP" localSheetId="7">#REF!</definedName>
    <definedName name="PRESUP" localSheetId="3">#REF!</definedName>
    <definedName name="PRESUP" localSheetId="13">#REF!</definedName>
    <definedName name="PRESUP" localSheetId="22">#REF!</definedName>
    <definedName name="PRESUP" localSheetId="4">#REF!</definedName>
    <definedName name="PRESUP" localSheetId="0">#REF!</definedName>
    <definedName name="PRESUP" localSheetId="20">#REF!</definedName>
    <definedName name="PRESUP" localSheetId="10">#REF!</definedName>
    <definedName name="PRESUP" localSheetId="11">#REF!</definedName>
    <definedName name="PRESUP" localSheetId="9">#REF!</definedName>
    <definedName name="PRESUP" localSheetId="12">#REF!</definedName>
    <definedName name="PRESUP" localSheetId="15">#REF!</definedName>
    <definedName name="PRESUP" localSheetId="14">#REF!</definedName>
    <definedName name="PRESUP" localSheetId="1">#REF!</definedName>
    <definedName name="PRESUP" localSheetId="2">#REF!</definedName>
    <definedName name="PRESUP" localSheetId="5">#REF!</definedName>
    <definedName name="PRESUP">#REF!</definedName>
    <definedName name="presuporcentaje" localSheetId="16">#REF!</definedName>
    <definedName name="presuporcentaje" localSheetId="21">#REF!</definedName>
    <definedName name="presuporcentaje" localSheetId="8">#REF!</definedName>
    <definedName name="presuporcentaje" localSheetId="6">#REF!</definedName>
    <definedName name="presuporcentaje" localSheetId="7">#REF!</definedName>
    <definedName name="presuporcentaje" localSheetId="3">#REF!</definedName>
    <definedName name="presuporcentaje" localSheetId="13">#REF!</definedName>
    <definedName name="presuporcentaje" localSheetId="22">#REF!</definedName>
    <definedName name="presuporcentaje" localSheetId="4">#REF!</definedName>
    <definedName name="presuporcentaje" localSheetId="0">#REF!</definedName>
    <definedName name="presuporcentaje" localSheetId="10">#REF!</definedName>
    <definedName name="presuporcentaje" localSheetId="11">#REF!</definedName>
    <definedName name="presuporcentaje" localSheetId="9">#REF!</definedName>
    <definedName name="presuporcentaje" localSheetId="12">#REF!</definedName>
    <definedName name="presuporcentaje" localSheetId="15">#REF!</definedName>
    <definedName name="presuporcentaje" localSheetId="14">#REF!</definedName>
    <definedName name="presuporcentaje" localSheetId="1">#REF!</definedName>
    <definedName name="presuporcentaje" localSheetId="2">#REF!</definedName>
    <definedName name="presuporcentaje" localSheetId="5">#REF!</definedName>
    <definedName name="presuporcentaje">#REF!</definedName>
    <definedName name="PRESUPUESTO">#REF!</definedName>
    <definedName name="PreviousYearCAt">#REF!</definedName>
    <definedName name="prexcavreadec" localSheetId="16">#REF!</definedName>
    <definedName name="prexcavreadec" localSheetId="20">#REF!</definedName>
    <definedName name="prexcavreadec">#REF!</definedName>
    <definedName name="prfereadec" localSheetId="16">#REF!</definedName>
    <definedName name="prfereadec" localSheetId="20">#REF!</definedName>
    <definedName name="prfereadec">#REF!</definedName>
    <definedName name="prfisuras" localSheetId="16">#REF!</definedName>
    <definedName name="prfisuras" localSheetId="20">#REF!</definedName>
    <definedName name="prfisuras">#REF!</definedName>
    <definedName name="prfisurasreadec" localSheetId="16">#REF!</definedName>
    <definedName name="prfisurasreadec" localSheetId="20">#REF!</definedName>
    <definedName name="prfisurasreadec">#REF!</definedName>
    <definedName name="prfresado" localSheetId="16">#REF!</definedName>
    <definedName name="prfresado" localSheetId="20">#REF!</definedName>
    <definedName name="prfresado">#REF!</definedName>
    <definedName name="prfresado22cm" localSheetId="20">#REF!</definedName>
    <definedName name="prfresado22cm">#REF!</definedName>
    <definedName name="prfresadoreadec" localSheetId="16">#REF!</definedName>
    <definedName name="prfresadoreadec" localSheetId="20">#REF!</definedName>
    <definedName name="prfresadoreadec">#REF!</definedName>
    <definedName name="prhermoso" localSheetId="16">#REF!</definedName>
    <definedName name="prhermoso" localSheetId="20">#REF!</definedName>
    <definedName name="prhermoso">#REF!</definedName>
    <definedName name="prhermosoreadec" localSheetId="16">#REF!</definedName>
    <definedName name="prhermosoreadec" localSheetId="20">#REF!</definedName>
    <definedName name="prhermosoreadec">#REF!</definedName>
    <definedName name="prhlosaptereadec" localSheetId="16">#REF!</definedName>
    <definedName name="prhlosaptereadec" localSheetId="20">#REF!</definedName>
    <definedName name="prhlosaptereadec">#REF!</definedName>
    <definedName name="prhor" localSheetId="16">#REF!</definedName>
    <definedName name="prhor" localSheetId="20">#REF!</definedName>
    <definedName name="prhor">#REF!</definedName>
    <definedName name="prhorcunreadec" localSheetId="16">#REF!</definedName>
    <definedName name="prhorcunreadec" localSheetId="20">#REF!</definedName>
    <definedName name="prhorcunreadec">#REF!</definedName>
    <definedName name="PRIMERA" localSheetId="16">#REF!</definedName>
    <definedName name="PRIMERA" localSheetId="20">#REF!</definedName>
    <definedName name="PRIMERA">#REF!</definedName>
    <definedName name="primpr" localSheetId="16">#REF!</definedName>
    <definedName name="primpr" localSheetId="20">#REF!</definedName>
    <definedName name="primpr">#REF!</definedName>
    <definedName name="primpreforzada" localSheetId="16">#REF!</definedName>
    <definedName name="primpreforzada" localSheetId="20">#REF!</definedName>
    <definedName name="primpreforzada">#REF!</definedName>
    <definedName name="primpreforzadareadec" localSheetId="16">#REF!</definedName>
    <definedName name="primpreforzadareadec" localSheetId="20">#REF!</definedName>
    <definedName name="primpreforzadareadec">#REF!</definedName>
    <definedName name="primprimreadec" localSheetId="16">#REF!</definedName>
    <definedName name="primprimreadec" localSheetId="20">#REF!</definedName>
    <definedName name="primprimreadec">#REF!</definedName>
    <definedName name="primprref" localSheetId="16">#REF!</definedName>
    <definedName name="primprref" localSheetId="20">#REF!</definedName>
    <definedName name="primprref">#REF!</definedName>
    <definedName name="Princ" localSheetId="20">#REF!</definedName>
    <definedName name="Princ">#REF!</definedName>
    <definedName name="_xlnm.Print_Area" localSheetId="16">'01'!$A$1:$X$235</definedName>
    <definedName name="_xlnm.Print_Area" localSheetId="21">'01 (2)'!$A$1:$X$236</definedName>
    <definedName name="_xlnm.Print_Area" localSheetId="6">'Cert. Pto. 01'!$B$1:$M$48</definedName>
    <definedName name="_xlnm.Print_Area" localSheetId="7">'Cert. Pto. 02'!$B$1:$M$216</definedName>
    <definedName name="_xlnm.Print_Area" localSheetId="3">Certificados!$A$11:$K$50</definedName>
    <definedName name="_xlnm.Print_Area" localSheetId="22">'Cta Cte GDR'!$C$63:$H$71</definedName>
    <definedName name="_xlnm.Print_Area" localSheetId="4">Facturacion!$A$1:$I$46</definedName>
    <definedName name="_xlnm.Print_Area" localSheetId="20">#REF!</definedName>
    <definedName name="_xlnm.Print_Area" localSheetId="10">'M.O. ALB '!$A$1:$U$53</definedName>
    <definedName name="_xlnm.Print_Area" localSheetId="11">'M.O. ELE'!$A$1:$U$41</definedName>
    <definedName name="_xlnm.Print_Area" localSheetId="9">'M.O. HOR'!$A$1:$U$21</definedName>
    <definedName name="_xlnm.Print_Area" localSheetId="12">'M.O. PLOME'!$A$1:$U$25</definedName>
    <definedName name="_xlnm.Print_Area" localSheetId="15">'P. Costo'!$B$1:$M$234</definedName>
    <definedName name="_xlnm.Print_Area" localSheetId="14">'Preventivo Vta'!$A$1:$H$238</definedName>
    <definedName name="_xlnm.Print_Area">#REF!</definedName>
    <definedName name="Print_Area_2" localSheetId="20">#REF!</definedName>
    <definedName name="Print_Area_3">#REF!</definedName>
    <definedName name="PRINT_AREA_MI" localSheetId="16">#REF!</definedName>
    <definedName name="PRINT_AREA_MI" localSheetId="20">#REF!</definedName>
    <definedName name="PRINT_AREA_MI">#REF!</definedName>
    <definedName name="Print_Area_Reset" localSheetId="16">OFFSET('01'!Full_Print,0,0,Last_Row)</definedName>
    <definedName name="Print_Area_Reset" localSheetId="21">OFFSET(Full_Print,0,0,Last_Row)</definedName>
    <definedName name="Print_Area_Reset" localSheetId="6">OFFSET(Full_Print,0,0,Last_Row)</definedName>
    <definedName name="Print_Area_Reset" localSheetId="7">OFFSET(Full_Print,0,0,Last_Row)</definedName>
    <definedName name="Print_Area_Reset" localSheetId="17">OFFSET(Full_Print,0,0,Last_Row)</definedName>
    <definedName name="Print_Area_Reset" localSheetId="20">OFFSET('Indice CAC'!Full_Print,0,0,Last_Row)</definedName>
    <definedName name="Print_Area_Reset" localSheetId="15">OFFSET(Full_Print,0,0,Last_Row)</definedName>
    <definedName name="Print_Area_Reset" localSheetId="14">OFFSET(Full_Print,0,0,Last_Row)</definedName>
    <definedName name="Print_Area_Reset" localSheetId="23">OFFSET(Full_Print,0,0,Last_Row)</definedName>
    <definedName name="Print_Area_Reset">OFFSET(Full_Print,0,0,Last_Row)</definedName>
    <definedName name="_xlnm.Print_Titles" localSheetId="16">'01'!$7:$7</definedName>
    <definedName name="_xlnm.Print_Titles" localSheetId="21">'01 (2)'!$7:$7</definedName>
    <definedName name="_xlnm.Print_Titles" localSheetId="6">'Cert. Pto. 01'!$7:$7</definedName>
    <definedName name="_xlnm.Print_Titles" localSheetId="7">'Cert. Pto. 02'!$8:$8</definedName>
    <definedName name="_xlnm.Print_Titles" localSheetId="20">#REF!</definedName>
    <definedName name="_xlnm.Print_Titles" localSheetId="15">'P. Costo'!$7:$7</definedName>
    <definedName name="_xlnm.Print_Titles" localSheetId="14">'Preventivo Vta'!$7:$7</definedName>
    <definedName name="_xlnm.Print_Titles">#REF!</definedName>
    <definedName name="Print_Titles_2">#REF!</definedName>
    <definedName name="printercanal" localSheetId="20">#REF!</definedName>
    <definedName name="printercanal">#REF!</definedName>
    <definedName name="prinvernal" localSheetId="16">#REF!</definedName>
    <definedName name="prinvernal" localSheetId="20">#REF!</definedName>
    <definedName name="prinvernal">#REF!</definedName>
    <definedName name="prjunta" localSheetId="16">#REF!</definedName>
    <definedName name="prjunta" localSheetId="20">#REF!</definedName>
    <definedName name="prjunta">#REF!</definedName>
    <definedName name="prjuntas" localSheetId="20">#REF!</definedName>
    <definedName name="prjuntas">#REF!</definedName>
    <definedName name="prlechada" localSheetId="20">#REF!</definedName>
    <definedName name="prlechada">#REF!</definedName>
    <definedName name="prlechadareadec">#REF!</definedName>
    <definedName name="prlimpieza" localSheetId="16">#REF!</definedName>
    <definedName name="prlimpieza" localSheetId="20">#REF!</definedName>
    <definedName name="prlimpieza">#REF!</definedName>
    <definedName name="prlimpiezareadec" localSheetId="16">#REF!</definedName>
    <definedName name="prlimpiezareadec" localSheetId="20">#REF!</definedName>
    <definedName name="prlimpiezareadec">#REF!</definedName>
    <definedName name="prlimpseñales" localSheetId="16">#REF!</definedName>
    <definedName name="prlimpseñales" localSheetId="20">#REF!</definedName>
    <definedName name="prlimpseñales">#REF!</definedName>
    <definedName name="prlimpseñalesreadec" localSheetId="16">#REF!</definedName>
    <definedName name="prlimpseñalesreadec" localSheetId="20">#REF!</definedName>
    <definedName name="prlimpseñalesreadec">#REF!</definedName>
    <definedName name="prlimptransp" localSheetId="16">#REF!</definedName>
    <definedName name="prlimptransp" localSheetId="20">#REF!</definedName>
    <definedName name="prlimptransp">#REF!</definedName>
    <definedName name="prlosa" localSheetId="16">#REF!</definedName>
    <definedName name="prlosa" localSheetId="20">#REF!</definedName>
    <definedName name="prlosa">#REF!</definedName>
    <definedName name="prmatbanquina" localSheetId="20">#REF!</definedName>
    <definedName name="prmatbanquina">#REF!</definedName>
    <definedName name="prmatbanquinareadec" localSheetId="16">#REF!</definedName>
    <definedName name="prmatbanquinareadec" localSheetId="20">#REF!</definedName>
    <definedName name="prmatbanquinareadec">#REF!</definedName>
    <definedName name="prmaterialbase" localSheetId="16">#REF!</definedName>
    <definedName name="prmaterialbase" localSheetId="20">#REF!</definedName>
    <definedName name="prmaterialbase">#REF!</definedName>
    <definedName name="prmicroaglomerado" localSheetId="16">#REF!</definedName>
    <definedName name="prmicroaglomerado" localSheetId="20">#REF!</definedName>
    <definedName name="prmicroaglomerado">#REF!</definedName>
    <definedName name="prmicroreadec" localSheetId="16">#REF!</definedName>
    <definedName name="prmicroreadec" localSheetId="20">#REF!</definedName>
    <definedName name="prmicroreadec">#REF!</definedName>
    <definedName name="prmontaje" localSheetId="16">#REF!</definedName>
    <definedName name="prmontaje" localSheetId="20">#REF!</definedName>
    <definedName name="prmontaje">#REF!</definedName>
    <definedName name="pro" localSheetId="16" hidden="1">{"DECIMAL",#N/A,FALSE,"02"}</definedName>
    <definedName name="pro" localSheetId="21" hidden="1">{"DECIMAL",#N/A,FALSE,"02"}</definedName>
    <definedName name="pro" localSheetId="6" hidden="1">{"DECIMAL",#N/A,FALSE,"02"}</definedName>
    <definedName name="pro" localSheetId="7" hidden="1">{"DECIMAL",#N/A,FALSE,"02"}</definedName>
    <definedName name="pro" localSheetId="17" hidden="1">{"DECIMAL",#N/A,FALSE,"02"}</definedName>
    <definedName name="pro" localSheetId="20" hidden="1">{"DECIMAL",#N/A,FALSE,"02"}</definedName>
    <definedName name="pro" localSheetId="15" hidden="1">{"DECIMAL",#N/A,FALSE,"02"}</definedName>
    <definedName name="pro" localSheetId="14" hidden="1">{"DECIMAL",#N/A,FALSE,"02"}</definedName>
    <definedName name="pro" localSheetId="23" hidden="1">{"DECIMAL",#N/A,FALSE,"02"}</definedName>
    <definedName name="pro" hidden="1">{"DECIMAL",#N/A,FALSE,"02"}</definedName>
    <definedName name="Prof_fund" localSheetId="16">#REF!</definedName>
    <definedName name="Prof_fund" localSheetId="20">#REF!</definedName>
    <definedName name="Prof_fund">#REF!</definedName>
    <definedName name="Prof_Tensor" localSheetId="16">#REF!</definedName>
    <definedName name="Prof_Tensor" localSheetId="20">#REF!</definedName>
    <definedName name="Prof_Tensor">#REF!</definedName>
    <definedName name="Progress" localSheetId="16" hidden="1">{#N/A,#N/A,FALSE,"Monthly report";#N/A,#N/A,FALSE,"M.R. UEM";#N/A,#N/A,FALSE,"M.R. VCM"}</definedName>
    <definedName name="Progress" localSheetId="21" hidden="1">{#N/A,#N/A,FALSE,"Monthly report";#N/A,#N/A,FALSE,"M.R. UEM";#N/A,#N/A,FALSE,"M.R. VCM"}</definedName>
    <definedName name="Progress" localSheetId="6" hidden="1">{#N/A,#N/A,FALSE,"Monthly report";#N/A,#N/A,FALSE,"M.R. UEM";#N/A,#N/A,FALSE,"M.R. VCM"}</definedName>
    <definedName name="Progress" localSheetId="7" hidden="1">{#N/A,#N/A,FALSE,"Monthly report";#N/A,#N/A,FALSE,"M.R. UEM";#N/A,#N/A,FALSE,"M.R. VCM"}</definedName>
    <definedName name="Progress" localSheetId="17" hidden="1">{#N/A,#N/A,FALSE,"Monthly report";#N/A,#N/A,FALSE,"M.R. UEM";#N/A,#N/A,FALSE,"M.R. VCM"}</definedName>
    <definedName name="Progress" localSheetId="20" hidden="1">{#N/A,#N/A,FALSE,"Monthly report";#N/A,#N/A,FALSE,"M.R. UEM";#N/A,#N/A,FALSE,"M.R. VCM"}</definedName>
    <definedName name="Progress" localSheetId="15" hidden="1">{#N/A,#N/A,FALSE,"Monthly report";#N/A,#N/A,FALSE,"M.R. UEM";#N/A,#N/A,FALSE,"M.R. VCM"}</definedName>
    <definedName name="Progress" localSheetId="14" hidden="1">{#N/A,#N/A,FALSE,"Monthly report";#N/A,#N/A,FALSE,"M.R. UEM";#N/A,#N/A,FALSE,"M.R. VCM"}</definedName>
    <definedName name="Progress" localSheetId="23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VEEDOR">#REF!</definedName>
    <definedName name="Proyecto1" localSheetId="16">#REF!</definedName>
    <definedName name="Proyecto1" localSheetId="20">#REF!</definedName>
    <definedName name="Proyecto1">#REF!</definedName>
    <definedName name="Proyecto2" localSheetId="16">#REF!</definedName>
    <definedName name="Proyecto2" localSheetId="20">#REF!</definedName>
    <definedName name="Proyecto2">#REF!</definedName>
    <definedName name="prPartido" localSheetId="16">#REF!</definedName>
    <definedName name="prPartido" localSheetId="20">#REF!</definedName>
    <definedName name="prPartido">#REF!</definedName>
    <definedName name="prPCCura" localSheetId="20">#REF!</definedName>
    <definedName name="prPCCura">#REF!</definedName>
    <definedName name="prperfilado" localSheetId="16">#REF!</definedName>
    <definedName name="prperfilado" localSheetId="20">#REF!</definedName>
    <definedName name="prperfilado">#REF!</definedName>
    <definedName name="prperfiladoreadec" localSheetId="16">#REF!</definedName>
    <definedName name="prperfiladoreadec" localSheetId="20">#REF!</definedName>
    <definedName name="prperfiladoreadec">#REF!</definedName>
    <definedName name="prpiedratrit" localSheetId="16">#REF!</definedName>
    <definedName name="prpiedratrit" localSheetId="20">#REF!</definedName>
    <definedName name="prpiedratrit">#REF!</definedName>
    <definedName name="prpilotes" localSheetId="20">#REF!</definedName>
    <definedName name="prpilotes">#REF!</definedName>
    <definedName name="prpintado" localSheetId="16">#REF!</definedName>
    <definedName name="prpintado" localSheetId="20">#REF!</definedName>
    <definedName name="prpintado">#REF!</definedName>
    <definedName name="prpintadoreadec" localSheetId="16">#REF!</definedName>
    <definedName name="prpintadoreadec" localSheetId="20">#REF!</definedName>
    <definedName name="prpintadoreadec">#REF!</definedName>
    <definedName name="prpostereadec" localSheetId="16">#REF!</definedName>
    <definedName name="prpostereadec" localSheetId="20">#REF!</definedName>
    <definedName name="prpostereadec">#REF!</definedName>
    <definedName name="prpretiles" localSheetId="16">#REF!</definedName>
    <definedName name="prpretiles" localSheetId="20">#REF!</definedName>
    <definedName name="prpretiles">#REF!</definedName>
    <definedName name="prpretilesreadec" localSheetId="16">#REF!</definedName>
    <definedName name="prpretilesreadec" localSheetId="20">#REF!</definedName>
    <definedName name="prpretilesreadec">#REF!</definedName>
    <definedName name="prprolongacion" localSheetId="16">#REF!</definedName>
    <definedName name="prprolongacion" localSheetId="20">#REF!</definedName>
    <definedName name="prprolongacion">#REF!</definedName>
    <definedName name="prprolongacionreadec" localSheetId="16">#REF!</definedName>
    <definedName name="prprolongacionreadec" localSheetId="20">#REF!</definedName>
    <definedName name="prprolongacionreadec">#REF!</definedName>
    <definedName name="prproteccion" localSheetId="16">#REF!</definedName>
    <definedName name="prproteccion" localSheetId="20">#REF!</definedName>
    <definedName name="prproteccion">#REF!</definedName>
    <definedName name="prpteccurareadec" localSheetId="16">#REF!</definedName>
    <definedName name="prpteccurareadec" localSheetId="20">#REF!</definedName>
    <definedName name="prpteccurareadec">#REF!</definedName>
    <definedName name="prrecolprereadec" localSheetId="16">#REF!</definedName>
    <definedName name="prrecolprereadec" localSheetId="20">#REF!</definedName>
    <definedName name="prrecolprereadec">#REF!</definedName>
    <definedName name="prrefuerzo6" localSheetId="16">#REF!</definedName>
    <definedName name="prrefuerzo6" localSheetId="20">#REF!</definedName>
    <definedName name="prrefuerzo6">#REF!</definedName>
    <definedName name="prrefuerzo6readec" localSheetId="16">#REF!</definedName>
    <definedName name="prrefuerzo6readec" localSheetId="20">#REF!</definedName>
    <definedName name="prrefuerzo6readec">#REF!</definedName>
    <definedName name="prrefuerzo8" localSheetId="16">#REF!</definedName>
    <definedName name="prrefuerzo8" localSheetId="20">#REF!</definedName>
    <definedName name="prrefuerzo8">#REF!</definedName>
    <definedName name="prrefuerzo8readec" localSheetId="16">#REF!</definedName>
    <definedName name="prrefuerzo8readec" localSheetId="20">#REF!</definedName>
    <definedName name="prrefuerzo8readec">#REF!</definedName>
    <definedName name="prrelleno" localSheetId="16">#REF!</definedName>
    <definedName name="prrelleno" localSheetId="20">#REF!</definedName>
    <definedName name="prrelleno">#REF!</definedName>
    <definedName name="prrellenoreadec" localSheetId="16">#REF!</definedName>
    <definedName name="prrellenoreadec" localSheetId="20">#REF!</definedName>
    <definedName name="prrellenoreadec">#REF!</definedName>
    <definedName name="prrepalc" localSheetId="16">#REF!</definedName>
    <definedName name="prrepalc" localSheetId="20">#REF!</definedName>
    <definedName name="prrepalc">#REF!</definedName>
    <definedName name="prrepAlcPtes" localSheetId="16">#REF!</definedName>
    <definedName name="prrepAlcPtes" localSheetId="20">#REF!</definedName>
    <definedName name="prrepAlcPtes">#REF!</definedName>
    <definedName name="prrepalcreadec" localSheetId="16">#REF!</definedName>
    <definedName name="prrepalcreadec" localSheetId="20">#REF!</definedName>
    <definedName name="prrepalcreadec">#REF!</definedName>
    <definedName name="prreparacionalc" localSheetId="16">#REF!</definedName>
    <definedName name="prreparacionalc" localSheetId="20">#REF!</definedName>
    <definedName name="prreparacionalc">#REF!</definedName>
    <definedName name="prreparacionalcreadec" localSheetId="16">#REF!</definedName>
    <definedName name="prreparacionalcreadec" localSheetId="20">#REF!</definedName>
    <definedName name="prreparacionalcreadec">#REF!</definedName>
    <definedName name="prrestdrenaje" localSheetId="16">#REF!</definedName>
    <definedName name="prrestdrenaje" localSheetId="20">#REF!</definedName>
    <definedName name="prrestdrenaje">#REF!</definedName>
    <definedName name="prrestdrenajereadec" localSheetId="16">#REF!</definedName>
    <definedName name="prrestdrenajereadec" localSheetId="20">#REF!</definedName>
    <definedName name="prrestdrenajereadec">#REF!</definedName>
    <definedName name="prretderrumbe" localSheetId="16">#REF!</definedName>
    <definedName name="prretderrumbe" localSheetId="20">#REF!</definedName>
    <definedName name="prretderrumbe">#REF!</definedName>
    <definedName name="prretrecolbaranda" localSheetId="16">#REF!</definedName>
    <definedName name="prretrecolbaranda" localSheetId="20">#REF!</definedName>
    <definedName name="prretrecolbaranda">#REF!</definedName>
    <definedName name="prriegoimpreadec" localSheetId="16">#REF!</definedName>
    <definedName name="prriegoimpreadec" localSheetId="20">#REF!</definedName>
    <definedName name="prriegoimpreadec">#REF!</definedName>
    <definedName name="prriegoliga" localSheetId="16">#REF!</definedName>
    <definedName name="prriegoliga" localSheetId="20">#REF!</definedName>
    <definedName name="prriegoliga">#REF!</definedName>
    <definedName name="prriegoligareadec" localSheetId="16">#REF!</definedName>
    <definedName name="prriegoligareadec" localSheetId="20">#REF!</definedName>
    <definedName name="prriegoligareadec">#REF!</definedName>
    <definedName name="prrieimpr" localSheetId="16">#REF!</definedName>
    <definedName name="prrieimpr" localSheetId="20">#REF!</definedName>
    <definedName name="prrieimpr">#REF!</definedName>
    <definedName name="prrotondas" localSheetId="20">#REF!</definedName>
    <definedName name="prrotondas">#REF!</definedName>
    <definedName name="prrotondasreadec" localSheetId="16">#REF!</definedName>
    <definedName name="prrotondasreadec" localSheetId="20">#REF!</definedName>
    <definedName name="prrotondasreadec">#REF!</definedName>
    <definedName name="prsandef" localSheetId="16">#REF!</definedName>
    <definedName name="prsandef" localSheetId="20">#REF!</definedName>
    <definedName name="prsandef">#REF!</definedName>
    <definedName name="prsb" localSheetId="16">#REF!</definedName>
    <definedName name="prsb" localSheetId="20">#REF!</definedName>
    <definedName name="prsb">#REF!</definedName>
    <definedName name="prsellado" localSheetId="16">#REF!</definedName>
    <definedName name="prsellado" localSheetId="20">#REF!</definedName>
    <definedName name="prsellado">#REF!</definedName>
    <definedName name="prselladoreadec" localSheetId="16">#REF!</definedName>
    <definedName name="prselladoreadec" localSheetId="20">#REF!</definedName>
    <definedName name="prselladoreadec">#REF!</definedName>
    <definedName name="prsenda" localSheetId="16">#REF!</definedName>
    <definedName name="prsenda" localSheetId="20">#REF!</definedName>
    <definedName name="prsenda">#REF!</definedName>
    <definedName name="prsendareadec" localSheetId="16">#REF!</definedName>
    <definedName name="prsendareadec" localSheetId="20">#REF!</definedName>
    <definedName name="prsendareadec">#REF!</definedName>
    <definedName name="prseñalamiento" localSheetId="16">#REF!</definedName>
    <definedName name="prseñalamiento" localSheetId="20">#REF!</definedName>
    <definedName name="prseñalamiento">#REF!</definedName>
    <definedName name="prseñalamientoreadec" localSheetId="16">#REF!</definedName>
    <definedName name="prseñalamientoreadec" localSheetId="20">#REF!</definedName>
    <definedName name="prseñalamientoreadec">#REF!</definedName>
    <definedName name="prseñalizacion" localSheetId="16">#REF!</definedName>
    <definedName name="prseñalizacion" localSheetId="20">#REF!</definedName>
    <definedName name="prseñalizacion">#REF!</definedName>
    <definedName name="prseñalizacionext" localSheetId="20">#REF!</definedName>
    <definedName name="prseñalizacionext">#REF!</definedName>
    <definedName name="prseñalizacionextreadec" localSheetId="16">#REF!</definedName>
    <definedName name="prseñalizacionextreadec" localSheetId="20">#REF!</definedName>
    <definedName name="prseñalizacionextreadec">#REF!</definedName>
    <definedName name="prseñalizaciónreadec" localSheetId="16">#REF!</definedName>
    <definedName name="prseñalizaciónreadec" localSheetId="20">#REF!</definedName>
    <definedName name="prseñalizaciónreadec">#REF!</definedName>
    <definedName name="prseñalizreadec" localSheetId="16">#REF!</definedName>
    <definedName name="prseñalizreadec" localSheetId="20">#REF!</definedName>
    <definedName name="prseñalizreadec">#REF!</definedName>
    <definedName name="prsistdren" localSheetId="16">#REF!</definedName>
    <definedName name="prsistdren" localSheetId="20">#REF!</definedName>
    <definedName name="prsistdren">#REF!</definedName>
    <definedName name="prsistdren1071" localSheetId="16">#REF!</definedName>
    <definedName name="prsistdren1071" localSheetId="20">#REF!</definedName>
    <definedName name="prsistdren1071">#REF!</definedName>
    <definedName name="prSoc8026" localSheetId="16">#REF!</definedName>
    <definedName name="prSoc8026" localSheetId="20">#REF!</definedName>
    <definedName name="prSoc8026">#REF!</definedName>
    <definedName name="prsocavacionreadec" localSheetId="16">#REF!</definedName>
    <definedName name="prsocavacionreadec" localSheetId="20">#REF!</definedName>
    <definedName name="prsocavacionreadec">#REF!</definedName>
    <definedName name="prsubbase" localSheetId="16">#REF!</definedName>
    <definedName name="prsubbase" localSheetId="20">#REF!</definedName>
    <definedName name="prsubbase">#REF!</definedName>
    <definedName name="prsubbasereadec" localSheetId="16">#REF!</definedName>
    <definedName name="prsubbasereadec" localSheetId="20">#REF!</definedName>
    <definedName name="prsubbasereadec">#REF!</definedName>
    <definedName name="prterr" localSheetId="16">#REF!</definedName>
    <definedName name="prterr" localSheetId="20">#REF!</definedName>
    <definedName name="prterr">#REF!</definedName>
    <definedName name="prterrapreadec" localSheetId="16">#REF!</definedName>
    <definedName name="prterrapreadec" localSheetId="20">#REF!</definedName>
    <definedName name="prterrapreadec">#REF!</definedName>
    <definedName name="prterrsincomp" localSheetId="16">#REF!</definedName>
    <definedName name="prterrsincomp" localSheetId="20">#REF!</definedName>
    <definedName name="prterrsincomp">#REF!</definedName>
    <definedName name="prtravsenillosareadec" localSheetId="16">#REF!</definedName>
    <definedName name="prtravsenillosareadec" localSheetId="20">#REF!</definedName>
    <definedName name="prtravsenillosareadec">#REF!</definedName>
    <definedName name="Prueba" localSheetId="16">#REF!</definedName>
    <definedName name="Prueba" localSheetId="20">#REF!</definedName>
    <definedName name="Prueba">#REF!</definedName>
    <definedName name="prvigas" localSheetId="20">#REF!</definedName>
    <definedName name="prvigas">#REF!</definedName>
    <definedName name="pvc" localSheetId="16">#REF!</definedName>
    <definedName name="pvc" localSheetId="20">#REF!</definedName>
    <definedName name="pvc">#REF!</definedName>
    <definedName name="q" localSheetId="16">#REF!</definedName>
    <definedName name="q" localSheetId="20">#REF!</definedName>
    <definedName name="q">#REF!</definedName>
    <definedName name="Q0" localSheetId="16">#REF!</definedName>
    <definedName name="Q0" localSheetId="20">#REF!</definedName>
    <definedName name="Q0">#REF!</definedName>
    <definedName name="QCAR" localSheetId="16">#REF!</definedName>
    <definedName name="QCAR" localSheetId="20">#REF!</definedName>
    <definedName name="QCAR">#REF!</definedName>
    <definedName name="RANGO" localSheetId="16">#REF!</definedName>
    <definedName name="RANGO" localSheetId="20">#REF!</definedName>
    <definedName name="RANGO">#REF!</definedName>
    <definedName name="rangobase" localSheetId="16">L2C1:L372C15</definedName>
    <definedName name="rangobase" localSheetId="21">L2C1:L372C15</definedName>
    <definedName name="rangobase" localSheetId="19">L2C1:L372C15</definedName>
    <definedName name="rangobase" localSheetId="6">L2C1:L372C15</definedName>
    <definedName name="rangobase" localSheetId="7">L2C1:L372C15</definedName>
    <definedName name="rangobase" localSheetId="3">L2C1:L372C15</definedName>
    <definedName name="rangobase" localSheetId="22">L2C1:L372C15</definedName>
    <definedName name="rangobase" localSheetId="17">L2C1:L372C15</definedName>
    <definedName name="rangobase" localSheetId="20">L2C1:L372C15</definedName>
    <definedName name="rangobase" localSheetId="10">L2C1:L372C15</definedName>
    <definedName name="rangobase" localSheetId="11">L2C1:L372C15</definedName>
    <definedName name="rangobase" localSheetId="12">L2C1:L372C15</definedName>
    <definedName name="rangobase" localSheetId="15">L2C1:L372C15</definedName>
    <definedName name="rangobase" localSheetId="14">L2C1:L372C15</definedName>
    <definedName name="rangobase" localSheetId="2">L2C1:L372C15</definedName>
    <definedName name="rangobase" localSheetId="5">L2C1:L372C15</definedName>
    <definedName name="rangobase" localSheetId="23">L2C1:L372C15</definedName>
    <definedName name="rangobase">L2C1:L372C15</definedName>
    <definedName name="rangoformulas" localSheetId="16">#REF!</definedName>
    <definedName name="rangoformulas" localSheetId="3">#REF!</definedName>
    <definedName name="rangoformulas" localSheetId="13">#REF!</definedName>
    <definedName name="rangoformulas" localSheetId="22">#REF!</definedName>
    <definedName name="rangoformulas" localSheetId="4">#REF!</definedName>
    <definedName name="rangoformulas" localSheetId="17">#REF!</definedName>
    <definedName name="rangoformulas" localSheetId="0">#REF!</definedName>
    <definedName name="rangoformulas" localSheetId="20">#REF!</definedName>
    <definedName name="rangoformulas">#REF!</definedName>
    <definedName name="RB" localSheetId="16">L2C1:L372C15</definedName>
    <definedName name="RB" localSheetId="21">L2C1:L372C15</definedName>
    <definedName name="RB" localSheetId="19">L2C1:L372C15</definedName>
    <definedName name="RB" localSheetId="6">L2C1:L372C15</definedName>
    <definedName name="RB" localSheetId="7">L2C1:L372C15</definedName>
    <definedName name="RB" localSheetId="3">L2C1:L372C15</definedName>
    <definedName name="RB" localSheetId="22">L2C1:L372C15</definedName>
    <definedName name="RB" localSheetId="17">L2C1:L372C15</definedName>
    <definedName name="RB" localSheetId="20">L2C1:L372C15</definedName>
    <definedName name="RB" localSheetId="10">L2C1:L372C15</definedName>
    <definedName name="RB" localSheetId="11">L2C1:L372C15</definedName>
    <definedName name="RB" localSheetId="12">L2C1:L372C15</definedName>
    <definedName name="RB" localSheetId="15">L2C1:L372C15</definedName>
    <definedName name="RB" localSheetId="14">L2C1:L372C15</definedName>
    <definedName name="RB" localSheetId="2">L2C1:L372C15</definedName>
    <definedName name="RB" localSheetId="5">L2C1:L372C15</definedName>
    <definedName name="RB" localSheetId="23">L2C1:L372C15</definedName>
    <definedName name="RB">L2C1:L372C15</definedName>
    <definedName name="RBASE" localSheetId="16">L2C1:L372C15</definedName>
    <definedName name="RBASE" localSheetId="21">L2C1:L372C15</definedName>
    <definedName name="RBASE" localSheetId="19">L2C1:L372C15</definedName>
    <definedName name="RBASE" localSheetId="6">L2C1:L372C15</definedName>
    <definedName name="RBASE" localSheetId="7">L2C1:L372C15</definedName>
    <definedName name="RBASE" localSheetId="3">L2C1:L372C15</definedName>
    <definedName name="RBASE" localSheetId="22">L2C1:L372C15</definedName>
    <definedName name="RBASE" localSheetId="17">L2C1:L372C15</definedName>
    <definedName name="RBASE" localSheetId="20">L2C1:L372C15</definedName>
    <definedName name="RBASE" localSheetId="10">L2C1:L372C15</definedName>
    <definedName name="RBASE" localSheetId="11">L2C1:L372C15</definedName>
    <definedName name="RBASE" localSheetId="12">L2C1:L372C15</definedName>
    <definedName name="RBASE" localSheetId="15">L2C1:L372C15</definedName>
    <definedName name="RBASE" localSheetId="14">L2C1:L372C15</definedName>
    <definedName name="RBASE" localSheetId="2">L2C1:L372C15</definedName>
    <definedName name="RBASE" localSheetId="5">L2C1:L372C15</definedName>
    <definedName name="RBASE" localSheetId="23">L2C1:L372C15</definedName>
    <definedName name="RBASE">L2C1:L372C15</definedName>
    <definedName name="re" localSheetId="16" hidden="1">{#N/A,#N/A,FALSE,"Monthly report";#N/A,#N/A,FALSE,"M.R. UEM";#N/A,#N/A,FALSE,"M.R. VCM"}</definedName>
    <definedName name="re" localSheetId="21" hidden="1">{#N/A,#N/A,FALSE,"Monthly report";#N/A,#N/A,FALSE,"M.R. UEM";#N/A,#N/A,FALSE,"M.R. VCM"}</definedName>
    <definedName name="re" localSheetId="6" hidden="1">{#N/A,#N/A,FALSE,"Monthly report";#N/A,#N/A,FALSE,"M.R. UEM";#N/A,#N/A,FALSE,"M.R. VCM"}</definedName>
    <definedName name="re" localSheetId="7" hidden="1">{#N/A,#N/A,FALSE,"Monthly report";#N/A,#N/A,FALSE,"M.R. UEM";#N/A,#N/A,FALSE,"M.R. VCM"}</definedName>
    <definedName name="re" localSheetId="17" hidden="1">{#N/A,#N/A,FALSE,"Monthly report";#N/A,#N/A,FALSE,"M.R. UEM";#N/A,#N/A,FALSE,"M.R. VCM"}</definedName>
    <definedName name="re" localSheetId="20" hidden="1">{#N/A,#N/A,FALSE,"Monthly report";#N/A,#N/A,FALSE,"M.R. UEM";#N/A,#N/A,FALSE,"M.R. VCM"}</definedName>
    <definedName name="re" localSheetId="15" hidden="1">{#N/A,#N/A,FALSE,"Monthly report";#N/A,#N/A,FALSE,"M.R. UEM";#N/A,#N/A,FALSE,"M.R. VCM"}</definedName>
    <definedName name="re" localSheetId="14" hidden="1">{#N/A,#N/A,FALSE,"Monthly report";#N/A,#N/A,FALSE,"M.R. UEM";#N/A,#N/A,FALSE,"M.R. VCM"}</definedName>
    <definedName name="re" localSheetId="23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acc">#REF!</definedName>
    <definedName name="rec" localSheetId="16">#REF!</definedName>
    <definedName name="rec" localSheetId="20">#REF!</definedName>
    <definedName name="rec">#REF!</definedName>
    <definedName name="rec_c" localSheetId="16">#REF!</definedName>
    <definedName name="rec_c" localSheetId="20">#REF!</definedName>
    <definedName name="rec_c">#REF!</definedName>
    <definedName name="Rejilla" localSheetId="16">#REF!</definedName>
    <definedName name="Rejilla" localSheetId="20">#REF!</definedName>
    <definedName name="Rejilla">#REF!</definedName>
    <definedName name="rellr" localSheetId="16">#REF!</definedName>
    <definedName name="rellr" localSheetId="20">#REF!</definedName>
    <definedName name="rellr">#REF!</definedName>
    <definedName name="rend" localSheetId="8">#REF!</definedName>
    <definedName name="rend" localSheetId="3">#REF!</definedName>
    <definedName name="rend" localSheetId="13">#REF!</definedName>
    <definedName name="rend" localSheetId="22">#REF!</definedName>
    <definedName name="rend" localSheetId="4">#REF!</definedName>
    <definedName name="rend" localSheetId="17">#REF!</definedName>
    <definedName name="rend" localSheetId="0">#REF!</definedName>
    <definedName name="rend" localSheetId="20">#REF!</definedName>
    <definedName name="rend" localSheetId="10">#REF!</definedName>
    <definedName name="rend" localSheetId="11">#REF!</definedName>
    <definedName name="rend" localSheetId="9">#REF!</definedName>
    <definedName name="rend" localSheetId="12">#REF!</definedName>
    <definedName name="rend" localSheetId="1">#REF!</definedName>
    <definedName name="rend" localSheetId="2">#REF!</definedName>
    <definedName name="rend" localSheetId="5">#REF!</definedName>
    <definedName name="rend">#REF!</definedName>
    <definedName name="Reparaciones" localSheetId="16">#REF!</definedName>
    <definedName name="Reparaciones" localSheetId="20">#REF!</definedName>
    <definedName name="Reparaciones">#REF!</definedName>
    <definedName name="REPOTENCIACION_ACUEDUCTO_A_V._ANGELA" localSheetId="16">#REF!</definedName>
    <definedName name="REPOTENCIACION_ACUEDUCTO_A_V._ANGELA" localSheetId="20">#REF!</definedName>
    <definedName name="REPOTENCIACION_ACUEDUCTO_A_V._ANGELA">#REF!</definedName>
    <definedName name="RES">#N/A</definedName>
    <definedName name="Residual" localSheetId="16">#REF!</definedName>
    <definedName name="Residual" localSheetId="20">#REF!</definedName>
    <definedName name="Residual">#REF!</definedName>
    <definedName name="RESUMEN">#N/A</definedName>
    <definedName name="RN" localSheetId="16">#REF!</definedName>
    <definedName name="RN" localSheetId="20">#REF!</definedName>
    <definedName name="RN">#REF!</definedName>
    <definedName name="RR" localSheetId="16">#REF!</definedName>
    <definedName name="RR" localSheetId="20">#REF!</definedName>
    <definedName name="RR">#REF!</definedName>
    <definedName name="RSAD" localSheetId="16">#REF!</definedName>
    <definedName name="RSAD" localSheetId="3">#REF!</definedName>
    <definedName name="RSAD" localSheetId="13">#REF!</definedName>
    <definedName name="RSAD" localSheetId="22">#REF!</definedName>
    <definedName name="RSAD" localSheetId="4">#REF!</definedName>
    <definedName name="RSAD" localSheetId="17">#REF!</definedName>
    <definedName name="RSAD" localSheetId="0">#REF!</definedName>
    <definedName name="RSAD" localSheetId="20">#REF!</definedName>
    <definedName name="RSAD">#REF!</definedName>
    <definedName name="RSARL" localSheetId="16">#REF!</definedName>
    <definedName name="RSARL" localSheetId="3">#REF!</definedName>
    <definedName name="RSARL" localSheetId="22">#REF!</definedName>
    <definedName name="RSARL" localSheetId="4">#REF!</definedName>
    <definedName name="RSARL" localSheetId="17">#REF!</definedName>
    <definedName name="RSARL" localSheetId="0">#REF!</definedName>
    <definedName name="RSARL" localSheetId="20">#REF!</definedName>
    <definedName name="RSARL">#REF!</definedName>
    <definedName name="RSAZCE" localSheetId="16">#REF!</definedName>
    <definedName name="RSAZCE" localSheetId="17">#REF!</definedName>
    <definedName name="RSAZCE" localSheetId="0">#REF!</definedName>
    <definedName name="RSAZCE" localSheetId="20">#REF!</definedName>
    <definedName name="RSAZCE">#REF!</definedName>
    <definedName name="RSAZM" localSheetId="16">#REF!</definedName>
    <definedName name="RSAZM" localSheetId="17">#REF!</definedName>
    <definedName name="RSAZM" localSheetId="0">#REF!</definedName>
    <definedName name="RSAZM" localSheetId="20">#REF!</definedName>
    <definedName name="RSAZM">#REF!</definedName>
    <definedName name="RSCOL" localSheetId="16">#REF!</definedName>
    <definedName name="RSCOL" localSheetId="17">#REF!</definedName>
    <definedName name="RSCOL" localSheetId="0">#REF!</definedName>
    <definedName name="RSCOL" localSheetId="20">#REF!</definedName>
    <definedName name="RSCOL">#REF!</definedName>
    <definedName name="RSLD" localSheetId="16">#REF!</definedName>
    <definedName name="RSLD" localSheetId="0">#REF!</definedName>
    <definedName name="RSLD" localSheetId="20">#REF!</definedName>
    <definedName name="RSLD">#REF!</definedName>
    <definedName name="RSPD" localSheetId="16">#REF!</definedName>
    <definedName name="RSPD" localSheetId="0">#REF!</definedName>
    <definedName name="RSPD" localSheetId="20">#REF!</definedName>
    <definedName name="RSPD">#REF!</definedName>
    <definedName name="RSPZM" localSheetId="16">#REF!</definedName>
    <definedName name="RSPZM" localSheetId="0">#REF!</definedName>
    <definedName name="RSPZM" localSheetId="20">#REF!</definedName>
    <definedName name="RSPZM">#REF!</definedName>
    <definedName name="ryrc" localSheetId="16">#REF!</definedName>
    <definedName name="ryrc" localSheetId="20">#REF!</definedName>
    <definedName name="ryrc">#REF!</definedName>
    <definedName name="ryrr" localSheetId="16">#REF!</definedName>
    <definedName name="ryrr" localSheetId="20">#REF!</definedName>
    <definedName name="ryrr">#REF!</definedName>
    <definedName name="S" localSheetId="16">#REF!</definedName>
    <definedName name="S" localSheetId="20">#REF!</definedName>
    <definedName name="S">#REF!</definedName>
    <definedName name="sa" localSheetId="16" hidden="1">#REF!</definedName>
    <definedName name="sa" localSheetId="21" hidden="1">#REF!</definedName>
    <definedName name="sa" localSheetId="8" hidden="1">#REF!</definedName>
    <definedName name="sa" localSheetId="6" hidden="1">#REF!</definedName>
    <definedName name="sa" localSheetId="7" hidden="1">#REF!</definedName>
    <definedName name="sa" localSheetId="3" hidden="1">#REF!</definedName>
    <definedName name="sa" localSheetId="13" hidden="1">#REF!</definedName>
    <definedName name="sa" localSheetId="22" hidden="1">#REF!</definedName>
    <definedName name="sa" localSheetId="4" hidden="1">#REF!</definedName>
    <definedName name="sa" localSheetId="17" hidden="1">#REF!</definedName>
    <definedName name="sa" localSheetId="0" hidden="1">#REF!</definedName>
    <definedName name="sa" localSheetId="20" hidden="1">#REF!</definedName>
    <definedName name="sa" localSheetId="10" hidden="1">#REF!</definedName>
    <definedName name="sa" localSheetId="11" hidden="1">#REF!</definedName>
    <definedName name="sa" localSheetId="9" hidden="1">#REF!</definedName>
    <definedName name="sa" localSheetId="12" hidden="1">#REF!</definedName>
    <definedName name="sa" localSheetId="15" hidden="1">#REF!</definedName>
    <definedName name="sa" localSheetId="14" hidden="1">#REF!</definedName>
    <definedName name="sa" localSheetId="1" hidden="1">#REF!</definedName>
    <definedName name="sa" localSheetId="2" hidden="1">#REF!</definedName>
    <definedName name="sa" localSheetId="5" hidden="1">#REF!</definedName>
    <definedName name="sa" hidden="1">#REF!</definedName>
    <definedName name="sadDSadsa" localSheetId="8">#REF!</definedName>
    <definedName name="sadDSadsa" localSheetId="3">#REF!</definedName>
    <definedName name="sadDSadsa" localSheetId="13">#REF!</definedName>
    <definedName name="sadDSadsa" localSheetId="22">#REF!</definedName>
    <definedName name="sadDSadsa" localSheetId="4">#REF!</definedName>
    <definedName name="sadDSadsa" localSheetId="0">#REF!</definedName>
    <definedName name="sadDSadsa" localSheetId="20">#REF!</definedName>
    <definedName name="sadDSadsa" localSheetId="10">#REF!</definedName>
    <definedName name="sadDSadsa" localSheetId="11">#REF!</definedName>
    <definedName name="sadDSadsa" localSheetId="9">#REF!</definedName>
    <definedName name="sadDSadsa" localSheetId="12">#REF!</definedName>
    <definedName name="sadDSadsa" localSheetId="1">#REF!</definedName>
    <definedName name="sadDSadsa" localSheetId="2">#REF!</definedName>
    <definedName name="sadDSadsa" localSheetId="5">#REF!</definedName>
    <definedName name="sadDSadsa">#REF!</definedName>
    <definedName name="sal_sum">#REF!</definedName>
    <definedName name="Sched_Pay" localSheetId="16">#REF!</definedName>
    <definedName name="Sched_Pay" localSheetId="20">#REF!</definedName>
    <definedName name="Sched_Pay">#REF!</definedName>
    <definedName name="Scheduled_Extra_Payments" localSheetId="20">#REF!</definedName>
    <definedName name="Scheduled_Extra_Payments">#REF!</definedName>
    <definedName name="Scheduled_Interest_Rate" localSheetId="20">#REF!</definedName>
    <definedName name="Scheduled_Interest_Rate">#REF!</definedName>
    <definedName name="Scheduled_Monthly_Payment">#REF!</definedName>
    <definedName name="SECCIONES" localSheetId="16">#REF!</definedName>
    <definedName name="SECCIONES" localSheetId="20">#REF!</definedName>
    <definedName name="SECCIONES">#REF!</definedName>
    <definedName name="SECCIONES_DIV" localSheetId="16">#REF!</definedName>
    <definedName name="SECCIONES_DIV" localSheetId="20">#REF!</definedName>
    <definedName name="SECCIONES_DIV">#REF!</definedName>
    <definedName name="SEG" localSheetId="16">#REF!</definedName>
    <definedName name="SEG" localSheetId="20">#REF!</definedName>
    <definedName name="SEG">#REF!</definedName>
    <definedName name="SEGUNDA" localSheetId="16">#REF!</definedName>
    <definedName name="SEGUNDA" localSheetId="20">#REF!</definedName>
    <definedName name="SEGUNDA">#REF!</definedName>
    <definedName name="Seguro_de_Vida_Obligatorio" localSheetId="16">#REF!</definedName>
    <definedName name="Seguro_de_Vida_Obligatorio" localSheetId="20">#REF!</definedName>
    <definedName name="Seguro_de_Vida_Obligatorio">#REF!</definedName>
    <definedName name="sep.22" localSheetId="23">'[1]Indice CAC'!#REF!</definedName>
    <definedName name="sep.22">'Indice CAC'!#REF!</definedName>
    <definedName name="sep.23" localSheetId="23">'[1]Indice CAC'!#REF!</definedName>
    <definedName name="sep.23">'Indice CAC'!#REF!</definedName>
    <definedName name="sep.24">'Indice CAC'!#REF!</definedName>
    <definedName name="sep.25">'Indice CAC'!$B$11</definedName>
    <definedName name="sept22" localSheetId="23">'[1]Indice CAC'!#REF!</definedName>
    <definedName name="sept22">'Indice CAC'!#REF!</definedName>
    <definedName name="sept23" localSheetId="23">'[1]Indice CAC'!#REF!</definedName>
    <definedName name="sept23">'Indice CAC'!#REF!</definedName>
    <definedName name="sept24">'Indice CAC'!#REF!</definedName>
    <definedName name="SIG__">#N/A</definedName>
    <definedName name="SIG2__">#N/A</definedName>
    <definedName name="sigmabk" localSheetId="16">#REF!</definedName>
    <definedName name="sigmabk" localSheetId="20">#REF!</definedName>
    <definedName name="sigmabk">#REF!</definedName>
    <definedName name="sigmabk_c" localSheetId="16">#REF!</definedName>
    <definedName name="sigmabk_c" localSheetId="20">#REF!</definedName>
    <definedName name="sigmabk_c">#REF!</definedName>
    <definedName name="sigmas" localSheetId="16">#REF!</definedName>
    <definedName name="sigmas" localSheetId="20">#REF!</definedName>
    <definedName name="sigmas">#REF!</definedName>
    <definedName name="sin_reaj" localSheetId="16">#REF!</definedName>
    <definedName name="sin_reaj" localSheetId="20">#REF!</definedName>
    <definedName name="sin_reaj">#REF!</definedName>
    <definedName name="sob" localSheetId="16">#REF!</definedName>
    <definedName name="sob" localSheetId="20">#REF!</definedName>
    <definedName name="sob">#REF!</definedName>
    <definedName name="sob_c" localSheetId="16">#REF!</definedName>
    <definedName name="sob_c" localSheetId="20">#REF!</definedName>
    <definedName name="sob_c">#REF!</definedName>
    <definedName name="SObrero" localSheetId="16">#REF!</definedName>
    <definedName name="SObrero" localSheetId="20">#REF!</definedName>
    <definedName name="SObrero">#REF!</definedName>
    <definedName name="ssdfsdgsdfgfgb" localSheetId="16">#REF!</definedName>
    <definedName name="ssdfsdgsdfgfgb" localSheetId="20">#REF!</definedName>
    <definedName name="ssdfsdgsdfgfgb">#REF!</definedName>
    <definedName name="SUBTOTAL" localSheetId="20">#REF!</definedName>
    <definedName name="SUBTOTAL">#REF!</definedName>
    <definedName name="Sueldo_Anual_Complementario" localSheetId="16">#REF!</definedName>
    <definedName name="Sueldo_Anual_Complementario" localSheetId="20">#REF!</definedName>
    <definedName name="Sueldo_Anual_Complementario">#REF!</definedName>
    <definedName name="Suelo" localSheetId="16">#REF!</definedName>
    <definedName name="Suelo" localSheetId="20">#REF!</definedName>
    <definedName name="Suelo">#REF!</definedName>
    <definedName name="SumaItems" localSheetId="16">#REF!</definedName>
    <definedName name="SumaItems" localSheetId="20">#REF!</definedName>
    <definedName name="SumaItems">#REF!</definedName>
    <definedName name="Summary" localSheetId="8">#REF!</definedName>
    <definedName name="Summary" localSheetId="3">#REF!</definedName>
    <definedName name="Summary" localSheetId="13">#REF!</definedName>
    <definedName name="Summary" localSheetId="22">#REF!</definedName>
    <definedName name="Summary" localSheetId="4">#REF!</definedName>
    <definedName name="Summary" localSheetId="17">#REF!</definedName>
    <definedName name="Summary" localSheetId="0">#REF!</definedName>
    <definedName name="Summary" localSheetId="20">#REF!</definedName>
    <definedName name="Summary" localSheetId="10">#REF!</definedName>
    <definedName name="Summary" localSheetId="11">#REF!</definedName>
    <definedName name="Summary" localSheetId="9">#REF!</definedName>
    <definedName name="Summary" localSheetId="12">#REF!</definedName>
    <definedName name="Summary" localSheetId="1">#REF!</definedName>
    <definedName name="Summary" localSheetId="2">#REF!</definedName>
    <definedName name="Summary" localSheetId="5">#REF!</definedName>
    <definedName name="Summary">#REF!</definedName>
    <definedName name="Sup_Cubierta" localSheetId="16">#REF!</definedName>
    <definedName name="Sup_Cubierta" localSheetId="3">#REF!</definedName>
    <definedName name="Sup_Cubierta" localSheetId="13">#REF!</definedName>
    <definedName name="Sup_Cubierta" localSheetId="22">#REF!</definedName>
    <definedName name="Sup_Cubierta" localSheetId="4">#REF!</definedName>
    <definedName name="Sup_Cubierta" localSheetId="0">#REF!</definedName>
    <definedName name="Sup_Cubierta" localSheetId="20">#REF!</definedName>
    <definedName name="Sup_Cubierta">#REF!</definedName>
    <definedName name="Sup_Lote" localSheetId="16">#REF!</definedName>
    <definedName name="Sup_Lote" localSheetId="20">#REF!</definedName>
    <definedName name="Sup_Lote">#REF!</definedName>
    <definedName name="Sup_Proyecto" localSheetId="16">#REF!</definedName>
    <definedName name="Sup_Proyecto" localSheetId="3">#REF!</definedName>
    <definedName name="Sup_Proyecto" localSheetId="13">#REF!</definedName>
    <definedName name="Sup_Proyecto" localSheetId="22">#REF!</definedName>
    <definedName name="Sup_Proyecto" localSheetId="4">#REF!</definedName>
    <definedName name="Sup_Proyecto" localSheetId="17">#REF!</definedName>
    <definedName name="Sup_Proyecto" localSheetId="0">#REF!</definedName>
    <definedName name="Sup_Proyecto" localSheetId="20">#REF!</definedName>
    <definedName name="Sup_Proyecto">#REF!</definedName>
    <definedName name="Sup_Terreno" localSheetId="16">#REF!</definedName>
    <definedName name="Sup_Terreno" localSheetId="3">#REF!</definedName>
    <definedName name="Sup_Terreno" localSheetId="22">#REF!</definedName>
    <definedName name="Sup_Terreno" localSheetId="4">#REF!</definedName>
    <definedName name="Sup_Terreno" localSheetId="17">#REF!</definedName>
    <definedName name="Sup_Terreno" localSheetId="0">#REF!</definedName>
    <definedName name="Sup_Terreno" localSheetId="20">#REF!</definedName>
    <definedName name="Sup_Terreno">#REF!</definedName>
    <definedName name="Superficie_Cubierta" localSheetId="16">#REF!</definedName>
    <definedName name="Superficie_Cubierta" localSheetId="20">#REF!</definedName>
    <definedName name="Superficie_Cubierta">#REF!</definedName>
    <definedName name="T.Cuad." localSheetId="16">#REF!</definedName>
    <definedName name="T.Cuad." localSheetId="20">#REF!</definedName>
    <definedName name="T.Cuad.">#REF!</definedName>
    <definedName name="T.Rect." localSheetId="20">#REF!</definedName>
    <definedName name="T.Rect.">#REF!</definedName>
    <definedName name="T.Red." localSheetId="20">#REF!</definedName>
    <definedName name="T.Red.">#REF!</definedName>
    <definedName name="T_2" localSheetId="16">#REF!</definedName>
    <definedName name="T_2" localSheetId="20">#REF!</definedName>
    <definedName name="T_2">#REF!</definedName>
    <definedName name="t1000k" localSheetId="16">#REF!</definedName>
    <definedName name="t1000k" localSheetId="20">#REF!</definedName>
    <definedName name="t1000k">#REF!</definedName>
    <definedName name="t15k" localSheetId="16">#REF!</definedName>
    <definedName name="t15k" localSheetId="20">#REF!</definedName>
    <definedName name="t15k">#REF!</definedName>
    <definedName name="t400k" localSheetId="16">#REF!</definedName>
    <definedName name="t400k" localSheetId="20">#REF!</definedName>
    <definedName name="t400k">#REF!</definedName>
    <definedName name="t490k" localSheetId="16">#REF!</definedName>
    <definedName name="t490k" localSheetId="20">#REF!</definedName>
    <definedName name="t490k">#REF!</definedName>
    <definedName name="t90k" localSheetId="16">#REF!</definedName>
    <definedName name="t90k" localSheetId="20">#REF!</definedName>
    <definedName name="t90k">#REF!</definedName>
    <definedName name="TABLA2" localSheetId="16">#REF!</definedName>
    <definedName name="TABLA2" localSheetId="20">#REF!</definedName>
    <definedName name="TABLA2">#REF!</definedName>
    <definedName name="TABLA3" localSheetId="16">#REF!</definedName>
    <definedName name="TABLA3" localSheetId="20">#REF!</definedName>
    <definedName name="TABLA3">#REF!</definedName>
    <definedName name="TABLA6.2" localSheetId="16">#REF!</definedName>
    <definedName name="TABLA6.2" localSheetId="20">#REF!</definedName>
    <definedName name="TABLA6.2">#REF!</definedName>
    <definedName name="tablas" localSheetId="16">#REF!</definedName>
    <definedName name="tablas" localSheetId="20">#REF!</definedName>
    <definedName name="tablas">#REF!</definedName>
    <definedName name="TAC" localSheetId="16">#REF!</definedName>
    <definedName name="TAC" localSheetId="20">#REF!</definedName>
    <definedName name="TAC">#REF!</definedName>
    <definedName name="TAREAS" localSheetId="8">#REF!</definedName>
    <definedName name="TAREAS" localSheetId="3">#REF!</definedName>
    <definedName name="TAREAS" localSheetId="13">#REF!</definedName>
    <definedName name="TAREAS" localSheetId="22">#REF!</definedName>
    <definedName name="TAREAS" localSheetId="4">#REF!</definedName>
    <definedName name="TAREAS" localSheetId="17">#REF!</definedName>
    <definedName name="TAREAS" localSheetId="0">#REF!</definedName>
    <definedName name="TAREAS" localSheetId="20">#REF!</definedName>
    <definedName name="TAREAS" localSheetId="10">#REF!</definedName>
    <definedName name="TAREAS" localSheetId="11">#REF!</definedName>
    <definedName name="TAREAS" localSheetId="9">#REF!</definedName>
    <definedName name="TAREAS" localSheetId="12">#REF!</definedName>
    <definedName name="TAREAS" localSheetId="1">#REF!</definedName>
    <definedName name="TAREAS" localSheetId="2">#REF!</definedName>
    <definedName name="TAREAS" localSheetId="5">#REF!</definedName>
    <definedName name="TAREAS">#REF!</definedName>
    <definedName name="TASA" localSheetId="16">#REF!</definedName>
    <definedName name="TASA" localSheetId="20">#REF!</definedName>
    <definedName name="TASA">#REF!</definedName>
    <definedName name="tasa_cero" localSheetId="16">#REF!</definedName>
    <definedName name="tasa_cero" localSheetId="20">#REF!</definedName>
    <definedName name="tasa_cero">#REF!</definedName>
    <definedName name="tau" localSheetId="20">#REF!</definedName>
    <definedName name="tau">#REF!</definedName>
    <definedName name="Tdos" localSheetId="20">#REF!</definedName>
    <definedName name="Tdos">#REF!</definedName>
    <definedName name="te" localSheetId="16">#REF!</definedName>
    <definedName name="te" localSheetId="20">#REF!</definedName>
    <definedName name="te">#REF!</definedName>
    <definedName name="Temperatura_Kelvin" localSheetId="16">#REF!</definedName>
    <definedName name="Temperatura_Kelvin" localSheetId="20">#REF!</definedName>
    <definedName name="Temperatura_Kelvin">#REF!</definedName>
    <definedName name="TERCERA" localSheetId="16">#REF!</definedName>
    <definedName name="TERCERA" localSheetId="20">#REF!</definedName>
    <definedName name="TERCERA">#REF!</definedName>
    <definedName name="terramesh" localSheetId="16">#REF!</definedName>
    <definedName name="terramesh" localSheetId="20">#REF!</definedName>
    <definedName name="terramesh">#REF!</definedName>
    <definedName name="ThO" localSheetId="16">#REF!</definedName>
    <definedName name="ThO" localSheetId="20">#REF!</definedName>
    <definedName name="ThO">#REF!</definedName>
    <definedName name="ThPH" localSheetId="20">#REF!</definedName>
    <definedName name="ThPH">#REF!</definedName>
    <definedName name="Tip.Conj." localSheetId="20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 localSheetId="16">#REF!</definedName>
    <definedName name="TITULO" localSheetId="8">#REF!</definedName>
    <definedName name="TITULO" localSheetId="3">#REF!</definedName>
    <definedName name="TITULO" localSheetId="13">#REF!</definedName>
    <definedName name="TITULO" localSheetId="22">#REF!</definedName>
    <definedName name="TITULO" localSheetId="4">#REF!</definedName>
    <definedName name="TITULO" localSheetId="20">#REF!</definedName>
    <definedName name="TITULO" localSheetId="10">#REF!</definedName>
    <definedName name="TITULO" localSheetId="11">#REF!</definedName>
    <definedName name="TITULO" localSheetId="9">#REF!</definedName>
    <definedName name="TITULO" localSheetId="12">#REF!</definedName>
    <definedName name="TITULO" localSheetId="1">#REF!</definedName>
    <definedName name="TITULO" localSheetId="2">#REF!</definedName>
    <definedName name="TITULO" localSheetId="5">#REF!</definedName>
    <definedName name="TITULO">#REF!</definedName>
    <definedName name="TITULOS" localSheetId="20">#REF!</definedName>
    <definedName name="TITULOS">#REF!</definedName>
    <definedName name="TITULOS_A_IMPRIMIR" localSheetId="16">#REF!</definedName>
    <definedName name="TITULOS_A_IMPRIMIR" localSheetId="20">#REF!</definedName>
    <definedName name="TITULOS_A_IMPRIMIR">#REF!</definedName>
    <definedName name="Títulos_a_imprimir_IM" localSheetId="16">#REF!</definedName>
    <definedName name="Títulos_a_imprimir_IM" localSheetId="21">#REF!</definedName>
    <definedName name="Títulos_a_imprimir_IM" localSheetId="8">#REF!</definedName>
    <definedName name="Títulos_a_imprimir_IM" localSheetId="6">#REF!</definedName>
    <definedName name="Títulos_a_imprimir_IM" localSheetId="7">#REF!</definedName>
    <definedName name="Títulos_a_imprimir_IM" localSheetId="3">#REF!</definedName>
    <definedName name="Títulos_a_imprimir_IM" localSheetId="13">#REF!</definedName>
    <definedName name="Títulos_a_imprimir_IM" localSheetId="22">#REF!</definedName>
    <definedName name="Títulos_a_imprimir_IM" localSheetId="4">#REF!</definedName>
    <definedName name="Títulos_a_imprimir_IM" localSheetId="0">#REF!</definedName>
    <definedName name="Títulos_a_imprimir_IM" localSheetId="20">#REF!</definedName>
    <definedName name="Títulos_a_imprimir_IM" localSheetId="10">#REF!</definedName>
    <definedName name="Títulos_a_imprimir_IM" localSheetId="11">#REF!</definedName>
    <definedName name="Títulos_a_imprimir_IM" localSheetId="9">#REF!</definedName>
    <definedName name="Títulos_a_imprimir_IM" localSheetId="12">#REF!</definedName>
    <definedName name="Títulos_a_imprimir_IM" localSheetId="15">#REF!</definedName>
    <definedName name="Títulos_a_imprimir_IM" localSheetId="14">#REF!</definedName>
    <definedName name="Títulos_a_imprimir_IM" localSheetId="1">#REF!</definedName>
    <definedName name="Títulos_a_imprimir_IM" localSheetId="2">#REF!</definedName>
    <definedName name="Títulos_a_imprimir_IM" localSheetId="5">#REF!</definedName>
    <definedName name="Títulos_a_imprimir_IM">#REF!</definedName>
    <definedName name="TIUF" localSheetId="16">#REF!</definedName>
    <definedName name="TIUF" localSheetId="20">#REF!</definedName>
    <definedName name="TIUF">#REF!</definedName>
    <definedName name="to11_c" localSheetId="16">#REF!</definedName>
    <definedName name="to11_c" localSheetId="20">#REF!</definedName>
    <definedName name="to11_c">#REF!</definedName>
    <definedName name="TOBR1" localSheetId="16">#REF!</definedName>
    <definedName name="TOBR1" localSheetId="20">#REF!</definedName>
    <definedName name="TOBR1">#REF!</definedName>
    <definedName name="TOBRA" localSheetId="20">#REF!</definedName>
    <definedName name="TOBRA">#REF!</definedName>
    <definedName name="tor" localSheetId="20">#REF!</definedName>
    <definedName name="tor">#REF!</definedName>
    <definedName name="tota1" localSheetId="8">#REF!</definedName>
    <definedName name="tota1" localSheetId="13">#REF!</definedName>
    <definedName name="tota1" localSheetId="10">#REF!</definedName>
    <definedName name="tota1" localSheetId="11">#REF!</definedName>
    <definedName name="tota1" localSheetId="9">#REF!</definedName>
    <definedName name="tota1" localSheetId="12">#REF!</definedName>
    <definedName name="tota1" localSheetId="1">#REF!</definedName>
    <definedName name="tota1" localSheetId="2">#REF!</definedName>
    <definedName name="tota1" localSheetId="5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16">Scheduled_Payment+Extra_Payment</definedName>
    <definedName name="Total_Payment" localSheetId="21">Scheduled_Payment+Extra_Payment</definedName>
    <definedName name="Total_Payment" localSheetId="19">Scheduled_Payment+Extra_Payment</definedName>
    <definedName name="Total_Payment" localSheetId="6">Scheduled_Payment+Extra_Payment</definedName>
    <definedName name="Total_Payment" localSheetId="7">Scheduled_Payment+Extra_Payment</definedName>
    <definedName name="Total_Payment" localSheetId="3">Scheduled_Payment+Extra_Payment</definedName>
    <definedName name="Total_Payment" localSheetId="22">Scheduled_Payment+Extra_Payment</definedName>
    <definedName name="Total_Payment" localSheetId="17">Scheduled_Payment+Extra_Payment</definedName>
    <definedName name="Total_Payment" localSheetId="20">Scheduled_Payment+Extra_Payment</definedName>
    <definedName name="Total_Payment" localSheetId="10">Scheduled_Payment+Extra_Payment</definedName>
    <definedName name="Total_Payment" localSheetId="11">Scheduled_Payment+Extra_Payment</definedName>
    <definedName name="Total_Payment" localSheetId="12">Scheduled_Payment+Extra_Payment</definedName>
    <definedName name="Total_Payment" localSheetId="15">Scheduled_Payment+Extra_Payment</definedName>
    <definedName name="Total_Payment" localSheetId="14">Scheduled_Payment+Extra_Payment</definedName>
    <definedName name="Total_Payment" localSheetId="2">Scheduled_Payment+Extra_Payment</definedName>
    <definedName name="Total_Payment" localSheetId="5">Scheduled_Payment+Extra_Payment</definedName>
    <definedName name="Total_Payment" localSheetId="23">Scheduled_Payment+Extra_Payment</definedName>
    <definedName name="Total_Payment">Scheduled_Payment+Extra_Payment</definedName>
    <definedName name="TOTAL_SISTEMA_DE_ACUEDUCTOS_A_PRECIO_FINAL" localSheetId="16">#REF!</definedName>
    <definedName name="TOTAL_SISTEMA_DE_ACUEDUCTOS_A_PRECIO_FINAL" localSheetId="20">#REF!</definedName>
    <definedName name="TOTAL_SISTEMA_DE_ACUEDUCTOS_A_PRECIO_FINAL">#REF!</definedName>
    <definedName name="totalcert" localSheetId="20">#REF!</definedName>
    <definedName name="totalcert">#REF!</definedName>
    <definedName name="TOTALES" localSheetId="8">#REF!</definedName>
    <definedName name="TOTALES" localSheetId="3">#REF!</definedName>
    <definedName name="TOTALES" localSheetId="13">#REF!</definedName>
    <definedName name="TOTALES" localSheetId="22">#REF!</definedName>
    <definedName name="TOTALES" localSheetId="4">#REF!</definedName>
    <definedName name="TOTALES" localSheetId="17">#REF!</definedName>
    <definedName name="TOTALES" localSheetId="0">#REF!</definedName>
    <definedName name="TOTALES" localSheetId="20">#REF!</definedName>
    <definedName name="TOTALES" localSheetId="10">#REF!</definedName>
    <definedName name="TOTALES" localSheetId="11">#REF!</definedName>
    <definedName name="TOTALES" localSheetId="9">#REF!</definedName>
    <definedName name="TOTALES" localSheetId="12">#REF!</definedName>
    <definedName name="TOTALES" localSheetId="1">#REF!</definedName>
    <definedName name="TOTALES" localSheetId="2">#REF!</definedName>
    <definedName name="TOTALES" localSheetId="5">#REF!</definedName>
    <definedName name="TOTALES">#REF!</definedName>
    <definedName name="TPA">#REF!</definedName>
    <definedName name="TRANSPORTE">#N/A</definedName>
    <definedName name="trentiuno" localSheetId="16">#REF!</definedName>
    <definedName name="trentiuno" localSheetId="20">#REF!</definedName>
    <definedName name="trentiuno">#REF!</definedName>
    <definedName name="TUBERIAS" localSheetId="16">#REF!</definedName>
    <definedName name="TUBERIAS" localSheetId="20">#REF!</definedName>
    <definedName name="TUBERIAS">#REF!</definedName>
    <definedName name="Tuberías_de_P.E.A.D." localSheetId="16">#REF!</definedName>
    <definedName name="Tuberías_de_P.E.A.D." localSheetId="20">#REF!</definedName>
    <definedName name="Tuberías_de_P.E.A.D.">#REF!</definedName>
    <definedName name="Tuberías_de_P.R.F.V." localSheetId="20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DL" localSheetId="20">#REF!</definedName>
    <definedName name="UDL">#REF!</definedName>
    <definedName name="UDLWR" localSheetId="20">#REF!</definedName>
    <definedName name="UDLWR">#REF!</definedName>
    <definedName name="UDM" localSheetId="20">#REF!</definedName>
    <definedName name="UDM">#REF!</definedName>
    <definedName name="UDMML" localSheetId="20">#REF!</definedName>
    <definedName name="UDMML">#REF!</definedName>
    <definedName name="UDMP">#REF!</definedName>
    <definedName name="UDMPB">#REF!</definedName>
    <definedName name="Unidades" localSheetId="16">#REF!</definedName>
    <definedName name="Unidades" localSheetId="3">#REF!</definedName>
    <definedName name="Unidades" localSheetId="13">#REF!</definedName>
    <definedName name="Unidades" localSheetId="22">#REF!</definedName>
    <definedName name="Unidades" localSheetId="4">#REF!</definedName>
    <definedName name="Unidades" localSheetId="17">#REF!</definedName>
    <definedName name="Unidades" localSheetId="0">#REF!</definedName>
    <definedName name="Unidades" localSheetId="20">#REF!</definedName>
    <definedName name="Unidades">#REF!</definedName>
    <definedName name="Unusual">#REF!</definedName>
    <definedName name="UOCRA" localSheetId="16">#REF!</definedName>
    <definedName name="UOCRA" localSheetId="20">#REF!</definedName>
    <definedName name="UOCRA">#REF!</definedName>
    <definedName name="UOCRA_Cargo_Fijo" localSheetId="16">#REF!</definedName>
    <definedName name="UOCRA_Cargo_Fijo" localSheetId="20">#REF!</definedName>
    <definedName name="UOCRA_Cargo_Fijo">#REF!</definedName>
    <definedName name="UPN" localSheetId="16">#REF!</definedName>
    <definedName name="UPN" localSheetId="20">#REF!</definedName>
    <definedName name="UPN">#REF!</definedName>
    <definedName name="USD" localSheetId="20">#REF!</definedName>
    <definedName name="USD">#REF!</definedName>
    <definedName name="USD.BNA" localSheetId="16">#REF!</definedName>
    <definedName name="USD.BNA" localSheetId="20">#REF!</definedName>
    <definedName name="USD.BNA">#REF!</definedName>
    <definedName name="V" localSheetId="16">#REF!</definedName>
    <definedName name="V" localSheetId="20">#REF!</definedName>
    <definedName name="V">#REF!</definedName>
    <definedName name="V.R." localSheetId="20">#REF!</definedName>
    <definedName name="V.R.">#REF!</definedName>
    <definedName name="V.Rosc" localSheetId="20">#REF!</definedName>
    <definedName name="V.Rosc">#REF!</definedName>
    <definedName name="V0">#REF!</definedName>
    <definedName name="Vacaciones" localSheetId="16">#REF!</definedName>
    <definedName name="Vacaciones" localSheetId="20">#REF!</definedName>
    <definedName name="Vacaciones">#REF!</definedName>
    <definedName name="vacdul" localSheetId="16">#REF!</definedName>
    <definedName name="vacdul" localSheetId="20">#REF!</definedName>
    <definedName name="vacdul">#REF!</definedName>
    <definedName name="vacdul1mod" localSheetId="16">#REF!</definedName>
    <definedName name="vacdul1mod" localSheetId="20">#REF!</definedName>
    <definedName name="vacdul1mod">#REF!</definedName>
    <definedName name="vacete" localSheetId="16">#REF!</definedName>
    <definedName name="vacete" localSheetId="20">#REF!</definedName>
    <definedName name="vacete">#REF!</definedName>
    <definedName name="vaclam" localSheetId="16">#REF!</definedName>
    <definedName name="vaclam" localSheetId="20">#REF!</definedName>
    <definedName name="vaclam">#REF!</definedName>
    <definedName name="vaclam1mod" localSheetId="16">#REF!</definedName>
    <definedName name="vaclam1mod" localSheetId="20">#REF!</definedName>
    <definedName name="vaclam1mod">#REF!</definedName>
    <definedName name="vadih" localSheetId="16">#REF!</definedName>
    <definedName name="vadih" localSheetId="20">#REF!</definedName>
    <definedName name="vadih">#REF!</definedName>
    <definedName name="val" localSheetId="16">#REF!</definedName>
    <definedName name="val" localSheetId="20">#REF!</definedName>
    <definedName name="val">#REF!</definedName>
    <definedName name="valgalv" localSheetId="16">#REF!</definedName>
    <definedName name="valgalv" localSheetId="20">#REF!</definedName>
    <definedName name="valgalv">#REF!</definedName>
    <definedName name="valgalv1mod" localSheetId="16">#REF!</definedName>
    <definedName name="valgalv1mod" localSheetId="20">#REF!</definedName>
    <definedName name="valgalv1mod">#REF!</definedName>
    <definedName name="validez" localSheetId="20">#REF!</definedName>
    <definedName name="validez">#REF!</definedName>
    <definedName name="Valor" localSheetId="20">#REF!</definedName>
    <definedName name="Valor">#REF!</definedName>
    <definedName name="valoresequipo" localSheetId="16">#REF!</definedName>
    <definedName name="valoresequipo" localSheetId="21">#REF!</definedName>
    <definedName name="valoresequipo" localSheetId="8">#REF!</definedName>
    <definedName name="valoresequipo" localSheetId="6">#REF!</definedName>
    <definedName name="valoresequipo" localSheetId="7">#REF!</definedName>
    <definedName name="valoresequipo" localSheetId="3">#REF!</definedName>
    <definedName name="valoresequipo" localSheetId="13">#REF!</definedName>
    <definedName name="valoresequipo" localSheetId="22">#REF!</definedName>
    <definedName name="valoresequipo" localSheetId="4">#REF!</definedName>
    <definedName name="valoresequipo" localSheetId="0">#REF!</definedName>
    <definedName name="valoresequipo" localSheetId="10">#REF!</definedName>
    <definedName name="valoresequipo" localSheetId="11">#REF!</definedName>
    <definedName name="valoresequipo" localSheetId="9">#REF!</definedName>
    <definedName name="valoresequipo" localSheetId="12">#REF!</definedName>
    <definedName name="valoresequipo" localSheetId="15">#REF!</definedName>
    <definedName name="valoresequipo" localSheetId="14">#REF!</definedName>
    <definedName name="valoresequipo" localSheetId="1">#REF!</definedName>
    <definedName name="valoresequipo" localSheetId="2">#REF!</definedName>
    <definedName name="valoresequipo" localSheetId="5">#REF!</definedName>
    <definedName name="valoresequipo">#REF!</definedName>
    <definedName name="Values_Entered" localSheetId="16">IF(Loan_Amount*Interest_Rate*Loan_Years*Loan_Start&gt;0,1,0)</definedName>
    <definedName name="Values_Entered" localSheetId="21">IF(Loan_Amount*Interest_Rate*Loan_Years*Loan_Start&gt;0,1,0)</definedName>
    <definedName name="Values_Entered" localSheetId="6">IF(Loan_Amount*Interest_Rate*Loan_Years*Loan_Start&gt;0,1,0)</definedName>
    <definedName name="Values_Entered" localSheetId="7">IF(Loan_Amount*Interest_Rate*Loan_Years*Loan_Start&gt;0,1,0)</definedName>
    <definedName name="Values_Entered" localSheetId="17">IF(Loan_Amount*Interest_Rate*Loan_Years*Loan_Start&gt;0,1,0)</definedName>
    <definedName name="Values_Entered" localSheetId="20">IF(Loan_Amount*'Indice CAC'!Interest_Rate*Loan_Years*Loan_Start&gt;0,1,0)</definedName>
    <definedName name="Values_Entered" localSheetId="15">IF(Loan_Amount*Interest_Rate*Loan_Years*Loan_Start&gt;0,1,0)</definedName>
    <definedName name="Values_Entered" localSheetId="14">IF(Loan_Amount*Interest_Rate*Loan_Years*Loan_Start&gt;0,1,0)</definedName>
    <definedName name="Values_Entered" localSheetId="23">IF(Loan_Amount*Interest_Rate*Loan_Years*Loan_Start&gt;0,1,0)</definedName>
    <definedName name="Values_Entered">IF(Loan_Amount*Interest_Rate*Loan_Years*Loan_Start&gt;0,1,0)</definedName>
    <definedName name="valuevx">42.314159</definedName>
    <definedName name="vaponeo" localSheetId="16">#REF!</definedName>
    <definedName name="vaponeo" localSheetId="20">#REF!</definedName>
    <definedName name="vaponeo">#REF!</definedName>
    <definedName name="varmco" localSheetId="16">#REF!</definedName>
    <definedName name="varmco" localSheetId="20">#REF!</definedName>
    <definedName name="varmco">#REF!</definedName>
    <definedName name="varmco1mod" localSheetId="16">#REF!</definedName>
    <definedName name="varmco1mod" localSheetId="20">#REF!</definedName>
    <definedName name="varmco1mod">#REF!</definedName>
    <definedName name="vbarra" localSheetId="16">#REF!</definedName>
    <definedName name="vbarra" localSheetId="20">#REF!</definedName>
    <definedName name="vbarra">#REF!</definedName>
    <definedName name="vbarra1mod" localSheetId="16">#REF!</definedName>
    <definedName name="vbarra1mod" localSheetId="20">#REF!</definedName>
    <definedName name="vbarra1mod">#REF!</definedName>
    <definedName name="vbroca" localSheetId="16">#REF!</definedName>
    <definedName name="vbroca" localSheetId="20">#REF!</definedName>
    <definedName name="vbroca">#REF!</definedName>
    <definedName name="vbroca1mod" localSheetId="16">#REF!</definedName>
    <definedName name="vbroca1mod" localSheetId="20">#REF!</definedName>
    <definedName name="vbroca1mod">#REF!</definedName>
    <definedName name="vca" localSheetId="16">#REF!</definedName>
    <definedName name="vca" localSheetId="20">#REF!</definedName>
    <definedName name="vca">#REF!</definedName>
    <definedName name="vca1mod" localSheetId="16">#REF!</definedName>
    <definedName name="vca1mod" localSheetId="20">#REF!</definedName>
    <definedName name="vca1mod">#REF!</definedName>
    <definedName name="vcem1mod" localSheetId="20">#REF!</definedName>
    <definedName name="vcem1mod">#REF!</definedName>
    <definedName name="vclav" localSheetId="16">#REF!</definedName>
    <definedName name="vclav" localSheetId="20">#REF!</definedName>
    <definedName name="vclav">#REF!</definedName>
    <definedName name="vclav1mod" localSheetId="16">#REF!</definedName>
    <definedName name="vclav1mod" localSheetId="20">#REF!</definedName>
    <definedName name="vclav1mod">#REF!</definedName>
    <definedName name="vcub" localSheetId="16">#REF!</definedName>
    <definedName name="vcub" localSheetId="20">#REF!</definedName>
    <definedName name="vcub">#REF!</definedName>
    <definedName name="vcub1mod" localSheetId="16">#REF!</definedName>
    <definedName name="vcub1mod" localSheetId="20">#REF!</definedName>
    <definedName name="vcub1mod">#REF!</definedName>
    <definedName name="vdil" localSheetId="16">#REF!</definedName>
    <definedName name="vdil" localSheetId="20">#REF!</definedName>
    <definedName name="vdil">#REF!</definedName>
    <definedName name="vdil1mod" localSheetId="16">#REF!</definedName>
    <definedName name="vdil1mod" localSheetId="20">#REF!</definedName>
    <definedName name="vdil1mod">#REF!</definedName>
    <definedName name="VENTA">#N/A</definedName>
    <definedName name="veqc1mod" localSheetId="16">#REF!</definedName>
    <definedName name="veqc1mod" localSheetId="20">#REF!</definedName>
    <definedName name="veqc1mod">#REF!</definedName>
    <definedName name="veqh1mod" localSheetId="16">#REF!</definedName>
    <definedName name="veqh1mod" localSheetId="20">#REF!</definedName>
    <definedName name="veqh1mod">#REF!</definedName>
    <definedName name="veqh2mod" localSheetId="16">#REF!</definedName>
    <definedName name="veqh2mod" localSheetId="20">#REF!</definedName>
    <definedName name="veqh2mod">#REF!</definedName>
    <definedName name="veqh3mod" localSheetId="16">#REF!</definedName>
    <definedName name="veqh3mod" localSheetId="20">#REF!</definedName>
    <definedName name="veqh3mod">#REF!</definedName>
    <definedName name="veqhc" localSheetId="16">#REF!</definedName>
    <definedName name="veqhc" localSheetId="20">#REF!</definedName>
    <definedName name="veqhc">#REF!</definedName>
    <definedName name="veqhc1mod" localSheetId="16">#REF!</definedName>
    <definedName name="veqhc1mod" localSheetId="20">#REF!</definedName>
    <definedName name="veqhc1mod">#REF!</definedName>
    <definedName name="veqimp1mod" localSheetId="20">#REF!</definedName>
    <definedName name="veqimp1mod">#REF!</definedName>
    <definedName name="veqnac1mod" localSheetId="20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 localSheetId="16">#REF!</definedName>
    <definedName name="vfiller" localSheetId="20">#REF!</definedName>
    <definedName name="vfiller">#REF!</definedName>
    <definedName name="vfiller1mod" localSheetId="16">#REF!</definedName>
    <definedName name="vfiller1mod" localSheetId="20">#REF!</definedName>
    <definedName name="vfiller1mod">#REF!</definedName>
    <definedName name="vflex1mod" localSheetId="20">#REF!</definedName>
    <definedName name="vflex1mod">#REF!</definedName>
    <definedName name="vflexposte" localSheetId="16">#REF!</definedName>
    <definedName name="vflexposte" localSheetId="20">#REF!</definedName>
    <definedName name="vflexposte">#REF!</definedName>
    <definedName name="vflexposte1mod" localSheetId="16">#REF!</definedName>
    <definedName name="vflexposte1mod" localSheetId="20">#REF!</definedName>
    <definedName name="vflexposte1mod">#REF!</definedName>
    <definedName name="vfo" localSheetId="16">#REF!</definedName>
    <definedName name="vfo" localSheetId="20">#REF!</definedName>
    <definedName name="vfo">#REF!</definedName>
    <definedName name="vfo1mod" localSheetId="16">#REF!</definedName>
    <definedName name="vfo1mod" localSheetId="20">#REF!</definedName>
    <definedName name="vfo1mod">#REF!</definedName>
    <definedName name="vgav1mod" localSheetId="20">#REF!</definedName>
    <definedName name="vgav1mod">#REF!</definedName>
    <definedName name="vgavhex" localSheetId="16">#REF!</definedName>
    <definedName name="vgavhex" localSheetId="20">#REF!</definedName>
    <definedName name="vgavhex">#REF!</definedName>
    <definedName name="vgavhex1mod" localSheetId="16">#REF!</definedName>
    <definedName name="vgavhex1mod" localSheetId="20">#REF!</definedName>
    <definedName name="vgavhex1mod">#REF!</definedName>
    <definedName name="vgel" localSheetId="16">#REF!</definedName>
    <definedName name="vgel" localSheetId="20">#REF!</definedName>
    <definedName name="vgel">#REF!</definedName>
    <definedName name="vgel1mod" localSheetId="16">#REF!</definedName>
    <definedName name="vgel1mod" localSheetId="20">#REF!</definedName>
    <definedName name="vgel1mod">#REF!</definedName>
    <definedName name="vgeot" localSheetId="16">#REF!</definedName>
    <definedName name="vgeot" localSheetId="20">#REF!</definedName>
    <definedName name="vgeot">#REF!</definedName>
    <definedName name="vgeot1mod" localSheetId="16">#REF!</definedName>
    <definedName name="vgeot1mod" localSheetId="20">#REF!</definedName>
    <definedName name="vgeot1mod">#REF!</definedName>
    <definedName name="vgf" localSheetId="16">#REF!</definedName>
    <definedName name="vgf" localSheetId="20">#REF!</definedName>
    <definedName name="vgf">#REF!</definedName>
    <definedName name="vgf1mod" localSheetId="16">#REF!</definedName>
    <definedName name="vgf1mod" localSheetId="20">#REF!</definedName>
    <definedName name="vgf1mod">#REF!</definedName>
    <definedName name="vgf3mod" localSheetId="16">#REF!</definedName>
    <definedName name="vgf3mod" localSheetId="20">#REF!</definedName>
    <definedName name="vgf3mod">#REF!</definedName>
    <definedName name="vggrales" localSheetId="16">#REF!</definedName>
    <definedName name="vggrales" localSheetId="20">#REF!</definedName>
    <definedName name="vggrales">#REF!</definedName>
    <definedName name="vgo" localSheetId="16">#REF!</definedName>
    <definedName name="vgo" localSheetId="20">#REF!</definedName>
    <definedName name="vgo">#REF!</definedName>
    <definedName name="vgo1mod" localSheetId="16">#REF!</definedName>
    <definedName name="vgo1mod" localSheetId="20">#REF!</definedName>
    <definedName name="vgo1mod">#REF!</definedName>
    <definedName name="VH">#N/A</definedName>
    <definedName name="Vida" localSheetId="16">#REF!</definedName>
    <definedName name="Vida" localSheetId="20">#REF!</definedName>
    <definedName name="Vida">#REF!</definedName>
    <definedName name="Viscosidad_Dinámica_y_Cinemática_del_Agua" localSheetId="16">#REF!</definedName>
    <definedName name="Viscosidad_Dinámica_y_Cinemática_del_Agua" localSheetId="20">#REF!</definedName>
    <definedName name="Viscosidad_Dinámica_y_Cinemática_del_Agua">#REF!</definedName>
    <definedName name="viv" localSheetId="16">#REF!</definedName>
    <definedName name="viv" localSheetId="20">#REF!</definedName>
    <definedName name="viv">#REF!</definedName>
    <definedName name="vjunexp" localSheetId="16">#REF!</definedName>
    <definedName name="vjunexp" localSheetId="20">#REF!</definedName>
    <definedName name="vjunexp">#REF!</definedName>
    <definedName name="vjunt" localSheetId="16">#REF!</definedName>
    <definedName name="vjunt" localSheetId="20">#REF!</definedName>
    <definedName name="vjunt">#REF!</definedName>
    <definedName name="vjunt1mod" localSheetId="16">#REF!</definedName>
    <definedName name="vjunt1mod" localSheetId="20">#REF!</definedName>
    <definedName name="vjunt1mod">#REF!</definedName>
    <definedName name="vmad" localSheetId="16">#REF!</definedName>
    <definedName name="vmad" localSheetId="20">#REF!</definedName>
    <definedName name="vmad">#REF!</definedName>
    <definedName name="vmad1mod" localSheetId="16">#REF!</definedName>
    <definedName name="vmad1mod" localSheetId="20">#REF!</definedName>
    <definedName name="vmad1mod">#REF!</definedName>
    <definedName name="vmas" localSheetId="16">#REF!</definedName>
    <definedName name="vmas" localSheetId="20">#REF!</definedName>
    <definedName name="vmas">#REF!</definedName>
    <definedName name="vmdeo1mod" localSheetId="16">#REF!</definedName>
    <definedName name="vmdeo1mod" localSheetId="20">#REF!</definedName>
    <definedName name="vmdeo1mod">#REF!</definedName>
    <definedName name="vmhex" localSheetId="16">#REF!</definedName>
    <definedName name="vmhex" localSheetId="20">#REF!</definedName>
    <definedName name="vmhex">#REF!</definedName>
    <definedName name="vmhex1mod" localSheetId="16">#REF!</definedName>
    <definedName name="vmhex1mod" localSheetId="20">#REF!</definedName>
    <definedName name="vmhex1mod">#REF!</definedName>
    <definedName name="vmov1mod" localSheetId="20">#REF!</definedName>
    <definedName name="vmov1mod">#REF!</definedName>
    <definedName name="vnago" localSheetId="16">#REF!</definedName>
    <definedName name="vnago" localSheetId="20">#REF!</definedName>
    <definedName name="vnago">#REF!</definedName>
    <definedName name="vnago1mod" localSheetId="16">#REF!</definedName>
    <definedName name="vnago1mod" localSheetId="20">#REF!</definedName>
    <definedName name="vnago1mod">#REF!</definedName>
    <definedName name="VOLT">#N/A</definedName>
    <definedName name="vomathap" localSheetId="16">#REF!</definedName>
    <definedName name="vomathap" localSheetId="20">#REF!</definedName>
    <definedName name="vomathap">#REF!</definedName>
    <definedName name="vomathpp" localSheetId="16">#REF!</definedName>
    <definedName name="vomathpp" localSheetId="20">#REF!</definedName>
    <definedName name="vomathpp">#REF!</definedName>
    <definedName name="votros" localSheetId="16">#REF!</definedName>
    <definedName name="votros" localSheetId="20">#REF!</definedName>
    <definedName name="votros">#REF!</definedName>
    <definedName name="votros1mod" localSheetId="16">#REF!</definedName>
    <definedName name="votros1mod" localSheetId="20">#REF!</definedName>
    <definedName name="votros1mod">#REF!</definedName>
    <definedName name="vpintref" localSheetId="16">#REF!</definedName>
    <definedName name="vpintref" localSheetId="20">#REF!</definedName>
    <definedName name="vpintref">#REF!</definedName>
    <definedName name="vpintref1mod" localSheetId="16">#REF!</definedName>
    <definedName name="vpintref1mod" localSheetId="20">#REF!</definedName>
    <definedName name="vpintref1mod">#REF!</definedName>
    <definedName name="vpvc" localSheetId="16">#REF!</definedName>
    <definedName name="vpvc" localSheetId="20">#REF!</definedName>
    <definedName name="vpvc">#REF!</definedName>
    <definedName name="vpvc1mod" localSheetId="16">#REF!</definedName>
    <definedName name="vpvc1mod" localSheetId="20">#REF!</definedName>
    <definedName name="vpvc1mod">#REF!</definedName>
    <definedName name="vrrc1mod" localSheetId="20">#REF!</definedName>
    <definedName name="vrrc1mod">#REF!</definedName>
    <definedName name="vrrp1mod" localSheetId="20">#REF!</definedName>
    <definedName name="vrrp1mod">#REF!</definedName>
    <definedName name="vseñ" localSheetId="16">#REF!</definedName>
    <definedName name="vseñ" localSheetId="20">#REF!</definedName>
    <definedName name="vseñ">#REF!</definedName>
    <definedName name="vseñ1mod" localSheetId="16">#REF!</definedName>
    <definedName name="vseñ1mod" localSheetId="20">#REF!</definedName>
    <definedName name="vseñ1mod">#REF!</definedName>
    <definedName name="VT">#N/A</definedName>
    <definedName name="vt100k" localSheetId="16">#REF!</definedName>
    <definedName name="vt100k" localSheetId="20">#REF!</definedName>
    <definedName name="vt100k">#REF!</definedName>
    <definedName name="vt1400k" localSheetId="16">#REF!</definedName>
    <definedName name="vt1400k" localSheetId="20">#REF!</definedName>
    <definedName name="vt1400k">#REF!</definedName>
    <definedName name="vt1450k" localSheetId="16">#REF!</definedName>
    <definedName name="vt1450k" localSheetId="20">#REF!</definedName>
    <definedName name="vt1450k">#REF!</definedName>
    <definedName name="vt50k" localSheetId="16">#REF!</definedName>
    <definedName name="vt50k" localSheetId="20">#REF!</definedName>
    <definedName name="vt50k">#REF!</definedName>
    <definedName name="vtmesh" localSheetId="16">#REF!</definedName>
    <definedName name="vtmesh" localSheetId="20">#REF!</definedName>
    <definedName name="vtmesh">#REF!</definedName>
    <definedName name="vtmesh1mod" localSheetId="16">#REF!</definedName>
    <definedName name="vtmesh1mod" localSheetId="20">#REF!</definedName>
    <definedName name="vtmesh1mod">#REF!</definedName>
    <definedName name="vtopes" localSheetId="16">#REF!</definedName>
    <definedName name="vtopes" localSheetId="20">#REF!</definedName>
    <definedName name="vtopes">#REF!</definedName>
    <definedName name="vviv" localSheetId="16">#REF!</definedName>
    <definedName name="vviv" localSheetId="20">#REF!</definedName>
    <definedName name="vviv">#REF!</definedName>
    <definedName name="vviv1mod" localSheetId="16">#REF!</definedName>
    <definedName name="vviv1mod" localSheetId="20">#REF!</definedName>
    <definedName name="vviv1mod">#REF!</definedName>
    <definedName name="W" localSheetId="16" hidden="1">{"NORMAL",#N/A,FALSE,"02"}</definedName>
    <definedName name="W" localSheetId="21" hidden="1">{"NORMAL",#N/A,FALSE,"02"}</definedName>
    <definedName name="W" localSheetId="6" hidden="1">{"NORMAL",#N/A,FALSE,"02"}</definedName>
    <definedName name="W" localSheetId="7" hidden="1">{"NORMAL",#N/A,FALSE,"02"}</definedName>
    <definedName name="W" localSheetId="17" hidden="1">{"NORMAL",#N/A,FALSE,"02"}</definedName>
    <definedName name="W" localSheetId="20" hidden="1">{"NORMAL",#N/A,FALSE,"02"}</definedName>
    <definedName name="W" localSheetId="15" hidden="1">{"NORMAL",#N/A,FALSE,"02"}</definedName>
    <definedName name="W" localSheetId="14" hidden="1">{"NORMAL",#N/A,FALSE,"02"}</definedName>
    <definedName name="W" localSheetId="23" hidden="1">{"NORMAL",#N/A,FALSE,"02"}</definedName>
    <definedName name="W" hidden="1">{"NORMAL",#N/A,FALSE,"02"}</definedName>
    <definedName name="we" localSheetId="16">#REF!</definedName>
    <definedName name="we" localSheetId="21">#REF!</definedName>
    <definedName name="we" localSheetId="8">#REF!</definedName>
    <definedName name="we" localSheetId="6">#REF!</definedName>
    <definedName name="we" localSheetId="7">#REF!</definedName>
    <definedName name="we" localSheetId="3">#REF!</definedName>
    <definedName name="we" localSheetId="13">#REF!</definedName>
    <definedName name="we" localSheetId="22">#REF!</definedName>
    <definedName name="we" localSheetId="4">#REF!</definedName>
    <definedName name="we" localSheetId="0">#REF!</definedName>
    <definedName name="we" localSheetId="20">#REF!</definedName>
    <definedName name="we" localSheetId="10">#REF!</definedName>
    <definedName name="we" localSheetId="11">#REF!</definedName>
    <definedName name="we" localSheetId="9">#REF!</definedName>
    <definedName name="we" localSheetId="12">#REF!</definedName>
    <definedName name="we" localSheetId="15">#REF!</definedName>
    <definedName name="we" localSheetId="14">#REF!</definedName>
    <definedName name="we" localSheetId="1">#REF!</definedName>
    <definedName name="we" localSheetId="2">#REF!</definedName>
    <definedName name="we" localSheetId="5">#REF!</definedName>
    <definedName name="we">#REF!</definedName>
    <definedName name="wrn.02INFORME." localSheetId="16" hidden="1">{"NORMAL",#N/A,FALSE,"02"}</definedName>
    <definedName name="wrn.02INFORME." localSheetId="21" hidden="1">{"NORMAL",#N/A,FALSE,"02"}</definedName>
    <definedName name="wrn.02INFORME." localSheetId="6" hidden="1">{"NORMAL",#N/A,FALSE,"02"}</definedName>
    <definedName name="wrn.02INFORME." localSheetId="7" hidden="1">{"NORMAL",#N/A,FALSE,"02"}</definedName>
    <definedName name="wrn.02INFORME." localSheetId="17" hidden="1">{"NORMAL",#N/A,FALSE,"02"}</definedName>
    <definedName name="wrn.02INFORME." localSheetId="20" hidden="1">{"NORMAL",#N/A,FALSE,"02"}</definedName>
    <definedName name="wrn.02INFORME." localSheetId="15" hidden="1">{"NORMAL",#N/A,FALSE,"02"}</definedName>
    <definedName name="wrn.02INFORME." localSheetId="14" hidden="1">{"NORMAL",#N/A,FALSE,"02"}</definedName>
    <definedName name="wrn.02INFORME." localSheetId="23" hidden="1">{"NORMAL",#N/A,FALSE,"02"}</definedName>
    <definedName name="wrn.02INFORME." hidden="1">{"NORMAL",#N/A,FALSE,"02"}</definedName>
    <definedName name="wrn.DECIMAL." localSheetId="16" hidden="1">{"DECIMAL",#N/A,FALSE,"02"}</definedName>
    <definedName name="wrn.DECIMAL." localSheetId="21" hidden="1">{"DECIMAL",#N/A,FALSE,"02"}</definedName>
    <definedName name="wrn.DECIMAL." localSheetId="6" hidden="1">{"DECIMAL",#N/A,FALSE,"02"}</definedName>
    <definedName name="wrn.DECIMAL." localSheetId="7" hidden="1">{"DECIMAL",#N/A,FALSE,"02"}</definedName>
    <definedName name="wrn.DECIMAL." localSheetId="17" hidden="1">{"DECIMAL",#N/A,FALSE,"02"}</definedName>
    <definedName name="wrn.DECIMAL." localSheetId="20" hidden="1">{"DECIMAL",#N/A,FALSE,"02"}</definedName>
    <definedName name="wrn.DECIMAL." localSheetId="15" hidden="1">{"DECIMAL",#N/A,FALSE,"02"}</definedName>
    <definedName name="wrn.DECIMAL." localSheetId="14" hidden="1">{"DECIMAL",#N/A,FALSE,"02"}</definedName>
    <definedName name="wrn.DECIMAL." localSheetId="23" hidden="1">{"DECIMAL",#N/A,FALSE,"02"}</definedName>
    <definedName name="wrn.DECIMAL." hidden="1">{"DECIMAL",#N/A,FALSE,"02"}</definedName>
    <definedName name="wrn.Graficos._.CG." localSheetId="16" hidden="1">{#N/A,#N/A,TRUE,"Cert.Global";#N/A,#N/A,TRUE,"Cert. M&amp;C";#N/A,#N/A,TRUE,"Cert. Engineering";#N/A,#N/A,TRUE,"Cert. Procurement ";#N/A,#N/A,TRUE,"Cert. Constr. Manag."}</definedName>
    <definedName name="wrn.Graficos._.CG." localSheetId="21" hidden="1">{#N/A,#N/A,TRUE,"Cert.Global";#N/A,#N/A,TRUE,"Cert. M&amp;C";#N/A,#N/A,TRUE,"Cert. Engineering";#N/A,#N/A,TRUE,"Cert. Procurement ";#N/A,#N/A,TRUE,"Cert. Constr. Manag."}</definedName>
    <definedName name="wrn.Graficos._.CG." localSheetId="6" hidden="1">{#N/A,#N/A,TRUE,"Cert.Global";#N/A,#N/A,TRUE,"Cert. M&amp;C";#N/A,#N/A,TRUE,"Cert. Engineering";#N/A,#N/A,TRUE,"Cert. Procurement ";#N/A,#N/A,TRUE,"Cert. Constr. Manag."}</definedName>
    <definedName name="wrn.Graficos._.CG." localSheetId="7" hidden="1">{#N/A,#N/A,TRUE,"Cert.Global";#N/A,#N/A,TRUE,"Cert. M&amp;C";#N/A,#N/A,TRUE,"Cert. Engineering";#N/A,#N/A,TRUE,"Cert. Procurement ";#N/A,#N/A,TRUE,"Cert. Constr. Manag."}</definedName>
    <definedName name="wrn.Graficos._.CG." localSheetId="17" hidden="1">{#N/A,#N/A,TRUE,"Cert.Global";#N/A,#N/A,TRUE,"Cert. M&amp;C";#N/A,#N/A,TRUE,"Cert. Engineering";#N/A,#N/A,TRUE,"Cert. Procurement ";#N/A,#N/A,TRUE,"Cert. Constr. Manag."}</definedName>
    <definedName name="wrn.Graficos._.CG." localSheetId="20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14" hidden="1">{#N/A,#N/A,TRUE,"Cert.Global";#N/A,#N/A,TRUE,"Cert. M&amp;C";#N/A,#N/A,TRUE,"Cert. Engineering";#N/A,#N/A,TRUE,"Cert. Procurement ";#N/A,#N/A,TRUE,"Cert. Constr. Manag."}</definedName>
    <definedName name="wrn.Graficos._.CG." localSheetId="23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localSheetId="16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6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4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3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localSheetId="16" hidden="1">{#N/A,#N/A,FALSE,"Monthly report";#N/A,#N/A,FALSE,"M.R. UEM";#N/A,#N/A,FALSE,"M.R. VCM"}</definedName>
    <definedName name="wrn.Report._.Mensual." localSheetId="21" hidden="1">{#N/A,#N/A,FALSE,"Monthly report";#N/A,#N/A,FALSE,"M.R. UEM";#N/A,#N/A,FALSE,"M.R. VCM"}</definedName>
    <definedName name="wrn.Report._.Mensual." localSheetId="6" hidden="1">{#N/A,#N/A,FALSE,"Monthly report";#N/A,#N/A,FALSE,"M.R. UEM";#N/A,#N/A,FALSE,"M.R. VCM"}</definedName>
    <definedName name="wrn.Report._.Mensual." localSheetId="7" hidden="1">{#N/A,#N/A,FALSE,"Monthly report";#N/A,#N/A,FALSE,"M.R. UEM";#N/A,#N/A,FALSE,"M.R. VCM"}</definedName>
    <definedName name="wrn.Report._.Mensual." localSheetId="17" hidden="1">{#N/A,#N/A,FALSE,"Monthly report";#N/A,#N/A,FALSE,"M.R. UEM";#N/A,#N/A,FALSE,"M.R. VCM"}</definedName>
    <definedName name="wrn.Report._.Mensual." localSheetId="20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14" hidden="1">{#N/A,#N/A,FALSE,"Monthly report";#N/A,#N/A,FALSE,"M.R. UEM";#N/A,#N/A,FALSE,"M.R. VCM"}</definedName>
    <definedName name="wrn.Report._.Mensual." localSheetId="23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localSheetId="16" hidden="1">{"DECIMAL",#N/A,FALSE,"02"}</definedName>
    <definedName name="x" localSheetId="21" hidden="1">{"DECIMAL",#N/A,FALSE,"02"}</definedName>
    <definedName name="x" localSheetId="6" hidden="1">{"DECIMAL",#N/A,FALSE,"02"}</definedName>
    <definedName name="x" localSheetId="7" hidden="1">{"DECIMAL",#N/A,FALSE,"02"}</definedName>
    <definedName name="x" localSheetId="17" hidden="1">{"DECIMAL",#N/A,FALSE,"02"}</definedName>
    <definedName name="x" localSheetId="20" hidden="1">{"DECIMAL",#N/A,FALSE,"02"}</definedName>
    <definedName name="x" localSheetId="15" hidden="1">{"DECIMAL",#N/A,FALSE,"02"}</definedName>
    <definedName name="x" localSheetId="14" hidden="1">{"DECIMAL",#N/A,FALSE,"02"}</definedName>
    <definedName name="x" localSheetId="23" hidden="1">{"DECIMAL",#N/A,FALSE,"02"}</definedName>
    <definedName name="x" hidden="1">{"DECIMAL",#N/A,FALSE,"02"}</definedName>
    <definedName name="XXX" localSheetId="16" hidden="1">{"NORMAL",#N/A,FALSE,"02"}</definedName>
    <definedName name="XXX" localSheetId="21" hidden="1">{"NORMAL",#N/A,FALSE,"02"}</definedName>
    <definedName name="XXX" localSheetId="6" hidden="1">{"NORMAL",#N/A,FALSE,"02"}</definedName>
    <definedName name="XXX" localSheetId="7" hidden="1">{"NORMAL",#N/A,FALSE,"02"}</definedName>
    <definedName name="XXX" localSheetId="17" hidden="1">{"NORMAL",#N/A,FALSE,"02"}</definedName>
    <definedName name="xxx" localSheetId="20">#REF!</definedName>
    <definedName name="XXX" localSheetId="15" hidden="1">{"NORMAL",#N/A,FALSE,"02"}</definedName>
    <definedName name="XXX" localSheetId="14" hidden="1">{"NORMAL",#N/A,FALSE,"02"}</definedName>
    <definedName name="XXX" localSheetId="23" hidden="1">{"NORMAL",#N/A,FALSE,"02"}</definedName>
    <definedName name="XXX" hidden="1">{"NORMAL",#N/A,FALSE,"02"}</definedName>
    <definedName name="Y2000Target">#REF!</definedName>
    <definedName name="z" localSheetId="16">#REF!</definedName>
    <definedName name="z" localSheetId="20">#REF!</definedName>
    <definedName name="z">#REF!</definedName>
    <definedName name="Z_3EF0D3E3_8069_11D6_A032_005004A43871_.wvu.PrintTitles" localSheetId="16" hidden="1">#REF!</definedName>
    <definedName name="Z_3EF0D3E3_8069_11D6_A032_005004A43871_.wvu.PrintTitles" localSheetId="20" hidden="1">#REF!</definedName>
    <definedName name="Z_3EF0D3E3_8069_11D6_A032_005004A43871_.wvu.PrintTitles" hidden="1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3" l="1"/>
  <c r="H6" i="3"/>
  <c r="F90" i="43"/>
  <c r="E84" i="43"/>
  <c r="G49" i="40" l="1"/>
  <c r="K7" i="21" l="1"/>
  <c r="B856" i="48"/>
  <c r="B857" i="48" s="1"/>
  <c r="B858" i="48" s="1"/>
  <c r="B859" i="48" s="1"/>
  <c r="B860" i="48" s="1"/>
  <c r="B861" i="48" s="1"/>
  <c r="B862" i="48" s="1"/>
  <c r="B863" i="48" s="1"/>
  <c r="B864" i="48" s="1"/>
  <c r="B865" i="48" s="1"/>
  <c r="B866" i="48" s="1"/>
  <c r="B867" i="48" s="1"/>
  <c r="B868" i="48" s="1"/>
  <c r="B869" i="48" s="1"/>
  <c r="B870" i="48" s="1"/>
  <c r="B871" i="48" s="1"/>
  <c r="B872" i="48" s="1"/>
  <c r="B873" i="48" s="1"/>
  <c r="B874" i="48" s="1"/>
  <c r="B875" i="48" s="1"/>
  <c r="B876" i="48" s="1"/>
  <c r="B877" i="48" s="1"/>
  <c r="B878" i="48" s="1"/>
  <c r="B879" i="48" s="1"/>
  <c r="B880" i="48" s="1"/>
  <c r="B881" i="48" s="1"/>
  <c r="B882" i="48" s="1"/>
  <c r="B883" i="48" s="1"/>
  <c r="B884" i="48" s="1"/>
  <c r="B885" i="48" s="1"/>
  <c r="B886" i="48" s="1"/>
  <c r="B887" i="48" s="1"/>
  <c r="B888" i="48" s="1"/>
  <c r="B889" i="48" s="1"/>
  <c r="B890" i="48" s="1"/>
  <c r="B891" i="48" s="1"/>
  <c r="B892" i="48" s="1"/>
  <c r="B893" i="48" s="1"/>
  <c r="B894" i="48" s="1"/>
  <c r="B895" i="48" s="1"/>
  <c r="B896" i="48" s="1"/>
  <c r="B897" i="48" s="1"/>
  <c r="B898" i="48" s="1"/>
  <c r="B899" i="48" s="1"/>
  <c r="B900" i="48" s="1"/>
  <c r="B901" i="48" s="1"/>
  <c r="B902" i="48" s="1"/>
  <c r="B903" i="48" s="1"/>
  <c r="B904" i="48" s="1"/>
  <c r="B905" i="48" s="1"/>
  <c r="B906" i="48" s="1"/>
  <c r="B907" i="48" s="1"/>
  <c r="B908" i="48" s="1"/>
  <c r="B909" i="48" s="1"/>
  <c r="B910" i="48" s="1"/>
  <c r="B911" i="48" s="1"/>
  <c r="B912" i="48" s="1"/>
  <c r="B913" i="48" s="1"/>
  <c r="B914" i="48" s="1"/>
  <c r="B915" i="48" s="1"/>
  <c r="B916" i="48" s="1"/>
  <c r="B917" i="48" s="1"/>
  <c r="B918" i="48" s="1"/>
  <c r="B919" i="48" s="1"/>
  <c r="B920" i="48" s="1"/>
  <c r="B921" i="48" s="1"/>
  <c r="B922" i="48" s="1"/>
  <c r="B923" i="48" s="1"/>
  <c r="B924" i="48" s="1"/>
  <c r="B925" i="48" s="1"/>
  <c r="B926" i="48" s="1"/>
  <c r="B927" i="48" s="1"/>
  <c r="B928" i="48" s="1"/>
  <c r="B929" i="48" s="1"/>
  <c r="B930" i="48" s="1"/>
  <c r="B931" i="48" s="1"/>
  <c r="B932" i="48" s="1"/>
  <c r="B933" i="48" s="1"/>
  <c r="B934" i="48" s="1"/>
  <c r="B935" i="48" s="1"/>
  <c r="B936" i="48" s="1"/>
  <c r="B937" i="48" s="1"/>
  <c r="B938" i="48" s="1"/>
  <c r="B939" i="48" s="1"/>
  <c r="B940" i="48" s="1"/>
  <c r="B941" i="48" s="1"/>
  <c r="B942" i="48" s="1"/>
  <c r="B943" i="48" s="1"/>
  <c r="B944" i="48" s="1"/>
  <c r="B945" i="48" s="1"/>
  <c r="B946" i="48" s="1"/>
  <c r="B947" i="48" s="1"/>
  <c r="B948" i="48" s="1"/>
  <c r="B949" i="48" s="1"/>
  <c r="B950" i="48" s="1"/>
  <c r="B951" i="48" s="1"/>
  <c r="B952" i="48" s="1"/>
  <c r="B953" i="48" s="1"/>
  <c r="B954" i="48" s="1"/>
  <c r="B955" i="48" s="1"/>
  <c r="B956" i="48" s="1"/>
  <c r="B957" i="48" s="1"/>
  <c r="B958" i="48" s="1"/>
  <c r="B959" i="48" s="1"/>
  <c r="B960" i="48" s="1"/>
  <c r="B961" i="48" s="1"/>
  <c r="B962" i="48" s="1"/>
  <c r="B963" i="48" s="1"/>
  <c r="B964" i="48" s="1"/>
  <c r="B965" i="48" s="1"/>
  <c r="B966" i="48" s="1"/>
  <c r="B967" i="48" s="1"/>
  <c r="B968" i="48" s="1"/>
  <c r="B969" i="48" s="1"/>
  <c r="B970" i="48" s="1"/>
  <c r="B971" i="48" s="1"/>
  <c r="B972" i="48" s="1"/>
  <c r="B973" i="48" s="1"/>
  <c r="B974" i="48" s="1"/>
  <c r="B975" i="48" s="1"/>
  <c r="B976" i="48" s="1"/>
  <c r="B977" i="48" s="1"/>
  <c r="B978" i="48" s="1"/>
  <c r="B979" i="48" s="1"/>
  <c r="B980" i="48" s="1"/>
  <c r="B981" i="48" s="1"/>
  <c r="B982" i="48" s="1"/>
  <c r="B983" i="48" s="1"/>
  <c r="B984" i="48" s="1"/>
  <c r="B985" i="48" s="1"/>
  <c r="B986" i="48" s="1"/>
  <c r="B987" i="48" s="1"/>
  <c r="B988" i="48" s="1"/>
  <c r="B989" i="48" s="1"/>
  <c r="B990" i="48" s="1"/>
  <c r="B991" i="48" s="1"/>
  <c r="B992" i="48" s="1"/>
  <c r="B993" i="48" s="1"/>
  <c r="B994" i="48" s="1"/>
  <c r="B995" i="48" s="1"/>
  <c r="B996" i="48" s="1"/>
  <c r="B997" i="48" s="1"/>
  <c r="B998" i="48" s="1"/>
  <c r="B999" i="48" s="1"/>
  <c r="B1000" i="48" s="1"/>
  <c r="B1001" i="48" s="1"/>
  <c r="B1002" i="48" s="1"/>
  <c r="B1003" i="48" s="1"/>
  <c r="B1004" i="48" s="1"/>
  <c r="B1005" i="48" s="1"/>
  <c r="B1006" i="48" s="1"/>
  <c r="B1007" i="48" s="1"/>
  <c r="B1008" i="48" s="1"/>
  <c r="B1009" i="48" s="1"/>
  <c r="B1010" i="48" s="1"/>
  <c r="B1011" i="48" s="1"/>
  <c r="B1012" i="48" s="1"/>
  <c r="B1013" i="48" s="1"/>
  <c r="B1014" i="48" s="1"/>
  <c r="B1015" i="48" s="1"/>
  <c r="B1016" i="48" s="1"/>
  <c r="B1017" i="48" s="1"/>
  <c r="B1018" i="48" s="1"/>
  <c r="B1019" i="48" s="1"/>
  <c r="B1020" i="48" s="1"/>
  <c r="B1021" i="48" s="1"/>
  <c r="B1022" i="48" s="1"/>
  <c r="B1023" i="48" s="1"/>
  <c r="B1024" i="48" s="1"/>
  <c r="B1025" i="48" s="1"/>
  <c r="B1026" i="48" s="1"/>
  <c r="B1027" i="48" s="1"/>
  <c r="B1028" i="48" s="1"/>
  <c r="B1029" i="48" s="1"/>
  <c r="B1030" i="48" s="1"/>
  <c r="B1031" i="48" s="1"/>
  <c r="B1032" i="48" s="1"/>
  <c r="B1033" i="48" s="1"/>
  <c r="B1034" i="48" s="1"/>
  <c r="B1035" i="48" s="1"/>
  <c r="B1036" i="48" s="1"/>
  <c r="B1037" i="48" s="1"/>
  <c r="B1038" i="48" s="1"/>
  <c r="B1039" i="48" s="1"/>
  <c r="B1040" i="48" s="1"/>
  <c r="B1041" i="48" s="1"/>
  <c r="B1042" i="48" s="1"/>
  <c r="B1043" i="48" s="1"/>
  <c r="B1044" i="48" s="1"/>
  <c r="B1045" i="48" s="1"/>
  <c r="B1046" i="48" s="1"/>
  <c r="B1047" i="48" s="1"/>
  <c r="B1048" i="48" s="1"/>
  <c r="B1049" i="48" s="1"/>
  <c r="B1050" i="48" s="1"/>
  <c r="B1051" i="48" s="1"/>
  <c r="B1052" i="48" s="1"/>
  <c r="B1053" i="48" s="1"/>
  <c r="B1054" i="48" s="1"/>
  <c r="B1055" i="48" s="1"/>
  <c r="B1056" i="48" s="1"/>
  <c r="B1057" i="48" s="1"/>
  <c r="B1058" i="48" s="1"/>
  <c r="B1059" i="48" s="1"/>
  <c r="B1060" i="48" s="1"/>
  <c r="B1061" i="48" s="1"/>
  <c r="B1062" i="48" s="1"/>
  <c r="B1063" i="48" s="1"/>
  <c r="B1064" i="48" s="1"/>
  <c r="B1065" i="48" s="1"/>
  <c r="B1066" i="48" s="1"/>
  <c r="B1067" i="48" s="1"/>
  <c r="B1068" i="48" s="1"/>
  <c r="B1069" i="48" s="1"/>
  <c r="B1070" i="48" s="1"/>
  <c r="B1071" i="48" s="1"/>
  <c r="B1072" i="48" s="1"/>
  <c r="B1073" i="48" s="1"/>
  <c r="B1074" i="48" s="1"/>
  <c r="B1075" i="48" s="1"/>
  <c r="B1076" i="48" s="1"/>
  <c r="B1077" i="48" s="1"/>
  <c r="B1078" i="48" s="1"/>
  <c r="B1079" i="48" s="1"/>
  <c r="B1080" i="48" s="1"/>
  <c r="B1081" i="48" s="1"/>
  <c r="B1082" i="48" s="1"/>
  <c r="B1083" i="48" s="1"/>
  <c r="B1084" i="48" s="1"/>
  <c r="B1085" i="48" s="1"/>
  <c r="B1086" i="48" s="1"/>
  <c r="B1087" i="48" s="1"/>
  <c r="B1088" i="48" s="1"/>
  <c r="B1089" i="48" s="1"/>
  <c r="B1090" i="48" s="1"/>
  <c r="B1091" i="48" s="1"/>
  <c r="B1092" i="48" s="1"/>
  <c r="B1093" i="48" s="1"/>
  <c r="B1094" i="48" s="1"/>
  <c r="B1095" i="48" s="1"/>
  <c r="AA35" i="1"/>
  <c r="P212" i="42"/>
  <c r="P211" i="42"/>
  <c r="P210" i="42"/>
  <c r="P209" i="42"/>
  <c r="P207" i="42"/>
  <c r="P205" i="42"/>
  <c r="P204" i="42"/>
  <c r="P202" i="42"/>
  <c r="P200" i="42"/>
  <c r="F53" i="41" l="1"/>
  <c r="F52" i="41"/>
  <c r="F51" i="41"/>
  <c r="F50" i="41"/>
  <c r="P53" i="41"/>
  <c r="R53" i="41"/>
  <c r="P52" i="41"/>
  <c r="P51" i="41"/>
  <c r="P50" i="41"/>
  <c r="Z49" i="41"/>
  <c r="Q50" i="41" l="1"/>
  <c r="L49" i="41"/>
  <c r="S50" i="41"/>
  <c r="R50" i="41"/>
  <c r="R54" i="41" s="1"/>
  <c r="S51" i="41"/>
  <c r="R51" i="41"/>
  <c r="Q51" i="41"/>
  <c r="Q52" i="41"/>
  <c r="S52" i="41"/>
  <c r="R52" i="41"/>
  <c r="S53" i="41"/>
  <c r="Q53" i="41"/>
  <c r="Q54" i="41" l="1"/>
  <c r="S54" i="41"/>
  <c r="R55" i="41"/>
  <c r="Z54" i="41"/>
  <c r="L54" i="41"/>
  <c r="S55" i="41" l="1"/>
  <c r="Z50" i="41"/>
  <c r="Z52" i="41" s="1"/>
  <c r="E36" i="39" l="1"/>
  <c r="D36" i="39"/>
  <c r="R36" i="39" s="1"/>
  <c r="R19" i="31"/>
  <c r="R9" i="31"/>
  <c r="S9" i="31"/>
  <c r="Q20" i="47"/>
  <c r="R20" i="47"/>
  <c r="U20" i="47" s="1"/>
  <c r="S20" i="47"/>
  <c r="T20" i="47"/>
  <c r="Q21" i="47"/>
  <c r="R21" i="47"/>
  <c r="S21" i="47"/>
  <c r="U21" i="47" s="1"/>
  <c r="T21" i="47"/>
  <c r="L20" i="47"/>
  <c r="M20" i="47" s="1"/>
  <c r="L21" i="47"/>
  <c r="M21" i="47" s="1"/>
  <c r="I20" i="47"/>
  <c r="J20" i="47"/>
  <c r="K20" i="47"/>
  <c r="I21" i="47"/>
  <c r="J21" i="47"/>
  <c r="K21" i="47"/>
  <c r="H21" i="47"/>
  <c r="H20" i="47"/>
  <c r="D21" i="47"/>
  <c r="Q36" i="39"/>
  <c r="S36" i="39"/>
  <c r="T36" i="39"/>
  <c r="Q37" i="39"/>
  <c r="R37" i="39"/>
  <c r="S37" i="39"/>
  <c r="U37" i="39" s="1"/>
  <c r="T37" i="39"/>
  <c r="I37" i="39"/>
  <c r="J37" i="39"/>
  <c r="K37" i="39"/>
  <c r="H37" i="39"/>
  <c r="E37" i="39"/>
  <c r="D37" i="39"/>
  <c r="L36" i="39"/>
  <c r="M36" i="39" s="1"/>
  <c r="R17" i="31" s="1"/>
  <c r="L37" i="39"/>
  <c r="M37" i="39" s="1"/>
  <c r="I36" i="39"/>
  <c r="J36" i="39"/>
  <c r="K36" i="39"/>
  <c r="H36" i="39"/>
  <c r="F46" i="46"/>
  <c r="Q45" i="46"/>
  <c r="R45" i="46"/>
  <c r="U45" i="46" s="1"/>
  <c r="S45" i="46"/>
  <c r="T45" i="46"/>
  <c r="Q46" i="46"/>
  <c r="R46" i="46"/>
  <c r="S46" i="46"/>
  <c r="T46" i="46"/>
  <c r="L45" i="46"/>
  <c r="M45" i="46"/>
  <c r="I45" i="46"/>
  <c r="J45" i="46"/>
  <c r="K45" i="46"/>
  <c r="I46" i="46"/>
  <c r="J46" i="46"/>
  <c r="K46" i="46"/>
  <c r="H46" i="46"/>
  <c r="H45" i="46"/>
  <c r="E45" i="46"/>
  <c r="D19" i="25"/>
  <c r="D18" i="25"/>
  <c r="D20" i="25"/>
  <c r="T9" i="30"/>
  <c r="T10" i="30" s="1"/>
  <c r="T7" i="30"/>
  <c r="T8" i="30" s="1"/>
  <c r="T9" i="21"/>
  <c r="T10" i="21" s="1"/>
  <c r="T7" i="21"/>
  <c r="T8" i="21" s="1"/>
  <c r="T13" i="30"/>
  <c r="T14" i="1" s="1"/>
  <c r="T14" i="30"/>
  <c r="T13" i="1" s="1"/>
  <c r="T15" i="30"/>
  <c r="T15" i="1" s="1"/>
  <c r="T16" i="30"/>
  <c r="T21" i="1" s="1"/>
  <c r="T17" i="30"/>
  <c r="T22" i="1" s="1"/>
  <c r="T18" i="30"/>
  <c r="T23" i="1" s="1"/>
  <c r="T20" i="30"/>
  <c r="T25" i="1" s="1"/>
  <c r="T21" i="30"/>
  <c r="T26" i="1" s="1"/>
  <c r="T22" i="30"/>
  <c r="T27" i="1" s="1"/>
  <c r="T23" i="30"/>
  <c r="T28" i="1" s="1"/>
  <c r="T24" i="30"/>
  <c r="T29" i="1" s="1"/>
  <c r="T25" i="30"/>
  <c r="T30" i="1" s="1"/>
  <c r="T26" i="30"/>
  <c r="T31" i="1" s="1"/>
  <c r="T27" i="30"/>
  <c r="T32" i="1" s="1"/>
  <c r="T28" i="30"/>
  <c r="T32" i="30"/>
  <c r="T38" i="1" s="1"/>
  <c r="T33" i="30"/>
  <c r="T39" i="1" s="1"/>
  <c r="T13" i="21"/>
  <c r="T14" i="21"/>
  <c r="T17" i="1" s="1"/>
  <c r="T15" i="21"/>
  <c r="T18" i="1" s="1"/>
  <c r="T16" i="21"/>
  <c r="T19" i="1" s="1"/>
  <c r="T17" i="21"/>
  <c r="T20" i="1" s="1"/>
  <c r="T18" i="21"/>
  <c r="T19" i="21"/>
  <c r="T34" i="1" s="1"/>
  <c r="T23" i="21"/>
  <c r="T25" i="21" s="1"/>
  <c r="T24" i="21"/>
  <c r="S12" i="5"/>
  <c r="S28" i="5"/>
  <c r="S34" i="5"/>
  <c r="S40" i="31"/>
  <c r="S46" i="31"/>
  <c r="H76" i="43"/>
  <c r="K76" i="43" s="1"/>
  <c r="G75" i="43"/>
  <c r="H75" i="43" s="1"/>
  <c r="F75" i="43"/>
  <c r="F76" i="43"/>
  <c r="E75" i="43"/>
  <c r="E76" i="43"/>
  <c r="H65" i="43"/>
  <c r="K65" i="43" s="1"/>
  <c r="C20" i="25"/>
  <c r="T7" i="1" l="1"/>
  <c r="T8" i="1" s="1"/>
  <c r="T9" i="1"/>
  <c r="T10" i="1" s="1"/>
  <c r="T20" i="21"/>
  <c r="T27" i="21" s="1"/>
  <c r="T29" i="21" s="1"/>
  <c r="T33" i="1"/>
  <c r="T16" i="1"/>
  <c r="T40" i="1"/>
  <c r="T34" i="30"/>
  <c r="U36" i="39"/>
  <c r="U46" i="46"/>
  <c r="L46" i="46"/>
  <c r="M46" i="46" s="1"/>
  <c r="C101" i="3"/>
  <c r="R11" i="31" s="1"/>
  <c r="C103" i="3"/>
  <c r="S11" i="31" s="1"/>
  <c r="T19" i="30" s="1"/>
  <c r="T24" i="1" s="1"/>
  <c r="T35" i="1" s="1"/>
  <c r="T42" i="1" s="1"/>
  <c r="T44" i="1" l="1"/>
  <c r="T47" i="1" s="1"/>
  <c r="S23" i="31"/>
  <c r="T29" i="30"/>
  <c r="T36" i="30"/>
  <c r="T38" i="30" s="1"/>
  <c r="H36" i="10"/>
  <c r="F73" i="43"/>
  <c r="E73" i="43"/>
  <c r="F72" i="43"/>
  <c r="E72" i="43"/>
  <c r="F70" i="43"/>
  <c r="E70" i="43"/>
  <c r="F69" i="43"/>
  <c r="E69" i="43"/>
  <c r="F67" i="43" l="1"/>
  <c r="E67" i="43"/>
  <c r="F66" i="43"/>
  <c r="E66" i="43"/>
  <c r="S9" i="21" l="1"/>
  <c r="S10" i="21" s="1"/>
  <c r="S7" i="21"/>
  <c r="S8" i="21" s="1"/>
  <c r="R23" i="31"/>
  <c r="R40" i="31"/>
  <c r="S32" i="30" s="1"/>
  <c r="R46" i="31"/>
  <c r="R12" i="5"/>
  <c r="R28" i="5"/>
  <c r="R34" i="5"/>
  <c r="S9" i="30"/>
  <c r="S10" i="30" s="1"/>
  <c r="S7" i="30"/>
  <c r="S8" i="30" s="1"/>
  <c r="S13" i="30"/>
  <c r="S14" i="1" s="1"/>
  <c r="S14" i="30"/>
  <c r="S13" i="1" s="1"/>
  <c r="S15" i="30"/>
  <c r="S15" i="1" s="1"/>
  <c r="S16" i="30"/>
  <c r="S21" i="1" s="1"/>
  <c r="S17" i="30"/>
  <c r="S22" i="1" s="1"/>
  <c r="S18" i="30"/>
  <c r="S23" i="1" s="1"/>
  <c r="S19" i="30"/>
  <c r="S24" i="1" s="1"/>
  <c r="S20" i="30"/>
  <c r="S25" i="1" s="1"/>
  <c r="S21" i="30"/>
  <c r="S26" i="1" s="1"/>
  <c r="S22" i="30"/>
  <c r="S27" i="1" s="1"/>
  <c r="S23" i="30"/>
  <c r="S28" i="1" s="1"/>
  <c r="S24" i="30"/>
  <c r="S29" i="1" s="1"/>
  <c r="S25" i="30"/>
  <c r="S30" i="1" s="1"/>
  <c r="S26" i="30"/>
  <c r="S31" i="1" s="1"/>
  <c r="S27" i="30"/>
  <c r="S32" i="1" s="1"/>
  <c r="S28" i="30"/>
  <c r="S33" i="30"/>
  <c r="S13" i="21"/>
  <c r="S16" i="1" s="1"/>
  <c r="S14" i="21"/>
  <c r="S15" i="21"/>
  <c r="S16" i="21"/>
  <c r="S17" i="21"/>
  <c r="S18" i="21"/>
  <c r="S19" i="21"/>
  <c r="S34" i="1" s="1"/>
  <c r="S23" i="21"/>
  <c r="S24" i="21"/>
  <c r="T19" i="47"/>
  <c r="S19" i="47"/>
  <c r="R19" i="47"/>
  <c r="Q19" i="47"/>
  <c r="T18" i="47"/>
  <c r="S18" i="47"/>
  <c r="R18" i="47"/>
  <c r="Q18" i="47"/>
  <c r="T35" i="39"/>
  <c r="S35" i="39"/>
  <c r="R35" i="39"/>
  <c r="Q35" i="39"/>
  <c r="T34" i="39"/>
  <c r="S34" i="39"/>
  <c r="R34" i="39"/>
  <c r="Q34" i="39"/>
  <c r="T44" i="46"/>
  <c r="S44" i="46"/>
  <c r="R44" i="46"/>
  <c r="Q44" i="46"/>
  <c r="T43" i="46"/>
  <c r="S43" i="46"/>
  <c r="R43" i="46"/>
  <c r="Q43" i="46"/>
  <c r="I19" i="47"/>
  <c r="J19" i="47"/>
  <c r="K19" i="47"/>
  <c r="H19" i="47"/>
  <c r="I35" i="39"/>
  <c r="J35" i="39"/>
  <c r="K35" i="39"/>
  <c r="H35" i="39"/>
  <c r="I44" i="46"/>
  <c r="J44" i="46"/>
  <c r="K44" i="46"/>
  <c r="H44" i="46"/>
  <c r="H43" i="46"/>
  <c r="I34" i="39"/>
  <c r="J34" i="39"/>
  <c r="K34" i="39"/>
  <c r="H34" i="39"/>
  <c r="I18" i="47"/>
  <c r="J18" i="47"/>
  <c r="K18" i="47"/>
  <c r="H18" i="47"/>
  <c r="I43" i="46"/>
  <c r="J43" i="46"/>
  <c r="K43" i="46"/>
  <c r="H73" i="43"/>
  <c r="K73" i="43" s="1"/>
  <c r="G72" i="43"/>
  <c r="H72" i="43" s="1"/>
  <c r="L18" i="47" l="1"/>
  <c r="M18" i="47" s="1"/>
  <c r="L34" i="39"/>
  <c r="M34" i="39" s="1"/>
  <c r="U34" i="39"/>
  <c r="L35" i="39"/>
  <c r="M35" i="39" s="1"/>
  <c r="L44" i="46"/>
  <c r="M44" i="46" s="1"/>
  <c r="U43" i="46"/>
  <c r="U44" i="46"/>
  <c r="L19" i="47"/>
  <c r="M19" i="47" s="1"/>
  <c r="U18" i="47"/>
  <c r="U19" i="47"/>
  <c r="Q17" i="31"/>
  <c r="U35" i="39"/>
  <c r="L43" i="46"/>
  <c r="M43" i="46" s="1"/>
  <c r="Q9" i="31" s="1"/>
  <c r="S39" i="1"/>
  <c r="S34" i="30"/>
  <c r="S38" i="1"/>
  <c r="S20" i="1"/>
  <c r="S17" i="1"/>
  <c r="S19" i="1"/>
  <c r="S18" i="1"/>
  <c r="S29" i="30"/>
  <c r="S33" i="1"/>
  <c r="S25" i="21"/>
  <c r="S20" i="21"/>
  <c r="S9" i="1"/>
  <c r="S10" i="1" s="1"/>
  <c r="S7" i="1"/>
  <c r="S8" i="1" s="1"/>
  <c r="Q19" i="31" l="1"/>
  <c r="S36" i="30"/>
  <c r="S38" i="30" s="1"/>
  <c r="S35" i="1"/>
  <c r="S27" i="21"/>
  <c r="S29" i="21" s="1"/>
  <c r="Q12" i="5" l="1"/>
  <c r="Q28" i="5"/>
  <c r="Q34" i="5"/>
  <c r="E121" i="3" l="1"/>
  <c r="D121" i="3"/>
  <c r="C121" i="3"/>
  <c r="E108" i="3"/>
  <c r="D108" i="3"/>
  <c r="C108" i="3"/>
  <c r="R24" i="21"/>
  <c r="R23" i="21"/>
  <c r="R9" i="30"/>
  <c r="R10" i="30" s="1"/>
  <c r="R7" i="30"/>
  <c r="R8" i="30" s="1"/>
  <c r="R9" i="21"/>
  <c r="R10" i="21" s="1"/>
  <c r="R7" i="21"/>
  <c r="R8" i="21" s="1"/>
  <c r="D17" i="25"/>
  <c r="R13" i="30"/>
  <c r="R14" i="30"/>
  <c r="R15" i="30"/>
  <c r="R15" i="1" s="1"/>
  <c r="R16" i="30"/>
  <c r="R21" i="1" s="1"/>
  <c r="R17" i="30"/>
  <c r="R22" i="1" s="1"/>
  <c r="R18" i="30"/>
  <c r="R23" i="1" s="1"/>
  <c r="R19" i="30"/>
  <c r="R24" i="1" s="1"/>
  <c r="R20" i="30"/>
  <c r="R25" i="1" s="1"/>
  <c r="R21" i="30"/>
  <c r="R26" i="1" s="1"/>
  <c r="R22" i="30"/>
  <c r="R27" i="1" s="1"/>
  <c r="R23" i="30"/>
  <c r="R28" i="1" s="1"/>
  <c r="R24" i="30"/>
  <c r="R29" i="1" s="1"/>
  <c r="R25" i="30"/>
  <c r="R30" i="1" s="1"/>
  <c r="R26" i="30"/>
  <c r="R31" i="1" s="1"/>
  <c r="R27" i="30"/>
  <c r="R32" i="1" s="1"/>
  <c r="R28" i="30"/>
  <c r="R13" i="21"/>
  <c r="R16" i="1" s="1"/>
  <c r="R14" i="21"/>
  <c r="R17" i="1" s="1"/>
  <c r="R15" i="21"/>
  <c r="R18" i="1" s="1"/>
  <c r="R16" i="21"/>
  <c r="R19" i="1" s="1"/>
  <c r="R17" i="21"/>
  <c r="R20" i="1" s="1"/>
  <c r="R18" i="21"/>
  <c r="R19" i="21"/>
  <c r="R34" i="1" s="1"/>
  <c r="Q23" i="31"/>
  <c r="Q40" i="31"/>
  <c r="R32" i="30" s="1"/>
  <c r="Q46" i="31"/>
  <c r="R33" i="30" s="1"/>
  <c r="R39" i="1" s="1"/>
  <c r="Q41" i="46"/>
  <c r="R41" i="46"/>
  <c r="S41" i="46"/>
  <c r="T41" i="46"/>
  <c r="Q42" i="46"/>
  <c r="R42" i="46"/>
  <c r="S42" i="46"/>
  <c r="T42" i="46"/>
  <c r="Q16" i="47"/>
  <c r="R16" i="47"/>
  <c r="S16" i="47"/>
  <c r="T16" i="47"/>
  <c r="Q17" i="47"/>
  <c r="R17" i="47"/>
  <c r="S17" i="47"/>
  <c r="T17" i="47"/>
  <c r="Q32" i="39"/>
  <c r="R32" i="39"/>
  <c r="S32" i="39"/>
  <c r="T32" i="39"/>
  <c r="Q33" i="39"/>
  <c r="R33" i="39"/>
  <c r="S33" i="39"/>
  <c r="T33" i="39"/>
  <c r="I42" i="46"/>
  <c r="J42" i="46"/>
  <c r="K42" i="46"/>
  <c r="H42" i="46"/>
  <c r="I33" i="39"/>
  <c r="J33" i="39"/>
  <c r="K33" i="39"/>
  <c r="H33" i="39"/>
  <c r="I17" i="47"/>
  <c r="J17" i="47"/>
  <c r="K17" i="47"/>
  <c r="H17" i="47"/>
  <c r="I16" i="47"/>
  <c r="J16" i="47"/>
  <c r="K16" i="47"/>
  <c r="H16" i="47"/>
  <c r="I32" i="39"/>
  <c r="J32" i="39"/>
  <c r="K32" i="39"/>
  <c r="H32" i="39"/>
  <c r="I41" i="46"/>
  <c r="J41" i="46"/>
  <c r="K41" i="46"/>
  <c r="H41" i="46"/>
  <c r="F108" i="3" l="1"/>
  <c r="L33" i="39"/>
  <c r="M33" i="39" s="1"/>
  <c r="U33" i="39"/>
  <c r="R38" i="1"/>
  <c r="R40" i="1" s="1"/>
  <c r="R14" i="1"/>
  <c r="R33" i="1"/>
  <c r="R13" i="1"/>
  <c r="R34" i="30"/>
  <c r="F121" i="3"/>
  <c r="L16" i="47"/>
  <c r="M16" i="47" s="1"/>
  <c r="L17" i="47"/>
  <c r="M17" i="47" s="1"/>
  <c r="L32" i="39"/>
  <c r="M32" i="39" s="1"/>
  <c r="U16" i="47"/>
  <c r="U17" i="47"/>
  <c r="U32" i="39"/>
  <c r="U42" i="46"/>
  <c r="L41" i="46"/>
  <c r="M41" i="46" s="1"/>
  <c r="L42" i="46"/>
  <c r="M42" i="46" s="1"/>
  <c r="P9" i="31" s="1"/>
  <c r="U41" i="46"/>
  <c r="R20" i="21"/>
  <c r="R29" i="30"/>
  <c r="R25" i="21"/>
  <c r="R9" i="1"/>
  <c r="R10" i="1" s="1"/>
  <c r="R7" i="1"/>
  <c r="R8" i="1" s="1"/>
  <c r="M32" i="10"/>
  <c r="P17" i="31" l="1"/>
  <c r="R27" i="21"/>
  <c r="R29" i="21" s="1"/>
  <c r="P19" i="31"/>
  <c r="R36" i="30"/>
  <c r="R38" i="30" s="1"/>
  <c r="H70" i="43" l="1"/>
  <c r="K70" i="43" s="1"/>
  <c r="G69" i="43"/>
  <c r="H69" i="43" s="1"/>
  <c r="H35" i="10" l="1"/>
  <c r="H34" i="10"/>
  <c r="H33" i="10" l="1"/>
  <c r="H32" i="10"/>
  <c r="H31" i="10"/>
  <c r="H30" i="10"/>
  <c r="E94" i="43" l="1"/>
  <c r="F94" i="43" s="1"/>
  <c r="H63" i="43"/>
  <c r="K63" i="43" s="1"/>
  <c r="H57" i="43"/>
  <c r="K57" i="43" s="1"/>
  <c r="H51" i="43"/>
  <c r="K51" i="43" s="1"/>
  <c r="H45" i="43"/>
  <c r="K45" i="43" s="1"/>
  <c r="F48" i="43" l="1"/>
  <c r="E48" i="43"/>
  <c r="F47" i="43"/>
  <c r="E47" i="43"/>
  <c r="H67" i="43" l="1"/>
  <c r="K67" i="43" s="1"/>
  <c r="G66" i="43"/>
  <c r="H66" i="43" s="1"/>
  <c r="F62" i="43"/>
  <c r="E62" i="43"/>
  <c r="F61" i="43"/>
  <c r="E61" i="43"/>
  <c r="F60" i="43"/>
  <c r="E60" i="43"/>
  <c r="F59" i="43"/>
  <c r="E59" i="43"/>
  <c r="F56" i="43"/>
  <c r="E56" i="43"/>
  <c r="F55" i="43"/>
  <c r="E55" i="43"/>
  <c r="F54" i="43"/>
  <c r="E54" i="43"/>
  <c r="F53" i="43"/>
  <c r="E53" i="43"/>
  <c r="F50" i="43"/>
  <c r="E50" i="43"/>
  <c r="F49" i="43"/>
  <c r="E49" i="43"/>
  <c r="R31" i="39" l="1"/>
  <c r="S31" i="39"/>
  <c r="T31" i="39"/>
  <c r="Q31" i="39"/>
  <c r="R30" i="39"/>
  <c r="T30" i="39"/>
  <c r="Q30" i="39"/>
  <c r="D15" i="47"/>
  <c r="R15" i="47" s="1"/>
  <c r="Q40" i="46"/>
  <c r="S40" i="46"/>
  <c r="F40" i="46"/>
  <c r="T40" i="46" s="1"/>
  <c r="D40" i="46"/>
  <c r="I40" i="46" s="1"/>
  <c r="Q14" i="47"/>
  <c r="S14" i="47"/>
  <c r="R14" i="47"/>
  <c r="T14" i="47" s="1"/>
  <c r="Q15" i="47"/>
  <c r="S15" i="47"/>
  <c r="T15" i="47"/>
  <c r="I13" i="47"/>
  <c r="J13" i="47"/>
  <c r="K13" i="47"/>
  <c r="L13" i="47"/>
  <c r="H13" i="47"/>
  <c r="I14" i="47"/>
  <c r="J14" i="47"/>
  <c r="K14" i="47"/>
  <c r="J15" i="47"/>
  <c r="K15" i="47"/>
  <c r="H14" i="47"/>
  <c r="H15" i="47"/>
  <c r="E30" i="39"/>
  <c r="J30" i="39" s="1"/>
  <c r="K31" i="39"/>
  <c r="J31" i="39"/>
  <c r="I31" i="39"/>
  <c r="H31" i="39"/>
  <c r="K30" i="39"/>
  <c r="I30" i="39"/>
  <c r="H30" i="39"/>
  <c r="J40" i="46"/>
  <c r="H40" i="46"/>
  <c r="H20" i="46"/>
  <c r="I20" i="46"/>
  <c r="J20" i="46"/>
  <c r="K20" i="46"/>
  <c r="Q20" i="46"/>
  <c r="R20" i="46"/>
  <c r="S20" i="46"/>
  <c r="T20" i="46"/>
  <c r="I15" i="47" l="1"/>
  <c r="L15" i="47" s="1"/>
  <c r="M15" i="47" s="1"/>
  <c r="L14" i="47"/>
  <c r="M14" i="47" s="1"/>
  <c r="K40" i="46"/>
  <c r="L40" i="46" s="1"/>
  <c r="M40" i="46" s="1"/>
  <c r="U31" i="39"/>
  <c r="U14" i="47"/>
  <c r="U15" i="47"/>
  <c r="S30" i="39"/>
  <c r="U30" i="39" s="1"/>
  <c r="R40" i="46"/>
  <c r="U40" i="46" s="1"/>
  <c r="L31" i="39"/>
  <c r="M31" i="39" s="1"/>
  <c r="L30" i="39"/>
  <c r="M30" i="39" s="1"/>
  <c r="O17" i="31" s="1"/>
  <c r="U20" i="46"/>
  <c r="L20" i="46"/>
  <c r="M20" i="46" s="1"/>
  <c r="O19" i="31" l="1"/>
  <c r="F39" i="46"/>
  <c r="E39" i="46"/>
  <c r="D39" i="46"/>
  <c r="C39" i="46"/>
  <c r="Q9" i="21"/>
  <c r="Q10" i="21" s="1"/>
  <c r="Q7" i="21"/>
  <c r="Q8" i="21" s="1"/>
  <c r="P12" i="5"/>
  <c r="P28" i="5"/>
  <c r="P34" i="5"/>
  <c r="Q13" i="21"/>
  <c r="Q14" i="21"/>
  <c r="Q15" i="21"/>
  <c r="Q16" i="21"/>
  <c r="Q17" i="21"/>
  <c r="Q18" i="21"/>
  <c r="Q19" i="21"/>
  <c r="Q34" i="1" l="1"/>
  <c r="Q17" i="1"/>
  <c r="R39" i="46"/>
  <c r="I39" i="46"/>
  <c r="T39" i="46"/>
  <c r="K39" i="46"/>
  <c r="Q39" i="46"/>
  <c r="H39" i="46"/>
  <c r="J39" i="46"/>
  <c r="S39" i="46"/>
  <c r="Q20" i="1"/>
  <c r="Q16" i="1"/>
  <c r="Q19" i="1"/>
  <c r="Q18" i="1"/>
  <c r="Q20" i="21"/>
  <c r="P23" i="31"/>
  <c r="P40" i="31"/>
  <c r="P46" i="31"/>
  <c r="Q9" i="30"/>
  <c r="Q10" i="30" s="1"/>
  <c r="P9" i="30"/>
  <c r="P10" i="30" s="1"/>
  <c r="Q7" i="30"/>
  <c r="P7" i="30"/>
  <c r="P8" i="30" s="1"/>
  <c r="P13" i="30"/>
  <c r="P14" i="1" s="1"/>
  <c r="Q13" i="30"/>
  <c r="P14" i="30"/>
  <c r="P13" i="1" s="1"/>
  <c r="Q14" i="30"/>
  <c r="P15" i="30"/>
  <c r="P15" i="1" s="1"/>
  <c r="Q15" i="30"/>
  <c r="P16" i="30"/>
  <c r="P21" i="1" s="1"/>
  <c r="Q16" i="30"/>
  <c r="Q17" i="30"/>
  <c r="P18" i="30"/>
  <c r="P23" i="1" s="1"/>
  <c r="Q18" i="30"/>
  <c r="P19" i="30"/>
  <c r="P24" i="1" s="1"/>
  <c r="Q19" i="30"/>
  <c r="P20" i="30"/>
  <c r="P25" i="1" s="1"/>
  <c r="Q20" i="30"/>
  <c r="P21" i="30"/>
  <c r="P26" i="1" s="1"/>
  <c r="Q21" i="30"/>
  <c r="P22" i="30"/>
  <c r="P27" i="1" s="1"/>
  <c r="Q22" i="30"/>
  <c r="P23" i="30"/>
  <c r="P28" i="1" s="1"/>
  <c r="Q23" i="30"/>
  <c r="P24" i="30"/>
  <c r="P29" i="1" s="1"/>
  <c r="Q24" i="30"/>
  <c r="P25" i="30"/>
  <c r="P30" i="1" s="1"/>
  <c r="Q25" i="30"/>
  <c r="P26" i="30"/>
  <c r="P31" i="1" s="1"/>
  <c r="Q26" i="30"/>
  <c r="P27" i="30"/>
  <c r="P32" i="1" s="1"/>
  <c r="Q27" i="30"/>
  <c r="P28" i="30"/>
  <c r="Q28" i="30"/>
  <c r="Q32" i="30"/>
  <c r="Q33" i="30"/>
  <c r="P9" i="21"/>
  <c r="P10" i="21" s="1"/>
  <c r="P7" i="21"/>
  <c r="P8" i="21" s="1"/>
  <c r="P13" i="21"/>
  <c r="P16" i="1" s="1"/>
  <c r="P14" i="21"/>
  <c r="P15" i="21"/>
  <c r="P18" i="1" s="1"/>
  <c r="P16" i="21"/>
  <c r="P19" i="1" s="1"/>
  <c r="P17" i="21"/>
  <c r="P20" i="1" s="1"/>
  <c r="P18" i="21"/>
  <c r="P19" i="21"/>
  <c r="P34" i="1" s="1"/>
  <c r="D16" i="25"/>
  <c r="H29" i="39"/>
  <c r="K29" i="39"/>
  <c r="H38" i="46"/>
  <c r="I38" i="46"/>
  <c r="J38" i="46"/>
  <c r="F38" i="46"/>
  <c r="T38" i="46" s="1"/>
  <c r="S38" i="46"/>
  <c r="R38" i="46"/>
  <c r="Q38" i="46"/>
  <c r="Q37" i="46"/>
  <c r="R37" i="46"/>
  <c r="S37" i="46"/>
  <c r="I37" i="46"/>
  <c r="J37" i="46"/>
  <c r="H37" i="46"/>
  <c r="Q33" i="1" l="1"/>
  <c r="P33" i="1"/>
  <c r="Q14" i="1"/>
  <c r="Q21" i="1"/>
  <c r="Q13" i="1"/>
  <c r="Q31" i="1"/>
  <c r="Q29" i="1"/>
  <c r="Q27" i="1"/>
  <c r="Q25" i="1"/>
  <c r="Q23" i="1"/>
  <c r="Q15" i="1"/>
  <c r="Q32" i="1"/>
  <c r="Q30" i="1"/>
  <c r="Q28" i="1"/>
  <c r="Q26" i="1"/>
  <c r="Q24" i="1"/>
  <c r="Q22" i="1"/>
  <c r="L39" i="46"/>
  <c r="M39" i="46" s="1"/>
  <c r="O9" i="31" s="1"/>
  <c r="P17" i="30" s="1"/>
  <c r="P22" i="1" s="1"/>
  <c r="U39" i="46"/>
  <c r="P17" i="1"/>
  <c r="Q9" i="1"/>
  <c r="Q10" i="1" s="1"/>
  <c r="Q8" i="30"/>
  <c r="Q7" i="1"/>
  <c r="Q8" i="1" s="1"/>
  <c r="U38" i="46"/>
  <c r="K38" i="46"/>
  <c r="L38" i="46" s="1"/>
  <c r="M38" i="46" s="1"/>
  <c r="Q34" i="30"/>
  <c r="Q29" i="30"/>
  <c r="P20" i="21"/>
  <c r="P7" i="1"/>
  <c r="P8" i="1" s="1"/>
  <c r="P9" i="1"/>
  <c r="P10" i="1" s="1"/>
  <c r="R35" i="1" l="1"/>
  <c r="R42" i="1" s="1"/>
  <c r="R44" i="1" s="1"/>
  <c r="R47" i="1" s="1"/>
  <c r="P29" i="30"/>
  <c r="Q36" i="30"/>
  <c r="Q38" i="30" s="1"/>
  <c r="F37" i="46"/>
  <c r="K37" i="46" l="1"/>
  <c r="L37" i="46" s="1"/>
  <c r="M37" i="46" s="1"/>
  <c r="N9" i="31" s="1"/>
  <c r="T37" i="46"/>
  <c r="U37" i="46" s="1"/>
  <c r="H38" i="10"/>
  <c r="E55" i="10"/>
  <c r="E54" i="10"/>
  <c r="E53" i="10"/>
  <c r="F29" i="10"/>
  <c r="G29" i="10" s="1"/>
  <c r="H29" i="10" s="1"/>
  <c r="F28" i="10"/>
  <c r="G28" i="10" s="1"/>
  <c r="H28" i="10" s="1"/>
  <c r="AB9" i="21"/>
  <c r="X33" i="30" l="1"/>
  <c r="X32" i="30"/>
  <c r="X24" i="21"/>
  <c r="X23" i="21"/>
  <c r="H62" i="43" l="1"/>
  <c r="K62" i="43" s="1"/>
  <c r="G61" i="43"/>
  <c r="H61" i="43" s="1"/>
  <c r="H60" i="43"/>
  <c r="K60" i="43" s="1"/>
  <c r="G59" i="43"/>
  <c r="H59" i="43" s="1"/>
  <c r="T29" i="39" l="1"/>
  <c r="S29" i="39"/>
  <c r="R29" i="39"/>
  <c r="Q29" i="39"/>
  <c r="T28" i="39"/>
  <c r="S28" i="39"/>
  <c r="R28" i="39"/>
  <c r="Q28" i="39"/>
  <c r="K28" i="39"/>
  <c r="J29" i="39"/>
  <c r="J28" i="39"/>
  <c r="I29" i="39"/>
  <c r="I28" i="39"/>
  <c r="H28" i="39"/>
  <c r="L29" i="39" l="1"/>
  <c r="M29" i="39" s="1"/>
  <c r="U29" i="39"/>
  <c r="U28" i="39"/>
  <c r="L28" i="39"/>
  <c r="M28" i="39" s="1"/>
  <c r="O9" i="21"/>
  <c r="O7" i="21"/>
  <c r="O23" i="31"/>
  <c r="O40" i="31"/>
  <c r="P32" i="30" s="1"/>
  <c r="O46" i="31"/>
  <c r="P33" i="30" s="1"/>
  <c r="O12" i="5"/>
  <c r="O28" i="5"/>
  <c r="O34" i="5"/>
  <c r="N17" i="31" l="1"/>
  <c r="P34" i="30"/>
  <c r="P36" i="30" s="1"/>
  <c r="P38" i="30" s="1"/>
  <c r="E91" i="3" l="1"/>
  <c r="E90" i="3"/>
  <c r="C70" i="3" l="1"/>
  <c r="D70" i="3"/>
  <c r="C67" i="3"/>
  <c r="D67" i="3"/>
  <c r="T12" i="47"/>
  <c r="S12" i="47"/>
  <c r="R12" i="47"/>
  <c r="Q12" i="47"/>
  <c r="K12" i="47"/>
  <c r="J12" i="47"/>
  <c r="I12" i="47"/>
  <c r="H12" i="47"/>
  <c r="T13" i="47"/>
  <c r="S13" i="47"/>
  <c r="R13" i="47"/>
  <c r="Q13" i="47"/>
  <c r="S25" i="39"/>
  <c r="S24" i="39"/>
  <c r="S27" i="39"/>
  <c r="T27" i="39"/>
  <c r="R27" i="39"/>
  <c r="Q27" i="39"/>
  <c r="K27" i="39"/>
  <c r="J27" i="39"/>
  <c r="I27" i="39"/>
  <c r="H27" i="39"/>
  <c r="K26" i="39"/>
  <c r="J26" i="39"/>
  <c r="I26" i="39"/>
  <c r="H26" i="39"/>
  <c r="Q36" i="46"/>
  <c r="R36" i="46"/>
  <c r="S36" i="46"/>
  <c r="J36" i="46"/>
  <c r="I36" i="46"/>
  <c r="H36" i="46"/>
  <c r="F36" i="46"/>
  <c r="T36" i="46" s="1"/>
  <c r="Q35" i="46"/>
  <c r="R35" i="46"/>
  <c r="S35" i="46"/>
  <c r="J35" i="46"/>
  <c r="I35" i="46"/>
  <c r="H35" i="46"/>
  <c r="F35" i="46"/>
  <c r="K35" i="46" s="1"/>
  <c r="M39" i="10"/>
  <c r="N9" i="5" l="1"/>
  <c r="U12" i="47"/>
  <c r="L35" i="46"/>
  <c r="M35" i="46" s="1"/>
  <c r="T35" i="46"/>
  <c r="U35" i="46" s="1"/>
  <c r="U36" i="46"/>
  <c r="K36" i="46"/>
  <c r="L36" i="46" s="1"/>
  <c r="M36" i="46" s="1"/>
  <c r="L26" i="39"/>
  <c r="M26" i="39" s="1"/>
  <c r="L27" i="39"/>
  <c r="M27" i="39" s="1"/>
  <c r="L12" i="47"/>
  <c r="M12" i="47" s="1"/>
  <c r="M13" i="47"/>
  <c r="U13" i="47"/>
  <c r="U27" i="39"/>
  <c r="M81" i="43"/>
  <c r="M9" i="31" l="1"/>
  <c r="M19" i="31"/>
  <c r="M17" i="31"/>
  <c r="M23" i="47"/>
  <c r="L23" i="47"/>
  <c r="O8" i="21" l="1"/>
  <c r="F27" i="10"/>
  <c r="F26" i="10"/>
  <c r="O13" i="21"/>
  <c r="O16" i="1" s="1"/>
  <c r="O14" i="21"/>
  <c r="O17" i="1" s="1"/>
  <c r="O15" i="21"/>
  <c r="O16" i="21"/>
  <c r="O19" i="1" s="1"/>
  <c r="O17" i="21"/>
  <c r="O20" i="1" s="1"/>
  <c r="O18" i="21"/>
  <c r="O19" i="21"/>
  <c r="O34" i="1" s="1"/>
  <c r="O9" i="30"/>
  <c r="O7" i="30"/>
  <c r="O13" i="30"/>
  <c r="O14" i="1" s="1"/>
  <c r="O14" i="30"/>
  <c r="O13" i="1" s="1"/>
  <c r="O15" i="30"/>
  <c r="O15" i="1" s="1"/>
  <c r="O16" i="30"/>
  <c r="O21" i="1" s="1"/>
  <c r="O17" i="30"/>
  <c r="O22" i="1" s="1"/>
  <c r="O18" i="30"/>
  <c r="O23" i="1" s="1"/>
  <c r="O19" i="30"/>
  <c r="O24" i="1" s="1"/>
  <c r="O20" i="30"/>
  <c r="O25" i="1" s="1"/>
  <c r="O21" i="30"/>
  <c r="O26" i="1" s="1"/>
  <c r="O22" i="30"/>
  <c r="O27" i="1" s="1"/>
  <c r="O23" i="30"/>
  <c r="O28" i="1" s="1"/>
  <c r="O24" i="30"/>
  <c r="O25" i="30"/>
  <c r="O30" i="1" s="1"/>
  <c r="O26" i="30"/>
  <c r="O31" i="1" s="1"/>
  <c r="O27" i="30"/>
  <c r="O32" i="1" s="1"/>
  <c r="O28" i="30"/>
  <c r="O32" i="30"/>
  <c r="N23" i="31"/>
  <c r="N40" i="31"/>
  <c r="N46" i="31"/>
  <c r="O33" i="30" s="1"/>
  <c r="N12" i="5"/>
  <c r="N28" i="5"/>
  <c r="N34" i="5"/>
  <c r="O33" i="1" l="1"/>
  <c r="P35" i="1"/>
  <c r="O34" i="30"/>
  <c r="O8" i="30"/>
  <c r="O7" i="1"/>
  <c r="O10" i="30"/>
  <c r="O9" i="1"/>
  <c r="O20" i="21"/>
  <c r="O18" i="1"/>
  <c r="O29" i="30"/>
  <c r="O29" i="1"/>
  <c r="G27" i="10"/>
  <c r="H27" i="10" s="1"/>
  <c r="G26" i="10"/>
  <c r="H26" i="10"/>
  <c r="O10" i="21"/>
  <c r="H56" i="43"/>
  <c r="K56" i="43" s="1"/>
  <c r="G53" i="43"/>
  <c r="H53" i="43" s="1"/>
  <c r="G55" i="43"/>
  <c r="H55" i="43" s="1"/>
  <c r="H54" i="43"/>
  <c r="K54" i="43" s="1"/>
  <c r="K25" i="39"/>
  <c r="J25" i="39"/>
  <c r="I25" i="39"/>
  <c r="K24" i="39"/>
  <c r="J24" i="39"/>
  <c r="I24" i="39"/>
  <c r="H25" i="39"/>
  <c r="H24" i="39"/>
  <c r="J34" i="46"/>
  <c r="I34" i="46"/>
  <c r="J33" i="46"/>
  <c r="I33" i="46"/>
  <c r="H34" i="46"/>
  <c r="H33" i="46"/>
  <c r="E89" i="3"/>
  <c r="E88" i="3"/>
  <c r="O36" i="30" l="1"/>
  <c r="O38" i="30" s="1"/>
  <c r="L9" i="5"/>
  <c r="D64" i="3"/>
  <c r="C64" i="3" s="1"/>
  <c r="M9" i="5" s="1"/>
  <c r="C53" i="3" l="1"/>
  <c r="R25" i="39" l="1"/>
  <c r="R24" i="39"/>
  <c r="R19" i="39"/>
  <c r="T25" i="39"/>
  <c r="Q25" i="39"/>
  <c r="T24" i="39"/>
  <c r="Q24" i="39"/>
  <c r="Q34" i="46"/>
  <c r="R34" i="46"/>
  <c r="S34" i="46"/>
  <c r="F34" i="46"/>
  <c r="Q33" i="46"/>
  <c r="R33" i="46"/>
  <c r="S33" i="46"/>
  <c r="F33" i="46"/>
  <c r="K33" i="46" s="1"/>
  <c r="N9" i="30"/>
  <c r="N10" i="30" s="1"/>
  <c r="N7" i="30"/>
  <c r="N8" i="30" s="1"/>
  <c r="N13" i="30"/>
  <c r="N14" i="30"/>
  <c r="N15" i="30"/>
  <c r="N16" i="30"/>
  <c r="N17" i="30"/>
  <c r="N18" i="30"/>
  <c r="N19" i="30"/>
  <c r="N20" i="30"/>
  <c r="N21" i="30"/>
  <c r="N22" i="30"/>
  <c r="N23" i="30"/>
  <c r="N24" i="30"/>
  <c r="N25" i="30"/>
  <c r="N26" i="30"/>
  <c r="N27" i="30"/>
  <c r="N28" i="30"/>
  <c r="N33" i="30"/>
  <c r="M23" i="31"/>
  <c r="M40" i="31"/>
  <c r="N32" i="30" s="1"/>
  <c r="M46" i="31"/>
  <c r="M12" i="5"/>
  <c r="M28" i="5"/>
  <c r="M34" i="5"/>
  <c r="N9" i="21"/>
  <c r="N7" i="21"/>
  <c r="N13" i="21"/>
  <c r="N14" i="21"/>
  <c r="N15" i="21"/>
  <c r="N16" i="21"/>
  <c r="N17" i="21"/>
  <c r="N18" i="21"/>
  <c r="N19" i="21"/>
  <c r="P9" i="41"/>
  <c r="P10" i="41"/>
  <c r="P11" i="41"/>
  <c r="P12" i="41"/>
  <c r="P13" i="41"/>
  <c r="P14" i="41"/>
  <c r="P15" i="41"/>
  <c r="P16" i="41"/>
  <c r="P17" i="41"/>
  <c r="P19" i="41"/>
  <c r="P20" i="41"/>
  <c r="P21" i="41"/>
  <c r="P22" i="41"/>
  <c r="P23" i="41"/>
  <c r="P25" i="41"/>
  <c r="P26" i="41"/>
  <c r="P27" i="41"/>
  <c r="P28" i="41"/>
  <c r="P29" i="41"/>
  <c r="P30" i="41"/>
  <c r="P31" i="41"/>
  <c r="P32" i="41"/>
  <c r="P33" i="41"/>
  <c r="P34" i="41"/>
  <c r="P35" i="41"/>
  <c r="P36" i="41"/>
  <c r="P37" i="41"/>
  <c r="P38" i="41"/>
  <c r="P39" i="41"/>
  <c r="P40" i="41"/>
  <c r="P41" i="41"/>
  <c r="P42" i="41"/>
  <c r="P43" i="41"/>
  <c r="P44" i="41"/>
  <c r="P45" i="41"/>
  <c r="N33" i="1" l="1"/>
  <c r="N34" i="30"/>
  <c r="N8" i="21"/>
  <c r="N7" i="1"/>
  <c r="N8" i="1" s="1"/>
  <c r="N10" i="21"/>
  <c r="N9" i="1"/>
  <c r="N10" i="1" s="1"/>
  <c r="T34" i="46"/>
  <c r="U34" i="46" s="1"/>
  <c r="K34" i="46"/>
  <c r="L34" i="46" s="1"/>
  <c r="M34" i="46" s="1"/>
  <c r="N16" i="1"/>
  <c r="N19" i="1"/>
  <c r="N17" i="1"/>
  <c r="N20" i="1"/>
  <c r="N34" i="1"/>
  <c r="N18" i="1"/>
  <c r="N29" i="1"/>
  <c r="N21" i="1"/>
  <c r="N32" i="1"/>
  <c r="N28" i="1"/>
  <c r="N24" i="1"/>
  <c r="N15" i="1"/>
  <c r="N31" i="1"/>
  <c r="N27" i="1"/>
  <c r="N23" i="1"/>
  <c r="N13" i="1"/>
  <c r="N25" i="1"/>
  <c r="N30" i="1"/>
  <c r="N26" i="1"/>
  <c r="N22" i="1"/>
  <c r="N14" i="1"/>
  <c r="L24" i="39"/>
  <c r="M24" i="39" s="1"/>
  <c r="L25" i="39"/>
  <c r="M25" i="39" s="1"/>
  <c r="T33" i="46"/>
  <c r="U33" i="46" s="1"/>
  <c r="L33" i="46"/>
  <c r="M33" i="46" s="1"/>
  <c r="U25" i="39"/>
  <c r="U24" i="39"/>
  <c r="N29" i="30"/>
  <c r="N20" i="21"/>
  <c r="L9" i="31" l="1"/>
  <c r="N36" i="30"/>
  <c r="N38" i="30" s="1"/>
  <c r="L17" i="31"/>
  <c r="G24" i="10"/>
  <c r="H24" i="10" s="1"/>
  <c r="F21" i="10"/>
  <c r="E21" i="10"/>
  <c r="F44" i="43"/>
  <c r="F43" i="43"/>
  <c r="F42" i="43"/>
  <c r="F41" i="43"/>
  <c r="E44" i="43"/>
  <c r="E43" i="43"/>
  <c r="E42" i="43"/>
  <c r="E41" i="43"/>
  <c r="W15" i="10"/>
  <c r="W16" i="10"/>
  <c r="D13" i="25"/>
  <c r="D14" i="25"/>
  <c r="D15" i="25"/>
  <c r="V23" i="21" l="1" a="1"/>
  <c r="V23" i="21" s="1"/>
  <c r="V24" i="21" a="1"/>
  <c r="V24" i="21" s="1"/>
  <c r="H42" i="43"/>
  <c r="K42" i="43" s="1"/>
  <c r="H44" i="43"/>
  <c r="K44" i="43" s="1"/>
  <c r="H50" i="43"/>
  <c r="K50" i="43" s="1"/>
  <c r="H48" i="43"/>
  <c r="K48" i="43" s="1"/>
  <c r="G47" i="43"/>
  <c r="H47" i="43" s="1"/>
  <c r="G49" i="43"/>
  <c r="H49" i="43" s="1"/>
  <c r="G43" i="43"/>
  <c r="H43" i="43" s="1"/>
  <c r="G41" i="43"/>
  <c r="H41" i="43" s="1"/>
  <c r="E87" i="3"/>
  <c r="E83" i="3"/>
  <c r="C79" i="3"/>
  <c r="J32" i="46" l="1"/>
  <c r="I32" i="46"/>
  <c r="H32" i="46"/>
  <c r="Q32" i="46"/>
  <c r="R32" i="46"/>
  <c r="S32" i="46"/>
  <c r="F32" i="46"/>
  <c r="T32" i="46" s="1"/>
  <c r="R31" i="46"/>
  <c r="Q31" i="46"/>
  <c r="S31" i="46"/>
  <c r="J31" i="46"/>
  <c r="I31" i="46"/>
  <c r="H31" i="46"/>
  <c r="F31" i="46"/>
  <c r="K31" i="46" s="1"/>
  <c r="J11" i="5"/>
  <c r="T31" i="46" l="1"/>
  <c r="U31" i="46" s="1"/>
  <c r="K32" i="46"/>
  <c r="L32" i="46" s="1"/>
  <c r="M32" i="46" s="1"/>
  <c r="U32" i="46"/>
  <c r="L31" i="46"/>
  <c r="M31" i="46" s="1"/>
  <c r="K9" i="31" l="1"/>
  <c r="M9" i="30"/>
  <c r="M10" i="30" s="1"/>
  <c r="M7" i="30"/>
  <c r="M8" i="30" s="1"/>
  <c r="M13" i="30"/>
  <c r="M14" i="1" s="1"/>
  <c r="M14" i="30"/>
  <c r="M13" i="1" s="1"/>
  <c r="M15" i="30"/>
  <c r="M15" i="1" s="1"/>
  <c r="M16" i="30"/>
  <c r="M21" i="1" s="1"/>
  <c r="M17" i="30"/>
  <c r="M22" i="1" s="1"/>
  <c r="M18" i="30"/>
  <c r="M23" i="1" s="1"/>
  <c r="M19" i="30"/>
  <c r="M24" i="1" s="1"/>
  <c r="M20" i="30"/>
  <c r="M21" i="30"/>
  <c r="M26" i="1" s="1"/>
  <c r="M22" i="30"/>
  <c r="M27" i="1" s="1"/>
  <c r="M23" i="30"/>
  <c r="M28" i="1" s="1"/>
  <c r="M24" i="30"/>
  <c r="M29" i="1" s="1"/>
  <c r="M25" i="30"/>
  <c r="M30" i="1" s="1"/>
  <c r="M26" i="30"/>
  <c r="M31" i="1" s="1"/>
  <c r="M27" i="30"/>
  <c r="M32" i="1" s="1"/>
  <c r="M28" i="30"/>
  <c r="M33" i="30"/>
  <c r="M9" i="21"/>
  <c r="M7" i="21"/>
  <c r="M13" i="21"/>
  <c r="M16" i="1" s="1"/>
  <c r="M14" i="21"/>
  <c r="M17" i="1" s="1"/>
  <c r="M15" i="21"/>
  <c r="M18" i="1" s="1"/>
  <c r="M16" i="21"/>
  <c r="M17" i="21"/>
  <c r="M20" i="1" s="1"/>
  <c r="M18" i="21"/>
  <c r="M19" i="21"/>
  <c r="M34" i="1" s="1"/>
  <c r="L23" i="31"/>
  <c r="L40" i="31"/>
  <c r="M32" i="30" s="1"/>
  <c r="L46" i="31"/>
  <c r="L12" i="5"/>
  <c r="L28" i="5"/>
  <c r="L34" i="5"/>
  <c r="F20" i="10"/>
  <c r="E20" i="10"/>
  <c r="G20" i="10" s="1"/>
  <c r="W14" i="10"/>
  <c r="W13" i="10"/>
  <c r="M33" i="1" l="1"/>
  <c r="M8" i="21"/>
  <c r="M7" i="1"/>
  <c r="M8" i="1" s="1"/>
  <c r="M10" i="21"/>
  <c r="M9" i="1"/>
  <c r="M10" i="1" s="1"/>
  <c r="N35" i="1"/>
  <c r="M34" i="30"/>
  <c r="M29" i="30"/>
  <c r="M25" i="1"/>
  <c r="M20" i="21"/>
  <c r="M19" i="1"/>
  <c r="E86" i="3"/>
  <c r="K9" i="5" s="1"/>
  <c r="E85" i="3"/>
  <c r="E84" i="3"/>
  <c r="M36" i="30" l="1"/>
  <c r="M38" i="30" s="1"/>
  <c r="J9" i="5"/>
  <c r="E43" i="3"/>
  <c r="E42" i="3"/>
  <c r="E82" i="3" l="1"/>
  <c r="E81" i="3"/>
  <c r="E80" i="3"/>
  <c r="E79" i="3"/>
  <c r="H9" i="5" s="1"/>
  <c r="E78" i="3"/>
  <c r="E77" i="3"/>
  <c r="G9" i="5" l="1"/>
  <c r="I9" i="5"/>
  <c r="E39" i="3"/>
  <c r="E37" i="3"/>
  <c r="E35" i="3"/>
  <c r="E33" i="3"/>
  <c r="E31" i="3"/>
  <c r="E72" i="3" l="1"/>
  <c r="E94" i="3"/>
  <c r="C94" i="3"/>
  <c r="D72" i="3"/>
  <c r="C72" i="3"/>
  <c r="F15" i="10"/>
  <c r="E15" i="10"/>
  <c r="F14" i="10"/>
  <c r="E14" i="10"/>
  <c r="F13" i="10"/>
  <c r="E13" i="10"/>
  <c r="F12" i="10"/>
  <c r="E12" i="10"/>
  <c r="G19" i="10"/>
  <c r="G17" i="10"/>
  <c r="G18" i="10"/>
  <c r="H18" i="10" s="1"/>
  <c r="F39" i="43"/>
  <c r="F38" i="43"/>
  <c r="F39" i="10" l="1"/>
  <c r="E52" i="10"/>
  <c r="E39" i="10"/>
  <c r="M4" i="10"/>
  <c r="G12" i="10"/>
  <c r="F72" i="3"/>
  <c r="G15" i="10"/>
  <c r="F37" i="43"/>
  <c r="F36" i="43"/>
  <c r="E39" i="43" l="1"/>
  <c r="E38" i="43"/>
  <c r="G38" i="43" s="1"/>
  <c r="E37" i="43"/>
  <c r="E36" i="43"/>
  <c r="G36" i="43" s="1"/>
  <c r="W12" i="10" l="1"/>
  <c r="W11" i="10"/>
  <c r="S30" i="46"/>
  <c r="R30" i="46"/>
  <c r="Q30" i="46"/>
  <c r="J30" i="46"/>
  <c r="I30" i="46"/>
  <c r="H30" i="46"/>
  <c r="F30" i="46"/>
  <c r="K30" i="46" s="1"/>
  <c r="T30" i="46" l="1"/>
  <c r="U30" i="46" s="1"/>
  <c r="L30" i="46"/>
  <c r="M30" i="46" s="1"/>
  <c r="D46" i="45"/>
  <c r="F46" i="45" s="1"/>
  <c r="D45" i="45"/>
  <c r="F45" i="45" s="1"/>
  <c r="F39" i="45"/>
  <c r="D39" i="45"/>
  <c r="F37" i="45"/>
  <c r="D37" i="45"/>
  <c r="D36" i="45"/>
  <c r="F36" i="45" s="1"/>
  <c r="D28" i="45"/>
  <c r="F28" i="45" s="1"/>
  <c r="F26" i="45"/>
  <c r="D26" i="45"/>
  <c r="G16" i="10"/>
  <c r="L9" i="30"/>
  <c r="L10" i="30" s="1"/>
  <c r="L7" i="30"/>
  <c r="L8" i="30" s="1"/>
  <c r="L9" i="21"/>
  <c r="L7" i="21"/>
  <c r="K23" i="31"/>
  <c r="K40" i="31"/>
  <c r="K46" i="31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32" i="30"/>
  <c r="L33" i="30"/>
  <c r="K12" i="5"/>
  <c r="K28" i="5"/>
  <c r="K34" i="5"/>
  <c r="L13" i="21"/>
  <c r="L14" i="21"/>
  <c r="L15" i="21"/>
  <c r="L16" i="21"/>
  <c r="L17" i="21"/>
  <c r="L18" i="21"/>
  <c r="L19" i="21"/>
  <c r="L33" i="1" l="1"/>
  <c r="L9" i="1"/>
  <c r="L10" i="1" s="1"/>
  <c r="L7" i="1"/>
  <c r="L8" i="1" s="1"/>
  <c r="L17" i="1"/>
  <c r="L20" i="1"/>
  <c r="L19" i="1"/>
  <c r="L16" i="1"/>
  <c r="L34" i="1"/>
  <c r="L18" i="1"/>
  <c r="L28" i="1"/>
  <c r="L15" i="1"/>
  <c r="L27" i="1"/>
  <c r="L23" i="1"/>
  <c r="L13" i="1"/>
  <c r="L30" i="1"/>
  <c r="L26" i="1"/>
  <c r="L22" i="1"/>
  <c r="L14" i="1"/>
  <c r="L32" i="1"/>
  <c r="L24" i="1"/>
  <c r="L31" i="1"/>
  <c r="M35" i="1"/>
  <c r="L29" i="1"/>
  <c r="L25" i="1"/>
  <c r="L21" i="1"/>
  <c r="L8" i="21"/>
  <c r="L10" i="21"/>
  <c r="L34" i="30"/>
  <c r="L29" i="30"/>
  <c r="L20" i="21"/>
  <c r="F29" i="46"/>
  <c r="K29" i="46" s="1"/>
  <c r="F28" i="46"/>
  <c r="K28" i="46" s="1"/>
  <c r="F27" i="46"/>
  <c r="K27" i="46" s="1"/>
  <c r="S29" i="46"/>
  <c r="Q29" i="46"/>
  <c r="J29" i="46"/>
  <c r="H29" i="46"/>
  <c r="I29" i="46"/>
  <c r="S28" i="46"/>
  <c r="Q28" i="46"/>
  <c r="J28" i="46"/>
  <c r="H28" i="46"/>
  <c r="I28" i="46"/>
  <c r="S27" i="46"/>
  <c r="Q27" i="46"/>
  <c r="J27" i="46"/>
  <c r="H27" i="46"/>
  <c r="R27" i="46"/>
  <c r="T26" i="46"/>
  <c r="S26" i="46"/>
  <c r="Q26" i="46"/>
  <c r="K26" i="46"/>
  <c r="J26" i="46"/>
  <c r="H26" i="46"/>
  <c r="I26" i="46"/>
  <c r="T25" i="46"/>
  <c r="S25" i="46"/>
  <c r="Q25" i="46"/>
  <c r="K25" i="46"/>
  <c r="J25" i="46"/>
  <c r="H25" i="46"/>
  <c r="R25" i="46"/>
  <c r="T24" i="46"/>
  <c r="S24" i="46"/>
  <c r="Q24" i="46"/>
  <c r="K24" i="46"/>
  <c r="J24" i="46"/>
  <c r="H24" i="46"/>
  <c r="I24" i="46"/>
  <c r="T23" i="46"/>
  <c r="S23" i="46"/>
  <c r="R23" i="46"/>
  <c r="Q23" i="46"/>
  <c r="K23" i="46"/>
  <c r="J23" i="46"/>
  <c r="H23" i="46"/>
  <c r="I23" i="46"/>
  <c r="T22" i="46"/>
  <c r="S22" i="46"/>
  <c r="Q22" i="46"/>
  <c r="K22" i="46"/>
  <c r="J22" i="46"/>
  <c r="H22" i="46"/>
  <c r="I22" i="46"/>
  <c r="T21" i="46"/>
  <c r="S21" i="46"/>
  <c r="Q21" i="46"/>
  <c r="K21" i="46"/>
  <c r="J21" i="46"/>
  <c r="H21" i="46"/>
  <c r="R21" i="46"/>
  <c r="G14" i="10"/>
  <c r="H7" i="5"/>
  <c r="E7" i="10"/>
  <c r="F55" i="10" s="1"/>
  <c r="E6" i="10"/>
  <c r="F54" i="10" s="1"/>
  <c r="L36" i="30" l="1"/>
  <c r="L38" i="30" s="1"/>
  <c r="T28" i="46"/>
  <c r="T27" i="46"/>
  <c r="U27" i="46" s="1"/>
  <c r="T29" i="46"/>
  <c r="U23" i="46"/>
  <c r="L22" i="46"/>
  <c r="M22" i="46" s="1"/>
  <c r="L23" i="46"/>
  <c r="M23" i="46" s="1"/>
  <c r="L24" i="46"/>
  <c r="M24" i="46" s="1"/>
  <c r="U21" i="46"/>
  <c r="U25" i="46"/>
  <c r="L26" i="46"/>
  <c r="M26" i="46" s="1"/>
  <c r="L29" i="46"/>
  <c r="M29" i="46" s="1"/>
  <c r="J9" i="31" s="1"/>
  <c r="L28" i="46"/>
  <c r="M28" i="46" s="1"/>
  <c r="R26" i="46"/>
  <c r="U26" i="46" s="1"/>
  <c r="R22" i="46"/>
  <c r="U22" i="46" s="1"/>
  <c r="R24" i="46"/>
  <c r="U24" i="46" s="1"/>
  <c r="R28" i="46"/>
  <c r="R29" i="46"/>
  <c r="E9" i="31"/>
  <c r="I21" i="46"/>
  <c r="L21" i="46" s="1"/>
  <c r="M21" i="46" s="1"/>
  <c r="I25" i="46"/>
  <c r="L25" i="46" s="1"/>
  <c r="M25" i="46" s="1"/>
  <c r="I27" i="46"/>
  <c r="L27" i="46" s="1"/>
  <c r="M27" i="46" s="1"/>
  <c r="D6" i="45"/>
  <c r="D5" i="45"/>
  <c r="D4" i="45"/>
  <c r="D3" i="45"/>
  <c r="D14" i="45"/>
  <c r="I15" i="45"/>
  <c r="I13" i="45"/>
  <c r="D12" i="45"/>
  <c r="E7" i="45"/>
  <c r="F7" i="45" s="1"/>
  <c r="F6" i="45"/>
  <c r="E5" i="45"/>
  <c r="F4" i="45"/>
  <c r="D8" i="45"/>
  <c r="U28" i="46" l="1"/>
  <c r="F9" i="31"/>
  <c r="U29" i="46"/>
  <c r="H9" i="31"/>
  <c r="G9" i="31"/>
  <c r="I9" i="31"/>
  <c r="L48" i="46"/>
  <c r="E3" i="45"/>
  <c r="E8" i="45" s="1"/>
  <c r="F5" i="45"/>
  <c r="F3" i="45"/>
  <c r="M48" i="46" l="1"/>
  <c r="M51" i="46"/>
  <c r="M53" i="46" s="1"/>
  <c r="F8" i="45"/>
  <c r="J44" i="45" l="1"/>
  <c r="I44" i="45"/>
  <c r="E43" i="45"/>
  <c r="D43" i="45"/>
  <c r="J42" i="45"/>
  <c r="I42" i="45"/>
  <c r="E41" i="45"/>
  <c r="D41" i="45"/>
  <c r="J35" i="45"/>
  <c r="I35" i="45"/>
  <c r="E34" i="45"/>
  <c r="D34" i="45"/>
  <c r="J33" i="45"/>
  <c r="I33" i="45"/>
  <c r="E32" i="45"/>
  <c r="D32" i="45"/>
  <c r="J25" i="45"/>
  <c r="I25" i="45"/>
  <c r="E24" i="45"/>
  <c r="D24" i="45"/>
  <c r="J23" i="45"/>
  <c r="I23" i="45"/>
  <c r="E22" i="45"/>
  <c r="D22" i="45"/>
  <c r="F22" i="45" s="1"/>
  <c r="J19" i="45"/>
  <c r="I19" i="45"/>
  <c r="E18" i="45"/>
  <c r="D18" i="45"/>
  <c r="J17" i="45"/>
  <c r="I17" i="45"/>
  <c r="E16" i="45"/>
  <c r="D16" i="45"/>
  <c r="F16" i="45" s="1"/>
  <c r="F34" i="43"/>
  <c r="F33" i="43"/>
  <c r="E34" i="43"/>
  <c r="E33" i="43"/>
  <c r="G33" i="43" l="1"/>
  <c r="G16" i="45"/>
  <c r="G22" i="45"/>
  <c r="F24" i="45"/>
  <c r="G24" i="45" s="1"/>
  <c r="F32" i="45"/>
  <c r="G32" i="45" s="1"/>
  <c r="F34" i="45"/>
  <c r="G34" i="45" s="1"/>
  <c r="I51" i="45"/>
  <c r="K42" i="45"/>
  <c r="M42" i="45" s="1"/>
  <c r="K44" i="45"/>
  <c r="M44" i="45" s="1"/>
  <c r="F41" i="45"/>
  <c r="G41" i="45" s="1"/>
  <c r="K17" i="45"/>
  <c r="M17" i="45" s="1"/>
  <c r="F18" i="45"/>
  <c r="G18" i="45" s="1"/>
  <c r="K19" i="45"/>
  <c r="M19" i="45" s="1"/>
  <c r="K23" i="45"/>
  <c r="M23" i="45" s="1"/>
  <c r="K25" i="45"/>
  <c r="M25" i="45" s="1"/>
  <c r="K33" i="45"/>
  <c r="M33" i="45" s="1"/>
  <c r="K35" i="45"/>
  <c r="M35" i="45" s="1"/>
  <c r="F14" i="45"/>
  <c r="F12" i="45"/>
  <c r="D51" i="45"/>
  <c r="F43" i="45"/>
  <c r="G43" i="45" s="1"/>
  <c r="F51" i="45" l="1"/>
  <c r="F32" i="43" l="1"/>
  <c r="F31" i="43"/>
  <c r="E32" i="43"/>
  <c r="E31" i="43"/>
  <c r="G31" i="43" l="1"/>
  <c r="E45" i="10"/>
  <c r="H39" i="43"/>
  <c r="K39" i="43" s="1"/>
  <c r="H38" i="43"/>
  <c r="H37" i="43"/>
  <c r="K37" i="43" s="1"/>
  <c r="H36" i="43"/>
  <c r="P194" i="42"/>
  <c r="P193" i="42"/>
  <c r="P191" i="42"/>
  <c r="P190" i="42"/>
  <c r="P189" i="42"/>
  <c r="P188" i="42"/>
  <c r="P187" i="42"/>
  <c r="P186" i="42"/>
  <c r="P185" i="42"/>
  <c r="P184" i="42"/>
  <c r="P183" i="42"/>
  <c r="P181" i="42"/>
  <c r="P180" i="42"/>
  <c r="P179" i="42"/>
  <c r="P178" i="42"/>
  <c r="P176" i="42"/>
  <c r="P175" i="42"/>
  <c r="P173" i="42"/>
  <c r="P171" i="42"/>
  <c r="P170" i="42"/>
  <c r="P168" i="42"/>
  <c r="P167" i="42"/>
  <c r="P166" i="42"/>
  <c r="P165" i="42"/>
  <c r="P163" i="42"/>
  <c r="P161" i="42"/>
  <c r="P160" i="42"/>
  <c r="P158" i="42"/>
  <c r="P156" i="42"/>
  <c r="P155" i="42"/>
  <c r="P154" i="42"/>
  <c r="P153" i="42"/>
  <c r="P152" i="42"/>
  <c r="P150" i="42"/>
  <c r="P149" i="42"/>
  <c r="P148" i="42"/>
  <c r="P146" i="42"/>
  <c r="P145" i="42"/>
  <c r="P144" i="42"/>
  <c r="P141" i="42"/>
  <c r="P140" i="42"/>
  <c r="P139" i="42"/>
  <c r="P138" i="42"/>
  <c r="P137" i="42"/>
  <c r="P136" i="42"/>
  <c r="P135" i="42"/>
  <c r="P134" i="42"/>
  <c r="P133" i="42"/>
  <c r="P132" i="42"/>
  <c r="P131" i="42"/>
  <c r="P130" i="42"/>
  <c r="P129" i="42"/>
  <c r="P128" i="42"/>
  <c r="P127" i="42"/>
  <c r="P126" i="42"/>
  <c r="P125" i="42"/>
  <c r="P124" i="42"/>
  <c r="P123" i="42"/>
  <c r="P122" i="42"/>
  <c r="P121" i="42"/>
  <c r="P120" i="42"/>
  <c r="P119" i="42"/>
  <c r="P118" i="42"/>
  <c r="P117" i="42"/>
  <c r="P116" i="42"/>
  <c r="P115" i="42"/>
  <c r="P114" i="42"/>
  <c r="P113" i="42"/>
  <c r="P112" i="42"/>
  <c r="P111" i="42"/>
  <c r="P110" i="42"/>
  <c r="P109" i="42"/>
  <c r="P107" i="42"/>
  <c r="P106" i="42"/>
  <c r="P105" i="42"/>
  <c r="P104" i="42"/>
  <c r="P102" i="42"/>
  <c r="P100" i="42"/>
  <c r="P99" i="42"/>
  <c r="P98" i="42"/>
  <c r="P97" i="42"/>
  <c r="P96" i="42"/>
  <c r="P95" i="42"/>
  <c r="P94" i="42"/>
  <c r="P93" i="42"/>
  <c r="P92" i="42"/>
  <c r="P91" i="42"/>
  <c r="P90" i="42"/>
  <c r="P89" i="42"/>
  <c r="P87" i="42"/>
  <c r="P86" i="42"/>
  <c r="P85" i="42"/>
  <c r="P84" i="42"/>
  <c r="P83" i="42"/>
  <c r="P82" i="42"/>
  <c r="P81" i="42"/>
  <c r="P79" i="42"/>
  <c r="P78" i="42"/>
  <c r="P77" i="42"/>
  <c r="P76" i="42"/>
  <c r="P74" i="42"/>
  <c r="P73" i="42"/>
  <c r="P72" i="42"/>
  <c r="P70" i="42"/>
  <c r="P69" i="42"/>
  <c r="P68" i="42"/>
  <c r="P67" i="42"/>
  <c r="P66" i="42"/>
  <c r="P65" i="42"/>
  <c r="P64" i="42"/>
  <c r="P63" i="42"/>
  <c r="P62" i="42"/>
  <c r="P61" i="42"/>
  <c r="P60" i="42"/>
  <c r="P58" i="42"/>
  <c r="P57" i="42"/>
  <c r="P56" i="42"/>
  <c r="P55" i="42"/>
  <c r="P53" i="42"/>
  <c r="P52" i="42"/>
  <c r="P51" i="42"/>
  <c r="P49" i="42"/>
  <c r="P48" i="42"/>
  <c r="P47" i="42"/>
  <c r="P46" i="42"/>
  <c r="P45" i="42"/>
  <c r="P44" i="42"/>
  <c r="P43" i="42"/>
  <c r="P42" i="42"/>
  <c r="P40" i="42"/>
  <c r="P39" i="42"/>
  <c r="P38" i="42"/>
  <c r="P37" i="42"/>
  <c r="P36" i="42"/>
  <c r="P35" i="42"/>
  <c r="P33" i="42"/>
  <c r="P31" i="42"/>
  <c r="P30" i="42"/>
  <c r="P29" i="42"/>
  <c r="P28" i="42"/>
  <c r="P27" i="42"/>
  <c r="P26" i="42"/>
  <c r="P25" i="42"/>
  <c r="P11" i="42"/>
  <c r="P12" i="42"/>
  <c r="P13" i="42"/>
  <c r="P14" i="42"/>
  <c r="P15" i="42"/>
  <c r="P16" i="42"/>
  <c r="P17" i="42"/>
  <c r="P18" i="42"/>
  <c r="P19" i="42"/>
  <c r="P20" i="42"/>
  <c r="P21" i="42"/>
  <c r="P22" i="42"/>
  <c r="P23" i="42"/>
  <c r="P10" i="42"/>
  <c r="F22" i="41"/>
  <c r="F14" i="41"/>
  <c r="F9" i="41"/>
  <c r="K10" i="41"/>
  <c r="K11" i="41"/>
  <c r="K12" i="41"/>
  <c r="K13" i="41"/>
  <c r="K14" i="41"/>
  <c r="K15" i="41"/>
  <c r="K16" i="41"/>
  <c r="K17" i="41"/>
  <c r="K9" i="41"/>
  <c r="Z247" i="44"/>
  <c r="V246" i="44" s="1"/>
  <c r="E235" i="44"/>
  <c r="R231" i="44"/>
  <c r="I231" i="44"/>
  <c r="H231" i="44"/>
  <c r="E231" i="44"/>
  <c r="Q231" i="44" s="1"/>
  <c r="K230" i="44"/>
  <c r="I230" i="44"/>
  <c r="H230" i="44"/>
  <c r="E230" i="44"/>
  <c r="R228" i="44"/>
  <c r="O228" i="44"/>
  <c r="J228" i="44"/>
  <c r="H228" i="44"/>
  <c r="F228" i="44"/>
  <c r="E228" i="44"/>
  <c r="P228" i="44" s="1"/>
  <c r="Q227" i="44"/>
  <c r="P227" i="44"/>
  <c r="M227" i="44"/>
  <c r="K227" i="44"/>
  <c r="H227" i="44"/>
  <c r="E227" i="44"/>
  <c r="R227" i="44" s="1"/>
  <c r="J226" i="44"/>
  <c r="Q226" i="44" s="1"/>
  <c r="I226" i="44"/>
  <c r="G226" i="44"/>
  <c r="O226" i="44" s="1"/>
  <c r="F226" i="44"/>
  <c r="J225" i="44"/>
  <c r="I225" i="44"/>
  <c r="K225" i="44" s="1"/>
  <c r="H225" i="44"/>
  <c r="G225" i="44"/>
  <c r="O225" i="44" s="1"/>
  <c r="F225" i="44"/>
  <c r="E225" i="44"/>
  <c r="Q225" i="44" s="1"/>
  <c r="J224" i="44"/>
  <c r="I224" i="44"/>
  <c r="G224" i="44"/>
  <c r="F224" i="44"/>
  <c r="E224" i="44"/>
  <c r="J223" i="44"/>
  <c r="Q223" i="44" s="1"/>
  <c r="I223" i="44"/>
  <c r="P223" i="44" s="1"/>
  <c r="G223" i="44"/>
  <c r="O223" i="44" s="1"/>
  <c r="F223" i="44"/>
  <c r="N223" i="44" s="1"/>
  <c r="R222" i="44"/>
  <c r="I222" i="44"/>
  <c r="H222" i="44"/>
  <c r="E222" i="44"/>
  <c r="Q222" i="44" s="1"/>
  <c r="K221" i="44"/>
  <c r="I221" i="44"/>
  <c r="H221" i="44"/>
  <c r="E221" i="44"/>
  <c r="M220" i="44"/>
  <c r="K220" i="44"/>
  <c r="I220" i="44"/>
  <c r="H220" i="44"/>
  <c r="E220" i="44"/>
  <c r="L218" i="44"/>
  <c r="K218" i="44"/>
  <c r="I218" i="44"/>
  <c r="J218" i="44" s="1"/>
  <c r="G218" i="44"/>
  <c r="F218" i="44"/>
  <c r="E218" i="44"/>
  <c r="Q217" i="44"/>
  <c r="J217" i="44"/>
  <c r="I217" i="44"/>
  <c r="K217" i="44" s="1"/>
  <c r="H217" i="44"/>
  <c r="G217" i="44"/>
  <c r="O217" i="44" s="1"/>
  <c r="F217" i="44"/>
  <c r="N217" i="44" s="1"/>
  <c r="Q216" i="44"/>
  <c r="P216" i="44"/>
  <c r="J216" i="44"/>
  <c r="I216" i="44"/>
  <c r="H216" i="44"/>
  <c r="F179" i="42" s="1"/>
  <c r="G216" i="44"/>
  <c r="O216" i="44" s="1"/>
  <c r="F216" i="44"/>
  <c r="N216" i="44" s="1"/>
  <c r="P215" i="44"/>
  <c r="J215" i="44"/>
  <c r="Q215" i="44" s="1"/>
  <c r="I215" i="44"/>
  <c r="G215" i="44"/>
  <c r="O215" i="44" s="1"/>
  <c r="F215" i="44"/>
  <c r="N215" i="44" s="1"/>
  <c r="K213" i="44"/>
  <c r="I213" i="44"/>
  <c r="P213" i="44" s="1"/>
  <c r="H213" i="44"/>
  <c r="E213" i="44"/>
  <c r="R213" i="44" s="1"/>
  <c r="R212" i="44"/>
  <c r="Q212" i="44"/>
  <c r="O212" i="44"/>
  <c r="N212" i="44"/>
  <c r="I212" i="44"/>
  <c r="P212" i="44" s="1"/>
  <c r="H212" i="44"/>
  <c r="R210" i="44"/>
  <c r="Q210" i="44"/>
  <c r="P210" i="44"/>
  <c r="O210" i="44"/>
  <c r="S210" i="44" s="1"/>
  <c r="T209" i="44" s="1"/>
  <c r="N210" i="44"/>
  <c r="K210" i="44"/>
  <c r="H210" i="44"/>
  <c r="R208" i="44"/>
  <c r="Q208" i="44"/>
  <c r="P208" i="44"/>
  <c r="O208" i="44"/>
  <c r="N208" i="44"/>
  <c r="S208" i="44" s="1"/>
  <c r="M208" i="44"/>
  <c r="K208" i="44"/>
  <c r="H208" i="44"/>
  <c r="R207" i="44"/>
  <c r="Q207" i="44"/>
  <c r="P207" i="44"/>
  <c r="O207" i="44"/>
  <c r="N207" i="44"/>
  <c r="M207" i="44"/>
  <c r="K207" i="44"/>
  <c r="H207" i="44"/>
  <c r="R205" i="44"/>
  <c r="Q205" i="44"/>
  <c r="O205" i="44"/>
  <c r="N205" i="44"/>
  <c r="H205" i="44"/>
  <c r="R204" i="44"/>
  <c r="Q204" i="44"/>
  <c r="O204" i="44"/>
  <c r="N204" i="44"/>
  <c r="I204" i="44"/>
  <c r="H204" i="44"/>
  <c r="R203" i="44"/>
  <c r="Q203" i="44"/>
  <c r="P203" i="44"/>
  <c r="O203" i="44"/>
  <c r="S203" i="44" s="1"/>
  <c r="N203" i="44"/>
  <c r="K203" i="44"/>
  <c r="H203" i="44"/>
  <c r="M203" i="44" s="1"/>
  <c r="R202" i="44"/>
  <c r="Q202" i="44"/>
  <c r="O202" i="44"/>
  <c r="N202" i="44"/>
  <c r="F202" i="44"/>
  <c r="I202" i="44" s="1"/>
  <c r="Q200" i="44"/>
  <c r="O200" i="44"/>
  <c r="F200" i="44"/>
  <c r="Q198" i="44"/>
  <c r="O198" i="44"/>
  <c r="K198" i="44"/>
  <c r="I198" i="44"/>
  <c r="P198" i="44" s="1"/>
  <c r="F198" i="44"/>
  <c r="H198" i="44" s="1"/>
  <c r="Q197" i="44"/>
  <c r="P197" i="44"/>
  <c r="O197" i="44"/>
  <c r="I197" i="44"/>
  <c r="K197" i="44" s="1"/>
  <c r="F197" i="44"/>
  <c r="Q195" i="44"/>
  <c r="P195" i="44"/>
  <c r="O195" i="44"/>
  <c r="K195" i="44"/>
  <c r="H195" i="44"/>
  <c r="F195" i="44"/>
  <c r="N195" i="44" s="1"/>
  <c r="Q194" i="44"/>
  <c r="O194" i="44"/>
  <c r="Q193" i="44"/>
  <c r="O193" i="44"/>
  <c r="I193" i="44"/>
  <c r="F193" i="44"/>
  <c r="N193" i="44" s="1"/>
  <c r="Q192" i="44"/>
  <c r="O192" i="44"/>
  <c r="K192" i="44"/>
  <c r="I192" i="44"/>
  <c r="P192" i="44" s="1"/>
  <c r="H192" i="44"/>
  <c r="F192" i="44"/>
  <c r="N192" i="44" s="1"/>
  <c r="Q191" i="44"/>
  <c r="O191" i="44"/>
  <c r="I191" i="44"/>
  <c r="K191" i="44" s="1"/>
  <c r="F191" i="44"/>
  <c r="Q190" i="44"/>
  <c r="O190" i="44"/>
  <c r="I190" i="44"/>
  <c r="F190" i="44"/>
  <c r="H190" i="44" s="1"/>
  <c r="Q189" i="44"/>
  <c r="O189" i="44"/>
  <c r="K189" i="44"/>
  <c r="I189" i="44"/>
  <c r="P189" i="44" s="1"/>
  <c r="H189" i="44"/>
  <c r="F189" i="44"/>
  <c r="N189" i="44" s="1"/>
  <c r="Q187" i="44"/>
  <c r="O187" i="44"/>
  <c r="I187" i="44"/>
  <c r="K187" i="44" s="1"/>
  <c r="F187" i="44"/>
  <c r="Q186" i="44"/>
  <c r="O186" i="44"/>
  <c r="I186" i="44"/>
  <c r="K186" i="44" s="1"/>
  <c r="F186" i="44"/>
  <c r="H186" i="44" s="1"/>
  <c r="Q185" i="44"/>
  <c r="O185" i="44"/>
  <c r="N185" i="44"/>
  <c r="I185" i="44"/>
  <c r="H185" i="44"/>
  <c r="F185" i="44"/>
  <c r="AC184" i="44"/>
  <c r="AA184" i="44"/>
  <c r="Q183" i="44"/>
  <c r="O183" i="44"/>
  <c r="N183" i="44"/>
  <c r="I183" i="44"/>
  <c r="K183" i="44" s="1"/>
  <c r="F183" i="44"/>
  <c r="H183" i="44" s="1"/>
  <c r="Z182" i="44"/>
  <c r="AA182" i="44" s="1"/>
  <c r="AC182" i="44" s="1"/>
  <c r="Q182" i="44"/>
  <c r="O182" i="44"/>
  <c r="I182" i="44"/>
  <c r="K182" i="44" s="1"/>
  <c r="F182" i="44"/>
  <c r="H182" i="44" s="1"/>
  <c r="Z181" i="44"/>
  <c r="Z185" i="44" s="1"/>
  <c r="Q181" i="44"/>
  <c r="O181" i="44"/>
  <c r="N181" i="44"/>
  <c r="I181" i="44"/>
  <c r="F181" i="44"/>
  <c r="H181" i="44" s="1"/>
  <c r="AA179" i="44"/>
  <c r="AA183" i="44" s="1"/>
  <c r="AC183" i="44" s="1"/>
  <c r="I200" i="44" s="1"/>
  <c r="R178" i="44"/>
  <c r="Q178" i="44"/>
  <c r="O178" i="44"/>
  <c r="N178" i="44"/>
  <c r="K178" i="44"/>
  <c r="I178" i="44"/>
  <c r="P178" i="44" s="1"/>
  <c r="H178" i="44"/>
  <c r="P177" i="44"/>
  <c r="O177" i="44"/>
  <c r="J177" i="44"/>
  <c r="I177" i="44"/>
  <c r="G177" i="44"/>
  <c r="F177" i="44"/>
  <c r="H177" i="44" s="1"/>
  <c r="J176" i="44"/>
  <c r="Q176" i="44" s="1"/>
  <c r="I176" i="44"/>
  <c r="G176" i="44"/>
  <c r="O176" i="44" s="1"/>
  <c r="F176" i="44"/>
  <c r="L175" i="44"/>
  <c r="I175" i="44"/>
  <c r="K175" i="44" s="1"/>
  <c r="H175" i="44"/>
  <c r="E175" i="44"/>
  <c r="P175" i="44" s="1"/>
  <c r="Q174" i="44"/>
  <c r="O174" i="44"/>
  <c r="N174" i="44"/>
  <c r="I174" i="44"/>
  <c r="K174" i="44" s="1"/>
  <c r="H174" i="44"/>
  <c r="Q173" i="44"/>
  <c r="N173" i="44"/>
  <c r="I173" i="44"/>
  <c r="H173" i="44"/>
  <c r="E173" i="44"/>
  <c r="O173" i="44" s="1"/>
  <c r="N172" i="44"/>
  <c r="I172" i="44"/>
  <c r="H172" i="44"/>
  <c r="E172" i="44"/>
  <c r="I171" i="44"/>
  <c r="K171" i="44" s="1"/>
  <c r="H171" i="44"/>
  <c r="E171" i="44"/>
  <c r="N170" i="44"/>
  <c r="I170" i="44"/>
  <c r="H170" i="44"/>
  <c r="E170" i="44"/>
  <c r="Q170" i="44" s="1"/>
  <c r="Q169" i="44"/>
  <c r="I169" i="44"/>
  <c r="K169" i="44" s="1"/>
  <c r="H169" i="44"/>
  <c r="E169" i="44"/>
  <c r="I168" i="44"/>
  <c r="H168" i="44"/>
  <c r="E168" i="44"/>
  <c r="N168" i="44" s="1"/>
  <c r="J167" i="44"/>
  <c r="Q167" i="44" s="1"/>
  <c r="I167" i="44"/>
  <c r="G167" i="44"/>
  <c r="O167" i="44" s="1"/>
  <c r="F167" i="44"/>
  <c r="N167" i="44" s="1"/>
  <c r="Q166" i="44"/>
  <c r="J166" i="44"/>
  <c r="I166" i="44"/>
  <c r="G166" i="44"/>
  <c r="O166" i="44" s="1"/>
  <c r="F166" i="44"/>
  <c r="N166" i="44" s="1"/>
  <c r="Q165" i="44"/>
  <c r="J165" i="44"/>
  <c r="I165" i="44"/>
  <c r="K165" i="44" s="1"/>
  <c r="G165" i="44"/>
  <c r="F165" i="44"/>
  <c r="N165" i="44" s="1"/>
  <c r="Q164" i="44"/>
  <c r="K164" i="44"/>
  <c r="I164" i="44"/>
  <c r="F164" i="44"/>
  <c r="E164" i="44"/>
  <c r="O164" i="44" s="1"/>
  <c r="Q163" i="44"/>
  <c r="O163" i="44"/>
  <c r="I163" i="44"/>
  <c r="F163" i="44"/>
  <c r="Q162" i="44"/>
  <c r="O162" i="44"/>
  <c r="N162" i="44"/>
  <c r="I162" i="44"/>
  <c r="H162" i="44"/>
  <c r="F162" i="44"/>
  <c r="Q161" i="44"/>
  <c r="O161" i="44"/>
  <c r="I161" i="44"/>
  <c r="F161" i="44"/>
  <c r="R160" i="44"/>
  <c r="L160" i="44"/>
  <c r="I160" i="44"/>
  <c r="F160" i="44"/>
  <c r="H160" i="44" s="1"/>
  <c r="F123" i="42" s="1"/>
  <c r="E160" i="44"/>
  <c r="O160" i="44" s="1"/>
  <c r="L159" i="44"/>
  <c r="I159" i="44"/>
  <c r="K159" i="44" s="1"/>
  <c r="F159" i="44"/>
  <c r="E159" i="44"/>
  <c r="O158" i="44"/>
  <c r="L158" i="44"/>
  <c r="K158" i="44"/>
  <c r="I158" i="44"/>
  <c r="P158" i="44" s="1"/>
  <c r="F158" i="44"/>
  <c r="E158" i="44"/>
  <c r="Q158" i="44" s="1"/>
  <c r="R157" i="44"/>
  <c r="L157" i="44"/>
  <c r="I157" i="44"/>
  <c r="F157" i="44"/>
  <c r="H157" i="44" s="1"/>
  <c r="E157" i="44"/>
  <c r="R156" i="44"/>
  <c r="L156" i="44"/>
  <c r="I156" i="44"/>
  <c r="F156" i="44"/>
  <c r="H156" i="44" s="1"/>
  <c r="E156" i="44"/>
  <c r="O156" i="44" s="1"/>
  <c r="L155" i="44"/>
  <c r="R155" i="44" s="1"/>
  <c r="I155" i="44"/>
  <c r="K155" i="44" s="1"/>
  <c r="F155" i="44"/>
  <c r="E155" i="44"/>
  <c r="L154" i="44"/>
  <c r="K154" i="44"/>
  <c r="I154" i="44"/>
  <c r="P154" i="44" s="1"/>
  <c r="F154" i="44"/>
  <c r="E154" i="44"/>
  <c r="Q154" i="44" s="1"/>
  <c r="L153" i="44"/>
  <c r="I153" i="44"/>
  <c r="K153" i="44" s="1"/>
  <c r="F153" i="44"/>
  <c r="H153" i="44" s="1"/>
  <c r="E153" i="44"/>
  <c r="N152" i="44"/>
  <c r="L152" i="44"/>
  <c r="R152" i="44" s="1"/>
  <c r="I152" i="44"/>
  <c r="F152" i="44"/>
  <c r="H152" i="44" s="1"/>
  <c r="E152" i="44"/>
  <c r="O152" i="44" s="1"/>
  <c r="L151" i="44"/>
  <c r="I151" i="44"/>
  <c r="K151" i="44" s="1"/>
  <c r="F151" i="44"/>
  <c r="E151" i="44"/>
  <c r="L150" i="44"/>
  <c r="K150" i="44"/>
  <c r="I150" i="44"/>
  <c r="P150" i="44" s="1"/>
  <c r="F150" i="44"/>
  <c r="E150" i="44"/>
  <c r="Q150" i="44" s="1"/>
  <c r="O149" i="44"/>
  <c r="L149" i="44"/>
  <c r="I149" i="44"/>
  <c r="K149" i="44" s="1"/>
  <c r="H149" i="44"/>
  <c r="F149" i="44"/>
  <c r="E149" i="44"/>
  <c r="R149" i="44" s="1"/>
  <c r="Q148" i="44"/>
  <c r="L148" i="44"/>
  <c r="R148" i="44" s="1"/>
  <c r="I148" i="44"/>
  <c r="H148" i="44"/>
  <c r="F148" i="44"/>
  <c r="N148" i="44" s="1"/>
  <c r="E148" i="44"/>
  <c r="O148" i="44" s="1"/>
  <c r="P147" i="44"/>
  <c r="L147" i="44"/>
  <c r="K147" i="44"/>
  <c r="I147" i="44"/>
  <c r="F147" i="44"/>
  <c r="E147" i="44"/>
  <c r="O147" i="44" s="1"/>
  <c r="L146" i="44"/>
  <c r="I146" i="44"/>
  <c r="K146" i="44" s="1"/>
  <c r="F146" i="44"/>
  <c r="E146" i="44"/>
  <c r="A146" i="44"/>
  <c r="L144" i="44"/>
  <c r="J144" i="44"/>
  <c r="G144" i="44"/>
  <c r="H144" i="44" s="1"/>
  <c r="E144" i="44"/>
  <c r="R144" i="44" s="1"/>
  <c r="L143" i="44"/>
  <c r="J143" i="44"/>
  <c r="H143" i="44"/>
  <c r="G143" i="44"/>
  <c r="E143" i="44"/>
  <c r="L142" i="44"/>
  <c r="J142" i="44"/>
  <c r="H142" i="44"/>
  <c r="G142" i="44"/>
  <c r="E142" i="44"/>
  <c r="L141" i="44"/>
  <c r="K141" i="44"/>
  <c r="J141" i="44"/>
  <c r="H141" i="44"/>
  <c r="G141" i="44"/>
  <c r="E141" i="44"/>
  <c r="A141" i="44"/>
  <c r="R139" i="44"/>
  <c r="Q139" i="44"/>
  <c r="P139" i="44"/>
  <c r="O139" i="44"/>
  <c r="N139" i="44"/>
  <c r="K139" i="44"/>
  <c r="H139" i="44"/>
  <c r="M139" i="44" s="1"/>
  <c r="U139" i="44" s="1"/>
  <c r="V139" i="44" s="1"/>
  <c r="W138" i="44" s="1"/>
  <c r="P137" i="44"/>
  <c r="J137" i="44"/>
  <c r="Q137" i="44" s="1"/>
  <c r="I137" i="44"/>
  <c r="G137" i="44"/>
  <c r="O137" i="44" s="1"/>
  <c r="F137" i="44"/>
  <c r="J136" i="44"/>
  <c r="I136" i="44"/>
  <c r="P136" i="44" s="1"/>
  <c r="G136" i="44"/>
  <c r="O136" i="44" s="1"/>
  <c r="F136" i="44"/>
  <c r="E136" i="44"/>
  <c r="Q135" i="44"/>
  <c r="J135" i="44"/>
  <c r="I135" i="44"/>
  <c r="G135" i="44"/>
  <c r="O135" i="44" s="1"/>
  <c r="F135" i="44"/>
  <c r="N135" i="44" s="1"/>
  <c r="O134" i="44"/>
  <c r="I134" i="44"/>
  <c r="H134" i="44"/>
  <c r="E134" i="44"/>
  <c r="N134" i="44" s="1"/>
  <c r="K133" i="44"/>
  <c r="I133" i="44"/>
  <c r="H133" i="44"/>
  <c r="E133" i="44"/>
  <c r="Q132" i="44"/>
  <c r="J132" i="44"/>
  <c r="I132" i="44"/>
  <c r="K132" i="44" s="1"/>
  <c r="G132" i="44"/>
  <c r="O132" i="44" s="1"/>
  <c r="F132" i="44"/>
  <c r="E132" i="44"/>
  <c r="L131" i="44"/>
  <c r="I131" i="44"/>
  <c r="K131" i="44" s="1"/>
  <c r="F131" i="44"/>
  <c r="H131" i="44" s="1"/>
  <c r="E131" i="44"/>
  <c r="Q130" i="44"/>
  <c r="L130" i="44"/>
  <c r="R130" i="44" s="1"/>
  <c r="I130" i="44"/>
  <c r="K130" i="44" s="1"/>
  <c r="F130" i="44"/>
  <c r="H130" i="44" s="1"/>
  <c r="E130" i="44"/>
  <c r="O130" i="44" s="1"/>
  <c r="L129" i="44"/>
  <c r="R129" i="44" s="1"/>
  <c r="I129" i="44"/>
  <c r="K129" i="44" s="1"/>
  <c r="F129" i="44"/>
  <c r="N129" i="44" s="1"/>
  <c r="E129" i="44"/>
  <c r="O129" i="44" s="1"/>
  <c r="Q128" i="44"/>
  <c r="L128" i="44"/>
  <c r="I128" i="44"/>
  <c r="H128" i="44"/>
  <c r="F128" i="44"/>
  <c r="E128" i="44"/>
  <c r="O128" i="44" s="1"/>
  <c r="P127" i="44"/>
  <c r="L127" i="44"/>
  <c r="K127" i="44"/>
  <c r="I127" i="44"/>
  <c r="F127" i="44"/>
  <c r="E127" i="44"/>
  <c r="O127" i="44" s="1"/>
  <c r="L126" i="44"/>
  <c r="I126" i="44"/>
  <c r="K126" i="44" s="1"/>
  <c r="F126" i="44"/>
  <c r="E126" i="44"/>
  <c r="J124" i="44"/>
  <c r="I124" i="44"/>
  <c r="G124" i="44"/>
  <c r="F124" i="44"/>
  <c r="E124" i="44"/>
  <c r="O123" i="44"/>
  <c r="L123" i="44"/>
  <c r="I123" i="44"/>
  <c r="F123" i="44"/>
  <c r="H123" i="44" s="1"/>
  <c r="E123" i="44"/>
  <c r="Q123" i="44" s="1"/>
  <c r="R122" i="44"/>
  <c r="Q122" i="44"/>
  <c r="L122" i="44"/>
  <c r="I122" i="44"/>
  <c r="F122" i="44"/>
  <c r="H122" i="44" s="1"/>
  <c r="E122" i="44"/>
  <c r="O122" i="44" s="1"/>
  <c r="Q121" i="44"/>
  <c r="L121" i="44"/>
  <c r="I121" i="44"/>
  <c r="F121" i="44"/>
  <c r="E121" i="44"/>
  <c r="O121" i="44" s="1"/>
  <c r="O120" i="44"/>
  <c r="L120" i="44"/>
  <c r="K120" i="44"/>
  <c r="I120" i="44"/>
  <c r="P120" i="44" s="1"/>
  <c r="F120" i="44"/>
  <c r="E120" i="44"/>
  <c r="Q120" i="44" s="1"/>
  <c r="R119" i="44"/>
  <c r="N119" i="44"/>
  <c r="I119" i="44"/>
  <c r="H119" i="44"/>
  <c r="E119" i="44"/>
  <c r="Q119" i="44" s="1"/>
  <c r="J118" i="44"/>
  <c r="I118" i="44"/>
  <c r="K118" i="44" s="1"/>
  <c r="G118" i="44"/>
  <c r="F118" i="44"/>
  <c r="E118" i="44"/>
  <c r="A118" i="44"/>
  <c r="R116" i="44"/>
  <c r="Q116" i="44"/>
  <c r="P116" i="44"/>
  <c r="O116" i="44"/>
  <c r="S116" i="44" s="1"/>
  <c r="N116" i="44"/>
  <c r="K116" i="44"/>
  <c r="M116" i="44" s="1"/>
  <c r="H116" i="44"/>
  <c r="K115" i="44"/>
  <c r="J115" i="44"/>
  <c r="I115" i="44"/>
  <c r="P115" i="44" s="1"/>
  <c r="G115" i="44"/>
  <c r="O115" i="44" s="1"/>
  <c r="F115" i="44"/>
  <c r="E115" i="44"/>
  <c r="P114" i="44"/>
  <c r="L114" i="44"/>
  <c r="K114" i="44"/>
  <c r="J114" i="44"/>
  <c r="Q114" i="44" s="1"/>
  <c r="H114" i="44"/>
  <c r="G114" i="44"/>
  <c r="E114" i="44"/>
  <c r="N114" i="44" s="1"/>
  <c r="L113" i="44"/>
  <c r="K113" i="44"/>
  <c r="J113" i="44"/>
  <c r="G113" i="44"/>
  <c r="H113" i="44" s="1"/>
  <c r="E113" i="44"/>
  <c r="R111" i="44"/>
  <c r="P111" i="44"/>
  <c r="L111" i="44"/>
  <c r="J111" i="44"/>
  <c r="K111" i="44" s="1"/>
  <c r="G111" i="44"/>
  <c r="E111" i="44"/>
  <c r="N111" i="44" s="1"/>
  <c r="J110" i="44"/>
  <c r="I110" i="44"/>
  <c r="H110" i="44"/>
  <c r="F73" i="42" s="1"/>
  <c r="G110" i="44"/>
  <c r="F110" i="44"/>
  <c r="E110" i="44"/>
  <c r="R109" i="44"/>
  <c r="N109" i="44"/>
  <c r="L109" i="44"/>
  <c r="J109" i="44"/>
  <c r="G109" i="44"/>
  <c r="O109" i="44" s="1"/>
  <c r="E109" i="44"/>
  <c r="P109" i="44" s="1"/>
  <c r="A109" i="44"/>
  <c r="P107" i="44"/>
  <c r="L107" i="44"/>
  <c r="K107" i="44"/>
  <c r="J107" i="44"/>
  <c r="Q107" i="44" s="1"/>
  <c r="G107" i="44"/>
  <c r="O107" i="44" s="1"/>
  <c r="E107" i="44"/>
  <c r="N107" i="44" s="1"/>
  <c r="P106" i="44"/>
  <c r="L106" i="44"/>
  <c r="K106" i="44"/>
  <c r="J106" i="44"/>
  <c r="Q106" i="44" s="1"/>
  <c r="G106" i="44"/>
  <c r="H106" i="44" s="1"/>
  <c r="E106" i="44"/>
  <c r="N106" i="44" s="1"/>
  <c r="L105" i="44"/>
  <c r="J105" i="44"/>
  <c r="G105" i="44"/>
  <c r="H105" i="44" s="1"/>
  <c r="E105" i="44"/>
  <c r="P105" i="44" s="1"/>
  <c r="R104" i="44"/>
  <c r="N104" i="44"/>
  <c r="L104" i="44"/>
  <c r="J104" i="44"/>
  <c r="K104" i="44" s="1"/>
  <c r="H104" i="44"/>
  <c r="G104" i="44"/>
  <c r="O104" i="44" s="1"/>
  <c r="E104" i="44"/>
  <c r="P104" i="44" s="1"/>
  <c r="J103" i="44"/>
  <c r="Q103" i="44" s="1"/>
  <c r="I103" i="44"/>
  <c r="G103" i="44"/>
  <c r="O103" i="44" s="1"/>
  <c r="F103" i="44"/>
  <c r="N103" i="44" s="1"/>
  <c r="E103" i="44"/>
  <c r="J102" i="44"/>
  <c r="I102" i="44"/>
  <c r="G102" i="44"/>
  <c r="F102" i="44"/>
  <c r="E102" i="44"/>
  <c r="F101" i="44"/>
  <c r="N101" i="44" s="1"/>
  <c r="E101" i="44"/>
  <c r="J100" i="44"/>
  <c r="I100" i="44"/>
  <c r="P100" i="44" s="1"/>
  <c r="G100" i="44"/>
  <c r="F100" i="44"/>
  <c r="E100" i="44"/>
  <c r="L99" i="44"/>
  <c r="K99" i="44"/>
  <c r="J99" i="44"/>
  <c r="Q99" i="44" s="1"/>
  <c r="G99" i="44"/>
  <c r="E99" i="44"/>
  <c r="N99" i="44" s="1"/>
  <c r="P98" i="44"/>
  <c r="L98" i="44"/>
  <c r="J98" i="44"/>
  <c r="G98" i="44"/>
  <c r="H98" i="44" s="1"/>
  <c r="F61" i="42" s="1"/>
  <c r="E98" i="44"/>
  <c r="N98" i="44" s="1"/>
  <c r="K97" i="44"/>
  <c r="H97" i="44"/>
  <c r="M97" i="44" s="1"/>
  <c r="U97" i="44" s="1"/>
  <c r="V97" i="44" s="1"/>
  <c r="E97" i="44"/>
  <c r="N97" i="44" s="1"/>
  <c r="J95" i="44"/>
  <c r="Q95" i="44" s="1"/>
  <c r="I95" i="44"/>
  <c r="G95" i="44"/>
  <c r="O95" i="44" s="1"/>
  <c r="F95" i="44"/>
  <c r="J94" i="44"/>
  <c r="Q94" i="44" s="1"/>
  <c r="I94" i="44"/>
  <c r="G94" i="44"/>
  <c r="O94" i="44" s="1"/>
  <c r="F94" i="44"/>
  <c r="J93" i="44"/>
  <c r="Q93" i="44" s="1"/>
  <c r="I93" i="44"/>
  <c r="G93" i="44"/>
  <c r="O93" i="44" s="1"/>
  <c r="F93" i="44"/>
  <c r="H93" i="44" s="1"/>
  <c r="Q92" i="44"/>
  <c r="J92" i="44"/>
  <c r="I92" i="44"/>
  <c r="G92" i="44"/>
  <c r="O92" i="44" s="1"/>
  <c r="F92" i="44"/>
  <c r="J90" i="44"/>
  <c r="I90" i="44"/>
  <c r="K90" i="44" s="1"/>
  <c r="H90" i="44"/>
  <c r="G90" i="44"/>
  <c r="F90" i="44"/>
  <c r="E90" i="44"/>
  <c r="Q90" i="44" s="1"/>
  <c r="J89" i="44"/>
  <c r="Q89" i="44" s="1"/>
  <c r="I89" i="44"/>
  <c r="G89" i="44"/>
  <c r="F89" i="44"/>
  <c r="E89" i="44"/>
  <c r="Q88" i="44"/>
  <c r="J88" i="44"/>
  <c r="I88" i="44"/>
  <c r="P88" i="44" s="1"/>
  <c r="G88" i="44"/>
  <c r="O88" i="44" s="1"/>
  <c r="F88" i="44"/>
  <c r="R86" i="44"/>
  <c r="P86" i="44"/>
  <c r="N86" i="44"/>
  <c r="L86" i="44"/>
  <c r="J86" i="44"/>
  <c r="K86" i="44" s="1"/>
  <c r="H86" i="44"/>
  <c r="G86" i="44"/>
  <c r="O86" i="44" s="1"/>
  <c r="E86" i="44"/>
  <c r="L85" i="44"/>
  <c r="K85" i="44"/>
  <c r="J85" i="44"/>
  <c r="G85" i="44"/>
  <c r="O85" i="44" s="1"/>
  <c r="E85" i="44"/>
  <c r="N85" i="44" s="1"/>
  <c r="J84" i="44"/>
  <c r="I84" i="44"/>
  <c r="P84" i="44" s="1"/>
  <c r="G84" i="44"/>
  <c r="F84" i="44"/>
  <c r="E84" i="44"/>
  <c r="O84" i="44" s="1"/>
  <c r="J83" i="44"/>
  <c r="I83" i="44"/>
  <c r="G83" i="44"/>
  <c r="F83" i="44"/>
  <c r="E83" i="44"/>
  <c r="J82" i="44"/>
  <c r="I82" i="44"/>
  <c r="P82" i="44" s="1"/>
  <c r="G82" i="44"/>
  <c r="O82" i="44" s="1"/>
  <c r="F82" i="44"/>
  <c r="E82" i="44"/>
  <c r="L81" i="44"/>
  <c r="K81" i="44"/>
  <c r="J81" i="44"/>
  <c r="G81" i="44"/>
  <c r="H81" i="44" s="1"/>
  <c r="E81" i="44"/>
  <c r="O81" i="44" s="1"/>
  <c r="J80" i="44"/>
  <c r="I80" i="44"/>
  <c r="G80" i="44"/>
  <c r="F80" i="44"/>
  <c r="H80" i="44" s="1"/>
  <c r="E80" i="44"/>
  <c r="J79" i="44"/>
  <c r="I79" i="44"/>
  <c r="P79" i="44" s="1"/>
  <c r="G79" i="44"/>
  <c r="H79" i="44" s="1"/>
  <c r="F79" i="44"/>
  <c r="E79" i="44"/>
  <c r="L77" i="44"/>
  <c r="K77" i="44"/>
  <c r="J77" i="44"/>
  <c r="G77" i="44"/>
  <c r="H77" i="44" s="1"/>
  <c r="E77" i="44"/>
  <c r="O77" i="44" s="1"/>
  <c r="J76" i="44"/>
  <c r="I76" i="44"/>
  <c r="G76" i="44"/>
  <c r="F76" i="44"/>
  <c r="H76" i="44" s="1"/>
  <c r="F39" i="42" s="1"/>
  <c r="E76" i="44"/>
  <c r="J75" i="44"/>
  <c r="I75" i="44"/>
  <c r="P75" i="44" s="1"/>
  <c r="G75" i="44"/>
  <c r="F75" i="44"/>
  <c r="E75" i="44"/>
  <c r="J74" i="44"/>
  <c r="I74" i="44"/>
  <c r="K74" i="44" s="1"/>
  <c r="H74" i="44"/>
  <c r="L74" i="44" s="1"/>
  <c r="R74" i="44" s="1"/>
  <c r="G74" i="44"/>
  <c r="F74" i="44"/>
  <c r="E74" i="44"/>
  <c r="Q74" i="44" s="1"/>
  <c r="R73" i="44"/>
  <c r="P73" i="44"/>
  <c r="N73" i="44"/>
  <c r="L73" i="44"/>
  <c r="J73" i="44"/>
  <c r="K73" i="44" s="1"/>
  <c r="H73" i="44"/>
  <c r="F36" i="42" s="1"/>
  <c r="G73" i="44"/>
  <c r="O73" i="44" s="1"/>
  <c r="E73" i="44"/>
  <c r="P72" i="44"/>
  <c r="L72" i="44"/>
  <c r="J72" i="44"/>
  <c r="K72" i="44" s="1"/>
  <c r="G72" i="44"/>
  <c r="O72" i="44" s="1"/>
  <c r="E72" i="44"/>
  <c r="N72" i="44" s="1"/>
  <c r="J70" i="44"/>
  <c r="Q70" i="44" s="1"/>
  <c r="I70" i="44"/>
  <c r="P70" i="44" s="1"/>
  <c r="G70" i="44"/>
  <c r="O70" i="44" s="1"/>
  <c r="F70" i="44"/>
  <c r="R68" i="44"/>
  <c r="Q68" i="44"/>
  <c r="P68" i="44"/>
  <c r="O68" i="44"/>
  <c r="N68" i="44"/>
  <c r="M68" i="44"/>
  <c r="U68" i="44" s="1"/>
  <c r="V68" i="44" s="1"/>
  <c r="K68" i="44"/>
  <c r="I68" i="44"/>
  <c r="H68" i="44"/>
  <c r="R67" i="44"/>
  <c r="L67" i="44"/>
  <c r="J67" i="44"/>
  <c r="G67" i="44"/>
  <c r="F67" i="44"/>
  <c r="H67" i="44" s="1"/>
  <c r="F30" i="42" s="1"/>
  <c r="E67" i="44"/>
  <c r="L66" i="44"/>
  <c r="J66" i="44"/>
  <c r="Q66" i="44" s="1"/>
  <c r="H66" i="44"/>
  <c r="G66" i="44"/>
  <c r="O66" i="44" s="1"/>
  <c r="E66" i="44"/>
  <c r="P66" i="44" s="1"/>
  <c r="K65" i="44"/>
  <c r="G65" i="44"/>
  <c r="E65" i="44"/>
  <c r="P65" i="44" s="1"/>
  <c r="L64" i="44"/>
  <c r="K64" i="44"/>
  <c r="J64" i="44"/>
  <c r="G64" i="44"/>
  <c r="H64" i="44" s="1"/>
  <c r="E64" i="44"/>
  <c r="P64" i="44" s="1"/>
  <c r="L63" i="44"/>
  <c r="J63" i="44"/>
  <c r="I63" i="44" s="1"/>
  <c r="G63" i="44"/>
  <c r="F63" i="44" s="1"/>
  <c r="H63" i="44" s="1"/>
  <c r="F26" i="42" s="1"/>
  <c r="E63" i="44"/>
  <c r="R63" i="44" s="1"/>
  <c r="N62" i="44"/>
  <c r="L62" i="44"/>
  <c r="J62" i="44"/>
  <c r="G62" i="44"/>
  <c r="O62" i="44" s="1"/>
  <c r="E62" i="44"/>
  <c r="P62" i="44" s="1"/>
  <c r="J60" i="44"/>
  <c r="Q60" i="44" s="1"/>
  <c r="I60" i="44"/>
  <c r="K60" i="44" s="1"/>
  <c r="H60" i="44"/>
  <c r="G60" i="44"/>
  <c r="O60" i="44" s="1"/>
  <c r="F60" i="44"/>
  <c r="N60" i="44" s="1"/>
  <c r="Q59" i="44"/>
  <c r="J59" i="44"/>
  <c r="I59" i="44"/>
  <c r="K59" i="44" s="1"/>
  <c r="H59" i="44"/>
  <c r="G59" i="44"/>
  <c r="O59" i="44" s="1"/>
  <c r="F59" i="44"/>
  <c r="E59" i="44"/>
  <c r="J58" i="44"/>
  <c r="Q58" i="44" s="1"/>
  <c r="I58" i="44"/>
  <c r="G58" i="44"/>
  <c r="O58" i="44" s="1"/>
  <c r="F58" i="44"/>
  <c r="H58" i="44" s="1"/>
  <c r="F21" i="42" s="1"/>
  <c r="K200" i="42" s="1"/>
  <c r="L200" i="42" s="1"/>
  <c r="J57" i="44"/>
  <c r="Q57" i="44" s="1"/>
  <c r="I57" i="44"/>
  <c r="G57" i="44"/>
  <c r="O57" i="44" s="1"/>
  <c r="F57" i="44"/>
  <c r="H57" i="44" s="1"/>
  <c r="Q56" i="44"/>
  <c r="J56" i="44"/>
  <c r="I56" i="44"/>
  <c r="G56" i="44"/>
  <c r="O56" i="44" s="1"/>
  <c r="F56" i="44"/>
  <c r="J55" i="44"/>
  <c r="Q55" i="44" s="1"/>
  <c r="I55" i="44"/>
  <c r="G55" i="44"/>
  <c r="O55" i="44" s="1"/>
  <c r="F55" i="44"/>
  <c r="H55" i="44" s="1"/>
  <c r="J54" i="44"/>
  <c r="I54" i="44"/>
  <c r="G54" i="44"/>
  <c r="F54" i="44"/>
  <c r="H54" i="44" s="1"/>
  <c r="E54" i="44"/>
  <c r="L53" i="44"/>
  <c r="J53" i="44"/>
  <c r="Q53" i="44" s="1"/>
  <c r="G53" i="44"/>
  <c r="H53" i="44" s="1"/>
  <c r="E53" i="44"/>
  <c r="P53" i="44" s="1"/>
  <c r="N52" i="44"/>
  <c r="L52" i="44"/>
  <c r="R52" i="44" s="1"/>
  <c r="J52" i="44"/>
  <c r="K52" i="44" s="1"/>
  <c r="G52" i="44"/>
  <c r="O52" i="44" s="1"/>
  <c r="E52" i="44"/>
  <c r="P52" i="44" s="1"/>
  <c r="J51" i="44"/>
  <c r="I51" i="44"/>
  <c r="K51" i="44" s="1"/>
  <c r="H51" i="44"/>
  <c r="G51" i="44"/>
  <c r="F51" i="44"/>
  <c r="E51" i="44"/>
  <c r="Q51" i="44" s="1"/>
  <c r="R50" i="44"/>
  <c r="L50" i="44"/>
  <c r="J50" i="44"/>
  <c r="K50" i="44" s="1"/>
  <c r="H50" i="44"/>
  <c r="M50" i="44" s="1"/>
  <c r="U50" i="44" s="1"/>
  <c r="V50" i="44" s="1"/>
  <c r="G50" i="44"/>
  <c r="E50" i="44"/>
  <c r="P50" i="44" s="1"/>
  <c r="Q49" i="44"/>
  <c r="P49" i="44"/>
  <c r="L49" i="44"/>
  <c r="J49" i="44"/>
  <c r="K49" i="44" s="1"/>
  <c r="H49" i="44"/>
  <c r="G49" i="44"/>
  <c r="O49" i="44" s="1"/>
  <c r="E49" i="44"/>
  <c r="N49" i="44" s="1"/>
  <c r="L48" i="44"/>
  <c r="K48" i="44"/>
  <c r="J48" i="44"/>
  <c r="G48" i="44"/>
  <c r="H48" i="44" s="1"/>
  <c r="E48" i="44"/>
  <c r="N48" i="44" s="1"/>
  <c r="L47" i="44"/>
  <c r="J47" i="44"/>
  <c r="Q47" i="44" s="1"/>
  <c r="G47" i="44"/>
  <c r="H47" i="44" s="1"/>
  <c r="F10" i="42" s="1"/>
  <c r="E47" i="44"/>
  <c r="P47" i="44" s="1"/>
  <c r="J45" i="44"/>
  <c r="Q45" i="44" s="1"/>
  <c r="I45" i="44"/>
  <c r="G45" i="44"/>
  <c r="O45" i="44" s="1"/>
  <c r="F45" i="44"/>
  <c r="N45" i="44" s="1"/>
  <c r="E45" i="44"/>
  <c r="M44" i="44"/>
  <c r="U44" i="44" s="1"/>
  <c r="V44" i="44" s="1"/>
  <c r="K44" i="44"/>
  <c r="F44" i="44"/>
  <c r="H44" i="44" s="1"/>
  <c r="E44" i="44"/>
  <c r="R44" i="44" s="1"/>
  <c r="R43" i="44"/>
  <c r="I43" i="44"/>
  <c r="H43" i="44"/>
  <c r="E43" i="44"/>
  <c r="Q43" i="44" s="1"/>
  <c r="Q42" i="44"/>
  <c r="P42" i="44"/>
  <c r="O42" i="44"/>
  <c r="N42" i="44"/>
  <c r="L42" i="44"/>
  <c r="R42" i="44" s="1"/>
  <c r="S42" i="44" s="1"/>
  <c r="K42" i="44"/>
  <c r="H42" i="44"/>
  <c r="K41" i="44"/>
  <c r="I41" i="44"/>
  <c r="F41" i="44"/>
  <c r="E41" i="44"/>
  <c r="Q41" i="44" s="1"/>
  <c r="I40" i="44"/>
  <c r="F40" i="44"/>
  <c r="H40" i="44" s="1"/>
  <c r="F40" i="41" s="1"/>
  <c r="E40" i="44"/>
  <c r="O40" i="44" s="1"/>
  <c r="J39" i="44"/>
  <c r="I39" i="44"/>
  <c r="F39" i="44"/>
  <c r="H39" i="44" s="1"/>
  <c r="F39" i="41" s="1"/>
  <c r="E39" i="44"/>
  <c r="R39" i="44" s="1"/>
  <c r="Q38" i="44"/>
  <c r="I38" i="44"/>
  <c r="H38" i="44"/>
  <c r="F38" i="41" s="1"/>
  <c r="F38" i="44"/>
  <c r="N38" i="44" s="1"/>
  <c r="E38" i="44"/>
  <c r="O38" i="44" s="1"/>
  <c r="K37" i="44"/>
  <c r="I37" i="44"/>
  <c r="F37" i="44"/>
  <c r="E37" i="44"/>
  <c r="O37" i="44" s="1"/>
  <c r="J36" i="44"/>
  <c r="Q36" i="44" s="1"/>
  <c r="I36" i="44"/>
  <c r="P36" i="44" s="1"/>
  <c r="F36" i="44"/>
  <c r="E36" i="44"/>
  <c r="O36" i="44" s="1"/>
  <c r="P35" i="44"/>
  <c r="I35" i="44"/>
  <c r="K35" i="44" s="1"/>
  <c r="F35" i="44"/>
  <c r="E35" i="44"/>
  <c r="Q35" i="44" s="1"/>
  <c r="I34" i="44"/>
  <c r="P34" i="44" s="1"/>
  <c r="F34" i="44"/>
  <c r="H34" i="44" s="1"/>
  <c r="F34" i="41" s="1"/>
  <c r="E34" i="44"/>
  <c r="O34" i="44" s="1"/>
  <c r="I33" i="44"/>
  <c r="P33" i="44" s="1"/>
  <c r="H33" i="44"/>
  <c r="F33" i="41" s="1"/>
  <c r="F33" i="44"/>
  <c r="E33" i="44"/>
  <c r="Q33" i="44" s="1"/>
  <c r="I32" i="44"/>
  <c r="F32" i="44"/>
  <c r="H32" i="44" s="1"/>
  <c r="F32" i="41" s="1"/>
  <c r="E32" i="44"/>
  <c r="O32" i="44" s="1"/>
  <c r="Q31" i="44"/>
  <c r="I31" i="44"/>
  <c r="K31" i="44" s="1"/>
  <c r="H31" i="44"/>
  <c r="F31" i="41" s="1"/>
  <c r="F31" i="44"/>
  <c r="N31" i="44" s="1"/>
  <c r="E31" i="44"/>
  <c r="O31" i="44" s="1"/>
  <c r="I30" i="44"/>
  <c r="K30" i="44" s="1"/>
  <c r="F30" i="44"/>
  <c r="E30" i="44"/>
  <c r="Q30" i="44" s="1"/>
  <c r="I29" i="44"/>
  <c r="K29" i="44" s="1"/>
  <c r="H29" i="44"/>
  <c r="F29" i="44"/>
  <c r="E29" i="44"/>
  <c r="Q29" i="44" s="1"/>
  <c r="Q28" i="44"/>
  <c r="I28" i="44"/>
  <c r="F28" i="44"/>
  <c r="N28" i="44" s="1"/>
  <c r="E28" i="44"/>
  <c r="O28" i="44" s="1"/>
  <c r="I27" i="44"/>
  <c r="K27" i="44" s="1"/>
  <c r="H27" i="44"/>
  <c r="F27" i="41" s="1"/>
  <c r="F27" i="44"/>
  <c r="E27" i="44"/>
  <c r="O27" i="44" s="1"/>
  <c r="O26" i="44"/>
  <c r="J26" i="44"/>
  <c r="Q26" i="44" s="1"/>
  <c r="I26" i="44"/>
  <c r="P26" i="44" s="1"/>
  <c r="H26" i="44"/>
  <c r="F26" i="41" s="1"/>
  <c r="G26" i="44"/>
  <c r="F26" i="44"/>
  <c r="N26" i="44" s="1"/>
  <c r="P25" i="44"/>
  <c r="K25" i="44"/>
  <c r="J25" i="44"/>
  <c r="I25" i="44"/>
  <c r="G25" i="44"/>
  <c r="O25" i="44" s="1"/>
  <c r="F25" i="44"/>
  <c r="N25" i="44" s="1"/>
  <c r="E25" i="44"/>
  <c r="Z24" i="44"/>
  <c r="R23" i="44"/>
  <c r="Q23" i="44"/>
  <c r="P23" i="44"/>
  <c r="O23" i="44"/>
  <c r="S23" i="44" s="1"/>
  <c r="N23" i="44"/>
  <c r="K23" i="44"/>
  <c r="H23" i="44"/>
  <c r="M23" i="44" s="1"/>
  <c r="R22" i="44"/>
  <c r="Q22" i="44"/>
  <c r="O22" i="44"/>
  <c r="N22" i="44"/>
  <c r="I22" i="44"/>
  <c r="P22" i="44" s="1"/>
  <c r="H22" i="44"/>
  <c r="J21" i="44"/>
  <c r="K21" i="44" s="1"/>
  <c r="H21" i="44"/>
  <c r="F21" i="44"/>
  <c r="E21" i="44"/>
  <c r="P21" i="44" s="1"/>
  <c r="J20" i="44"/>
  <c r="Q20" i="44" s="1"/>
  <c r="I20" i="44"/>
  <c r="K20" i="44" s="1"/>
  <c r="H20" i="44"/>
  <c r="F20" i="41" s="1"/>
  <c r="G20" i="44"/>
  <c r="O20" i="44" s="1"/>
  <c r="F20" i="44"/>
  <c r="N20" i="44" s="1"/>
  <c r="Q19" i="44"/>
  <c r="L19" i="44"/>
  <c r="J19" i="44"/>
  <c r="I19" i="44"/>
  <c r="K19" i="44" s="1"/>
  <c r="H19" i="44"/>
  <c r="M19" i="44" s="1"/>
  <c r="U19" i="44" s="1"/>
  <c r="V19" i="44" s="1"/>
  <c r="E19" i="44"/>
  <c r="O19" i="44" s="1"/>
  <c r="R17" i="44"/>
  <c r="O17" i="44"/>
  <c r="J17" i="44"/>
  <c r="Q17" i="44" s="1"/>
  <c r="I17" i="44"/>
  <c r="G17" i="44"/>
  <c r="F17" i="44"/>
  <c r="H17" i="44" s="1"/>
  <c r="F17" i="41" s="1"/>
  <c r="J16" i="44"/>
  <c r="Q16" i="44" s="1"/>
  <c r="I16" i="44"/>
  <c r="G16" i="44"/>
  <c r="O16" i="44" s="1"/>
  <c r="F16" i="44"/>
  <c r="H16" i="44" s="1"/>
  <c r="F16" i="41" s="1"/>
  <c r="Q15" i="44"/>
  <c r="J15" i="44"/>
  <c r="I15" i="44"/>
  <c r="G15" i="44"/>
  <c r="O15" i="44" s="1"/>
  <c r="F15" i="44"/>
  <c r="R14" i="44"/>
  <c r="Q14" i="44"/>
  <c r="O14" i="44"/>
  <c r="N14" i="44"/>
  <c r="J14" i="44"/>
  <c r="I14" i="44"/>
  <c r="H14" i="44"/>
  <c r="J13" i="44"/>
  <c r="Q13" i="44" s="1"/>
  <c r="I13" i="44"/>
  <c r="P13" i="44" s="1"/>
  <c r="G13" i="44"/>
  <c r="O13" i="44" s="1"/>
  <c r="F13" i="44"/>
  <c r="O12" i="44"/>
  <c r="J12" i="44"/>
  <c r="Q12" i="44" s="1"/>
  <c r="I12" i="44"/>
  <c r="P12" i="44" s="1"/>
  <c r="G12" i="44"/>
  <c r="F12" i="44"/>
  <c r="N12" i="44" s="1"/>
  <c r="R11" i="44"/>
  <c r="Q11" i="44"/>
  <c r="P11" i="44"/>
  <c r="O11" i="44"/>
  <c r="N11" i="44"/>
  <c r="S11" i="44" s="1"/>
  <c r="K11" i="44"/>
  <c r="H11" i="44"/>
  <c r="M11" i="44" s="1"/>
  <c r="U11" i="44" s="1"/>
  <c r="V11" i="44" s="1"/>
  <c r="J10" i="44"/>
  <c r="Q10" i="44" s="1"/>
  <c r="I10" i="44"/>
  <c r="G10" i="44"/>
  <c r="O10" i="44" s="1"/>
  <c r="F10" i="44"/>
  <c r="H10" i="44" s="1"/>
  <c r="F10" i="41" s="1"/>
  <c r="V9" i="44"/>
  <c r="R9" i="44"/>
  <c r="Q9" i="44"/>
  <c r="P9" i="44"/>
  <c r="O9" i="44"/>
  <c r="N9" i="44"/>
  <c r="M9" i="44"/>
  <c r="U9" i="44" s="1"/>
  <c r="K9" i="44"/>
  <c r="H9" i="44"/>
  <c r="T5" i="44"/>
  <c r="F141" i="42" s="1"/>
  <c r="W2" i="44"/>
  <c r="I205" i="44" s="1"/>
  <c r="V2" i="44"/>
  <c r="M199" i="42" l="1"/>
  <c r="S200" i="42"/>
  <c r="R200" i="42"/>
  <c r="Q200" i="42"/>
  <c r="I141" i="42"/>
  <c r="T141" i="42" s="1"/>
  <c r="G141" i="42"/>
  <c r="J141" i="42" s="1"/>
  <c r="U141" i="42" s="1"/>
  <c r="I10" i="42"/>
  <c r="T10" i="42" s="1"/>
  <c r="G10" i="42"/>
  <c r="I26" i="42"/>
  <c r="T26" i="42" s="1"/>
  <c r="G26" i="42"/>
  <c r="I39" i="42"/>
  <c r="G39" i="42"/>
  <c r="I73" i="42"/>
  <c r="T73" i="42" s="1"/>
  <c r="G73" i="42"/>
  <c r="I179" i="42"/>
  <c r="T179" i="42" s="1"/>
  <c r="G179" i="42"/>
  <c r="I30" i="42"/>
  <c r="T30" i="42" s="1"/>
  <c r="G30" i="42"/>
  <c r="I61" i="42"/>
  <c r="T61" i="42" s="1"/>
  <c r="G61" i="42"/>
  <c r="I123" i="42"/>
  <c r="T123" i="42" s="1"/>
  <c r="G123" i="42"/>
  <c r="I21" i="42"/>
  <c r="T21" i="42" s="1"/>
  <c r="G21" i="42"/>
  <c r="I36" i="42"/>
  <c r="T36" i="42" s="1"/>
  <c r="G36" i="42"/>
  <c r="J36" i="42" s="1"/>
  <c r="U36" i="42" s="1"/>
  <c r="I22" i="41"/>
  <c r="G22" i="41"/>
  <c r="I20" i="41"/>
  <c r="G20" i="41"/>
  <c r="J20" i="41" s="1"/>
  <c r="I27" i="41"/>
  <c r="G27" i="41"/>
  <c r="I32" i="41"/>
  <c r="G32" i="41"/>
  <c r="I9" i="41"/>
  <c r="G9" i="41"/>
  <c r="J9" i="41" s="1"/>
  <c r="I31" i="41"/>
  <c r="G31" i="41"/>
  <c r="I33" i="41"/>
  <c r="G33" i="41"/>
  <c r="I10" i="41"/>
  <c r="G10" i="41"/>
  <c r="J10" i="41" s="1"/>
  <c r="I16" i="41"/>
  <c r="G16" i="41"/>
  <c r="I17" i="41"/>
  <c r="G17" i="41"/>
  <c r="I26" i="41"/>
  <c r="G26" i="41"/>
  <c r="I34" i="41"/>
  <c r="G34" i="41"/>
  <c r="I38" i="41"/>
  <c r="G38" i="41"/>
  <c r="I39" i="41"/>
  <c r="G39" i="41"/>
  <c r="I40" i="41"/>
  <c r="G40" i="41"/>
  <c r="I14" i="41"/>
  <c r="G14" i="41"/>
  <c r="T39" i="42"/>
  <c r="M64" i="44"/>
  <c r="U64" i="44" s="1"/>
  <c r="V64" i="44" s="1"/>
  <c r="F27" i="42"/>
  <c r="O47" i="44"/>
  <c r="M49" i="44"/>
  <c r="U49" i="44" s="1"/>
  <c r="V49" i="44" s="1"/>
  <c r="F12" i="42"/>
  <c r="Q54" i="44"/>
  <c r="M86" i="44"/>
  <c r="U86" i="44" s="1"/>
  <c r="V86" i="44" s="1"/>
  <c r="F49" i="42"/>
  <c r="Q100" i="44"/>
  <c r="L171" i="44"/>
  <c r="P27" i="44"/>
  <c r="H28" i="44"/>
  <c r="F28" i="41" s="1"/>
  <c r="J31" i="41"/>
  <c r="Q32" i="44"/>
  <c r="J34" i="44"/>
  <c r="Q34" i="44" s="1"/>
  <c r="K36" i="44"/>
  <c r="N37" i="44"/>
  <c r="Q37" i="44"/>
  <c r="N39" i="44"/>
  <c r="Q44" i="44"/>
  <c r="H52" i="44"/>
  <c r="F17" i="42"/>
  <c r="F18" i="42"/>
  <c r="N55" i="44"/>
  <c r="F20" i="42"/>
  <c r="H62" i="44"/>
  <c r="F25" i="42" s="1"/>
  <c r="N64" i="44"/>
  <c r="O67" i="44"/>
  <c r="Q72" i="44"/>
  <c r="N74" i="44"/>
  <c r="N75" i="44"/>
  <c r="K75" i="44"/>
  <c r="O76" i="44"/>
  <c r="F40" i="42"/>
  <c r="Q79" i="44"/>
  <c r="F43" i="42"/>
  <c r="H85" i="44"/>
  <c r="F56" i="42"/>
  <c r="N93" i="44"/>
  <c r="Q98" i="44"/>
  <c r="R99" i="44"/>
  <c r="N100" i="44"/>
  <c r="K100" i="44"/>
  <c r="I101" i="44"/>
  <c r="H103" i="44"/>
  <c r="O105" i="44"/>
  <c r="M114" i="44"/>
  <c r="U114" i="44" s="1"/>
  <c r="V114" i="44" s="1"/>
  <c r="F77" i="42"/>
  <c r="P118" i="44"/>
  <c r="F86" i="42"/>
  <c r="Q146" i="44"/>
  <c r="O146" i="44"/>
  <c r="F111" i="42"/>
  <c r="F115" i="42"/>
  <c r="F120" i="42"/>
  <c r="O165" i="44"/>
  <c r="H165" i="44"/>
  <c r="F128" i="42" s="1"/>
  <c r="Q172" i="44"/>
  <c r="O172" i="44"/>
  <c r="P176" i="44"/>
  <c r="K176" i="44"/>
  <c r="F144" i="42"/>
  <c r="L182" i="44"/>
  <c r="R182" i="44" s="1"/>
  <c r="L186" i="44"/>
  <c r="R186" i="44" s="1"/>
  <c r="P193" i="44"/>
  <c r="K193" i="44"/>
  <c r="L27" i="44"/>
  <c r="R27" i="44" s="1"/>
  <c r="J27" i="41"/>
  <c r="N32" i="44"/>
  <c r="P37" i="44"/>
  <c r="L51" i="44"/>
  <c r="R51" i="44" s="1"/>
  <c r="F14" i="42"/>
  <c r="P141" i="44"/>
  <c r="O141" i="44"/>
  <c r="O151" i="44"/>
  <c r="Q151" i="44"/>
  <c r="P163" i="44"/>
  <c r="K163" i="44"/>
  <c r="L169" i="44"/>
  <c r="F82" i="42"/>
  <c r="K205" i="42" s="1"/>
  <c r="L205" i="42" s="1"/>
  <c r="F134" i="42"/>
  <c r="K212" i="42" s="1"/>
  <c r="L212" i="42" s="1"/>
  <c r="F138" i="42"/>
  <c r="F166" i="42"/>
  <c r="F171" i="42"/>
  <c r="F183" i="42"/>
  <c r="F191" i="42"/>
  <c r="F31" i="42"/>
  <c r="K202" i="42" s="1"/>
  <c r="L202" i="42" s="1"/>
  <c r="F60" i="42"/>
  <c r="F96" i="42"/>
  <c r="F131" i="42"/>
  <c r="F135" i="42"/>
  <c r="F167" i="42"/>
  <c r="F173" i="42"/>
  <c r="F184" i="42"/>
  <c r="F193" i="42"/>
  <c r="F79" i="42"/>
  <c r="F97" i="42"/>
  <c r="F102" i="42"/>
  <c r="F132" i="42"/>
  <c r="F136" i="42"/>
  <c r="F168" i="42"/>
  <c r="F175" i="42"/>
  <c r="F185" i="42"/>
  <c r="F194" i="42"/>
  <c r="F170" i="42"/>
  <c r="F190" i="42"/>
  <c r="F23" i="41"/>
  <c r="F133" i="42"/>
  <c r="F176" i="42"/>
  <c r="F43" i="41"/>
  <c r="F11" i="41"/>
  <c r="U116" i="44"/>
  <c r="V116" i="44" s="1"/>
  <c r="F137" i="42"/>
  <c r="F158" i="42"/>
  <c r="F21" i="41"/>
  <c r="F19" i="41"/>
  <c r="H13" i="44"/>
  <c r="F13" i="41" s="1"/>
  <c r="K13" i="44"/>
  <c r="S22" i="44"/>
  <c r="U23" i="44"/>
  <c r="V23" i="44" s="1"/>
  <c r="Q25" i="44"/>
  <c r="K26" i="44"/>
  <c r="J26" i="41" s="1"/>
  <c r="N27" i="44"/>
  <c r="Q27" i="44"/>
  <c r="S27" i="44" s="1"/>
  <c r="P31" i="44"/>
  <c r="N36" i="44"/>
  <c r="O39" i="44"/>
  <c r="J40" i="44"/>
  <c r="K40" i="44" s="1"/>
  <c r="N43" i="44"/>
  <c r="H45" i="44"/>
  <c r="F11" i="42"/>
  <c r="R49" i="44"/>
  <c r="O50" i="44"/>
  <c r="N53" i="44"/>
  <c r="N59" i="44"/>
  <c r="S59" i="44" s="1"/>
  <c r="Q62" i="44"/>
  <c r="Q67" i="44"/>
  <c r="H70" i="44"/>
  <c r="F33" i="42" s="1"/>
  <c r="Q73" i="44"/>
  <c r="O74" i="44"/>
  <c r="H75" i="44"/>
  <c r="F38" i="42" s="1"/>
  <c r="P76" i="44"/>
  <c r="N79" i="44"/>
  <c r="K79" i="44"/>
  <c r="O80" i="44"/>
  <c r="F44" i="42"/>
  <c r="K88" i="44"/>
  <c r="O89" i="44"/>
  <c r="R97" i="44"/>
  <c r="K98" i="44"/>
  <c r="P99" i="44"/>
  <c r="S99" i="44" s="1"/>
  <c r="J101" i="44"/>
  <c r="Q101" i="44" s="1"/>
  <c r="H102" i="44"/>
  <c r="F65" i="42" s="1"/>
  <c r="K103" i="44"/>
  <c r="F68" i="42"/>
  <c r="O118" i="44"/>
  <c r="Q126" i="44"/>
  <c r="O126" i="44"/>
  <c r="F91" i="42"/>
  <c r="R131" i="44"/>
  <c r="F104" i="42"/>
  <c r="P142" i="44"/>
  <c r="N142" i="44"/>
  <c r="R142" i="44"/>
  <c r="F116" i="42"/>
  <c r="O155" i="44"/>
  <c r="Q155" i="44"/>
  <c r="N156" i="44"/>
  <c r="R159" i="44"/>
  <c r="P161" i="44"/>
  <c r="K161" i="44"/>
  <c r="Q168" i="44"/>
  <c r="O168" i="44"/>
  <c r="F148" i="42"/>
  <c r="F153" i="42"/>
  <c r="N191" i="44"/>
  <c r="H191" i="44"/>
  <c r="F154" i="42" s="1"/>
  <c r="N200" i="44"/>
  <c r="H200" i="44"/>
  <c r="F163" i="42" s="1"/>
  <c r="Q221" i="44"/>
  <c r="R221" i="44"/>
  <c r="O221" i="44"/>
  <c r="N221" i="44"/>
  <c r="N226" i="44"/>
  <c r="H226" i="44"/>
  <c r="F189" i="42" s="1"/>
  <c r="Q230" i="44"/>
  <c r="R230" i="44"/>
  <c r="O230" i="44"/>
  <c r="S230" i="44" s="1"/>
  <c r="N230" i="44"/>
  <c r="F44" i="41"/>
  <c r="F125" i="42"/>
  <c r="M59" i="44"/>
  <c r="U59" i="44" s="1"/>
  <c r="V59" i="44" s="1"/>
  <c r="F22" i="42"/>
  <c r="Q75" i="44"/>
  <c r="L90" i="44"/>
  <c r="R90" i="44" s="1"/>
  <c r="F53" i="42"/>
  <c r="M104" i="44"/>
  <c r="U104" i="44" s="1"/>
  <c r="V104" i="44" s="1"/>
  <c r="F67" i="42"/>
  <c r="O111" i="44"/>
  <c r="H111" i="44"/>
  <c r="L133" i="44"/>
  <c r="K167" i="44"/>
  <c r="P167" i="44"/>
  <c r="H15" i="44"/>
  <c r="F15" i="41" s="1"/>
  <c r="N15" i="44"/>
  <c r="R19" i="44"/>
  <c r="N21" i="44"/>
  <c r="F29" i="41"/>
  <c r="O35" i="44"/>
  <c r="O43" i="44"/>
  <c r="K45" i="44"/>
  <c r="N47" i="44"/>
  <c r="F13" i="42"/>
  <c r="N50" i="44"/>
  <c r="F16" i="42"/>
  <c r="O53" i="44"/>
  <c r="H56" i="44"/>
  <c r="F19" i="42" s="1"/>
  <c r="N56" i="44"/>
  <c r="L59" i="44"/>
  <c r="R59" i="44" s="1"/>
  <c r="L60" i="44"/>
  <c r="R60" i="44" s="1"/>
  <c r="F23" i="42"/>
  <c r="F29" i="42"/>
  <c r="S72" i="44"/>
  <c r="R72" i="44"/>
  <c r="M73" i="44"/>
  <c r="U73" i="44" s="1"/>
  <c r="V73" i="44" s="1"/>
  <c r="M74" i="44"/>
  <c r="U74" i="44" s="1"/>
  <c r="V74" i="44" s="1"/>
  <c r="F37" i="42"/>
  <c r="F42" i="42"/>
  <c r="P80" i="44"/>
  <c r="H82" i="44"/>
  <c r="F45" i="42" s="1"/>
  <c r="H92" i="44"/>
  <c r="F55" i="42" s="1"/>
  <c r="N92" i="44"/>
  <c r="H95" i="44"/>
  <c r="F58" i="42" s="1"/>
  <c r="M106" i="44"/>
  <c r="U106" i="44" s="1"/>
  <c r="V106" i="44" s="1"/>
  <c r="F69" i="42"/>
  <c r="F76" i="42"/>
  <c r="H115" i="44"/>
  <c r="F78" i="42" s="1"/>
  <c r="P121" i="44"/>
  <c r="K121" i="44"/>
  <c r="F85" i="42"/>
  <c r="F93" i="42"/>
  <c r="K207" i="42" s="1"/>
  <c r="L207" i="42" s="1"/>
  <c r="M130" i="44"/>
  <c r="U130" i="44" s="1"/>
  <c r="V130" i="44" s="1"/>
  <c r="P134" i="44"/>
  <c r="S134" i="44" s="1"/>
  <c r="K134" i="44"/>
  <c r="R143" i="44"/>
  <c r="F112" i="42"/>
  <c r="R151" i="44"/>
  <c r="F119" i="42"/>
  <c r="K210" i="42" s="1"/>
  <c r="L210" i="42" s="1"/>
  <c r="O159" i="44"/>
  <c r="Q159" i="44"/>
  <c r="N160" i="44"/>
  <c r="K166" i="44"/>
  <c r="P166" i="44"/>
  <c r="M169" i="44"/>
  <c r="U169" i="44" s="1"/>
  <c r="V169" i="44" s="1"/>
  <c r="F140" i="42"/>
  <c r="F155" i="42"/>
  <c r="L217" i="44"/>
  <c r="R217" i="44" s="1"/>
  <c r="L225" i="44"/>
  <c r="R225" i="44" s="1"/>
  <c r="F188" i="42"/>
  <c r="F42" i="41"/>
  <c r="R107" i="44"/>
  <c r="S107" i="44" s="1"/>
  <c r="Q110" i="44"/>
  <c r="K110" i="44"/>
  <c r="N118" i="44"/>
  <c r="Q118" i="44"/>
  <c r="O119" i="44"/>
  <c r="O124" i="44"/>
  <c r="Q127" i="44"/>
  <c r="Q129" i="44"/>
  <c r="M131" i="44"/>
  <c r="U131" i="44" s="1"/>
  <c r="V131" i="44" s="1"/>
  <c r="Q134" i="44"/>
  <c r="Q136" i="44"/>
  <c r="O142" i="44"/>
  <c r="Q147" i="44"/>
  <c r="P151" i="44"/>
  <c r="Q152" i="44"/>
  <c r="P155" i="44"/>
  <c r="Q156" i="44"/>
  <c r="P159" i="44"/>
  <c r="Q160" i="44"/>
  <c r="P164" i="44"/>
  <c r="O170" i="44"/>
  <c r="F145" i="42"/>
  <c r="L183" i="44"/>
  <c r="R183" i="44" s="1"/>
  <c r="F146" i="42"/>
  <c r="F149" i="42"/>
  <c r="N190" i="44"/>
  <c r="P191" i="44"/>
  <c r="N198" i="44"/>
  <c r="S198" i="44" s="1"/>
  <c r="O213" i="44"/>
  <c r="H215" i="44"/>
  <c r="F178" i="42" s="1"/>
  <c r="K216" i="44"/>
  <c r="N218" i="44"/>
  <c r="S218" i="44" s="1"/>
  <c r="R218" i="44"/>
  <c r="K223" i="44"/>
  <c r="N228" i="44"/>
  <c r="R121" i="44"/>
  <c r="N122" i="44"/>
  <c r="P126" i="44"/>
  <c r="R128" i="44"/>
  <c r="M141" i="44"/>
  <c r="U141" i="44" s="1"/>
  <c r="V141" i="44" s="1"/>
  <c r="F105" i="42"/>
  <c r="F106" i="42"/>
  <c r="N144" i="44"/>
  <c r="P146" i="44"/>
  <c r="O150" i="44"/>
  <c r="O154" i="44"/>
  <c r="P168" i="44"/>
  <c r="P172" i="44"/>
  <c r="P174" i="44"/>
  <c r="P182" i="44"/>
  <c r="P183" i="44"/>
  <c r="P186" i="44"/>
  <c r="L189" i="44"/>
  <c r="R189" i="44" s="1"/>
  <c r="S189" i="44" s="1"/>
  <c r="F152" i="42"/>
  <c r="F161" i="42"/>
  <c r="H202" i="44"/>
  <c r="F165" i="42" s="1"/>
  <c r="K212" i="44"/>
  <c r="M213" i="44"/>
  <c r="U213" i="44" s="1"/>
  <c r="V213" i="44" s="1"/>
  <c r="K215" i="44"/>
  <c r="P218" i="44"/>
  <c r="P221" i="44"/>
  <c r="N222" i="44"/>
  <c r="N225" i="44"/>
  <c r="S225" i="44" s="1"/>
  <c r="O227" i="44"/>
  <c r="P230" i="44"/>
  <c r="N231" i="44"/>
  <c r="H109" i="44"/>
  <c r="F72" i="42" s="1"/>
  <c r="Q111" i="44"/>
  <c r="O114" i="44"/>
  <c r="R114" i="44"/>
  <c r="N115" i="44"/>
  <c r="S115" i="44" s="1"/>
  <c r="Q115" i="44"/>
  <c r="H118" i="44"/>
  <c r="F81" i="42" s="1"/>
  <c r="K204" i="42" s="1"/>
  <c r="L204" i="42" s="1"/>
  <c r="N121" i="44"/>
  <c r="Q124" i="44"/>
  <c r="R127" i="44"/>
  <c r="N128" i="44"/>
  <c r="L134" i="44"/>
  <c r="R134" i="44" s="1"/>
  <c r="H137" i="44"/>
  <c r="F100" i="42" s="1"/>
  <c r="F107" i="42"/>
  <c r="R147" i="44"/>
  <c r="H166" i="44"/>
  <c r="H167" i="44"/>
  <c r="F130" i="42" s="1"/>
  <c r="K168" i="44"/>
  <c r="K172" i="44"/>
  <c r="L174" i="44"/>
  <c r="R174" i="44" s="1"/>
  <c r="S174" i="44" s="1"/>
  <c r="M183" i="44"/>
  <c r="U183" i="44" s="1"/>
  <c r="V183" i="44" s="1"/>
  <c r="P187" i="44"/>
  <c r="H193" i="44"/>
  <c r="F156" i="42" s="1"/>
  <c r="M217" i="44"/>
  <c r="U217" i="44" s="1"/>
  <c r="V217" i="44" s="1"/>
  <c r="F180" i="42"/>
  <c r="Q218" i="44"/>
  <c r="U220" i="44"/>
  <c r="O222" i="44"/>
  <c r="S222" i="44" s="1"/>
  <c r="K226" i="44"/>
  <c r="O231" i="44"/>
  <c r="F94" i="42"/>
  <c r="P63" i="44"/>
  <c r="K63" i="44"/>
  <c r="L75" i="44"/>
  <c r="R75" i="44" s="1"/>
  <c r="M27" i="44"/>
  <c r="U27" i="44" s="1"/>
  <c r="V27" i="44" s="1"/>
  <c r="N35" i="44"/>
  <c r="H35" i="44"/>
  <c r="F35" i="41" s="1"/>
  <c r="M51" i="44"/>
  <c r="U51" i="44" s="1"/>
  <c r="V51" i="44" s="1"/>
  <c r="M60" i="44"/>
  <c r="U60" i="44" s="1"/>
  <c r="V60" i="44" s="1"/>
  <c r="Q63" i="44"/>
  <c r="Q82" i="44"/>
  <c r="K82" i="44"/>
  <c r="H94" i="44"/>
  <c r="F57" i="42" s="1"/>
  <c r="N94" i="44"/>
  <c r="Q102" i="44"/>
  <c r="K109" i="44"/>
  <c r="Q109" i="44"/>
  <c r="P123" i="44"/>
  <c r="K123" i="44"/>
  <c r="H124" i="44"/>
  <c r="F87" i="42" s="1"/>
  <c r="N124" i="44"/>
  <c r="N131" i="44"/>
  <c r="N137" i="44"/>
  <c r="N150" i="44"/>
  <c r="H150" i="44"/>
  <c r="P170" i="44"/>
  <c r="K170" i="44"/>
  <c r="O171" i="44"/>
  <c r="N171" i="44"/>
  <c r="Q171" i="44"/>
  <c r="P171" i="44"/>
  <c r="R171" i="44"/>
  <c r="V220" i="44"/>
  <c r="N13" i="44"/>
  <c r="P15" i="44"/>
  <c r="K15" i="44"/>
  <c r="N16" i="44"/>
  <c r="N17" i="44"/>
  <c r="P19" i="44"/>
  <c r="H25" i="44"/>
  <c r="F25" i="41" s="1"/>
  <c r="N29" i="44"/>
  <c r="K33" i="44"/>
  <c r="H37" i="44"/>
  <c r="F37" i="41" s="1"/>
  <c r="P38" i="44"/>
  <c r="K38" i="44"/>
  <c r="L38" i="44" s="1"/>
  <c r="R38" i="44" s="1"/>
  <c r="S38" i="44" s="1"/>
  <c r="N40" i="44"/>
  <c r="P43" i="44"/>
  <c r="S43" i="44" s="1"/>
  <c r="K43" i="44"/>
  <c r="M48" i="44"/>
  <c r="U48" i="44" s="1"/>
  <c r="V48" i="44" s="1"/>
  <c r="O48" i="44"/>
  <c r="S49" i="44"/>
  <c r="N133" i="44"/>
  <c r="P133" i="44"/>
  <c r="O133" i="44"/>
  <c r="Q133" i="44"/>
  <c r="N10" i="44"/>
  <c r="H12" i="44"/>
  <c r="F12" i="41" s="1"/>
  <c r="K12" i="44"/>
  <c r="P16" i="44"/>
  <c r="K16" i="44"/>
  <c r="J16" i="41" s="1"/>
  <c r="L20" i="44"/>
  <c r="R20" i="44" s="1"/>
  <c r="L21" i="44"/>
  <c r="Q21" i="44"/>
  <c r="P28" i="44"/>
  <c r="K28" i="44"/>
  <c r="O29" i="44"/>
  <c r="N30" i="44"/>
  <c r="H30" i="44"/>
  <c r="F30" i="41" s="1"/>
  <c r="O30" i="44"/>
  <c r="L31" i="44"/>
  <c r="R31" i="44" s="1"/>
  <c r="S31" i="44" s="1"/>
  <c r="N33" i="44"/>
  <c r="K34" i="44"/>
  <c r="H36" i="44"/>
  <c r="F36" i="41" s="1"/>
  <c r="P39" i="44"/>
  <c r="K39" i="44"/>
  <c r="J39" i="41" s="1"/>
  <c r="P40" i="44"/>
  <c r="N41" i="44"/>
  <c r="H41" i="44"/>
  <c r="F41" i="41" s="1"/>
  <c r="O41" i="44"/>
  <c r="M42" i="44"/>
  <c r="U42" i="44" s="1"/>
  <c r="V42" i="44" s="1"/>
  <c r="P44" i="44"/>
  <c r="O44" i="44"/>
  <c r="N44" i="44"/>
  <c r="P45" i="44"/>
  <c r="K47" i="44"/>
  <c r="R47" i="44"/>
  <c r="S47" i="44" s="1"/>
  <c r="Q48" i="44"/>
  <c r="P48" i="44"/>
  <c r="Q50" i="44"/>
  <c r="S50" i="44" s="1"/>
  <c r="N51" i="44"/>
  <c r="K53" i="44"/>
  <c r="R53" i="44"/>
  <c r="S53" i="44" s="1"/>
  <c r="O54" i="44"/>
  <c r="N54" i="44"/>
  <c r="P57" i="44"/>
  <c r="K57" i="44"/>
  <c r="N58" i="44"/>
  <c r="P59" i="44"/>
  <c r="S60" i="44"/>
  <c r="K62" i="44"/>
  <c r="R62" i="44"/>
  <c r="S62" i="44" s="1"/>
  <c r="O63" i="44"/>
  <c r="Q64" i="44"/>
  <c r="O64" i="44"/>
  <c r="O65" i="44"/>
  <c r="H65" i="44"/>
  <c r="Q65" i="44"/>
  <c r="I67" i="44"/>
  <c r="N67" i="44"/>
  <c r="S68" i="44"/>
  <c r="N70" i="44"/>
  <c r="H72" i="44"/>
  <c r="P74" i="44"/>
  <c r="S74" i="44" s="1"/>
  <c r="O75" i="44"/>
  <c r="Q76" i="44"/>
  <c r="K76" i="44"/>
  <c r="M77" i="44"/>
  <c r="U77" i="44" s="1"/>
  <c r="V77" i="44" s="1"/>
  <c r="Q80" i="44"/>
  <c r="K80" i="44"/>
  <c r="M81" i="44"/>
  <c r="U81" i="44" s="1"/>
  <c r="V81" i="44" s="1"/>
  <c r="P83" i="44"/>
  <c r="K83" i="44"/>
  <c r="Q84" i="44"/>
  <c r="K84" i="44"/>
  <c r="H89" i="44"/>
  <c r="F52" i="42" s="1"/>
  <c r="N89" i="44"/>
  <c r="P92" i="44"/>
  <c r="K92" i="44"/>
  <c r="O99" i="44"/>
  <c r="H99" i="44"/>
  <c r="N113" i="44"/>
  <c r="P113" i="44"/>
  <c r="R113" i="44"/>
  <c r="N120" i="44"/>
  <c r="H120" i="44"/>
  <c r="N127" i="44"/>
  <c r="S127" i="44" s="1"/>
  <c r="H127" i="44"/>
  <c r="M133" i="44"/>
  <c r="U133" i="44" s="1"/>
  <c r="V133" i="44" s="1"/>
  <c r="N136" i="44"/>
  <c r="H136" i="44"/>
  <c r="F99" i="42" s="1"/>
  <c r="P157" i="44"/>
  <c r="K157" i="44"/>
  <c r="P200" i="44"/>
  <c r="K200" i="44"/>
  <c r="L200" i="44" s="1"/>
  <c r="R200" i="44" s="1"/>
  <c r="AD183" i="44"/>
  <c r="L215" i="44"/>
  <c r="R215" i="44" s="1"/>
  <c r="M215" i="44"/>
  <c r="U215" i="44" s="1"/>
  <c r="V215" i="44" s="1"/>
  <c r="P205" i="44"/>
  <c r="K205" i="44"/>
  <c r="AD184" i="44"/>
  <c r="P20" i="44"/>
  <c r="S20" i="44" s="1"/>
  <c r="L26" i="44"/>
  <c r="R26" i="44" s="1"/>
  <c r="S26" i="44" s="1"/>
  <c r="R48" i="44"/>
  <c r="S48" i="44" s="1"/>
  <c r="Q52" i="44"/>
  <c r="S52" i="44" s="1"/>
  <c r="P55" i="44"/>
  <c r="K55" i="44"/>
  <c r="O220" i="44"/>
  <c r="R220" i="44"/>
  <c r="N220" i="44"/>
  <c r="Q220" i="44"/>
  <c r="P220" i="44"/>
  <c r="P51" i="44"/>
  <c r="P56" i="44"/>
  <c r="K56" i="44"/>
  <c r="N57" i="44"/>
  <c r="P60" i="44"/>
  <c r="N65" i="44"/>
  <c r="K66" i="44"/>
  <c r="R66" i="44"/>
  <c r="K70" i="44"/>
  <c r="S73" i="44"/>
  <c r="N77" i="44"/>
  <c r="P77" i="44"/>
  <c r="R77" i="44"/>
  <c r="N81" i="44"/>
  <c r="S81" i="44" s="1"/>
  <c r="P81" i="44"/>
  <c r="R81" i="44"/>
  <c r="N82" i="44"/>
  <c r="R133" i="44"/>
  <c r="P135" i="44"/>
  <c r="K135" i="44"/>
  <c r="Q153" i="44"/>
  <c r="N153" i="44"/>
  <c r="R153" i="44"/>
  <c r="O153" i="44"/>
  <c r="M171" i="44"/>
  <c r="U171" i="44" s="1"/>
  <c r="V171" i="44" s="1"/>
  <c r="S9" i="44"/>
  <c r="P10" i="44"/>
  <c r="K10" i="44"/>
  <c r="P14" i="44"/>
  <c r="S14" i="44" s="1"/>
  <c r="K14" i="44"/>
  <c r="L15" i="44"/>
  <c r="R15" i="44" s="1"/>
  <c r="M15" i="44"/>
  <c r="U15" i="44" s="1"/>
  <c r="V15" i="44" s="1"/>
  <c r="P17" i="44"/>
  <c r="K17" i="44"/>
  <c r="P29" i="44"/>
  <c r="P30" i="44"/>
  <c r="P32" i="44"/>
  <c r="K32" i="44"/>
  <c r="J32" i="41" s="1"/>
  <c r="O33" i="44"/>
  <c r="L34" i="44"/>
  <c r="R34" i="44" s="1"/>
  <c r="N34" i="44"/>
  <c r="S34" i="44" s="1"/>
  <c r="Q39" i="44"/>
  <c r="P41" i="44"/>
  <c r="O51" i="44"/>
  <c r="P54" i="44"/>
  <c r="K54" i="44"/>
  <c r="P58" i="44"/>
  <c r="K58" i="44"/>
  <c r="N63" i="44"/>
  <c r="R64" i="44"/>
  <c r="R65" i="44"/>
  <c r="N66" i="44"/>
  <c r="N76" i="44"/>
  <c r="Q77" i="44"/>
  <c r="L79" i="44"/>
  <c r="R79" i="44" s="1"/>
  <c r="O79" i="44"/>
  <c r="S79" i="44" s="1"/>
  <c r="N80" i="44"/>
  <c r="Q81" i="44"/>
  <c r="Q83" i="44"/>
  <c r="O83" i="44"/>
  <c r="N84" i="44"/>
  <c r="H84" i="44"/>
  <c r="F47" i="42" s="1"/>
  <c r="H88" i="44"/>
  <c r="F51" i="42" s="1"/>
  <c r="N88" i="44"/>
  <c r="O100" i="44"/>
  <c r="H100" i="44"/>
  <c r="F63" i="42" s="1"/>
  <c r="G101" i="44"/>
  <c r="O101" i="44" s="1"/>
  <c r="Q105" i="44"/>
  <c r="K105" i="44"/>
  <c r="O106" i="44"/>
  <c r="M109" i="44"/>
  <c r="U109" i="44" s="1"/>
  <c r="V109" i="44" s="1"/>
  <c r="P110" i="44"/>
  <c r="H132" i="44"/>
  <c r="F95" i="42" s="1"/>
  <c r="N132" i="44"/>
  <c r="Q143" i="44"/>
  <c r="K143" i="44"/>
  <c r="N155" i="44"/>
  <c r="H155" i="44"/>
  <c r="P190" i="44"/>
  <c r="AD182" i="44"/>
  <c r="K190" i="44"/>
  <c r="L193" i="44"/>
  <c r="R193" i="44" s="1"/>
  <c r="S193" i="44" s="1"/>
  <c r="P85" i="44"/>
  <c r="P93" i="44"/>
  <c r="K93" i="44"/>
  <c r="S114" i="44"/>
  <c r="S121" i="44"/>
  <c r="P128" i="44"/>
  <c r="S128" i="44" s="1"/>
  <c r="K128" i="44"/>
  <c r="P143" i="44"/>
  <c r="N143" i="44"/>
  <c r="N154" i="44"/>
  <c r="H154" i="44"/>
  <c r="Q157" i="44"/>
  <c r="N157" i="44"/>
  <c r="N159" i="44"/>
  <c r="S159" i="44" s="1"/>
  <c r="H159" i="44"/>
  <c r="M174" i="44"/>
  <c r="U174" i="44" s="1"/>
  <c r="V174" i="44" s="1"/>
  <c r="S205" i="44"/>
  <c r="N19" i="44"/>
  <c r="S19" i="44" s="1"/>
  <c r="O21" i="44"/>
  <c r="L29" i="44"/>
  <c r="R29" i="44" s="1"/>
  <c r="R85" i="44"/>
  <c r="Q85" i="44"/>
  <c r="Q86" i="44"/>
  <c r="S86" i="44" s="1"/>
  <c r="P89" i="44"/>
  <c r="K89" i="44"/>
  <c r="N90" i="44"/>
  <c r="P94" i="44"/>
  <c r="K94" i="44"/>
  <c r="N95" i="44"/>
  <c r="R98" i="44"/>
  <c r="O102" i="44"/>
  <c r="N102" i="44"/>
  <c r="P103" i="44"/>
  <c r="Q104" i="44"/>
  <c r="S104" i="44" s="1"/>
  <c r="H107" i="44"/>
  <c r="O110" i="44"/>
  <c r="L110" i="44"/>
  <c r="R110" i="44" s="1"/>
  <c r="S111" i="44"/>
  <c r="Q113" i="44"/>
  <c r="P119" i="44"/>
  <c r="S119" i="44" s="1"/>
  <c r="K119" i="44"/>
  <c r="H121" i="44"/>
  <c r="P122" i="44"/>
  <c r="S122" i="44" s="1"/>
  <c r="K122" i="44"/>
  <c r="P124" i="44"/>
  <c r="K124" i="44"/>
  <c r="R126" i="44"/>
  <c r="H129" i="44"/>
  <c r="K137" i="44"/>
  <c r="N141" i="44"/>
  <c r="Q141" i="44"/>
  <c r="O144" i="44"/>
  <c r="N147" i="44"/>
  <c r="S147" i="44" s="1"/>
  <c r="H147" i="44"/>
  <c r="P149" i="44"/>
  <c r="N158" i="44"/>
  <c r="H158" i="44"/>
  <c r="N161" i="44"/>
  <c r="H161" i="44"/>
  <c r="F124" i="42" s="1"/>
  <c r="N164" i="44"/>
  <c r="H164" i="44"/>
  <c r="F127" i="42" s="1"/>
  <c r="L165" i="44"/>
  <c r="R165" i="44" s="1"/>
  <c r="P173" i="44"/>
  <c r="S173" i="44" s="1"/>
  <c r="K173" i="44"/>
  <c r="Q175" i="44"/>
  <c r="O175" i="44"/>
  <c r="N175" i="44"/>
  <c r="R175" i="44"/>
  <c r="P185" i="44"/>
  <c r="K185" i="44"/>
  <c r="N197" i="44"/>
  <c r="H197" i="44"/>
  <c r="F160" i="42" s="1"/>
  <c r="N83" i="44"/>
  <c r="P90" i="44"/>
  <c r="R105" i="44"/>
  <c r="N110" i="44"/>
  <c r="M113" i="44"/>
  <c r="U113" i="44" s="1"/>
  <c r="V113" i="44" s="1"/>
  <c r="O113" i="44"/>
  <c r="R123" i="44"/>
  <c r="P162" i="44"/>
  <c r="K162" i="44"/>
  <c r="L173" i="44"/>
  <c r="R173" i="44" s="1"/>
  <c r="M173" i="44"/>
  <c r="U173" i="44" s="1"/>
  <c r="V173" i="44" s="1"/>
  <c r="S183" i="44"/>
  <c r="K22" i="44"/>
  <c r="H83" i="44"/>
  <c r="F46" i="42" s="1"/>
  <c r="O90" i="44"/>
  <c r="P95" i="44"/>
  <c r="K95" i="44"/>
  <c r="Q97" i="44"/>
  <c r="P97" i="44"/>
  <c r="O97" i="44"/>
  <c r="M98" i="44"/>
  <c r="U98" i="44" s="1"/>
  <c r="V98" i="44" s="1"/>
  <c r="O98" i="44"/>
  <c r="P102" i="44"/>
  <c r="K102" i="44"/>
  <c r="M105" i="44"/>
  <c r="U105" i="44" s="1"/>
  <c r="V105" i="44" s="1"/>
  <c r="N105" i="44"/>
  <c r="R106" i="44"/>
  <c r="S109" i="44"/>
  <c r="L115" i="44"/>
  <c r="R115" i="44" s="1"/>
  <c r="L118" i="44"/>
  <c r="R118" i="44" s="1"/>
  <c r="S118" i="44" s="1"/>
  <c r="R120" i="44"/>
  <c r="M123" i="44"/>
  <c r="U123" i="44" s="1"/>
  <c r="V123" i="44" s="1"/>
  <c r="N123" i="44"/>
  <c r="N126" i="44"/>
  <c r="S126" i="44" s="1"/>
  <c r="H126" i="44"/>
  <c r="Q131" i="44"/>
  <c r="P131" i="44"/>
  <c r="O131" i="44"/>
  <c r="S139" i="44"/>
  <c r="T138" i="44" s="1"/>
  <c r="K142" i="44"/>
  <c r="Q142" i="44"/>
  <c r="O143" i="44"/>
  <c r="Q144" i="44"/>
  <c r="I144" i="44"/>
  <c r="N146" i="44"/>
  <c r="H146" i="44"/>
  <c r="Q149" i="44"/>
  <c r="N149" i="44"/>
  <c r="S149" i="44" s="1"/>
  <c r="N151" i="44"/>
  <c r="S151" i="44" s="1"/>
  <c r="H151" i="44"/>
  <c r="P153" i="44"/>
  <c r="O157" i="44"/>
  <c r="O169" i="44"/>
  <c r="N169" i="44"/>
  <c r="P169" i="44"/>
  <c r="R169" i="44"/>
  <c r="N187" i="44"/>
  <c r="H187" i="44"/>
  <c r="F150" i="42" s="1"/>
  <c r="L190" i="44"/>
  <c r="R190" i="44" s="1"/>
  <c r="M190" i="44"/>
  <c r="U190" i="44" s="1"/>
  <c r="V190" i="44" s="1"/>
  <c r="U227" i="44"/>
  <c r="V227" i="44" s="1"/>
  <c r="Q228" i="44"/>
  <c r="S228" i="44" s="1"/>
  <c r="K228" i="44"/>
  <c r="P129" i="44"/>
  <c r="S129" i="44" s="1"/>
  <c r="P130" i="44"/>
  <c r="N130" i="44"/>
  <c r="P132" i="44"/>
  <c r="R141" i="44"/>
  <c r="P148" i="44"/>
  <c r="S148" i="44" s="1"/>
  <c r="K148" i="44"/>
  <c r="P152" i="44"/>
  <c r="S152" i="44" s="1"/>
  <c r="K152" i="44"/>
  <c r="P156" i="44"/>
  <c r="S156" i="44" s="1"/>
  <c r="K156" i="44"/>
  <c r="P160" i="44"/>
  <c r="K160" i="44"/>
  <c r="P165" i="44"/>
  <c r="S165" i="44" s="1"/>
  <c r="Q177" i="44"/>
  <c r="K177" i="44"/>
  <c r="Q224" i="44"/>
  <c r="M225" i="44"/>
  <c r="U225" i="44" s="1"/>
  <c r="V225" i="44" s="1"/>
  <c r="H135" i="44"/>
  <c r="F98" i="42" s="1"/>
  <c r="K136" i="44"/>
  <c r="M143" i="44"/>
  <c r="U143" i="44" s="1"/>
  <c r="V143" i="44" s="1"/>
  <c r="R146" i="44"/>
  <c r="M149" i="44"/>
  <c r="U149" i="44" s="1"/>
  <c r="V149" i="44" s="1"/>
  <c r="R150" i="44"/>
  <c r="M153" i="44"/>
  <c r="U153" i="44" s="1"/>
  <c r="V153" i="44" s="1"/>
  <c r="R154" i="44"/>
  <c r="R158" i="44"/>
  <c r="N163" i="44"/>
  <c r="H163" i="44"/>
  <c r="F126" i="42" s="1"/>
  <c r="M172" i="44"/>
  <c r="U172" i="44" s="1"/>
  <c r="V172" i="44" s="1"/>
  <c r="N176" i="44"/>
  <c r="H176" i="44"/>
  <c r="F139" i="42" s="1"/>
  <c r="L177" i="44"/>
  <c r="R177" i="44" s="1"/>
  <c r="N177" i="44"/>
  <c r="S178" i="44"/>
  <c r="K181" i="44"/>
  <c r="P181" i="44"/>
  <c r="AD181" i="44"/>
  <c r="AD185" i="44" s="1"/>
  <c r="S204" i="44"/>
  <c r="U207" i="44"/>
  <c r="V207" i="44" s="1"/>
  <c r="O218" i="44"/>
  <c r="H218" i="44"/>
  <c r="S221" i="44"/>
  <c r="L168" i="44"/>
  <c r="R168" i="44" s="1"/>
  <c r="L170" i="44"/>
  <c r="R170" i="44" s="1"/>
  <c r="L172" i="44"/>
  <c r="R172" i="44" s="1"/>
  <c r="M175" i="44"/>
  <c r="U175" i="44" s="1"/>
  <c r="V175" i="44" s="1"/>
  <c r="M178" i="44"/>
  <c r="U178" i="44" s="1"/>
  <c r="V178" i="44" s="1"/>
  <c r="M182" i="44"/>
  <c r="U182" i="44" s="1"/>
  <c r="V182" i="44" s="1"/>
  <c r="N182" i="44"/>
  <c r="M186" i="44"/>
  <c r="U186" i="44" s="1"/>
  <c r="V186" i="44" s="1"/>
  <c r="N186" i="44"/>
  <c r="S186" i="44" s="1"/>
  <c r="L191" i="44"/>
  <c r="R191" i="44" s="1"/>
  <c r="L192" i="44"/>
  <c r="L195" i="44"/>
  <c r="R195" i="44" s="1"/>
  <c r="S195" i="44" s="1"/>
  <c r="T194" i="44" s="1"/>
  <c r="M195" i="44"/>
  <c r="U195" i="44" s="1"/>
  <c r="V195" i="44" s="1"/>
  <c r="W194" i="44" s="1"/>
  <c r="S207" i="44"/>
  <c r="T206" i="44" s="1"/>
  <c r="S212" i="44"/>
  <c r="H224" i="44"/>
  <c r="F187" i="42" s="1"/>
  <c r="N224" i="44"/>
  <c r="L226" i="44"/>
  <c r="P226" i="44"/>
  <c r="AA181" i="44"/>
  <c r="V247" i="44"/>
  <c r="V249" i="44" s="1"/>
  <c r="V250" i="44" s="1"/>
  <c r="M198" i="44"/>
  <c r="U198" i="44" s="1"/>
  <c r="V198" i="44" s="1"/>
  <c r="L198" i="44"/>
  <c r="R198" i="44" s="1"/>
  <c r="P202" i="44"/>
  <c r="S202" i="44" s="1"/>
  <c r="T201" i="44" s="1"/>
  <c r="K202" i="44"/>
  <c r="U203" i="44"/>
  <c r="V203" i="44" s="1"/>
  <c r="U208" i="44"/>
  <c r="V208" i="44" s="1"/>
  <c r="M210" i="44"/>
  <c r="U210" i="44" s="1"/>
  <c r="V210" i="44" s="1"/>
  <c r="W209" i="44" s="1"/>
  <c r="S215" i="44"/>
  <c r="L216" i="44"/>
  <c r="R216" i="44" s="1"/>
  <c r="S216" i="44" s="1"/>
  <c r="P222" i="44"/>
  <c r="K222" i="44"/>
  <c r="O224" i="44"/>
  <c r="P225" i="44"/>
  <c r="P231" i="44"/>
  <c r="S231" i="44" s="1"/>
  <c r="K231" i="44"/>
  <c r="P204" i="44"/>
  <c r="K204" i="44"/>
  <c r="P217" i="44"/>
  <c r="S217" i="44" s="1"/>
  <c r="M221" i="44"/>
  <c r="U221" i="44" s="1"/>
  <c r="V221" i="44" s="1"/>
  <c r="H223" i="44"/>
  <c r="F186" i="42" s="1"/>
  <c r="P224" i="44"/>
  <c r="K224" i="44"/>
  <c r="M230" i="44"/>
  <c r="U230" i="44" s="1"/>
  <c r="V230" i="44" s="1"/>
  <c r="Q213" i="44"/>
  <c r="N227" i="44"/>
  <c r="S227" i="44" s="1"/>
  <c r="N213" i="44"/>
  <c r="Q207" i="42" l="1"/>
  <c r="M206" i="42"/>
  <c r="S207" i="42"/>
  <c r="R207" i="42"/>
  <c r="Q212" i="42"/>
  <c r="R212" i="42"/>
  <c r="S212" i="42"/>
  <c r="R210" i="42"/>
  <c r="Q210" i="42"/>
  <c r="S210" i="42"/>
  <c r="S205" i="42"/>
  <c r="Q205" i="42"/>
  <c r="R205" i="42"/>
  <c r="S202" i="42"/>
  <c r="Q202" i="42"/>
  <c r="M201" i="42"/>
  <c r="R202" i="42"/>
  <c r="S204" i="42"/>
  <c r="M203" i="42"/>
  <c r="Q204" i="42"/>
  <c r="R204" i="42"/>
  <c r="J73" i="42"/>
  <c r="U73" i="42" s="1"/>
  <c r="J21" i="42"/>
  <c r="U21" i="42" s="1"/>
  <c r="J10" i="42"/>
  <c r="U10" i="42" s="1"/>
  <c r="V10" i="42" s="1"/>
  <c r="J39" i="42"/>
  <c r="U39" i="42" s="1"/>
  <c r="V39" i="42" s="1"/>
  <c r="J179" i="42"/>
  <c r="U179" i="42" s="1"/>
  <c r="V179" i="42" s="1"/>
  <c r="I124" i="42"/>
  <c r="T124" i="42" s="1"/>
  <c r="G124" i="42"/>
  <c r="I161" i="42"/>
  <c r="T161" i="42" s="1"/>
  <c r="G161" i="42"/>
  <c r="J161" i="42" s="1"/>
  <c r="U161" i="42" s="1"/>
  <c r="I55" i="42"/>
  <c r="T55" i="42" s="1"/>
  <c r="G55" i="42"/>
  <c r="J55" i="42" s="1"/>
  <c r="U55" i="42" s="1"/>
  <c r="I176" i="42"/>
  <c r="T176" i="42" s="1"/>
  <c r="G176" i="42"/>
  <c r="J176" i="42" s="1"/>
  <c r="U176" i="42" s="1"/>
  <c r="I111" i="42"/>
  <c r="T111" i="42" s="1"/>
  <c r="G111" i="42"/>
  <c r="J111" i="42" s="1"/>
  <c r="U111" i="42" s="1"/>
  <c r="I52" i="42"/>
  <c r="T52" i="42" s="1"/>
  <c r="G52" i="42"/>
  <c r="J52" i="42" s="1"/>
  <c r="U52" i="42" s="1"/>
  <c r="I57" i="42"/>
  <c r="T57" i="42" s="1"/>
  <c r="G57" i="42"/>
  <c r="J57" i="42" s="1"/>
  <c r="U57" i="42" s="1"/>
  <c r="V57" i="42" s="1"/>
  <c r="I94" i="42"/>
  <c r="T94" i="42" s="1"/>
  <c r="G94" i="42"/>
  <c r="J94" i="42" s="1"/>
  <c r="U94" i="42" s="1"/>
  <c r="I156" i="42"/>
  <c r="T156" i="42" s="1"/>
  <c r="G156" i="42"/>
  <c r="J156" i="42" s="1"/>
  <c r="U156" i="42" s="1"/>
  <c r="V156" i="42" s="1"/>
  <c r="I112" i="42"/>
  <c r="T112" i="42" s="1"/>
  <c r="G112" i="42"/>
  <c r="J112" i="42" s="1"/>
  <c r="U112" i="42" s="1"/>
  <c r="I29" i="42"/>
  <c r="T29" i="42" s="1"/>
  <c r="G29" i="42"/>
  <c r="J29" i="42" s="1"/>
  <c r="U29" i="42" s="1"/>
  <c r="I91" i="42"/>
  <c r="T91" i="42" s="1"/>
  <c r="G91" i="42"/>
  <c r="J91" i="42" s="1"/>
  <c r="U91" i="42" s="1"/>
  <c r="I68" i="42"/>
  <c r="T68" i="42" s="1"/>
  <c r="G68" i="42"/>
  <c r="J68" i="42" s="1"/>
  <c r="U68" i="42" s="1"/>
  <c r="I40" i="42"/>
  <c r="T40" i="42" s="1"/>
  <c r="G40" i="42"/>
  <c r="J40" i="42" s="1"/>
  <c r="U40" i="42" s="1"/>
  <c r="I187" i="42"/>
  <c r="T187" i="42" s="1"/>
  <c r="G187" i="42"/>
  <c r="J187" i="42" s="1"/>
  <c r="U187" i="42" s="1"/>
  <c r="I150" i="42"/>
  <c r="T150" i="42" s="1"/>
  <c r="G150" i="42"/>
  <c r="J150" i="42" s="1"/>
  <c r="U150" i="42" s="1"/>
  <c r="I127" i="42"/>
  <c r="T127" i="42" s="1"/>
  <c r="G127" i="42"/>
  <c r="J127" i="42" s="1"/>
  <c r="U127" i="42" s="1"/>
  <c r="I51" i="42"/>
  <c r="T51" i="42" s="1"/>
  <c r="G51" i="42"/>
  <c r="J51" i="42" s="1"/>
  <c r="U51" i="42" s="1"/>
  <c r="I99" i="42"/>
  <c r="T99" i="42" s="1"/>
  <c r="G99" i="42"/>
  <c r="J99" i="42" s="1"/>
  <c r="U99" i="42" s="1"/>
  <c r="I78" i="42"/>
  <c r="T78" i="42" s="1"/>
  <c r="G78" i="42"/>
  <c r="J78" i="42" s="1"/>
  <c r="U78" i="42" s="1"/>
  <c r="I167" i="42"/>
  <c r="T167" i="42" s="1"/>
  <c r="G167" i="42"/>
  <c r="J167" i="42" s="1"/>
  <c r="U167" i="42" s="1"/>
  <c r="I60" i="42"/>
  <c r="T60" i="42" s="1"/>
  <c r="G60" i="42"/>
  <c r="J60" i="42" s="1"/>
  <c r="U60" i="42" s="1"/>
  <c r="I186" i="42"/>
  <c r="T186" i="42" s="1"/>
  <c r="G186" i="42"/>
  <c r="J186" i="42" s="1"/>
  <c r="U186" i="42" s="1"/>
  <c r="I139" i="42"/>
  <c r="T139" i="42" s="1"/>
  <c r="G139" i="42"/>
  <c r="J139" i="42" s="1"/>
  <c r="U139" i="42" s="1"/>
  <c r="I69" i="42"/>
  <c r="T69" i="42" s="1"/>
  <c r="G69" i="42"/>
  <c r="J69" i="42" s="1"/>
  <c r="U69" i="42" s="1"/>
  <c r="I16" i="42"/>
  <c r="T16" i="42" s="1"/>
  <c r="G16" i="42"/>
  <c r="J16" i="42" s="1"/>
  <c r="U16" i="42" s="1"/>
  <c r="I170" i="42"/>
  <c r="T170" i="42" s="1"/>
  <c r="G170" i="42"/>
  <c r="J170" i="42" s="1"/>
  <c r="U170" i="42" s="1"/>
  <c r="I98" i="42"/>
  <c r="T98" i="42" s="1"/>
  <c r="G98" i="42"/>
  <c r="J98" i="42" s="1"/>
  <c r="U98" i="42" s="1"/>
  <c r="I46" i="42"/>
  <c r="T46" i="42" s="1"/>
  <c r="G46" i="42"/>
  <c r="J46" i="42" s="1"/>
  <c r="U46" i="42" s="1"/>
  <c r="I126" i="42"/>
  <c r="T126" i="42" s="1"/>
  <c r="G126" i="42"/>
  <c r="J126" i="42" s="1"/>
  <c r="U126" i="42" s="1"/>
  <c r="I160" i="42"/>
  <c r="T160" i="42" s="1"/>
  <c r="G160" i="42"/>
  <c r="J160" i="42" s="1"/>
  <c r="U160" i="42" s="1"/>
  <c r="I42" i="42"/>
  <c r="T42" i="42" s="1"/>
  <c r="G42" i="42"/>
  <c r="J42" i="42" s="1"/>
  <c r="U42" i="42" s="1"/>
  <c r="I53" i="42"/>
  <c r="T53" i="42" s="1"/>
  <c r="G53" i="42"/>
  <c r="J53" i="42" s="1"/>
  <c r="U53" i="42" s="1"/>
  <c r="I175" i="42"/>
  <c r="T175" i="42" s="1"/>
  <c r="G175" i="42"/>
  <c r="J175" i="42" s="1"/>
  <c r="U175" i="42" s="1"/>
  <c r="I102" i="42"/>
  <c r="T102" i="42" s="1"/>
  <c r="G102" i="42"/>
  <c r="J102" i="42" s="1"/>
  <c r="U102" i="42" s="1"/>
  <c r="I171" i="42"/>
  <c r="T171" i="42" s="1"/>
  <c r="G171" i="42"/>
  <c r="J171" i="42" s="1"/>
  <c r="U171" i="42" s="1"/>
  <c r="I82" i="42"/>
  <c r="T82" i="42" s="1"/>
  <c r="G82" i="42"/>
  <c r="J82" i="42" s="1"/>
  <c r="U82" i="42" s="1"/>
  <c r="I86" i="42"/>
  <c r="T86" i="42" s="1"/>
  <c r="G86" i="42"/>
  <c r="I87" i="42"/>
  <c r="T87" i="42" s="1"/>
  <c r="G87" i="42"/>
  <c r="J87" i="42" s="1"/>
  <c r="U87" i="42" s="1"/>
  <c r="I107" i="42"/>
  <c r="T107" i="42" s="1"/>
  <c r="G107" i="42"/>
  <c r="I81" i="42"/>
  <c r="T81" i="42" s="1"/>
  <c r="G81" i="42"/>
  <c r="J81" i="42" s="1"/>
  <c r="U81" i="42" s="1"/>
  <c r="I178" i="42"/>
  <c r="T178" i="42" s="1"/>
  <c r="G178" i="42"/>
  <c r="J178" i="42" s="1"/>
  <c r="U178" i="42" s="1"/>
  <c r="I145" i="42"/>
  <c r="T145" i="42" s="1"/>
  <c r="G145" i="42"/>
  <c r="J145" i="42" s="1"/>
  <c r="U145" i="42" s="1"/>
  <c r="V73" i="42"/>
  <c r="I188" i="42"/>
  <c r="T188" i="42" s="1"/>
  <c r="G188" i="42"/>
  <c r="J188" i="42" s="1"/>
  <c r="U188" i="42" s="1"/>
  <c r="I119" i="42"/>
  <c r="T119" i="42" s="1"/>
  <c r="G119" i="42"/>
  <c r="J119" i="42" s="1"/>
  <c r="U119" i="42" s="1"/>
  <c r="I125" i="42"/>
  <c r="T125" i="42" s="1"/>
  <c r="G125" i="42"/>
  <c r="J125" i="42" s="1"/>
  <c r="U125" i="42" s="1"/>
  <c r="I163" i="42"/>
  <c r="T163" i="42" s="1"/>
  <c r="G163" i="42"/>
  <c r="J163" i="42" s="1"/>
  <c r="U163" i="42" s="1"/>
  <c r="I153" i="42"/>
  <c r="T153" i="42" s="1"/>
  <c r="G153" i="42"/>
  <c r="J153" i="42" s="1"/>
  <c r="U153" i="42" s="1"/>
  <c r="J124" i="42"/>
  <c r="U124" i="42" s="1"/>
  <c r="V124" i="42" s="1"/>
  <c r="I104" i="42"/>
  <c r="T104" i="42" s="1"/>
  <c r="G104" i="42"/>
  <c r="J104" i="42" s="1"/>
  <c r="U104" i="42" s="1"/>
  <c r="J61" i="42"/>
  <c r="U61" i="42" s="1"/>
  <c r="V61" i="42" s="1"/>
  <c r="I44" i="42"/>
  <c r="T44" i="42" s="1"/>
  <c r="G44" i="42"/>
  <c r="J44" i="42" s="1"/>
  <c r="U44" i="42" s="1"/>
  <c r="I33" i="42"/>
  <c r="T33" i="42" s="1"/>
  <c r="G33" i="42"/>
  <c r="J33" i="42" s="1"/>
  <c r="U33" i="42" s="1"/>
  <c r="I11" i="42"/>
  <c r="T11" i="42" s="1"/>
  <c r="G11" i="42"/>
  <c r="J11" i="42" s="1"/>
  <c r="U11" i="42" s="1"/>
  <c r="I133" i="42"/>
  <c r="T133" i="42" s="1"/>
  <c r="G133" i="42"/>
  <c r="J133" i="42" s="1"/>
  <c r="U133" i="42" s="1"/>
  <c r="I168" i="42"/>
  <c r="T168" i="42" s="1"/>
  <c r="G168" i="42"/>
  <c r="J168" i="42" s="1"/>
  <c r="U168" i="42" s="1"/>
  <c r="I97" i="42"/>
  <c r="T97" i="42" s="1"/>
  <c r="G97" i="42"/>
  <c r="J97" i="42" s="1"/>
  <c r="U97" i="42" s="1"/>
  <c r="I193" i="42"/>
  <c r="T193" i="42" s="1"/>
  <c r="G193" i="42"/>
  <c r="J193" i="42" s="1"/>
  <c r="U193" i="42" s="1"/>
  <c r="I135" i="42"/>
  <c r="T135" i="42" s="1"/>
  <c r="G135" i="42"/>
  <c r="J135" i="42" s="1"/>
  <c r="U135" i="42" s="1"/>
  <c r="I31" i="42"/>
  <c r="T31" i="42" s="1"/>
  <c r="G31" i="42"/>
  <c r="J31" i="42" s="1"/>
  <c r="U31" i="42" s="1"/>
  <c r="I166" i="42"/>
  <c r="T166" i="42" s="1"/>
  <c r="G166" i="42"/>
  <c r="J166" i="42" s="1"/>
  <c r="U166" i="42" s="1"/>
  <c r="I144" i="42"/>
  <c r="T144" i="42" s="1"/>
  <c r="G144" i="42"/>
  <c r="J144" i="42" s="1"/>
  <c r="U144" i="42" s="1"/>
  <c r="V36" i="42"/>
  <c r="I25" i="42"/>
  <c r="T25" i="42" s="1"/>
  <c r="G25" i="42"/>
  <c r="J25" i="42" s="1"/>
  <c r="U25" i="42" s="1"/>
  <c r="I18" i="42"/>
  <c r="T18" i="42" s="1"/>
  <c r="G18" i="42"/>
  <c r="J18" i="42" s="1"/>
  <c r="U18" i="42" s="1"/>
  <c r="I27" i="42"/>
  <c r="T27" i="42" s="1"/>
  <c r="G27" i="42"/>
  <c r="J27" i="42" s="1"/>
  <c r="U27" i="42" s="1"/>
  <c r="I63" i="42"/>
  <c r="T63" i="42" s="1"/>
  <c r="G63" i="42"/>
  <c r="I47" i="42"/>
  <c r="T47" i="42" s="1"/>
  <c r="G47" i="42"/>
  <c r="J47" i="42" s="1"/>
  <c r="U47" i="42" s="1"/>
  <c r="J86" i="42"/>
  <c r="U86" i="42" s="1"/>
  <c r="I180" i="42"/>
  <c r="T180" i="42" s="1"/>
  <c r="G180" i="42"/>
  <c r="J180" i="42" s="1"/>
  <c r="U180" i="42" s="1"/>
  <c r="I130" i="42"/>
  <c r="T130" i="42" s="1"/>
  <c r="G130" i="42"/>
  <c r="J130" i="42" s="1"/>
  <c r="U130" i="42" s="1"/>
  <c r="I100" i="42"/>
  <c r="T100" i="42" s="1"/>
  <c r="G100" i="42"/>
  <c r="J100" i="42" s="1"/>
  <c r="U100" i="42" s="1"/>
  <c r="I152" i="42"/>
  <c r="T152" i="42" s="1"/>
  <c r="G152" i="42"/>
  <c r="J152" i="42" s="1"/>
  <c r="U152" i="42" s="1"/>
  <c r="I106" i="42"/>
  <c r="T106" i="42" s="1"/>
  <c r="G106" i="42"/>
  <c r="J106" i="42" s="1"/>
  <c r="U106" i="42" s="1"/>
  <c r="I149" i="42"/>
  <c r="T149" i="42" s="1"/>
  <c r="G149" i="42"/>
  <c r="J149" i="42" s="1"/>
  <c r="U149" i="42" s="1"/>
  <c r="I155" i="42"/>
  <c r="T155" i="42" s="1"/>
  <c r="G155" i="42"/>
  <c r="J155" i="42" s="1"/>
  <c r="U155" i="42" s="1"/>
  <c r="I140" i="42"/>
  <c r="T140" i="42" s="1"/>
  <c r="G140" i="42"/>
  <c r="J140" i="42" s="1"/>
  <c r="U140" i="42" s="1"/>
  <c r="I93" i="42"/>
  <c r="T93" i="42" s="1"/>
  <c r="G93" i="42"/>
  <c r="J93" i="42" s="1"/>
  <c r="U93" i="42" s="1"/>
  <c r="I76" i="42"/>
  <c r="T76" i="42" s="1"/>
  <c r="G76" i="42"/>
  <c r="J76" i="42" s="1"/>
  <c r="U76" i="42" s="1"/>
  <c r="I58" i="42"/>
  <c r="T58" i="42" s="1"/>
  <c r="G58" i="42"/>
  <c r="J58" i="42" s="1"/>
  <c r="U58" i="42" s="1"/>
  <c r="I45" i="42"/>
  <c r="T45" i="42" s="1"/>
  <c r="G45" i="42"/>
  <c r="J45" i="42" s="1"/>
  <c r="U45" i="42" s="1"/>
  <c r="I37" i="42"/>
  <c r="T37" i="42" s="1"/>
  <c r="G37" i="42"/>
  <c r="J37" i="42" s="1"/>
  <c r="U37" i="42" s="1"/>
  <c r="I23" i="42"/>
  <c r="T23" i="42" s="1"/>
  <c r="G23" i="42"/>
  <c r="J23" i="42" s="1"/>
  <c r="U23" i="42" s="1"/>
  <c r="I19" i="42"/>
  <c r="T19" i="42" s="1"/>
  <c r="G19" i="42"/>
  <c r="J19" i="42" s="1"/>
  <c r="U19" i="42" s="1"/>
  <c r="I13" i="42"/>
  <c r="T13" i="42" s="1"/>
  <c r="G13" i="42"/>
  <c r="J13" i="42" s="1"/>
  <c r="U13" i="42" s="1"/>
  <c r="I67" i="42"/>
  <c r="T67" i="42" s="1"/>
  <c r="G67" i="42"/>
  <c r="J67" i="42" s="1"/>
  <c r="U67" i="42" s="1"/>
  <c r="I148" i="42"/>
  <c r="T148" i="42" s="1"/>
  <c r="G148" i="42"/>
  <c r="J148" i="42" s="1"/>
  <c r="U148" i="42" s="1"/>
  <c r="I65" i="42"/>
  <c r="T65" i="42" s="1"/>
  <c r="G65" i="42"/>
  <c r="J65" i="42" s="1"/>
  <c r="U65" i="42" s="1"/>
  <c r="I38" i="42"/>
  <c r="T38" i="42" s="1"/>
  <c r="G38" i="42"/>
  <c r="J38" i="42" s="1"/>
  <c r="U38" i="42" s="1"/>
  <c r="I158" i="42"/>
  <c r="T158" i="42" s="1"/>
  <c r="G158" i="42"/>
  <c r="J158" i="42" s="1"/>
  <c r="U158" i="42" s="1"/>
  <c r="I194" i="42"/>
  <c r="T194" i="42" s="1"/>
  <c r="G194" i="42"/>
  <c r="J194" i="42" s="1"/>
  <c r="U194" i="42" s="1"/>
  <c r="I136" i="42"/>
  <c r="T136" i="42" s="1"/>
  <c r="G136" i="42"/>
  <c r="J136" i="42" s="1"/>
  <c r="U136" i="42" s="1"/>
  <c r="I79" i="42"/>
  <c r="T79" i="42" s="1"/>
  <c r="G79" i="42"/>
  <c r="J79" i="42" s="1"/>
  <c r="U79" i="42" s="1"/>
  <c r="I184" i="42"/>
  <c r="T184" i="42" s="1"/>
  <c r="G184" i="42"/>
  <c r="J184" i="42" s="1"/>
  <c r="U184" i="42" s="1"/>
  <c r="I131" i="42"/>
  <c r="T131" i="42" s="1"/>
  <c r="G131" i="42"/>
  <c r="J131" i="42" s="1"/>
  <c r="U131" i="42" s="1"/>
  <c r="I191" i="42"/>
  <c r="T191" i="42" s="1"/>
  <c r="G191" i="42"/>
  <c r="J191" i="42" s="1"/>
  <c r="U191" i="42" s="1"/>
  <c r="I138" i="42"/>
  <c r="T138" i="42" s="1"/>
  <c r="G138" i="42"/>
  <c r="J138" i="42" s="1"/>
  <c r="U138" i="42" s="1"/>
  <c r="I120" i="42"/>
  <c r="T120" i="42" s="1"/>
  <c r="G120" i="42"/>
  <c r="J120" i="42" s="1"/>
  <c r="U120" i="42" s="1"/>
  <c r="I77" i="42"/>
  <c r="T77" i="42" s="1"/>
  <c r="G77" i="42"/>
  <c r="J77" i="42" s="1"/>
  <c r="U77" i="42" s="1"/>
  <c r="J63" i="42"/>
  <c r="U63" i="42" s="1"/>
  <c r="I43" i="42"/>
  <c r="T43" i="42" s="1"/>
  <c r="G43" i="42"/>
  <c r="J43" i="42" s="1"/>
  <c r="U43" i="42" s="1"/>
  <c r="I17" i="42"/>
  <c r="T17" i="42" s="1"/>
  <c r="G17" i="42"/>
  <c r="J17" i="42" s="1"/>
  <c r="U17" i="42" s="1"/>
  <c r="I12" i="42"/>
  <c r="T12" i="42" s="1"/>
  <c r="G12" i="42"/>
  <c r="J12" i="42" s="1"/>
  <c r="U12" i="42" s="1"/>
  <c r="I95" i="42"/>
  <c r="T95" i="42" s="1"/>
  <c r="G95" i="42"/>
  <c r="J95" i="42" s="1"/>
  <c r="U95" i="42" s="1"/>
  <c r="I72" i="42"/>
  <c r="T72" i="42" s="1"/>
  <c r="G72" i="42"/>
  <c r="J72" i="42" s="1"/>
  <c r="U72" i="42" s="1"/>
  <c r="I165" i="42"/>
  <c r="T165" i="42" s="1"/>
  <c r="G165" i="42"/>
  <c r="J165" i="42" s="1"/>
  <c r="U165" i="42" s="1"/>
  <c r="I105" i="42"/>
  <c r="T105" i="42" s="1"/>
  <c r="G105" i="42"/>
  <c r="J105" i="42" s="1"/>
  <c r="U105" i="42" s="1"/>
  <c r="I146" i="42"/>
  <c r="T146" i="42" s="1"/>
  <c r="G146" i="42"/>
  <c r="J146" i="42" s="1"/>
  <c r="U146" i="42" s="1"/>
  <c r="I85" i="42"/>
  <c r="T85" i="42" s="1"/>
  <c r="G85" i="42"/>
  <c r="J85" i="42" s="1"/>
  <c r="U85" i="42" s="1"/>
  <c r="I22" i="42"/>
  <c r="T22" i="42" s="1"/>
  <c r="G22" i="42"/>
  <c r="J22" i="42" s="1"/>
  <c r="U22" i="42" s="1"/>
  <c r="I189" i="42"/>
  <c r="T189" i="42" s="1"/>
  <c r="G189" i="42"/>
  <c r="J189" i="42" s="1"/>
  <c r="U189" i="42" s="1"/>
  <c r="I154" i="42"/>
  <c r="T154" i="42" s="1"/>
  <c r="G154" i="42"/>
  <c r="J154" i="42" s="1"/>
  <c r="U154" i="42" s="1"/>
  <c r="I116" i="42"/>
  <c r="T116" i="42" s="1"/>
  <c r="G116" i="42"/>
  <c r="J116" i="42" s="1"/>
  <c r="U116" i="42" s="1"/>
  <c r="I137" i="42"/>
  <c r="T137" i="42" s="1"/>
  <c r="G137" i="42"/>
  <c r="J137" i="42" s="1"/>
  <c r="U137" i="42" s="1"/>
  <c r="I190" i="42"/>
  <c r="T190" i="42" s="1"/>
  <c r="G190" i="42"/>
  <c r="J190" i="42" s="1"/>
  <c r="U190" i="42" s="1"/>
  <c r="I185" i="42"/>
  <c r="T185" i="42" s="1"/>
  <c r="G185" i="42"/>
  <c r="J185" i="42" s="1"/>
  <c r="U185" i="42" s="1"/>
  <c r="I132" i="42"/>
  <c r="T132" i="42" s="1"/>
  <c r="G132" i="42"/>
  <c r="J132" i="42" s="1"/>
  <c r="U132" i="42" s="1"/>
  <c r="I173" i="42"/>
  <c r="T173" i="42" s="1"/>
  <c r="G173" i="42"/>
  <c r="J173" i="42" s="1"/>
  <c r="U173" i="42" s="1"/>
  <c r="I96" i="42"/>
  <c r="T96" i="42" s="1"/>
  <c r="G96" i="42"/>
  <c r="J96" i="42" s="1"/>
  <c r="U96" i="42" s="1"/>
  <c r="I183" i="42"/>
  <c r="T183" i="42" s="1"/>
  <c r="G183" i="42"/>
  <c r="J183" i="42" s="1"/>
  <c r="U183" i="42" s="1"/>
  <c r="I134" i="42"/>
  <c r="T134" i="42" s="1"/>
  <c r="G134" i="42"/>
  <c r="J134" i="42" s="1"/>
  <c r="U134" i="42" s="1"/>
  <c r="I14" i="42"/>
  <c r="T14" i="42" s="1"/>
  <c r="G14" i="42"/>
  <c r="J14" i="42" s="1"/>
  <c r="U14" i="42" s="1"/>
  <c r="I128" i="42"/>
  <c r="T128" i="42" s="1"/>
  <c r="G128" i="42"/>
  <c r="J128" i="42" s="1"/>
  <c r="U128" i="42" s="1"/>
  <c r="I115" i="42"/>
  <c r="T115" i="42" s="1"/>
  <c r="G115" i="42"/>
  <c r="J115" i="42" s="1"/>
  <c r="U115" i="42" s="1"/>
  <c r="I56" i="42"/>
  <c r="T56" i="42" s="1"/>
  <c r="G56" i="42"/>
  <c r="J56" i="42" s="1"/>
  <c r="U56" i="42" s="1"/>
  <c r="I20" i="42"/>
  <c r="T20" i="42" s="1"/>
  <c r="G20" i="42"/>
  <c r="J20" i="42" s="1"/>
  <c r="U20" i="42" s="1"/>
  <c r="I49" i="42"/>
  <c r="T49" i="42" s="1"/>
  <c r="G49" i="42"/>
  <c r="J49" i="42" s="1"/>
  <c r="U49" i="42" s="1"/>
  <c r="I23" i="41"/>
  <c r="G23" i="41"/>
  <c r="J23" i="41" s="1"/>
  <c r="I36" i="41"/>
  <c r="G36" i="41"/>
  <c r="I12" i="41"/>
  <c r="G12" i="41"/>
  <c r="J12" i="41" s="1"/>
  <c r="I42" i="41"/>
  <c r="G42" i="41"/>
  <c r="J42" i="41" s="1"/>
  <c r="I44" i="41"/>
  <c r="G44" i="41"/>
  <c r="J44" i="41" s="1"/>
  <c r="I19" i="41"/>
  <c r="G19" i="41"/>
  <c r="J19" i="41" s="1"/>
  <c r="I41" i="41"/>
  <c r="G41" i="41"/>
  <c r="J41" i="41" s="1"/>
  <c r="I30" i="41"/>
  <c r="G30" i="41"/>
  <c r="J30" i="41" s="1"/>
  <c r="I25" i="41"/>
  <c r="G25" i="41"/>
  <c r="J25" i="41" s="1"/>
  <c r="I29" i="41"/>
  <c r="G29" i="41"/>
  <c r="J29" i="41" s="1"/>
  <c r="I15" i="41"/>
  <c r="G15" i="41"/>
  <c r="J15" i="41" s="1"/>
  <c r="I21" i="41"/>
  <c r="G21" i="41"/>
  <c r="J21" i="41" s="1"/>
  <c r="J36" i="41"/>
  <c r="I28" i="41"/>
  <c r="G28" i="41"/>
  <c r="I43" i="41"/>
  <c r="G43" i="41"/>
  <c r="I37" i="41"/>
  <c r="G37" i="41"/>
  <c r="J37" i="41" s="1"/>
  <c r="I35" i="41"/>
  <c r="G35" i="41"/>
  <c r="J35" i="41" s="1"/>
  <c r="I13" i="41"/>
  <c r="G13" i="41"/>
  <c r="J13" i="41" s="1"/>
  <c r="I11" i="41"/>
  <c r="G11" i="41"/>
  <c r="J11" i="41" s="1"/>
  <c r="V21" i="42"/>
  <c r="V141" i="42"/>
  <c r="J40" i="41"/>
  <c r="L40" i="44"/>
  <c r="R40" i="44" s="1"/>
  <c r="M177" i="44"/>
  <c r="U177" i="44" s="1"/>
  <c r="V177" i="44" s="1"/>
  <c r="L166" i="44"/>
  <c r="R166" i="44" s="1"/>
  <c r="S166" i="44" s="1"/>
  <c r="F129" i="42"/>
  <c r="M202" i="44"/>
  <c r="U202" i="44" s="1"/>
  <c r="V202" i="44" s="1"/>
  <c r="S182" i="44"/>
  <c r="S172" i="44"/>
  <c r="M218" i="44"/>
  <c r="U218" i="44" s="1"/>
  <c r="V218" i="44" s="1"/>
  <c r="F181" i="42"/>
  <c r="M205" i="44"/>
  <c r="U205" i="44" s="1"/>
  <c r="V205" i="44" s="1"/>
  <c r="L181" i="44"/>
  <c r="M160" i="44"/>
  <c r="U160" i="44" s="1"/>
  <c r="V160" i="44" s="1"/>
  <c r="J123" i="42"/>
  <c r="U123" i="42" s="1"/>
  <c r="V123" i="42" s="1"/>
  <c r="S142" i="44"/>
  <c r="S97" i="44"/>
  <c r="M158" i="44"/>
  <c r="U158" i="44" s="1"/>
  <c r="V158" i="44" s="1"/>
  <c r="F121" i="42"/>
  <c r="K211" i="42" s="1"/>
  <c r="L211" i="42" s="1"/>
  <c r="M137" i="44"/>
  <c r="U137" i="44" s="1"/>
  <c r="V137" i="44" s="1"/>
  <c r="L92" i="44"/>
  <c r="M119" i="44"/>
  <c r="U119" i="44" s="1"/>
  <c r="V119" i="44" s="1"/>
  <c r="S155" i="44"/>
  <c r="S106" i="44"/>
  <c r="M79" i="44"/>
  <c r="U79" i="44" s="1"/>
  <c r="V79" i="44" s="1"/>
  <c r="Q40" i="44"/>
  <c r="Q232" i="44" s="1"/>
  <c r="L82" i="44"/>
  <c r="R82" i="44" s="1"/>
  <c r="L55" i="44"/>
  <c r="R55" i="44" s="1"/>
  <c r="M47" i="44"/>
  <c r="U47" i="44" s="1"/>
  <c r="V47" i="44" s="1"/>
  <c r="L13" i="44"/>
  <c r="R13" i="44" s="1"/>
  <c r="S120" i="44"/>
  <c r="M72" i="44"/>
  <c r="U72" i="44" s="1"/>
  <c r="V72" i="44" s="1"/>
  <c r="F35" i="42"/>
  <c r="M62" i="44"/>
  <c r="U62" i="44" s="1"/>
  <c r="V62" i="44" s="1"/>
  <c r="M34" i="44"/>
  <c r="U34" i="44" s="1"/>
  <c r="V34" i="44" s="1"/>
  <c r="J34" i="41"/>
  <c r="L28" i="44"/>
  <c r="M28" i="44" s="1"/>
  <c r="U28" i="44" s="1"/>
  <c r="V28" i="44" s="1"/>
  <c r="J28" i="41"/>
  <c r="M110" i="44"/>
  <c r="U110" i="44" s="1"/>
  <c r="V110" i="44" s="1"/>
  <c r="M134" i="44"/>
  <c r="U134" i="44" s="1"/>
  <c r="V134" i="44" s="1"/>
  <c r="M146" i="44"/>
  <c r="U146" i="44" s="1"/>
  <c r="V146" i="44" s="1"/>
  <c r="F109" i="42"/>
  <c r="M147" i="44"/>
  <c r="U147" i="44" s="1"/>
  <c r="V147" i="44" s="1"/>
  <c r="F110" i="42"/>
  <c r="M121" i="44"/>
  <c r="U121" i="44" s="1"/>
  <c r="V121" i="44" s="1"/>
  <c r="F84" i="42"/>
  <c r="M14" i="44"/>
  <c r="U14" i="44" s="1"/>
  <c r="V14" i="44" s="1"/>
  <c r="J14" i="41"/>
  <c r="M157" i="44"/>
  <c r="U157" i="44" s="1"/>
  <c r="V157" i="44" s="1"/>
  <c r="M120" i="44"/>
  <c r="U120" i="44" s="1"/>
  <c r="V120" i="44" s="1"/>
  <c r="F83" i="42"/>
  <c r="M150" i="44"/>
  <c r="U150" i="44" s="1"/>
  <c r="V150" i="44" s="1"/>
  <c r="F113" i="42"/>
  <c r="P101" i="44"/>
  <c r="K101" i="44"/>
  <c r="M85" i="44"/>
  <c r="U85" i="44" s="1"/>
  <c r="V85" i="44" s="1"/>
  <c r="F48" i="42"/>
  <c r="M231" i="44"/>
  <c r="U231" i="44" s="1"/>
  <c r="V231" i="44" s="1"/>
  <c r="W229" i="44" s="1"/>
  <c r="M222" i="44"/>
  <c r="U222" i="44" s="1"/>
  <c r="V222" i="44" s="1"/>
  <c r="S191" i="44"/>
  <c r="L167" i="44"/>
  <c r="R167" i="44" s="1"/>
  <c r="S167" i="44" s="1"/>
  <c r="S160" i="44"/>
  <c r="M228" i="44"/>
  <c r="U228" i="44" s="1"/>
  <c r="V228" i="44" s="1"/>
  <c r="M142" i="44"/>
  <c r="U142" i="44" s="1"/>
  <c r="V142" i="44" s="1"/>
  <c r="S98" i="44"/>
  <c r="L93" i="44"/>
  <c r="R93" i="44" s="1"/>
  <c r="S93" i="44" s="1"/>
  <c r="M22" i="44"/>
  <c r="U22" i="44" s="1"/>
  <c r="V22" i="44" s="1"/>
  <c r="J22" i="41"/>
  <c r="M191" i="44"/>
  <c r="U191" i="44" s="1"/>
  <c r="V191" i="44" s="1"/>
  <c r="S175" i="44"/>
  <c r="S158" i="44"/>
  <c r="M129" i="44"/>
  <c r="U129" i="44" s="1"/>
  <c r="V129" i="44" s="1"/>
  <c r="F92" i="42"/>
  <c r="M122" i="44"/>
  <c r="U122" i="44" s="1"/>
  <c r="V122" i="44" s="1"/>
  <c r="M159" i="44"/>
  <c r="U159" i="44" s="1"/>
  <c r="V159" i="44" s="1"/>
  <c r="F122" i="42"/>
  <c r="M154" i="44"/>
  <c r="U154" i="44" s="1"/>
  <c r="V154" i="44" s="1"/>
  <c r="F117" i="42"/>
  <c r="K209" i="42" s="1"/>
  <c r="L209" i="42" s="1"/>
  <c r="M128" i="44"/>
  <c r="U128" i="44" s="1"/>
  <c r="V128" i="44" s="1"/>
  <c r="S85" i="44"/>
  <c r="M152" i="44"/>
  <c r="U152" i="44" s="1"/>
  <c r="V152" i="44" s="1"/>
  <c r="L56" i="44"/>
  <c r="R56" i="44" s="1"/>
  <c r="O232" i="44"/>
  <c r="L10" i="44"/>
  <c r="R10" i="44" s="1"/>
  <c r="S10" i="44" s="1"/>
  <c r="M58" i="44"/>
  <c r="U58" i="44" s="1"/>
  <c r="V58" i="44" s="1"/>
  <c r="S56" i="44"/>
  <c r="M13" i="44"/>
  <c r="U13" i="44" s="1"/>
  <c r="V13" i="44" s="1"/>
  <c r="M148" i="44"/>
  <c r="U148" i="44" s="1"/>
  <c r="V148" i="44" s="1"/>
  <c r="M127" i="44"/>
  <c r="U127" i="44" s="1"/>
  <c r="V127" i="44" s="1"/>
  <c r="F90" i="42"/>
  <c r="M99" i="44"/>
  <c r="U99" i="44" s="1"/>
  <c r="V99" i="44" s="1"/>
  <c r="F62" i="42"/>
  <c r="M90" i="44"/>
  <c r="U90" i="44" s="1"/>
  <c r="V90" i="44" s="1"/>
  <c r="L80" i="44"/>
  <c r="R80" i="44" s="1"/>
  <c r="S80" i="44" s="1"/>
  <c r="S15" i="44"/>
  <c r="S137" i="44"/>
  <c r="M63" i="44"/>
  <c r="U63" i="44" s="1"/>
  <c r="V63" i="44" s="1"/>
  <c r="J26" i="42"/>
  <c r="U26" i="42" s="1"/>
  <c r="V26" i="42" s="1"/>
  <c r="M45" i="44"/>
  <c r="U45" i="44" s="1"/>
  <c r="V45" i="44" s="1"/>
  <c r="F45" i="41"/>
  <c r="L45" i="44"/>
  <c r="R45" i="44" s="1"/>
  <c r="S45" i="44" s="1"/>
  <c r="M52" i="44"/>
  <c r="U52" i="44" s="1"/>
  <c r="V52" i="44" s="1"/>
  <c r="F15" i="42"/>
  <c r="M204" i="44"/>
  <c r="U204" i="44" s="1"/>
  <c r="V204" i="44" s="1"/>
  <c r="M216" i="44"/>
  <c r="U216" i="44" s="1"/>
  <c r="V216" i="44" s="1"/>
  <c r="W214" i="44" s="1"/>
  <c r="M151" i="44"/>
  <c r="U151" i="44" s="1"/>
  <c r="V151" i="44" s="1"/>
  <c r="F114" i="42"/>
  <c r="M155" i="44"/>
  <c r="U155" i="44" s="1"/>
  <c r="V155" i="44" s="1"/>
  <c r="F118" i="42"/>
  <c r="M17" i="44"/>
  <c r="U17" i="44" s="1"/>
  <c r="V17" i="44" s="1"/>
  <c r="J17" i="41"/>
  <c r="M38" i="44"/>
  <c r="U38" i="44" s="1"/>
  <c r="V38" i="44" s="1"/>
  <c r="J38" i="41"/>
  <c r="S213" i="44"/>
  <c r="S168" i="44"/>
  <c r="S177" i="44"/>
  <c r="M156" i="44"/>
  <c r="U156" i="44" s="1"/>
  <c r="V156" i="44" s="1"/>
  <c r="S130" i="44"/>
  <c r="M126" i="44"/>
  <c r="U126" i="44" s="1"/>
  <c r="V126" i="44" s="1"/>
  <c r="F89" i="42"/>
  <c r="L102" i="44"/>
  <c r="R102" i="44" s="1"/>
  <c r="L185" i="44"/>
  <c r="R185" i="44" s="1"/>
  <c r="S185" i="44" s="1"/>
  <c r="M167" i="44"/>
  <c r="U167" i="44" s="1"/>
  <c r="V167" i="44" s="1"/>
  <c r="M107" i="44"/>
  <c r="U107" i="44" s="1"/>
  <c r="V107" i="44" s="1"/>
  <c r="F70" i="42"/>
  <c r="L95" i="44"/>
  <c r="R95" i="44" s="1"/>
  <c r="M193" i="44"/>
  <c r="U193" i="44" s="1"/>
  <c r="V193" i="44" s="1"/>
  <c r="M66" i="44"/>
  <c r="U66" i="44" s="1"/>
  <c r="V66" i="44" s="1"/>
  <c r="L58" i="44"/>
  <c r="R58" i="44" s="1"/>
  <c r="M165" i="44"/>
  <c r="U165" i="44" s="1"/>
  <c r="V165" i="44" s="1"/>
  <c r="M65" i="44"/>
  <c r="U65" i="44" s="1"/>
  <c r="V65" i="44" s="1"/>
  <c r="F28" i="42"/>
  <c r="S51" i="44"/>
  <c r="S39" i="44"/>
  <c r="L32" i="44"/>
  <c r="R32" i="44" s="1"/>
  <c r="S32" i="44" s="1"/>
  <c r="M43" i="44"/>
  <c r="U43" i="44" s="1"/>
  <c r="V43" i="44" s="1"/>
  <c r="J43" i="41"/>
  <c r="M39" i="44"/>
  <c r="U39" i="44" s="1"/>
  <c r="V39" i="44" s="1"/>
  <c r="L33" i="44"/>
  <c r="R33" i="44" s="1"/>
  <c r="J33" i="41"/>
  <c r="S17" i="44"/>
  <c r="S13" i="44"/>
  <c r="S170" i="44"/>
  <c r="L137" i="44"/>
  <c r="R137" i="44" s="1"/>
  <c r="M53" i="44"/>
  <c r="U53" i="44" s="1"/>
  <c r="V53" i="44" s="1"/>
  <c r="M212" i="44"/>
  <c r="U212" i="44" s="1"/>
  <c r="V212" i="44" s="1"/>
  <c r="W211" i="44" s="1"/>
  <c r="F74" i="42"/>
  <c r="M111" i="44"/>
  <c r="U111" i="44" s="1"/>
  <c r="V111" i="44" s="1"/>
  <c r="M189" i="44"/>
  <c r="U189" i="44" s="1"/>
  <c r="V189" i="44" s="1"/>
  <c r="F66" i="42"/>
  <c r="L103" i="44"/>
  <c r="R181" i="44"/>
  <c r="M181" i="44"/>
  <c r="U181" i="44" s="1"/>
  <c r="V181" i="44" s="1"/>
  <c r="W180" i="44" s="1"/>
  <c r="S55" i="44"/>
  <c r="S200" i="44"/>
  <c r="T199" i="44" s="1"/>
  <c r="M80" i="44"/>
  <c r="U80" i="44" s="1"/>
  <c r="V80" i="44" s="1"/>
  <c r="S181" i="44"/>
  <c r="T180" i="44" s="1"/>
  <c r="AE185" i="44"/>
  <c r="M170" i="44"/>
  <c r="U170" i="44" s="1"/>
  <c r="V170" i="44" s="1"/>
  <c r="S154" i="44"/>
  <c r="S64" i="44"/>
  <c r="L25" i="44"/>
  <c r="R25" i="44" s="1"/>
  <c r="S25" i="44" s="1"/>
  <c r="W201" i="44"/>
  <c r="L162" i="44"/>
  <c r="R162" i="44" s="1"/>
  <c r="S162" i="44" s="1"/>
  <c r="S123" i="44"/>
  <c r="T117" i="44" s="1"/>
  <c r="M95" i="44"/>
  <c r="U95" i="44" s="1"/>
  <c r="V95" i="44" s="1"/>
  <c r="L197" i="44"/>
  <c r="R197" i="44" s="1"/>
  <c r="S197" i="44" s="1"/>
  <c r="T196" i="44" s="1"/>
  <c r="S157" i="44"/>
  <c r="S190" i="44"/>
  <c r="L132" i="44"/>
  <c r="R132" i="44" s="1"/>
  <c r="S132" i="44" s="1"/>
  <c r="L84" i="44"/>
  <c r="R84" i="44" s="1"/>
  <c r="S84" i="44" s="1"/>
  <c r="S66" i="44"/>
  <c r="S63" i="44"/>
  <c r="M33" i="44"/>
  <c r="U33" i="44" s="1"/>
  <c r="V33" i="44" s="1"/>
  <c r="S89" i="44"/>
  <c r="L124" i="44"/>
  <c r="R124" i="44" s="1"/>
  <c r="S124" i="44" s="1"/>
  <c r="M26" i="44"/>
  <c r="U26" i="44" s="1"/>
  <c r="V26" i="44" s="1"/>
  <c r="M20" i="44"/>
  <c r="U20" i="44" s="1"/>
  <c r="V20" i="44" s="1"/>
  <c r="M75" i="44"/>
  <c r="U75" i="44" s="1"/>
  <c r="V75" i="44" s="1"/>
  <c r="R226" i="44"/>
  <c r="S226" i="44" s="1"/>
  <c r="M226" i="44"/>
  <c r="U226" i="44" s="1"/>
  <c r="V226" i="44" s="1"/>
  <c r="R192" i="44"/>
  <c r="S192" i="44" s="1"/>
  <c r="M192" i="44"/>
  <c r="U192" i="44" s="1"/>
  <c r="V192" i="44" s="1"/>
  <c r="W188" i="44" s="1"/>
  <c r="M102" i="44"/>
  <c r="U102" i="44" s="1"/>
  <c r="V102" i="44" s="1"/>
  <c r="L76" i="44"/>
  <c r="R76" i="44" s="1"/>
  <c r="S76" i="44" s="1"/>
  <c r="M32" i="44"/>
  <c r="U32" i="44" s="1"/>
  <c r="V32" i="44" s="1"/>
  <c r="N232" i="44"/>
  <c r="N235" i="44" s="1"/>
  <c r="L70" i="44"/>
  <c r="R70" i="44" s="1"/>
  <c r="S70" i="44" s="1"/>
  <c r="T69" i="44" s="1"/>
  <c r="S65" i="44"/>
  <c r="L54" i="44"/>
  <c r="R54" i="44" s="1"/>
  <c r="S220" i="44"/>
  <c r="L16" i="44"/>
  <c r="R16" i="44" s="1"/>
  <c r="S16" i="44" s="1"/>
  <c r="M168" i="44"/>
  <c r="U168" i="44" s="1"/>
  <c r="V168" i="44" s="1"/>
  <c r="L136" i="44"/>
  <c r="R136" i="44" s="1"/>
  <c r="S136" i="44" s="1"/>
  <c r="L89" i="44"/>
  <c r="R89" i="44" s="1"/>
  <c r="S75" i="44"/>
  <c r="M55" i="44"/>
  <c r="U55" i="44" s="1"/>
  <c r="V55" i="44" s="1"/>
  <c r="M29" i="44"/>
  <c r="U29" i="44" s="1"/>
  <c r="V29" i="44" s="1"/>
  <c r="S133" i="44"/>
  <c r="S29" i="44"/>
  <c r="S171" i="44"/>
  <c r="T214" i="44"/>
  <c r="AA185" i="44"/>
  <c r="AC181" i="44"/>
  <c r="AC185" i="44" s="1"/>
  <c r="L224" i="44"/>
  <c r="R224" i="44" s="1"/>
  <c r="S224" i="44" s="1"/>
  <c r="T229" i="44"/>
  <c r="L83" i="44"/>
  <c r="R83" i="44" s="1"/>
  <c r="S83" i="44" s="1"/>
  <c r="M83" i="44"/>
  <c r="U83" i="44" s="1"/>
  <c r="V83" i="44" s="1"/>
  <c r="P67" i="44"/>
  <c r="K67" i="44"/>
  <c r="S54" i="44"/>
  <c r="L41" i="44"/>
  <c r="R41" i="44" s="1"/>
  <c r="S94" i="44"/>
  <c r="S35" i="44"/>
  <c r="S146" i="44"/>
  <c r="M118" i="44"/>
  <c r="U118" i="44" s="1"/>
  <c r="V118" i="44" s="1"/>
  <c r="L161" i="44"/>
  <c r="R161" i="44" s="1"/>
  <c r="S161" i="44" s="1"/>
  <c r="S141" i="44"/>
  <c r="W108" i="44"/>
  <c r="S113" i="44"/>
  <c r="T112" i="44" s="1"/>
  <c r="S41" i="44"/>
  <c r="L36" i="44"/>
  <c r="R36" i="44" s="1"/>
  <c r="S36" i="44" s="1"/>
  <c r="M12" i="44"/>
  <c r="U12" i="44" s="1"/>
  <c r="V12" i="44" s="1"/>
  <c r="L12" i="44"/>
  <c r="R12" i="44" s="1"/>
  <c r="S12" i="44" s="1"/>
  <c r="L94" i="44"/>
  <c r="R94" i="44" s="1"/>
  <c r="M94" i="44"/>
  <c r="U94" i="44" s="1"/>
  <c r="V94" i="44" s="1"/>
  <c r="M31" i="44"/>
  <c r="U31" i="44" s="1"/>
  <c r="V31" i="44" s="1"/>
  <c r="M200" i="44"/>
  <c r="U200" i="44" s="1"/>
  <c r="V200" i="44" s="1"/>
  <c r="W199" i="44" s="1"/>
  <c r="T211" i="44"/>
  <c r="L187" i="44"/>
  <c r="R187" i="44" s="1"/>
  <c r="P144" i="44"/>
  <c r="S144" i="44" s="1"/>
  <c r="K144" i="44"/>
  <c r="S105" i="44"/>
  <c r="P232" i="44"/>
  <c r="S95" i="44"/>
  <c r="S143" i="44"/>
  <c r="L223" i="44"/>
  <c r="R223" i="44" s="1"/>
  <c r="S223" i="44" s="1"/>
  <c r="W206" i="44"/>
  <c r="L176" i="44"/>
  <c r="R176" i="44" s="1"/>
  <c r="S176" i="44" s="1"/>
  <c r="M163" i="44"/>
  <c r="U163" i="44" s="1"/>
  <c r="V163" i="44" s="1"/>
  <c r="L163" i="44"/>
  <c r="R163" i="44" s="1"/>
  <c r="S163" i="44" s="1"/>
  <c r="L135" i="44"/>
  <c r="R135" i="44" s="1"/>
  <c r="S135" i="44" s="1"/>
  <c r="M135" i="44"/>
  <c r="U135" i="44" s="1"/>
  <c r="V135" i="44" s="1"/>
  <c r="S187" i="44"/>
  <c r="S169" i="44"/>
  <c r="M115" i="44"/>
  <c r="U115" i="44" s="1"/>
  <c r="V115" i="44" s="1"/>
  <c r="W112" i="44" s="1"/>
  <c r="H101" i="44"/>
  <c r="F64" i="42" s="1"/>
  <c r="S110" i="44"/>
  <c r="T108" i="44" s="1"/>
  <c r="L164" i="44"/>
  <c r="R164" i="44" s="1"/>
  <c r="S164" i="44" s="1"/>
  <c r="S102" i="44"/>
  <c r="S90" i="44"/>
  <c r="L100" i="44"/>
  <c r="M100" i="44" s="1"/>
  <c r="U100" i="44" s="1"/>
  <c r="V100" i="44" s="1"/>
  <c r="L88" i="44"/>
  <c r="R88" i="44" s="1"/>
  <c r="S88" i="44" s="1"/>
  <c r="S153" i="44"/>
  <c r="S82" i="44"/>
  <c r="S77" i="44"/>
  <c r="L57" i="44"/>
  <c r="R57" i="44" s="1"/>
  <c r="S57" i="44" s="1"/>
  <c r="S67" i="44"/>
  <c r="S58" i="44"/>
  <c r="S44" i="44"/>
  <c r="S33" i="44"/>
  <c r="L30" i="44"/>
  <c r="R30" i="44" s="1"/>
  <c r="S30" i="44" s="1"/>
  <c r="R21" i="44"/>
  <c r="S21" i="44" s="1"/>
  <c r="T18" i="44" s="1"/>
  <c r="M21" i="44"/>
  <c r="U21" i="44" s="1"/>
  <c r="V21" i="44" s="1"/>
  <c r="M40" i="44"/>
  <c r="U40" i="44" s="1"/>
  <c r="V40" i="44" s="1"/>
  <c r="M37" i="44"/>
  <c r="U37" i="44" s="1"/>
  <c r="V37" i="44" s="1"/>
  <c r="L37" i="44"/>
  <c r="R37" i="44" s="1"/>
  <c r="S37" i="44" s="1"/>
  <c r="S150" i="44"/>
  <c r="S131" i="44"/>
  <c r="M35" i="44"/>
  <c r="U35" i="44" s="1"/>
  <c r="V35" i="44" s="1"/>
  <c r="L35" i="44"/>
  <c r="R35" i="44" s="1"/>
  <c r="R211" i="42" l="1"/>
  <c r="Q211" i="42"/>
  <c r="S211" i="42"/>
  <c r="R209" i="42"/>
  <c r="R213" i="42" s="1"/>
  <c r="M208" i="42"/>
  <c r="M213" i="42" s="1"/>
  <c r="S209" i="42"/>
  <c r="Q209" i="42"/>
  <c r="Q213" i="42" s="1"/>
  <c r="AA31" i="1"/>
  <c r="V161" i="42"/>
  <c r="V191" i="42"/>
  <c r="V184" i="42"/>
  <c r="V173" i="42"/>
  <c r="V137" i="42"/>
  <c r="V136" i="42"/>
  <c r="V93" i="42"/>
  <c r="V155" i="42"/>
  <c r="V53" i="42"/>
  <c r="V185" i="42"/>
  <c r="V128" i="42"/>
  <c r="V154" i="42"/>
  <c r="V146" i="42"/>
  <c r="V12" i="42"/>
  <c r="V160" i="42"/>
  <c r="V111" i="42"/>
  <c r="V14" i="42"/>
  <c r="V183" i="42"/>
  <c r="V148" i="42"/>
  <c r="V178" i="42"/>
  <c r="V126" i="42"/>
  <c r="V20" i="42"/>
  <c r="V115" i="42"/>
  <c r="V189" i="42"/>
  <c r="V85" i="42"/>
  <c r="V105" i="42"/>
  <c r="V72" i="42"/>
  <c r="V95" i="42"/>
  <c r="V46" i="42"/>
  <c r="V186" i="42"/>
  <c r="V56" i="42"/>
  <c r="V79" i="42"/>
  <c r="V116" i="42"/>
  <c r="V102" i="42"/>
  <c r="V139" i="42"/>
  <c r="V60" i="42"/>
  <c r="V78" i="42"/>
  <c r="V77" i="42"/>
  <c r="V18" i="42"/>
  <c r="V166" i="42"/>
  <c r="V167" i="42"/>
  <c r="V49" i="42"/>
  <c r="V22" i="42"/>
  <c r="V168" i="42"/>
  <c r="V131" i="42"/>
  <c r="V13" i="42"/>
  <c r="V150" i="42"/>
  <c r="V40" i="42"/>
  <c r="V112" i="42"/>
  <c r="V94" i="42"/>
  <c r="V52" i="42"/>
  <c r="V153" i="42"/>
  <c r="V138" i="42"/>
  <c r="V23" i="42"/>
  <c r="V33" i="42"/>
  <c r="V17" i="42"/>
  <c r="V63" i="42"/>
  <c r="V158" i="42"/>
  <c r="V65" i="42"/>
  <c r="V67" i="42"/>
  <c r="V19" i="42"/>
  <c r="V58" i="42"/>
  <c r="V106" i="42"/>
  <c r="V100" i="42"/>
  <c r="V180" i="42"/>
  <c r="V47" i="42"/>
  <c r="V27" i="42"/>
  <c r="V25" i="42"/>
  <c r="V31" i="42"/>
  <c r="V44" i="42"/>
  <c r="V163" i="42"/>
  <c r="V42" i="42"/>
  <c r="V68" i="42"/>
  <c r="V29" i="42"/>
  <c r="V55" i="42"/>
  <c r="Y26" i="30"/>
  <c r="V135" i="42"/>
  <c r="V97" i="42"/>
  <c r="V133" i="42"/>
  <c r="V125" i="42"/>
  <c r="V87" i="42"/>
  <c r="V82" i="42"/>
  <c r="V51" i="42"/>
  <c r="V134" i="42"/>
  <c r="V96" i="42"/>
  <c r="V190" i="42"/>
  <c r="V81" i="42"/>
  <c r="V86" i="42"/>
  <c r="V188" i="42"/>
  <c r="V170" i="42"/>
  <c r="V69" i="42"/>
  <c r="V187" i="42"/>
  <c r="V144" i="42"/>
  <c r="V38" i="42"/>
  <c r="V45" i="42"/>
  <c r="V76" i="42"/>
  <c r="V149" i="42"/>
  <c r="V152" i="42"/>
  <c r="V130" i="42"/>
  <c r="V119" i="42"/>
  <c r="V171" i="42"/>
  <c r="V175" i="42"/>
  <c r="V16" i="42"/>
  <c r="V99" i="42"/>
  <c r="I64" i="42"/>
  <c r="T64" i="42" s="1"/>
  <c r="G64" i="42"/>
  <c r="J64" i="42" s="1"/>
  <c r="U64" i="42" s="1"/>
  <c r="I66" i="42"/>
  <c r="T66" i="42" s="1"/>
  <c r="G66" i="42"/>
  <c r="J66" i="42" s="1"/>
  <c r="U66" i="42" s="1"/>
  <c r="I28" i="42"/>
  <c r="T28" i="42" s="1"/>
  <c r="G28" i="42"/>
  <c r="J28" i="42" s="1"/>
  <c r="U28" i="42" s="1"/>
  <c r="I89" i="42"/>
  <c r="T89" i="42" s="1"/>
  <c r="G89" i="42"/>
  <c r="J89" i="42" s="1"/>
  <c r="U89" i="42" s="1"/>
  <c r="I122" i="42"/>
  <c r="T122" i="42" s="1"/>
  <c r="G122" i="42"/>
  <c r="J122" i="42" s="1"/>
  <c r="U122" i="42" s="1"/>
  <c r="I113" i="42"/>
  <c r="T113" i="42" s="1"/>
  <c r="G113" i="42"/>
  <c r="J113" i="42" s="1"/>
  <c r="U113" i="42" s="1"/>
  <c r="I84" i="42"/>
  <c r="T84" i="42" s="1"/>
  <c r="G84" i="42"/>
  <c r="J84" i="42" s="1"/>
  <c r="U84" i="42" s="1"/>
  <c r="I70" i="42"/>
  <c r="T70" i="42" s="1"/>
  <c r="G70" i="42"/>
  <c r="J70" i="42" s="1"/>
  <c r="U70" i="42" s="1"/>
  <c r="I118" i="42"/>
  <c r="T118" i="42" s="1"/>
  <c r="G118" i="42"/>
  <c r="J118" i="42" s="1"/>
  <c r="U118" i="42" s="1"/>
  <c r="I15" i="42"/>
  <c r="T15" i="42" s="1"/>
  <c r="G15" i="42"/>
  <c r="J15" i="42" s="1"/>
  <c r="U15" i="42" s="1"/>
  <c r="I90" i="42"/>
  <c r="T90" i="42" s="1"/>
  <c r="G90" i="42"/>
  <c r="J90" i="42" s="1"/>
  <c r="U90" i="42" s="1"/>
  <c r="I181" i="42"/>
  <c r="T181" i="42" s="1"/>
  <c r="G181" i="42"/>
  <c r="J181" i="42" s="1"/>
  <c r="U181" i="42" s="1"/>
  <c r="V165" i="42"/>
  <c r="V140" i="42"/>
  <c r="V132" i="42"/>
  <c r="I92" i="42"/>
  <c r="T92" i="42" s="1"/>
  <c r="G92" i="42"/>
  <c r="J92" i="42" s="1"/>
  <c r="U92" i="42" s="1"/>
  <c r="I48" i="42"/>
  <c r="T48" i="42" s="1"/>
  <c r="G48" i="42"/>
  <c r="J48" i="42" s="1"/>
  <c r="U48" i="42" s="1"/>
  <c r="I109" i="42"/>
  <c r="T109" i="42" s="1"/>
  <c r="G109" i="42"/>
  <c r="J109" i="42" s="1"/>
  <c r="U109" i="42" s="1"/>
  <c r="I74" i="42"/>
  <c r="T74" i="42" s="1"/>
  <c r="G74" i="42"/>
  <c r="J74" i="42" s="1"/>
  <c r="U74" i="42" s="1"/>
  <c r="I117" i="42"/>
  <c r="T117" i="42" s="1"/>
  <c r="G117" i="42"/>
  <c r="J117" i="42" s="1"/>
  <c r="U117" i="42" s="1"/>
  <c r="V194" i="42"/>
  <c r="I83" i="42"/>
  <c r="T83" i="42" s="1"/>
  <c r="G83" i="42"/>
  <c r="J83" i="42" s="1"/>
  <c r="U83" i="42" s="1"/>
  <c r="Y19" i="30" s="1"/>
  <c r="I110" i="42"/>
  <c r="T110" i="42" s="1"/>
  <c r="G110" i="42"/>
  <c r="J110" i="42" s="1"/>
  <c r="U110" i="42" s="1"/>
  <c r="V37" i="42"/>
  <c r="V98" i="42"/>
  <c r="I114" i="42"/>
  <c r="T114" i="42" s="1"/>
  <c r="G114" i="42"/>
  <c r="J114" i="42" s="1"/>
  <c r="U114" i="42" s="1"/>
  <c r="I62" i="42"/>
  <c r="T62" i="42" s="1"/>
  <c r="G62" i="42"/>
  <c r="J62" i="42" s="1"/>
  <c r="U62" i="42" s="1"/>
  <c r="I35" i="42"/>
  <c r="T35" i="42" s="1"/>
  <c r="G35" i="42"/>
  <c r="J35" i="42" s="1"/>
  <c r="U35" i="42" s="1"/>
  <c r="I121" i="42"/>
  <c r="T121" i="42" s="1"/>
  <c r="G121" i="42"/>
  <c r="J121" i="42" s="1"/>
  <c r="U121" i="42" s="1"/>
  <c r="I129" i="42"/>
  <c r="T129" i="42" s="1"/>
  <c r="G129" i="42"/>
  <c r="J129" i="42" s="1"/>
  <c r="U129" i="42" s="1"/>
  <c r="V193" i="42"/>
  <c r="V11" i="42"/>
  <c r="V104" i="42"/>
  <c r="V145" i="42"/>
  <c r="V127" i="42"/>
  <c r="V176" i="42"/>
  <c r="I45" i="41"/>
  <c r="G45" i="41"/>
  <c r="J45" i="41" s="1"/>
  <c r="V120" i="42"/>
  <c r="V91" i="42"/>
  <c r="T78" i="44"/>
  <c r="T184" i="44"/>
  <c r="V43" i="42"/>
  <c r="P235" i="44"/>
  <c r="M93" i="44"/>
  <c r="U93" i="44" s="1"/>
  <c r="V93" i="44" s="1"/>
  <c r="T87" i="44"/>
  <c r="T61" i="44"/>
  <c r="T188" i="44"/>
  <c r="R28" i="44"/>
  <c r="S28" i="44" s="1"/>
  <c r="R103" i="44"/>
  <c r="S103" i="44" s="1"/>
  <c r="M103" i="44"/>
  <c r="U103" i="44" s="1"/>
  <c r="V103" i="44" s="1"/>
  <c r="S40" i="44"/>
  <c r="M56" i="44"/>
  <c r="U56" i="44" s="1"/>
  <c r="V56" i="44" s="1"/>
  <c r="AA32" i="1"/>
  <c r="Y27" i="30"/>
  <c r="M166" i="44"/>
  <c r="U166" i="44" s="1"/>
  <c r="V166" i="44" s="1"/>
  <c r="M30" i="44"/>
  <c r="U30" i="44" s="1"/>
  <c r="V30" i="44" s="1"/>
  <c r="M82" i="44"/>
  <c r="U82" i="44" s="1"/>
  <c r="V82" i="44" s="1"/>
  <c r="M161" i="44"/>
  <c r="U161" i="44" s="1"/>
  <c r="V161" i="44" s="1"/>
  <c r="M67" i="44"/>
  <c r="U67" i="44" s="1"/>
  <c r="V67" i="44" s="1"/>
  <c r="W61" i="44" s="1"/>
  <c r="J30" i="42"/>
  <c r="U30" i="42" s="1"/>
  <c r="V30" i="42" s="1"/>
  <c r="M10" i="44"/>
  <c r="U10" i="44" s="1"/>
  <c r="V10" i="44" s="1"/>
  <c r="M144" i="44"/>
  <c r="U144" i="44" s="1"/>
  <c r="V144" i="44" s="1"/>
  <c r="W140" i="44" s="1"/>
  <c r="J107" i="42"/>
  <c r="U107" i="42" s="1"/>
  <c r="M41" i="44"/>
  <c r="U41" i="44" s="1"/>
  <c r="V41" i="44" s="1"/>
  <c r="M224" i="44"/>
  <c r="U224" i="44" s="1"/>
  <c r="V224" i="44" s="1"/>
  <c r="M185" i="44"/>
  <c r="U185" i="44" s="1"/>
  <c r="V185" i="44" s="1"/>
  <c r="R92" i="44"/>
  <c r="S92" i="44" s="1"/>
  <c r="T91" i="44" s="1"/>
  <c r="M92" i="44"/>
  <c r="U92" i="44" s="1"/>
  <c r="V92" i="44" s="1"/>
  <c r="W91" i="44" s="1"/>
  <c r="T46" i="44"/>
  <c r="T71" i="44"/>
  <c r="T125" i="44"/>
  <c r="T219" i="44"/>
  <c r="T24" i="44"/>
  <c r="M70" i="44"/>
  <c r="U70" i="44" s="1"/>
  <c r="V70" i="44" s="1"/>
  <c r="W69" i="44" s="1"/>
  <c r="M136" i="44"/>
  <c r="U136" i="44" s="1"/>
  <c r="V136" i="44" s="1"/>
  <c r="W18" i="44"/>
  <c r="M84" i="44"/>
  <c r="U84" i="44" s="1"/>
  <c r="V84" i="44" s="1"/>
  <c r="W78" i="44" s="1"/>
  <c r="M25" i="44"/>
  <c r="U25" i="44" s="1"/>
  <c r="V25" i="44" s="1"/>
  <c r="M54" i="44"/>
  <c r="U54" i="44" s="1"/>
  <c r="V54" i="44" s="1"/>
  <c r="M88" i="44"/>
  <c r="U88" i="44" s="1"/>
  <c r="V88" i="44" s="1"/>
  <c r="M176" i="44"/>
  <c r="U176" i="44" s="1"/>
  <c r="V176" i="44" s="1"/>
  <c r="M223" i="44"/>
  <c r="U223" i="44" s="1"/>
  <c r="V223" i="44" s="1"/>
  <c r="W219" i="44" s="1"/>
  <c r="M36" i="44"/>
  <c r="U36" i="44" s="1"/>
  <c r="V36" i="44" s="1"/>
  <c r="T140" i="44"/>
  <c r="T145" i="44"/>
  <c r="W8" i="44"/>
  <c r="M89" i="44"/>
  <c r="U89" i="44" s="1"/>
  <c r="V89" i="44" s="1"/>
  <c r="T8" i="44"/>
  <c r="M132" i="44"/>
  <c r="U132" i="44" s="1"/>
  <c r="V132" i="44" s="1"/>
  <c r="W125" i="44" s="1"/>
  <c r="M197" i="44"/>
  <c r="U197" i="44" s="1"/>
  <c r="V197" i="44" s="1"/>
  <c r="W196" i="44" s="1"/>
  <c r="M162" i="44"/>
  <c r="U162" i="44" s="1"/>
  <c r="V162" i="44" s="1"/>
  <c r="M57" i="44"/>
  <c r="U57" i="44" s="1"/>
  <c r="V57" i="44" s="1"/>
  <c r="M16" i="44"/>
  <c r="U16" i="44" s="1"/>
  <c r="V16" i="44" s="1"/>
  <c r="R100" i="44"/>
  <c r="S100" i="44" s="1"/>
  <c r="T96" i="44" s="1"/>
  <c r="L101" i="44"/>
  <c r="R101" i="44" s="1"/>
  <c r="S101" i="44" s="1"/>
  <c r="M164" i="44"/>
  <c r="U164" i="44" s="1"/>
  <c r="V164" i="44" s="1"/>
  <c r="M187" i="44"/>
  <c r="U187" i="44" s="1"/>
  <c r="V187" i="44" s="1"/>
  <c r="W184" i="44" s="1"/>
  <c r="Z229" i="44"/>
  <c r="AA229" i="44" s="1"/>
  <c r="M124" i="44"/>
  <c r="U124" i="44" s="1"/>
  <c r="V124" i="44" s="1"/>
  <c r="W117" i="44" s="1"/>
  <c r="M76" i="44"/>
  <c r="U76" i="44" s="1"/>
  <c r="V76" i="44" s="1"/>
  <c r="W71" i="44" s="1"/>
  <c r="S213" i="42" l="1"/>
  <c r="AA24" i="1"/>
  <c r="Y18" i="30"/>
  <c r="AA26" i="1"/>
  <c r="V109" i="42"/>
  <c r="V121" i="42"/>
  <c r="V62" i="42"/>
  <c r="V83" i="42"/>
  <c r="Y21" i="30"/>
  <c r="AA23" i="1"/>
  <c r="V64" i="42"/>
  <c r="AA30" i="1"/>
  <c r="V181" i="42"/>
  <c r="V15" i="42"/>
  <c r="V70" i="42"/>
  <c r="V113" i="42"/>
  <c r="Y20" i="30"/>
  <c r="V66" i="42"/>
  <c r="V89" i="42"/>
  <c r="T195" i="42"/>
  <c r="AA28" i="1"/>
  <c r="V117" i="42"/>
  <c r="V92" i="42"/>
  <c r="Y24" i="30"/>
  <c r="Y25" i="30"/>
  <c r="Y23" i="30"/>
  <c r="V129" i="42"/>
  <c r="V35" i="42"/>
  <c r="V114" i="42"/>
  <c r="V110" i="42"/>
  <c r="V74" i="42"/>
  <c r="V48" i="42"/>
  <c r="AA25" i="1"/>
  <c r="AA27" i="1"/>
  <c r="Y22" i="30"/>
  <c r="AA29" i="1"/>
  <c r="AA21" i="1"/>
  <c r="V90" i="42"/>
  <c r="V118" i="42"/>
  <c r="V84" i="42"/>
  <c r="V122" i="42"/>
  <c r="V28" i="42"/>
  <c r="Y16" i="30"/>
  <c r="V107" i="42"/>
  <c r="Y17" i="30"/>
  <c r="AA22" i="1"/>
  <c r="W145" i="44"/>
  <c r="U195" i="42"/>
  <c r="R232" i="44"/>
  <c r="Q235" i="44" s="1"/>
  <c r="Z219" i="44"/>
  <c r="W46" i="44"/>
  <c r="W87" i="44"/>
  <c r="S232" i="44"/>
  <c r="T232" i="44"/>
  <c r="W24" i="44"/>
  <c r="M101" i="44"/>
  <c r="U101" i="44" s="1"/>
  <c r="V101" i="44" s="1"/>
  <c r="W96" i="44" s="1"/>
  <c r="V195" i="42" l="1"/>
  <c r="V232" i="44"/>
  <c r="AA24" i="44"/>
  <c r="W232" i="44"/>
  <c r="X87" i="44" s="1"/>
  <c r="Q234" i="44"/>
  <c r="T235" i="44"/>
  <c r="S235" i="44" s="1"/>
  <c r="N234" i="44"/>
  <c r="P234" i="44"/>
  <c r="AA219" i="44"/>
  <c r="X96" i="44" l="1"/>
  <c r="X46" i="44"/>
  <c r="X24" i="44"/>
  <c r="W235" i="44"/>
  <c r="X232" i="44"/>
  <c r="AB24" i="44"/>
  <c r="X138" i="44"/>
  <c r="X209" i="44"/>
  <c r="X194" i="44"/>
  <c r="X211" i="44"/>
  <c r="X112" i="44"/>
  <c r="X91" i="44"/>
  <c r="X199" i="44"/>
  <c r="X180" i="44"/>
  <c r="X201" i="44"/>
  <c r="X206" i="44"/>
  <c r="X188" i="44"/>
  <c r="X214" i="44"/>
  <c r="X108" i="44"/>
  <c r="X229" i="44"/>
  <c r="X140" i="44"/>
  <c r="X61" i="44"/>
  <c r="X71" i="44"/>
  <c r="X184" i="44"/>
  <c r="X78" i="44"/>
  <c r="X8" i="44"/>
  <c r="X69" i="44"/>
  <c r="AB229" i="44"/>
  <c r="X18" i="44"/>
  <c r="X219" i="44"/>
  <c r="X117" i="44"/>
  <c r="X145" i="44"/>
  <c r="X196" i="44"/>
  <c r="X125" i="44"/>
  <c r="AB219" i="44"/>
  <c r="AA232" i="44"/>
  <c r="AA238" i="44" s="1"/>
  <c r="AA239" i="44" s="1"/>
  <c r="AA240" i="44" s="1"/>
  <c r="W236" i="44" l="1"/>
  <c r="W237" i="44" s="1"/>
  <c r="V235" i="44"/>
  <c r="X10" i="30" l="1"/>
  <c r="X10" i="21"/>
  <c r="D9" i="21"/>
  <c r="F29" i="43"/>
  <c r="F28" i="43"/>
  <c r="F27" i="43"/>
  <c r="F26" i="43"/>
  <c r="F24" i="43"/>
  <c r="F23" i="43"/>
  <c r="F22" i="43"/>
  <c r="F21" i="43"/>
  <c r="F19" i="43"/>
  <c r="F18" i="43"/>
  <c r="F17" i="43"/>
  <c r="F16" i="43"/>
  <c r="V3" i="10"/>
  <c r="D10" i="21" l="1"/>
  <c r="J13" i="45"/>
  <c r="K13" i="45" s="1"/>
  <c r="M13" i="45" s="1"/>
  <c r="E12" i="45"/>
  <c r="G12" i="45" s="1"/>
  <c r="F12" i="43"/>
  <c r="F13" i="43"/>
  <c r="T12" i="41"/>
  <c r="U12" i="41"/>
  <c r="U23" i="41"/>
  <c r="T23" i="41"/>
  <c r="U42" i="41"/>
  <c r="T42" i="41"/>
  <c r="T38" i="41"/>
  <c r="U38" i="41"/>
  <c r="T34" i="41"/>
  <c r="U34" i="41"/>
  <c r="U30" i="41"/>
  <c r="T30" i="41"/>
  <c r="T9" i="41"/>
  <c r="U9" i="41"/>
  <c r="T15" i="41"/>
  <c r="U15" i="41"/>
  <c r="T11" i="41"/>
  <c r="U11" i="41"/>
  <c r="T22" i="41"/>
  <c r="U22" i="41"/>
  <c r="U45" i="41"/>
  <c r="T45" i="41"/>
  <c r="T41" i="41"/>
  <c r="U41" i="41"/>
  <c r="U37" i="41"/>
  <c r="T37" i="41"/>
  <c r="T33" i="41"/>
  <c r="U33" i="41"/>
  <c r="U29" i="41"/>
  <c r="T29" i="41"/>
  <c r="T32" i="41"/>
  <c r="U32" i="41"/>
  <c r="T16" i="41"/>
  <c r="U16" i="41"/>
  <c r="T26" i="41"/>
  <c r="U26" i="41"/>
  <c r="T10" i="41"/>
  <c r="U10" i="41"/>
  <c r="V10" i="41" s="1"/>
  <c r="T14" i="41"/>
  <c r="U14" i="41"/>
  <c r="U19" i="41"/>
  <c r="T19" i="41"/>
  <c r="U21" i="41"/>
  <c r="T21" i="41"/>
  <c r="U44" i="41"/>
  <c r="T44" i="41"/>
  <c r="T40" i="41"/>
  <c r="U40" i="41"/>
  <c r="U36" i="41"/>
  <c r="T36" i="41"/>
  <c r="T28" i="41"/>
  <c r="U28" i="41"/>
  <c r="AA20" i="1" s="1"/>
  <c r="T17" i="41"/>
  <c r="U17" i="41"/>
  <c r="V17" i="41" s="1"/>
  <c r="U13" i="41"/>
  <c r="T13" i="41"/>
  <c r="T20" i="41"/>
  <c r="U20" i="41"/>
  <c r="U25" i="41"/>
  <c r="T25" i="41"/>
  <c r="T43" i="41"/>
  <c r="U43" i="41"/>
  <c r="T39" i="41"/>
  <c r="U39" i="41"/>
  <c r="V39" i="41" s="1"/>
  <c r="U35" i="41"/>
  <c r="T35" i="41"/>
  <c r="V35" i="41" s="1"/>
  <c r="T31" i="41"/>
  <c r="U31" i="41"/>
  <c r="V31" i="41" s="1"/>
  <c r="T27" i="41"/>
  <c r="U27" i="41"/>
  <c r="U4" i="10"/>
  <c r="V4" i="10" s="1"/>
  <c r="K9" i="30"/>
  <c r="K10" i="30" s="1"/>
  <c r="K7" i="30"/>
  <c r="K8" i="30" s="1"/>
  <c r="J9" i="30"/>
  <c r="J10" i="30" s="1"/>
  <c r="J7" i="30"/>
  <c r="J8" i="30" s="1"/>
  <c r="I9" i="30"/>
  <c r="I10" i="30" s="1"/>
  <c r="H9" i="30"/>
  <c r="H10" i="30" s="1"/>
  <c r="G9" i="30"/>
  <c r="G10" i="30" s="1"/>
  <c r="E9" i="30"/>
  <c r="E10" i="30" s="1"/>
  <c r="E7" i="30"/>
  <c r="E8" i="30" s="1"/>
  <c r="D9" i="30"/>
  <c r="D10" i="30" s="1"/>
  <c r="D7" i="30"/>
  <c r="D8" i="30" s="1"/>
  <c r="K9" i="21"/>
  <c r="J9" i="21"/>
  <c r="J7" i="21"/>
  <c r="I9" i="21"/>
  <c r="H9" i="21"/>
  <c r="G9" i="21"/>
  <c r="E9" i="21"/>
  <c r="E7" i="21"/>
  <c r="D7" i="21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13" i="21"/>
  <c r="K14" i="21"/>
  <c r="K15" i="21"/>
  <c r="K16" i="21"/>
  <c r="K17" i="21"/>
  <c r="K18" i="21"/>
  <c r="K19" i="21"/>
  <c r="E29" i="43"/>
  <c r="H29" i="43" s="1"/>
  <c r="K29" i="43" s="1"/>
  <c r="E28" i="43"/>
  <c r="G28" i="43" s="1"/>
  <c r="H34" i="43"/>
  <c r="K34" i="43" s="1"/>
  <c r="H33" i="43"/>
  <c r="H32" i="43"/>
  <c r="K32" i="43" s="1"/>
  <c r="H31" i="43"/>
  <c r="E27" i="43"/>
  <c r="H27" i="43" s="1"/>
  <c r="K27" i="43" s="1"/>
  <c r="E26" i="43"/>
  <c r="G26" i="43" s="1"/>
  <c r="E24" i="43"/>
  <c r="H24" i="43" s="1"/>
  <c r="K24" i="43" s="1"/>
  <c r="E23" i="43"/>
  <c r="E22" i="43"/>
  <c r="H22" i="43" s="1"/>
  <c r="K22" i="43" s="1"/>
  <c r="E21" i="43"/>
  <c r="G21" i="43" s="1"/>
  <c r="E19" i="43"/>
  <c r="H19" i="43" s="1"/>
  <c r="K19" i="43" s="1"/>
  <c r="E18" i="43"/>
  <c r="E17" i="43"/>
  <c r="H17" i="43" s="1"/>
  <c r="K17" i="43" s="1"/>
  <c r="E16" i="43"/>
  <c r="G16" i="43" s="1"/>
  <c r="E7" i="43"/>
  <c r="E6" i="43"/>
  <c r="E5" i="43"/>
  <c r="E4" i="43"/>
  <c r="E85" i="43"/>
  <c r="G8" i="43"/>
  <c r="V40" i="41" l="1"/>
  <c r="V14" i="41"/>
  <c r="Y19" i="21" s="1"/>
  <c r="V32" i="41"/>
  <c r="V38" i="41"/>
  <c r="K33" i="1"/>
  <c r="V44" i="41"/>
  <c r="V13" i="41"/>
  <c r="V36" i="41"/>
  <c r="V21" i="41"/>
  <c r="V26" i="41"/>
  <c r="V33" i="41"/>
  <c r="V22" i="41"/>
  <c r="V30" i="41"/>
  <c r="V23" i="41"/>
  <c r="V19" i="41"/>
  <c r="G10" i="21"/>
  <c r="G9" i="1"/>
  <c r="E10" i="21"/>
  <c r="E9" i="1"/>
  <c r="H10" i="21"/>
  <c r="H9" i="1"/>
  <c r="I10" i="21"/>
  <c r="I9" i="1"/>
  <c r="J8" i="21"/>
  <c r="J7" i="1"/>
  <c r="J10" i="21"/>
  <c r="J9" i="1"/>
  <c r="D8" i="21"/>
  <c r="D7" i="1"/>
  <c r="K8" i="21"/>
  <c r="K7" i="1"/>
  <c r="K8" i="1" s="1"/>
  <c r="D9" i="1"/>
  <c r="E8" i="21"/>
  <c r="E7" i="1"/>
  <c r="K10" i="21"/>
  <c r="K9" i="1"/>
  <c r="K10" i="1" s="1"/>
  <c r="V29" i="41"/>
  <c r="F9" i="21"/>
  <c r="E12" i="43"/>
  <c r="E90" i="43" s="1"/>
  <c r="G7" i="43"/>
  <c r="G5" i="43"/>
  <c r="V37" i="41"/>
  <c r="V45" i="41"/>
  <c r="V34" i="41"/>
  <c r="G23" i="43"/>
  <c r="H23" i="43" s="1"/>
  <c r="G18" i="43"/>
  <c r="H18" i="43" s="1"/>
  <c r="M3" i="10"/>
  <c r="M5" i="10" s="1"/>
  <c r="H21" i="43"/>
  <c r="L35" i="1"/>
  <c r="K25" i="1"/>
  <c r="K31" i="1"/>
  <c r="K23" i="1"/>
  <c r="K24" i="1"/>
  <c r="K30" i="1"/>
  <c r="K22" i="1"/>
  <c r="K29" i="1"/>
  <c r="K21" i="1"/>
  <c r="K28" i="1"/>
  <c r="K15" i="1"/>
  <c r="K32" i="1"/>
  <c r="K27" i="1"/>
  <c r="K13" i="1"/>
  <c r="K26" i="1"/>
  <c r="K14" i="1"/>
  <c r="K34" i="1"/>
  <c r="K20" i="1"/>
  <c r="K19" i="1"/>
  <c r="K18" i="1"/>
  <c r="K17" i="1"/>
  <c r="K16" i="1"/>
  <c r="V42" i="41"/>
  <c r="Y17" i="21"/>
  <c r="V28" i="41"/>
  <c r="V41" i="41"/>
  <c r="V15" i="41"/>
  <c r="Y14" i="21"/>
  <c r="AA17" i="1"/>
  <c r="V9" i="41"/>
  <c r="U46" i="41"/>
  <c r="V25" i="41"/>
  <c r="Y16" i="21"/>
  <c r="AA19" i="1"/>
  <c r="AA34" i="1"/>
  <c r="V27" i="41"/>
  <c r="V43" i="41"/>
  <c r="V20" i="41"/>
  <c r="V16" i="41"/>
  <c r="V11" i="41"/>
  <c r="T46" i="41"/>
  <c r="V12" i="41"/>
  <c r="W4" i="10"/>
  <c r="E14" i="45"/>
  <c r="J15" i="45"/>
  <c r="F14" i="43"/>
  <c r="F15" i="43"/>
  <c r="I7" i="21"/>
  <c r="I7" i="30"/>
  <c r="I8" i="30" s="1"/>
  <c r="H28" i="43"/>
  <c r="G7" i="21"/>
  <c r="H7" i="21"/>
  <c r="G7" i="30"/>
  <c r="G8" i="30" s="1"/>
  <c r="H7" i="30"/>
  <c r="H8" i="30" s="1"/>
  <c r="K29" i="30"/>
  <c r="K20" i="21"/>
  <c r="H26" i="43"/>
  <c r="H16" i="43"/>
  <c r="F4" i="43"/>
  <c r="G4" i="43" s="1"/>
  <c r="E14" i="43"/>
  <c r="E15" i="43"/>
  <c r="E93" i="43" s="1"/>
  <c r="F93" i="43" s="1"/>
  <c r="F6" i="43"/>
  <c r="E13" i="43"/>
  <c r="E9" i="43"/>
  <c r="Y13" i="21" l="1"/>
  <c r="F10" i="21"/>
  <c r="H8" i="21"/>
  <c r="H7" i="1"/>
  <c r="G8" i="21"/>
  <c r="G7" i="1"/>
  <c r="I8" i="21"/>
  <c r="I7" i="1"/>
  <c r="G12" i="43"/>
  <c r="H12" i="43" s="1"/>
  <c r="E92" i="43"/>
  <c r="F7" i="21"/>
  <c r="E91" i="43"/>
  <c r="F91" i="43" s="1"/>
  <c r="G90" i="43"/>
  <c r="G14" i="43"/>
  <c r="E86" i="43"/>
  <c r="E87" i="43" s="1"/>
  <c r="F7" i="30"/>
  <c r="F8" i="30" s="1"/>
  <c r="V46" i="41"/>
  <c r="AA16" i="1"/>
  <c r="H15" i="43"/>
  <c r="K15" i="43" s="1"/>
  <c r="F9" i="30"/>
  <c r="F10" i="30" s="1"/>
  <c r="F81" i="43"/>
  <c r="E51" i="45"/>
  <c r="G14" i="45"/>
  <c r="G51" i="45" s="1"/>
  <c r="K15" i="45"/>
  <c r="J51" i="45"/>
  <c r="F9" i="43"/>
  <c r="E81" i="43"/>
  <c r="H13" i="43"/>
  <c r="K13" i="43" s="1"/>
  <c r="G6" i="43"/>
  <c r="G9" i="43" s="1"/>
  <c r="K81" i="43" l="1"/>
  <c r="M83" i="43" s="1"/>
  <c r="K11" i="43"/>
  <c r="F8" i="21"/>
  <c r="F7" i="1"/>
  <c r="F9" i="1"/>
  <c r="G81" i="43"/>
  <c r="V7" i="21"/>
  <c r="V8" i="21" s="1"/>
  <c r="E96" i="43"/>
  <c r="G92" i="43"/>
  <c r="F92" i="43"/>
  <c r="F96" i="43" s="1"/>
  <c r="M15" i="45"/>
  <c r="M51" i="45" s="1"/>
  <c r="K51" i="45"/>
  <c r="H14" i="43"/>
  <c r="H81" i="43" s="1"/>
  <c r="G96" i="43" l="1"/>
  <c r="G98" i="43" s="1"/>
  <c r="J12" i="5"/>
  <c r="J28" i="5"/>
  <c r="J34" i="5"/>
  <c r="J23" i="31"/>
  <c r="J40" i="31"/>
  <c r="K32" i="30" s="1"/>
  <c r="V32" i="30" s="1" a="1"/>
  <c r="V32" i="30" s="1"/>
  <c r="J46" i="31"/>
  <c r="K33" i="30" s="1"/>
  <c r="V33" i="30" s="1" a="1"/>
  <c r="V33" i="30" s="1"/>
  <c r="H8" i="5"/>
  <c r="E60" i="10" l="1"/>
  <c r="K34" i="30"/>
  <c r="K36" i="30" s="1"/>
  <c r="K38" i="30" s="1"/>
  <c r="W3" i="10"/>
  <c r="W10" i="10"/>
  <c r="W9" i="10"/>
  <c r="W8" i="10"/>
  <c r="W7" i="10"/>
  <c r="W6" i="10"/>
  <c r="W5" i="10"/>
  <c r="J13" i="30"/>
  <c r="J14" i="1" s="1"/>
  <c r="J14" i="30"/>
  <c r="J13" i="1" s="1"/>
  <c r="J15" i="30"/>
  <c r="J15" i="1" s="1"/>
  <c r="J16" i="30"/>
  <c r="J21" i="1" s="1"/>
  <c r="J17" i="30"/>
  <c r="J22" i="1" s="1"/>
  <c r="J18" i="30"/>
  <c r="J23" i="1" s="1"/>
  <c r="J19" i="30"/>
  <c r="J24" i="1" s="1"/>
  <c r="J20" i="30"/>
  <c r="J25" i="1" s="1"/>
  <c r="J21" i="30"/>
  <c r="J26" i="1" s="1"/>
  <c r="J22" i="30"/>
  <c r="J27" i="1" s="1"/>
  <c r="J23" i="30"/>
  <c r="J28" i="1" s="1"/>
  <c r="J24" i="30"/>
  <c r="J29" i="1" s="1"/>
  <c r="J25" i="30"/>
  <c r="J30" i="1" s="1"/>
  <c r="J26" i="30"/>
  <c r="J31" i="1" s="1"/>
  <c r="J27" i="30"/>
  <c r="J32" i="1" s="1"/>
  <c r="J28" i="30"/>
  <c r="J13" i="21"/>
  <c r="J16" i="1" s="1"/>
  <c r="J14" i="21"/>
  <c r="J17" i="1" s="1"/>
  <c r="J15" i="21"/>
  <c r="J18" i="1" s="1"/>
  <c r="J16" i="21"/>
  <c r="J19" i="1" s="1"/>
  <c r="J17" i="21"/>
  <c r="J20" i="1" s="1"/>
  <c r="J18" i="21"/>
  <c r="J19" i="21"/>
  <c r="J34" i="1" s="1"/>
  <c r="I19" i="21"/>
  <c r="I23" i="31"/>
  <c r="I40" i="31"/>
  <c r="J32" i="30" s="1"/>
  <c r="I46" i="31"/>
  <c r="J33" i="30" s="1"/>
  <c r="U22" i="10"/>
  <c r="U21" i="10"/>
  <c r="J33" i="1" l="1"/>
  <c r="K35" i="1"/>
  <c r="U23" i="10"/>
  <c r="W22" i="10"/>
  <c r="J34" i="30"/>
  <c r="J29" i="30"/>
  <c r="J20" i="21"/>
  <c r="J10" i="1"/>
  <c r="J8" i="1"/>
  <c r="H23" i="31"/>
  <c r="G23" i="31"/>
  <c r="F23" i="31"/>
  <c r="E23" i="31"/>
  <c r="D23" i="31"/>
  <c r="C23" i="31"/>
  <c r="J36" i="30" l="1"/>
  <c r="J38" i="30" s="1"/>
  <c r="I8" i="1"/>
  <c r="G10" i="1" l="1"/>
  <c r="I10" i="1"/>
  <c r="H8" i="1"/>
  <c r="G8" i="1"/>
  <c r="H10" i="1"/>
  <c r="K23" i="39"/>
  <c r="J23" i="39"/>
  <c r="I23" i="39"/>
  <c r="H23" i="39"/>
  <c r="K22" i="39"/>
  <c r="J22" i="39"/>
  <c r="I22" i="39"/>
  <c r="H22" i="39"/>
  <c r="L23" i="39" l="1"/>
  <c r="M23" i="39" s="1"/>
  <c r="L22" i="39"/>
  <c r="M22" i="39" s="1"/>
  <c r="I14" i="30"/>
  <c r="I13" i="1" s="1"/>
  <c r="H14" i="30"/>
  <c r="H13" i="1" s="1"/>
  <c r="G14" i="30"/>
  <c r="G13" i="1" s="1"/>
  <c r="F14" i="30"/>
  <c r="E14" i="30"/>
  <c r="E13" i="1" s="1"/>
  <c r="D14" i="30"/>
  <c r="H40" i="31"/>
  <c r="H46" i="31"/>
  <c r="I13" i="30"/>
  <c r="I14" i="1" s="1"/>
  <c r="I15" i="30"/>
  <c r="I15" i="1" s="1"/>
  <c r="I16" i="30"/>
  <c r="I21" i="1" s="1"/>
  <c r="I17" i="30"/>
  <c r="I22" i="1" s="1"/>
  <c r="I18" i="30"/>
  <c r="I23" i="1" s="1"/>
  <c r="I19" i="30"/>
  <c r="I24" i="1" s="1"/>
  <c r="I20" i="30"/>
  <c r="I25" i="1" s="1"/>
  <c r="I21" i="30"/>
  <c r="I26" i="1" s="1"/>
  <c r="I22" i="30"/>
  <c r="I27" i="1" s="1"/>
  <c r="I23" i="30"/>
  <c r="I28" i="1" s="1"/>
  <c r="I24" i="30"/>
  <c r="I29" i="1" s="1"/>
  <c r="I25" i="30"/>
  <c r="I30" i="1" s="1"/>
  <c r="I26" i="30"/>
  <c r="I31" i="1" s="1"/>
  <c r="I27" i="30"/>
  <c r="I32" i="1" s="1"/>
  <c r="I28" i="30"/>
  <c r="H15" i="30"/>
  <c r="H15" i="1" s="1"/>
  <c r="G15" i="30"/>
  <c r="G15" i="1" s="1"/>
  <c r="F15" i="30"/>
  <c r="V15" i="30" s="1" a="1"/>
  <c r="V15" i="30" s="1"/>
  <c r="E15" i="30"/>
  <c r="E15" i="1" s="1"/>
  <c r="D15" i="30"/>
  <c r="H13" i="30"/>
  <c r="H14" i="1" s="1"/>
  <c r="G13" i="30"/>
  <c r="G14" i="1" s="1"/>
  <c r="F13" i="30"/>
  <c r="V13" i="30" s="1" a="1"/>
  <c r="V13" i="30" s="1"/>
  <c r="E13" i="30"/>
  <c r="E14" i="1" s="1"/>
  <c r="D13" i="30"/>
  <c r="V14" i="30" l="1" a="1"/>
  <c r="V14" i="30" s="1"/>
  <c r="F15" i="1"/>
  <c r="V15" i="1" s="1" a="1"/>
  <c r="V15" i="1" s="1"/>
  <c r="F13" i="1"/>
  <c r="V13" i="1" s="1" a="1"/>
  <c r="V13" i="1" s="1"/>
  <c r="F14" i="1"/>
  <c r="V14" i="1" s="1" a="1"/>
  <c r="V14" i="1" s="1"/>
  <c r="D14" i="1"/>
  <c r="D15" i="1"/>
  <c r="D13" i="1"/>
  <c r="J35" i="1"/>
  <c r="I29" i="30"/>
  <c r="I28" i="5" l="1"/>
  <c r="I34" i="5"/>
  <c r="I12" i="5"/>
  <c r="G7" i="5"/>
  <c r="F7" i="5"/>
  <c r="E25" i="3"/>
  <c r="D25" i="3"/>
  <c r="C25" i="3"/>
  <c r="F25" i="3" l="1"/>
  <c r="V7" i="30" l="1"/>
  <c r="V9" i="30"/>
  <c r="F10" i="1"/>
  <c r="F8" i="1"/>
  <c r="E10" i="1"/>
  <c r="E8" i="1"/>
  <c r="AD9" i="1"/>
  <c r="AD10" i="1" s="1"/>
  <c r="V8" i="30" l="1"/>
  <c r="O8" i="1"/>
  <c r="V10" i="30"/>
  <c r="V9" i="21"/>
  <c r="V10" i="21" s="1"/>
  <c r="D8" i="1"/>
  <c r="Y9" i="1"/>
  <c r="Y10" i="1" s="1"/>
  <c r="AB9" i="30"/>
  <c r="AB10" i="30" s="1"/>
  <c r="Z9" i="30"/>
  <c r="O10" i="1" l="1"/>
  <c r="AA9" i="30"/>
  <c r="Z10" i="30"/>
  <c r="D10" i="1"/>
  <c r="V7" i="1"/>
  <c r="V8" i="1" s="1"/>
  <c r="AB10" i="21"/>
  <c r="Z9" i="21"/>
  <c r="V9" i="1" l="1"/>
  <c r="V10" i="1" s="1"/>
  <c r="AA9" i="21"/>
  <c r="Z10" i="21"/>
  <c r="D2" i="25"/>
  <c r="Q223" i="42"/>
  <c r="R223" i="42" s="1"/>
  <c r="R221" i="42"/>
  <c r="S216" i="42"/>
  <c r="Q216" i="42"/>
  <c r="K194" i="42"/>
  <c r="K193" i="42"/>
  <c r="K191" i="42"/>
  <c r="K190" i="42"/>
  <c r="K189" i="42"/>
  <c r="K188" i="42"/>
  <c r="K187" i="42"/>
  <c r="K186" i="42"/>
  <c r="K185" i="42"/>
  <c r="K184" i="42"/>
  <c r="K183" i="42"/>
  <c r="K181" i="42"/>
  <c r="K180" i="42"/>
  <c r="K179" i="42"/>
  <c r="K178" i="42"/>
  <c r="K176" i="42"/>
  <c r="K175" i="42"/>
  <c r="K173" i="42"/>
  <c r="K171" i="42"/>
  <c r="K170" i="42"/>
  <c r="K168" i="42"/>
  <c r="K167" i="42"/>
  <c r="K166" i="42"/>
  <c r="K165" i="42"/>
  <c r="K163" i="42"/>
  <c r="K161" i="42"/>
  <c r="K160" i="42"/>
  <c r="K158" i="42"/>
  <c r="K156" i="42"/>
  <c r="K155" i="42"/>
  <c r="K154" i="42"/>
  <c r="K153" i="42"/>
  <c r="K152" i="42"/>
  <c r="K150" i="42"/>
  <c r="K149" i="42"/>
  <c r="K148" i="42"/>
  <c r="K146" i="42"/>
  <c r="K145" i="42"/>
  <c r="K144" i="42"/>
  <c r="K141" i="42"/>
  <c r="K140" i="42"/>
  <c r="K139" i="42"/>
  <c r="K138" i="42"/>
  <c r="K137" i="42"/>
  <c r="K136" i="42"/>
  <c r="K135" i="42"/>
  <c r="K134" i="42"/>
  <c r="K133" i="42"/>
  <c r="K132" i="42"/>
  <c r="K131" i="42"/>
  <c r="K130" i="42"/>
  <c r="K129" i="42"/>
  <c r="K128" i="42"/>
  <c r="K127" i="42"/>
  <c r="K126" i="42"/>
  <c r="K125" i="42"/>
  <c r="K124" i="42"/>
  <c r="K123" i="42"/>
  <c r="K122" i="42"/>
  <c r="K121" i="42"/>
  <c r="K120" i="42"/>
  <c r="K119" i="42"/>
  <c r="K118" i="42"/>
  <c r="K117" i="42"/>
  <c r="K116" i="42"/>
  <c r="K115" i="42"/>
  <c r="K114" i="42"/>
  <c r="K113" i="42"/>
  <c r="K112" i="42"/>
  <c r="K111" i="42"/>
  <c r="K110" i="42"/>
  <c r="K109" i="42"/>
  <c r="B109" i="42"/>
  <c r="K107" i="42"/>
  <c r="K106" i="42"/>
  <c r="K105" i="42"/>
  <c r="K104" i="42"/>
  <c r="B104" i="42"/>
  <c r="K102" i="42"/>
  <c r="K100" i="42"/>
  <c r="K99" i="42"/>
  <c r="K98" i="42"/>
  <c r="K97" i="42"/>
  <c r="K96" i="42"/>
  <c r="K95" i="42"/>
  <c r="K94" i="42"/>
  <c r="K93" i="42"/>
  <c r="K92" i="42"/>
  <c r="K91" i="42"/>
  <c r="K90" i="42"/>
  <c r="K89" i="42"/>
  <c r="K87" i="42"/>
  <c r="K86" i="42"/>
  <c r="K85" i="42"/>
  <c r="K84" i="42"/>
  <c r="K83" i="42"/>
  <c r="K82" i="42"/>
  <c r="K81" i="42"/>
  <c r="B81" i="42"/>
  <c r="K79" i="42"/>
  <c r="K78" i="42"/>
  <c r="K77" i="42"/>
  <c r="K76" i="42"/>
  <c r="K74" i="42"/>
  <c r="K73" i="42"/>
  <c r="K72" i="42"/>
  <c r="B72" i="42"/>
  <c r="K70" i="42"/>
  <c r="K69" i="42"/>
  <c r="K68" i="42"/>
  <c r="K67" i="42"/>
  <c r="K66" i="42"/>
  <c r="K65" i="42"/>
  <c r="K64" i="42"/>
  <c r="K63" i="42"/>
  <c r="K62" i="42"/>
  <c r="K61" i="42"/>
  <c r="K60" i="42"/>
  <c r="K58" i="42"/>
  <c r="K57" i="42"/>
  <c r="K56" i="42"/>
  <c r="K55" i="42"/>
  <c r="K53" i="42"/>
  <c r="K52" i="42"/>
  <c r="K51" i="42"/>
  <c r="K49" i="42"/>
  <c r="K48" i="42"/>
  <c r="K47" i="42"/>
  <c r="K46" i="42"/>
  <c r="K45" i="42"/>
  <c r="K44" i="42"/>
  <c r="K43" i="42"/>
  <c r="K42" i="42"/>
  <c r="K40" i="42"/>
  <c r="K39" i="42"/>
  <c r="K38" i="42"/>
  <c r="K37" i="42"/>
  <c r="K36" i="42"/>
  <c r="K35" i="42"/>
  <c r="K33" i="42"/>
  <c r="K31" i="42"/>
  <c r="K30" i="42"/>
  <c r="K29" i="42"/>
  <c r="K28" i="42"/>
  <c r="K27" i="42"/>
  <c r="K26" i="42"/>
  <c r="K25" i="42"/>
  <c r="K23" i="42"/>
  <c r="K22" i="42"/>
  <c r="K21" i="42"/>
  <c r="K20" i="42"/>
  <c r="K19" i="42"/>
  <c r="K18" i="42"/>
  <c r="K17" i="42"/>
  <c r="K16" i="42"/>
  <c r="K15" i="42"/>
  <c r="K14" i="42"/>
  <c r="K13" i="42"/>
  <c r="K12" i="42"/>
  <c r="K11" i="42"/>
  <c r="K10" i="42"/>
  <c r="R18" i="42" l="1"/>
  <c r="Q18" i="42"/>
  <c r="S18" i="42"/>
  <c r="R27" i="42"/>
  <c r="Q27" i="42"/>
  <c r="S27" i="42"/>
  <c r="R11" i="42"/>
  <c r="Q11" i="42"/>
  <c r="S11" i="42"/>
  <c r="R19" i="42"/>
  <c r="Q19" i="42"/>
  <c r="S19" i="42"/>
  <c r="R28" i="42"/>
  <c r="Q28" i="42"/>
  <c r="S28" i="42"/>
  <c r="R38" i="42"/>
  <c r="Q38" i="42"/>
  <c r="S38" i="42"/>
  <c r="R47" i="42"/>
  <c r="Q47" i="42"/>
  <c r="S47" i="42"/>
  <c r="R57" i="42"/>
  <c r="Q57" i="42"/>
  <c r="S57" i="42"/>
  <c r="R70" i="42"/>
  <c r="Q70" i="42"/>
  <c r="S70" i="42"/>
  <c r="R79" i="42"/>
  <c r="Q79" i="42"/>
  <c r="S79" i="42"/>
  <c r="Q87" i="42"/>
  <c r="R87" i="42"/>
  <c r="S87" i="42"/>
  <c r="Q96" i="42"/>
  <c r="R96" i="42"/>
  <c r="S96" i="42"/>
  <c r="R105" i="42"/>
  <c r="Q105" i="42"/>
  <c r="S105" i="42"/>
  <c r="R113" i="42"/>
  <c r="Q113" i="42"/>
  <c r="S113" i="42"/>
  <c r="R121" i="42"/>
  <c r="Q121" i="42"/>
  <c r="S121" i="42"/>
  <c r="R129" i="42"/>
  <c r="Q129" i="42"/>
  <c r="S129" i="42"/>
  <c r="R137" i="42"/>
  <c r="Q137" i="42"/>
  <c r="S137" i="42"/>
  <c r="R148" i="42"/>
  <c r="Q148" i="42"/>
  <c r="S148" i="42"/>
  <c r="L157" i="42"/>
  <c r="R158" i="42"/>
  <c r="Q158" i="42"/>
  <c r="S158" i="42"/>
  <c r="R170" i="42"/>
  <c r="Q170" i="42"/>
  <c r="S170" i="42"/>
  <c r="R176" i="42"/>
  <c r="Q176" i="42"/>
  <c r="S176" i="42"/>
  <c r="R186" i="42"/>
  <c r="Q186" i="42"/>
  <c r="S186" i="42"/>
  <c r="R190" i="42"/>
  <c r="Q190" i="42"/>
  <c r="S190" i="42"/>
  <c r="AA15" i="1"/>
  <c r="AD15" i="1" s="1"/>
  <c r="Y15" i="30"/>
  <c r="AB15" i="30" s="1"/>
  <c r="R25" i="42"/>
  <c r="Q25" i="42"/>
  <c r="S25" i="42"/>
  <c r="R39" i="42"/>
  <c r="Q39" i="42"/>
  <c r="S39" i="42"/>
  <c r="R53" i="42"/>
  <c r="Q53" i="42"/>
  <c r="S53" i="42"/>
  <c r="R63" i="42"/>
  <c r="Q63" i="42"/>
  <c r="S63" i="42"/>
  <c r="R67" i="42"/>
  <c r="Q67" i="42"/>
  <c r="S67" i="42"/>
  <c r="R76" i="42"/>
  <c r="Q76" i="42"/>
  <c r="S76" i="42"/>
  <c r="R84" i="42"/>
  <c r="Q84" i="42"/>
  <c r="S84" i="42"/>
  <c r="R89" i="42"/>
  <c r="Q89" i="42"/>
  <c r="S89" i="42"/>
  <c r="R93" i="42"/>
  <c r="Q93" i="42"/>
  <c r="S93" i="42"/>
  <c r="R97" i="42"/>
  <c r="Q97" i="42"/>
  <c r="S97" i="42"/>
  <c r="R102" i="42"/>
  <c r="Q102" i="42"/>
  <c r="S102" i="42"/>
  <c r="Q106" i="42"/>
  <c r="R106" i="42"/>
  <c r="S106" i="42"/>
  <c r="R110" i="42"/>
  <c r="Q110" i="42"/>
  <c r="S110" i="42"/>
  <c r="R114" i="42"/>
  <c r="Q114" i="42"/>
  <c r="S114" i="42"/>
  <c r="R118" i="42"/>
  <c r="Q118" i="42"/>
  <c r="S118" i="42"/>
  <c r="R122" i="42"/>
  <c r="Q122" i="42"/>
  <c r="S122" i="42"/>
  <c r="R126" i="42"/>
  <c r="Q126" i="42"/>
  <c r="S126" i="42"/>
  <c r="R130" i="42"/>
  <c r="Q130" i="42"/>
  <c r="S130" i="42"/>
  <c r="R134" i="42"/>
  <c r="Q134" i="42"/>
  <c r="S134" i="42"/>
  <c r="R138" i="42"/>
  <c r="Q138" i="42"/>
  <c r="S138" i="42"/>
  <c r="R144" i="42"/>
  <c r="Q144" i="42"/>
  <c r="S144" i="42"/>
  <c r="R149" i="42"/>
  <c r="Q149" i="42"/>
  <c r="S149" i="42"/>
  <c r="R154" i="42"/>
  <c r="Q154" i="42"/>
  <c r="S154" i="42"/>
  <c r="R160" i="42"/>
  <c r="Q160" i="42"/>
  <c r="S160" i="42"/>
  <c r="R166" i="42"/>
  <c r="Q166" i="42"/>
  <c r="S166" i="42"/>
  <c r="R171" i="42"/>
  <c r="Q171" i="42"/>
  <c r="S171" i="42"/>
  <c r="R178" i="42"/>
  <c r="Q178" i="42"/>
  <c r="S178" i="42"/>
  <c r="R183" i="42"/>
  <c r="Q183" i="42"/>
  <c r="S183" i="42"/>
  <c r="R187" i="42"/>
  <c r="Q187" i="42"/>
  <c r="S187" i="42"/>
  <c r="R191" i="42"/>
  <c r="Q191" i="42"/>
  <c r="S191" i="42"/>
  <c r="R10" i="42"/>
  <c r="Q10" i="42"/>
  <c r="S10" i="42"/>
  <c r="R22" i="42"/>
  <c r="Q22" i="42"/>
  <c r="S22" i="42"/>
  <c r="R37" i="42"/>
  <c r="Q37" i="42"/>
  <c r="S37" i="42"/>
  <c r="R15" i="42"/>
  <c r="Q15" i="42"/>
  <c r="S15" i="42"/>
  <c r="R23" i="42"/>
  <c r="Q23" i="42"/>
  <c r="S23" i="42"/>
  <c r="R33" i="42"/>
  <c r="Q33" i="42"/>
  <c r="S33" i="42"/>
  <c r="R43" i="42"/>
  <c r="Q43" i="42"/>
  <c r="S43" i="42"/>
  <c r="R52" i="42"/>
  <c r="Q52" i="42"/>
  <c r="S52" i="42"/>
  <c r="R62" i="42"/>
  <c r="Q62" i="42"/>
  <c r="S62" i="42"/>
  <c r="R66" i="42"/>
  <c r="Q66" i="42"/>
  <c r="S66" i="42"/>
  <c r="R74" i="42"/>
  <c r="Q74" i="42"/>
  <c r="S74" i="42"/>
  <c r="Q83" i="42"/>
  <c r="R83" i="42"/>
  <c r="S83" i="42"/>
  <c r="Q92" i="42"/>
  <c r="R92" i="42"/>
  <c r="S92" i="42"/>
  <c r="Q100" i="42"/>
  <c r="R100" i="42"/>
  <c r="S100" i="42"/>
  <c r="R109" i="42"/>
  <c r="Q109" i="42"/>
  <c r="S109" i="42"/>
  <c r="R117" i="42"/>
  <c r="Q117" i="42"/>
  <c r="S117" i="42"/>
  <c r="R125" i="42"/>
  <c r="Q125" i="42"/>
  <c r="S125" i="42"/>
  <c r="R133" i="42"/>
  <c r="Q133" i="42"/>
  <c r="S133" i="42"/>
  <c r="R141" i="42"/>
  <c r="Q141" i="42"/>
  <c r="S141" i="42"/>
  <c r="R153" i="42"/>
  <c r="Q153" i="42"/>
  <c r="S153" i="42"/>
  <c r="R165" i="42"/>
  <c r="Q165" i="42"/>
  <c r="S165" i="42"/>
  <c r="R181" i="42"/>
  <c r="Q181" i="42"/>
  <c r="S181" i="42"/>
  <c r="R12" i="42"/>
  <c r="Q12" i="42"/>
  <c r="S12" i="42"/>
  <c r="R16" i="42"/>
  <c r="Q16" i="42"/>
  <c r="S16" i="42"/>
  <c r="R20" i="42"/>
  <c r="Q20" i="42"/>
  <c r="S20" i="42"/>
  <c r="R29" i="42"/>
  <c r="Q29" i="42"/>
  <c r="S29" i="42"/>
  <c r="R35" i="42"/>
  <c r="Q35" i="42"/>
  <c r="S35" i="42"/>
  <c r="R44" i="42"/>
  <c r="Q44" i="42"/>
  <c r="S44" i="42"/>
  <c r="R48" i="42"/>
  <c r="Q48" i="42"/>
  <c r="S48" i="42"/>
  <c r="R58" i="42"/>
  <c r="Q58" i="42"/>
  <c r="S58" i="42"/>
  <c r="Q13" i="42"/>
  <c r="R13" i="42"/>
  <c r="S13" i="42"/>
  <c r="Q17" i="42"/>
  <c r="R17" i="42"/>
  <c r="S17" i="42"/>
  <c r="Q21" i="42"/>
  <c r="R21" i="42"/>
  <c r="S21" i="42"/>
  <c r="Q26" i="42"/>
  <c r="R26" i="42"/>
  <c r="S26" i="42"/>
  <c r="Q30" i="42"/>
  <c r="R30" i="42"/>
  <c r="S30" i="42"/>
  <c r="Q36" i="42"/>
  <c r="R36" i="42"/>
  <c r="S36" i="42"/>
  <c r="Q40" i="42"/>
  <c r="R40" i="42"/>
  <c r="S40" i="42"/>
  <c r="Q45" i="42"/>
  <c r="R45" i="42"/>
  <c r="S45" i="42"/>
  <c r="Q49" i="42"/>
  <c r="R49" i="42"/>
  <c r="S49" i="42"/>
  <c r="Q55" i="42"/>
  <c r="R55" i="42"/>
  <c r="S55" i="42"/>
  <c r="Q60" i="42"/>
  <c r="R60" i="42"/>
  <c r="S60" i="42"/>
  <c r="Q64" i="42"/>
  <c r="R64" i="42"/>
  <c r="S64" i="42"/>
  <c r="Q68" i="42"/>
  <c r="R68" i="42"/>
  <c r="S68" i="42"/>
  <c r="R72" i="42"/>
  <c r="Q72" i="42"/>
  <c r="S72" i="42"/>
  <c r="R77" i="42"/>
  <c r="Q77" i="42"/>
  <c r="S77" i="42"/>
  <c r="R81" i="42"/>
  <c r="Q81" i="42"/>
  <c r="S81" i="42"/>
  <c r="R85" i="42"/>
  <c r="Q85" i="42"/>
  <c r="S85" i="42"/>
  <c r="R90" i="42"/>
  <c r="Q90" i="42"/>
  <c r="S90" i="42"/>
  <c r="R94" i="42"/>
  <c r="Q94" i="42"/>
  <c r="S94" i="42"/>
  <c r="R98" i="42"/>
  <c r="Q98" i="42"/>
  <c r="S98" i="42"/>
  <c r="R107" i="42"/>
  <c r="Q107" i="42"/>
  <c r="S107" i="42"/>
  <c r="Q111" i="42"/>
  <c r="R111" i="42"/>
  <c r="S111" i="42"/>
  <c r="Q115" i="42"/>
  <c r="R115" i="42"/>
  <c r="S115" i="42"/>
  <c r="Q119" i="42"/>
  <c r="R119" i="42"/>
  <c r="S119" i="42"/>
  <c r="Q123" i="42"/>
  <c r="R123" i="42"/>
  <c r="S123" i="42"/>
  <c r="Q127" i="42"/>
  <c r="R127" i="42"/>
  <c r="S127" i="42"/>
  <c r="Q131" i="42"/>
  <c r="R131" i="42"/>
  <c r="S131" i="42"/>
  <c r="Q135" i="42"/>
  <c r="R135" i="42"/>
  <c r="S135" i="42"/>
  <c r="Q139" i="42"/>
  <c r="R139" i="42"/>
  <c r="S139" i="42"/>
  <c r="Q145" i="42"/>
  <c r="R145" i="42"/>
  <c r="S145" i="42"/>
  <c r="Q150" i="42"/>
  <c r="R150" i="42"/>
  <c r="S150" i="42"/>
  <c r="Q155" i="42"/>
  <c r="R155" i="42"/>
  <c r="S155" i="42"/>
  <c r="Q161" i="42"/>
  <c r="R161" i="42"/>
  <c r="S161" i="42"/>
  <c r="Q167" i="42"/>
  <c r="R167" i="42"/>
  <c r="S167" i="42"/>
  <c r="L172" i="42"/>
  <c r="Q173" i="42"/>
  <c r="R173" i="42"/>
  <c r="S173" i="42"/>
  <c r="Q179" i="42"/>
  <c r="R179" i="42"/>
  <c r="S179" i="42"/>
  <c r="Q184" i="42"/>
  <c r="R184" i="42"/>
  <c r="S184" i="42"/>
  <c r="AA13" i="1"/>
  <c r="AD13" i="1" s="1"/>
  <c r="Y14" i="30"/>
  <c r="AB14" i="30" s="1"/>
  <c r="Q188" i="42"/>
  <c r="R188" i="42"/>
  <c r="S188" i="42"/>
  <c r="Q193" i="42"/>
  <c r="R193" i="42"/>
  <c r="S193" i="42"/>
  <c r="Y13" i="30"/>
  <c r="AB13" i="30" s="1"/>
  <c r="AA14" i="1"/>
  <c r="AD14" i="1" s="1"/>
  <c r="R14" i="42"/>
  <c r="Q14" i="42"/>
  <c r="S14" i="42"/>
  <c r="R31" i="42"/>
  <c r="Q31" i="42"/>
  <c r="S31" i="42"/>
  <c r="R42" i="42"/>
  <c r="Q42" i="42"/>
  <c r="S42" i="42"/>
  <c r="R46" i="42"/>
  <c r="Q46" i="42"/>
  <c r="S46" i="42"/>
  <c r="R51" i="42"/>
  <c r="Q51" i="42"/>
  <c r="S51" i="42"/>
  <c r="R56" i="42"/>
  <c r="Q56" i="42"/>
  <c r="S56" i="42"/>
  <c r="R61" i="42"/>
  <c r="Q61" i="42"/>
  <c r="S61" i="42"/>
  <c r="R65" i="42"/>
  <c r="Q65" i="42"/>
  <c r="S65" i="42"/>
  <c r="R69" i="42"/>
  <c r="Q69" i="42"/>
  <c r="S69" i="42"/>
  <c r="Q73" i="42"/>
  <c r="R73" i="42"/>
  <c r="S73" i="42"/>
  <c r="Q78" i="42"/>
  <c r="R78" i="42"/>
  <c r="S78" i="42"/>
  <c r="R82" i="42"/>
  <c r="Q82" i="42"/>
  <c r="S82" i="42"/>
  <c r="R86" i="42"/>
  <c r="Q86" i="42"/>
  <c r="S86" i="42"/>
  <c r="R91" i="42"/>
  <c r="Q91" i="42"/>
  <c r="S91" i="42"/>
  <c r="R95" i="42"/>
  <c r="Q95" i="42"/>
  <c r="S95" i="42"/>
  <c r="R99" i="42"/>
  <c r="Q99" i="42"/>
  <c r="S99" i="42"/>
  <c r="R104" i="42"/>
  <c r="Q104" i="42"/>
  <c r="S104" i="42"/>
  <c r="R112" i="42"/>
  <c r="Q112" i="42"/>
  <c r="S112" i="42"/>
  <c r="R116" i="42"/>
  <c r="Q116" i="42"/>
  <c r="S116" i="42"/>
  <c r="R120" i="42"/>
  <c r="Q120" i="42"/>
  <c r="S120" i="42"/>
  <c r="R124" i="42"/>
  <c r="Q124" i="42"/>
  <c r="S124" i="42"/>
  <c r="R128" i="42"/>
  <c r="Q128" i="42"/>
  <c r="S128" i="42"/>
  <c r="R132" i="42"/>
  <c r="Q132" i="42"/>
  <c r="S132" i="42"/>
  <c r="R136" i="42"/>
  <c r="Q136" i="42"/>
  <c r="S136" i="42"/>
  <c r="R140" i="42"/>
  <c r="Q140" i="42"/>
  <c r="S140" i="42"/>
  <c r="R146" i="42"/>
  <c r="Q146" i="42"/>
  <c r="S146" i="42"/>
  <c r="R152" i="42"/>
  <c r="Q152" i="42"/>
  <c r="S152" i="42"/>
  <c r="R156" i="42"/>
  <c r="Q156" i="42"/>
  <c r="S156" i="42"/>
  <c r="R163" i="42"/>
  <c r="Q163" i="42"/>
  <c r="S163" i="42"/>
  <c r="R168" i="42"/>
  <c r="Q168" i="42"/>
  <c r="S168" i="42"/>
  <c r="R175" i="42"/>
  <c r="Q175" i="42"/>
  <c r="S175" i="42"/>
  <c r="R180" i="42"/>
  <c r="Q180" i="42"/>
  <c r="S180" i="42"/>
  <c r="R185" i="42"/>
  <c r="Q185" i="42"/>
  <c r="S185" i="42"/>
  <c r="R189" i="42"/>
  <c r="Q189" i="42"/>
  <c r="S189" i="42"/>
  <c r="L192" i="42"/>
  <c r="R194" i="42"/>
  <c r="Q194" i="42"/>
  <c r="S194" i="42"/>
  <c r="L159" i="42"/>
  <c r="L103" i="42"/>
  <c r="L174" i="42"/>
  <c r="L169" i="42"/>
  <c r="AD32" i="1"/>
  <c r="AB27" i="30"/>
  <c r="AD31" i="1"/>
  <c r="AB26" i="30"/>
  <c r="L32" i="42"/>
  <c r="L101" i="42"/>
  <c r="AB22" i="30"/>
  <c r="AD27" i="1"/>
  <c r="AD28" i="1"/>
  <c r="AB23" i="30"/>
  <c r="AB21" i="30"/>
  <c r="AD25" i="1"/>
  <c r="AB20" i="30"/>
  <c r="AD26" i="1"/>
  <c r="L71" i="42"/>
  <c r="AD24" i="1"/>
  <c r="AB18" i="30"/>
  <c r="AD23" i="1"/>
  <c r="AB19" i="30"/>
  <c r="AB24" i="30"/>
  <c r="AB25" i="30"/>
  <c r="AD29" i="1"/>
  <c r="AD30" i="1"/>
  <c r="L50" i="42"/>
  <c r="L59" i="42"/>
  <c r="L143" i="42"/>
  <c r="L162" i="42"/>
  <c r="L177" i="42"/>
  <c r="L75" i="42"/>
  <c r="K195" i="42"/>
  <c r="L54" i="42"/>
  <c r="L80" i="42"/>
  <c r="L9" i="42"/>
  <c r="L24" i="42"/>
  <c r="L34" i="42"/>
  <c r="L41" i="42"/>
  <c r="L108" i="42"/>
  <c r="L147" i="42"/>
  <c r="L164" i="42"/>
  <c r="L151" i="42"/>
  <c r="L182" i="42"/>
  <c r="L88" i="42"/>
  <c r="AB16" i="30" l="1"/>
  <c r="AD21" i="1"/>
  <c r="AD22" i="1"/>
  <c r="AB17" i="30"/>
  <c r="Q195" i="42"/>
  <c r="L195" i="42"/>
  <c r="R195" i="42"/>
  <c r="S195" i="42"/>
  <c r="M9" i="42" l="1"/>
  <c r="Y7" i="30"/>
  <c r="M80" i="42"/>
  <c r="M88" i="42"/>
  <c r="S196" i="42"/>
  <c r="M54" i="42"/>
  <c r="AB33" i="30"/>
  <c r="AB32" i="30"/>
  <c r="R196" i="42"/>
  <c r="S220" i="42"/>
  <c r="M164" i="42"/>
  <c r="S218" i="42"/>
  <c r="S219" i="42" s="1"/>
  <c r="M101" i="42"/>
  <c r="M162" i="42"/>
  <c r="M159" i="42"/>
  <c r="M143" i="42"/>
  <c r="M59" i="42"/>
  <c r="M32" i="42"/>
  <c r="M169" i="42"/>
  <c r="M192" i="42"/>
  <c r="M103" i="42"/>
  <c r="M50" i="42"/>
  <c r="M71" i="42"/>
  <c r="M172" i="42"/>
  <c r="M174" i="42"/>
  <c r="M157" i="42"/>
  <c r="M177" i="42"/>
  <c r="M24" i="42"/>
  <c r="M34" i="42"/>
  <c r="M41" i="42"/>
  <c r="M108" i="42"/>
  <c r="M182" i="42"/>
  <c r="M147" i="42"/>
  <c r="M151" i="42"/>
  <c r="M75" i="42"/>
  <c r="Y28" i="30" l="1"/>
  <c r="AB28" i="30" s="1"/>
  <c r="AB29" i="30" s="1"/>
  <c r="M195" i="42"/>
  <c r="AB34" i="30"/>
  <c r="S221" i="42"/>
  <c r="S222" i="42" s="1"/>
  <c r="S223" i="42" l="1"/>
  <c r="S224" i="42" s="1"/>
  <c r="D3" i="25"/>
  <c r="D4" i="25"/>
  <c r="D5" i="25"/>
  <c r="K45" i="41"/>
  <c r="K44" i="41"/>
  <c r="K43" i="41"/>
  <c r="K42" i="41"/>
  <c r="K41" i="41"/>
  <c r="K40" i="41"/>
  <c r="K39" i="41"/>
  <c r="K38" i="41"/>
  <c r="K37" i="41"/>
  <c r="K36" i="41"/>
  <c r="K35" i="41"/>
  <c r="K34" i="41"/>
  <c r="K33" i="41"/>
  <c r="K32" i="41"/>
  <c r="K31" i="41"/>
  <c r="K30" i="41"/>
  <c r="K29" i="41"/>
  <c r="K28" i="41"/>
  <c r="K27" i="41"/>
  <c r="K26" i="41"/>
  <c r="K25" i="41"/>
  <c r="K23" i="41"/>
  <c r="K22" i="41"/>
  <c r="K21" i="41"/>
  <c r="K20" i="41"/>
  <c r="K19" i="41"/>
  <c r="Y15" i="21" l="1"/>
  <c r="AA18" i="1"/>
  <c r="S12" i="41"/>
  <c r="R12" i="41"/>
  <c r="Q12" i="41"/>
  <c r="S16" i="41"/>
  <c r="Q16" i="41"/>
  <c r="R16" i="41"/>
  <c r="R21" i="41"/>
  <c r="S21" i="41"/>
  <c r="Q21" i="41"/>
  <c r="S26" i="41"/>
  <c r="Q26" i="41"/>
  <c r="R26" i="41"/>
  <c r="S30" i="41"/>
  <c r="Q30" i="41"/>
  <c r="R30" i="41"/>
  <c r="S34" i="41"/>
  <c r="Q34" i="41"/>
  <c r="R34" i="41"/>
  <c r="S38" i="41"/>
  <c r="Q38" i="41"/>
  <c r="R38" i="41"/>
  <c r="S42" i="41"/>
  <c r="Q42" i="41"/>
  <c r="R42" i="41"/>
  <c r="Q9" i="41"/>
  <c r="R9" i="41"/>
  <c r="S9" i="41"/>
  <c r="R13" i="41"/>
  <c r="S13" i="41"/>
  <c r="Q13" i="41"/>
  <c r="R17" i="41"/>
  <c r="S17" i="41"/>
  <c r="Q17" i="41"/>
  <c r="Q22" i="41"/>
  <c r="R22" i="41"/>
  <c r="S22" i="41"/>
  <c r="R27" i="41"/>
  <c r="S27" i="41"/>
  <c r="Q27" i="41"/>
  <c r="R31" i="41"/>
  <c r="S31" i="41"/>
  <c r="Q31" i="41"/>
  <c r="R35" i="41"/>
  <c r="S35" i="41"/>
  <c r="Q35" i="41"/>
  <c r="R39" i="41"/>
  <c r="S39" i="41"/>
  <c r="Q39" i="41"/>
  <c r="R43" i="41"/>
  <c r="S43" i="41"/>
  <c r="Q43" i="41"/>
  <c r="Q10" i="41"/>
  <c r="R10" i="41"/>
  <c r="S10" i="41"/>
  <c r="Q14" i="41"/>
  <c r="R14" i="41"/>
  <c r="S14" i="41"/>
  <c r="R19" i="41"/>
  <c r="S19" i="41"/>
  <c r="Q19" i="41"/>
  <c r="Q23" i="41"/>
  <c r="S23" i="41"/>
  <c r="R23" i="41"/>
  <c r="R28" i="41"/>
  <c r="Q28" i="41"/>
  <c r="S28" i="41"/>
  <c r="R32" i="41"/>
  <c r="S32" i="41"/>
  <c r="Q32" i="41"/>
  <c r="R36" i="41"/>
  <c r="Q36" i="41"/>
  <c r="S36" i="41"/>
  <c r="R40" i="41"/>
  <c r="S40" i="41"/>
  <c r="Q40" i="41"/>
  <c r="R44" i="41"/>
  <c r="Q44" i="41"/>
  <c r="S44" i="41"/>
  <c r="Q11" i="41"/>
  <c r="R11" i="41"/>
  <c r="S11" i="41"/>
  <c r="Q15" i="41"/>
  <c r="S15" i="41"/>
  <c r="R15" i="41"/>
  <c r="S20" i="41"/>
  <c r="Q20" i="41"/>
  <c r="R20" i="41"/>
  <c r="S25" i="41"/>
  <c r="R25" i="41"/>
  <c r="Q25" i="41"/>
  <c r="Q29" i="41"/>
  <c r="R29" i="41"/>
  <c r="S29" i="41"/>
  <c r="Q33" i="41"/>
  <c r="S33" i="41"/>
  <c r="R33" i="41"/>
  <c r="Q37" i="41"/>
  <c r="S37" i="41"/>
  <c r="R37" i="41"/>
  <c r="Q41" i="41"/>
  <c r="S41" i="41"/>
  <c r="R41" i="41"/>
  <c r="Q45" i="41"/>
  <c r="R45" i="41"/>
  <c r="S45" i="41"/>
  <c r="L18" i="41"/>
  <c r="L8" i="41"/>
  <c r="K46" i="41"/>
  <c r="L24" i="41"/>
  <c r="R46" i="41" l="1"/>
  <c r="S46" i="41"/>
  <c r="Q46" i="41"/>
  <c r="L46" i="41"/>
  <c r="M18" i="41" l="1"/>
  <c r="AA7" i="1"/>
  <c r="Y7" i="21"/>
  <c r="AB7" i="21" s="1"/>
  <c r="S48" i="41"/>
  <c r="Y18" i="21" s="1"/>
  <c r="M8" i="41"/>
  <c r="M46" i="41"/>
  <c r="M24" i="41"/>
  <c r="AA39" i="1" l="1"/>
  <c r="AD39" i="1" s="1"/>
  <c r="AA38" i="1"/>
  <c r="AD38" i="1" s="1"/>
  <c r="AA33" i="1"/>
  <c r="AD33" i="1" s="1"/>
  <c r="Y24" i="21"/>
  <c r="AB24" i="21" s="1"/>
  <c r="Y23" i="21"/>
  <c r="AB23" i="21" s="1"/>
  <c r="AB25" i="21" l="1"/>
  <c r="K21" i="39"/>
  <c r="J21" i="39"/>
  <c r="I21" i="39"/>
  <c r="H21" i="39"/>
  <c r="K20" i="39"/>
  <c r="J20" i="39"/>
  <c r="I20" i="39"/>
  <c r="H20" i="39"/>
  <c r="E11" i="3"/>
  <c r="D11" i="3"/>
  <c r="C11" i="3"/>
  <c r="D28" i="30"/>
  <c r="E28" i="30"/>
  <c r="F28" i="30"/>
  <c r="G28" i="30"/>
  <c r="H28" i="30"/>
  <c r="X9" i="1"/>
  <c r="X10" i="1" s="1"/>
  <c r="E8" i="5"/>
  <c r="G40" i="31"/>
  <c r="G46" i="31"/>
  <c r="H16" i="30"/>
  <c r="H21" i="1" s="1"/>
  <c r="H17" i="30"/>
  <c r="H22" i="1" s="1"/>
  <c r="H18" i="30"/>
  <c r="H23" i="1" s="1"/>
  <c r="H19" i="30"/>
  <c r="H24" i="1" s="1"/>
  <c r="H20" i="30"/>
  <c r="H25" i="1" s="1"/>
  <c r="H21" i="30"/>
  <c r="H26" i="1" s="1"/>
  <c r="H22" i="30"/>
  <c r="H27" i="1" s="1"/>
  <c r="H23" i="30"/>
  <c r="H28" i="1" s="1"/>
  <c r="H24" i="30"/>
  <c r="H29" i="1" s="1"/>
  <c r="H25" i="30"/>
  <c r="H30" i="1" s="1"/>
  <c r="H26" i="30"/>
  <c r="H31" i="1" s="1"/>
  <c r="H27" i="30"/>
  <c r="H32" i="1" s="1"/>
  <c r="E16" i="30"/>
  <c r="E21" i="1" s="1"/>
  <c r="F16" i="30"/>
  <c r="G16" i="30"/>
  <c r="G21" i="1" s="1"/>
  <c r="E17" i="30"/>
  <c r="E22" i="1" s="1"/>
  <c r="F17" i="30"/>
  <c r="G17" i="30"/>
  <c r="G22" i="1" s="1"/>
  <c r="E18" i="30"/>
  <c r="E23" i="1" s="1"/>
  <c r="F18" i="30"/>
  <c r="G18" i="30"/>
  <c r="G23" i="1" s="1"/>
  <c r="E19" i="30"/>
  <c r="E24" i="1" s="1"/>
  <c r="F19" i="30"/>
  <c r="V19" i="30" s="1" a="1"/>
  <c r="V19" i="30" s="1"/>
  <c r="G19" i="30"/>
  <c r="G24" i="1" s="1"/>
  <c r="E20" i="30"/>
  <c r="E25" i="1" s="1"/>
  <c r="F20" i="30"/>
  <c r="G20" i="30"/>
  <c r="G25" i="1" s="1"/>
  <c r="E21" i="30"/>
  <c r="E26" i="1" s="1"/>
  <c r="F21" i="30"/>
  <c r="G21" i="30"/>
  <c r="G26" i="1" s="1"/>
  <c r="E22" i="30"/>
  <c r="E27" i="1" s="1"/>
  <c r="F22" i="30"/>
  <c r="G22" i="30"/>
  <c r="G27" i="1" s="1"/>
  <c r="E23" i="30"/>
  <c r="E28" i="1" s="1"/>
  <c r="F23" i="30"/>
  <c r="V23" i="30" s="1" a="1"/>
  <c r="V23" i="30" s="1"/>
  <c r="G23" i="30"/>
  <c r="G28" i="1" s="1"/>
  <c r="E24" i="30"/>
  <c r="E29" i="1" s="1"/>
  <c r="F24" i="30"/>
  <c r="G24" i="30"/>
  <c r="G29" i="1" s="1"/>
  <c r="E26" i="30"/>
  <c r="E31" i="1" s="1"/>
  <c r="F26" i="30"/>
  <c r="G26" i="30"/>
  <c r="G31" i="1" s="1"/>
  <c r="E27" i="30"/>
  <c r="E32" i="1" s="1"/>
  <c r="F27" i="30"/>
  <c r="G27" i="30"/>
  <c r="G32" i="1" s="1"/>
  <c r="D22" i="30"/>
  <c r="D23" i="30"/>
  <c r="D24" i="30"/>
  <c r="D25" i="30"/>
  <c r="D26" i="30"/>
  <c r="D27" i="30"/>
  <c r="V24" i="30" l="1" a="1"/>
  <c r="V24" i="30" s="1"/>
  <c r="V20" i="30" a="1"/>
  <c r="V20" i="30" s="1"/>
  <c r="V16" i="30" a="1"/>
  <c r="V16" i="30" s="1"/>
  <c r="V28" i="30" a="1"/>
  <c r="V28" i="30" s="1"/>
  <c r="V26" i="30" a="1"/>
  <c r="V26" i="30" s="1"/>
  <c r="V21" i="30" a="1"/>
  <c r="V21" i="30" s="1"/>
  <c r="V17" i="30" a="1"/>
  <c r="V17" i="30" s="1"/>
  <c r="V27" i="30" a="1"/>
  <c r="V27" i="30" s="1"/>
  <c r="V22" i="30" a="1"/>
  <c r="V22" i="30" s="1"/>
  <c r="V18" i="30" a="1"/>
  <c r="V18" i="30" s="1"/>
  <c r="F24" i="1"/>
  <c r="V24" i="1" s="1" a="1"/>
  <c r="V24" i="1" s="1"/>
  <c r="F25" i="1"/>
  <c r="V25" i="1" s="1" a="1"/>
  <c r="V25" i="1" s="1"/>
  <c r="F21" i="1"/>
  <c r="V21" i="1" s="1" a="1"/>
  <c r="V21" i="1" s="1"/>
  <c r="F28" i="1"/>
  <c r="V28" i="1" s="1" a="1"/>
  <c r="V28" i="1" s="1"/>
  <c r="F29" i="1"/>
  <c r="V29" i="1" s="1" a="1"/>
  <c r="V29" i="1" s="1"/>
  <c r="F31" i="1"/>
  <c r="V31" i="1" s="1" a="1"/>
  <c r="V31" i="1" s="1"/>
  <c r="F26" i="1"/>
  <c r="V26" i="1" s="1" a="1"/>
  <c r="V26" i="1" s="1"/>
  <c r="F22" i="1"/>
  <c r="V22" i="1" s="1" a="1"/>
  <c r="V22" i="1" s="1"/>
  <c r="F32" i="1"/>
  <c r="V32" i="1" s="1" a="1"/>
  <c r="V32" i="1" s="1"/>
  <c r="F27" i="1"/>
  <c r="V27" i="1" s="1" a="1"/>
  <c r="V27" i="1" s="1"/>
  <c r="F23" i="1"/>
  <c r="V23" i="1" s="1" a="1"/>
  <c r="V23" i="1" s="1"/>
  <c r="H29" i="30"/>
  <c r="H13" i="21"/>
  <c r="H16" i="1" s="1"/>
  <c r="I13" i="21"/>
  <c r="H14" i="21"/>
  <c r="H17" i="1" s="1"/>
  <c r="I14" i="21"/>
  <c r="H15" i="21"/>
  <c r="H18" i="1" s="1"/>
  <c r="I15" i="21"/>
  <c r="H16" i="21"/>
  <c r="H19" i="1" s="1"/>
  <c r="I16" i="21"/>
  <c r="I17" i="21"/>
  <c r="H18" i="21"/>
  <c r="H33" i="1" s="1"/>
  <c r="I18" i="21"/>
  <c r="I33" i="1" s="1"/>
  <c r="H19" i="21"/>
  <c r="H34" i="1" s="1"/>
  <c r="I34" i="1"/>
  <c r="H34" i="5"/>
  <c r="H28" i="5"/>
  <c r="H12" i="5"/>
  <c r="I20" i="1" l="1"/>
  <c r="I16" i="1"/>
  <c r="I17" i="1"/>
  <c r="I18" i="1"/>
  <c r="I19" i="1"/>
  <c r="I20" i="21"/>
  <c r="F63" i="40"/>
  <c r="H57" i="40"/>
  <c r="H56" i="40"/>
  <c r="H55" i="40"/>
  <c r="H54" i="40"/>
  <c r="H53" i="40"/>
  <c r="G47" i="40"/>
  <c r="F46" i="40"/>
  <c r="E46" i="40"/>
  <c r="D46" i="40"/>
  <c r="G45" i="40"/>
  <c r="G37" i="40"/>
  <c r="G36" i="40"/>
  <c r="G35" i="40"/>
  <c r="G34" i="40"/>
  <c r="G33" i="40"/>
  <c r="J28" i="40"/>
  <c r="F27" i="40"/>
  <c r="F24" i="40"/>
  <c r="N17" i="40"/>
  <c r="F4" i="40" s="1"/>
  <c r="D43" i="40" s="1"/>
  <c r="D44" i="40" s="1"/>
  <c r="G44" i="40" s="1"/>
  <c r="O16" i="40"/>
  <c r="O15" i="40"/>
  <c r="O14" i="40"/>
  <c r="O13" i="40"/>
  <c r="Q12" i="40"/>
  <c r="R12" i="40" s="1"/>
  <c r="O12" i="40"/>
  <c r="O11" i="40"/>
  <c r="O10" i="40"/>
  <c r="F10" i="40"/>
  <c r="O9" i="40"/>
  <c r="F9" i="40"/>
  <c r="O8" i="40"/>
  <c r="F8" i="40"/>
  <c r="O7" i="40"/>
  <c r="F7" i="40"/>
  <c r="O6" i="40"/>
  <c r="Q5" i="40"/>
  <c r="D12" i="40" s="1"/>
  <c r="G12" i="40" s="1"/>
  <c r="O5" i="40"/>
  <c r="O4" i="40"/>
  <c r="I35" i="1" l="1"/>
  <c r="H32" i="40"/>
  <c r="G46" i="40"/>
  <c r="O17" i="40"/>
  <c r="K12" i="40"/>
  <c r="G59" i="40"/>
  <c r="G64" i="40" s="1"/>
  <c r="H64" i="40" s="1"/>
  <c r="G43" i="40"/>
  <c r="H42" i="40" s="1"/>
  <c r="H59" i="40"/>
  <c r="J53" i="40" s="1"/>
  <c r="D8" i="40"/>
  <c r="G8" i="40" s="1"/>
  <c r="D22" i="40"/>
  <c r="G22" i="40" s="1"/>
  <c r="D30" i="40"/>
  <c r="K30" i="40" s="1"/>
  <c r="D14" i="40"/>
  <c r="G14" i="40" s="1"/>
  <c r="D26" i="40"/>
  <c r="G26" i="40" s="1"/>
  <c r="D18" i="40"/>
  <c r="G18" i="40" s="1"/>
  <c r="D27" i="40"/>
  <c r="G27" i="40" s="1"/>
  <c r="D19" i="40"/>
  <c r="G19" i="40" s="1"/>
  <c r="D23" i="40"/>
  <c r="G23" i="40" s="1"/>
  <c r="D28" i="40"/>
  <c r="G28" i="40" s="1"/>
  <c r="D16" i="40"/>
  <c r="G16" i="40" s="1"/>
  <c r="D24" i="40"/>
  <c r="G24" i="40" s="1"/>
  <c r="D9" i="40"/>
  <c r="G9" i="40" s="1"/>
  <c r="D7" i="40"/>
  <c r="G7" i="40" s="1"/>
  <c r="D10" i="40"/>
  <c r="G10" i="40" s="1"/>
  <c r="D15" i="40"/>
  <c r="G15" i="40" s="1"/>
  <c r="D13" i="40"/>
  <c r="D21" i="40"/>
  <c r="G21" i="40" s="1"/>
  <c r="D17" i="40"/>
  <c r="G17" i="40" s="1"/>
  <c r="D25" i="40"/>
  <c r="G25" i="40" s="1"/>
  <c r="D29" i="40"/>
  <c r="G29" i="40" s="1"/>
  <c r="J56" i="40" l="1"/>
  <c r="J54" i="40"/>
  <c r="G63" i="40"/>
  <c r="H63" i="40" s="1"/>
  <c r="J60" i="40"/>
  <c r="J62" i="40" s="1"/>
  <c r="F62" i="40" s="1"/>
  <c r="G62" i="40" s="1"/>
  <c r="H62" i="40" s="1"/>
  <c r="H6" i="40"/>
  <c r="J55" i="40"/>
  <c r="J58" i="40" s="1"/>
  <c r="L58" i="40" s="1"/>
  <c r="K28" i="40"/>
  <c r="G13" i="40"/>
  <c r="H11" i="40" s="1"/>
  <c r="K13" i="40"/>
  <c r="H20" i="40"/>
  <c r="K22" i="40"/>
  <c r="H49" i="40" l="1"/>
  <c r="H51" i="40" s="1"/>
  <c r="F61" i="40" s="1"/>
  <c r="K49" i="40"/>
  <c r="L49" i="40" l="1"/>
  <c r="G61" i="40"/>
  <c r="F65" i="40"/>
  <c r="F67" i="40" s="1"/>
  <c r="G67" i="40" s="1"/>
  <c r="H61" i="40" l="1"/>
  <c r="G65" i="40"/>
  <c r="H65" i="40" l="1"/>
  <c r="G69" i="40"/>
  <c r="H69" i="40" s="1"/>
  <c r="K56" i="40" l="1"/>
  <c r="K55" i="40"/>
  <c r="K54" i="40"/>
  <c r="K53" i="40"/>
  <c r="K65" i="40"/>
  <c r="K57" i="40" l="1"/>
  <c r="K69" i="40" s="1"/>
  <c r="F11" i="5"/>
  <c r="F10" i="5" l="1"/>
  <c r="G19" i="21" s="1"/>
  <c r="V19" i="21" s="1" a="1"/>
  <c r="V19" i="21" s="1"/>
  <c r="E40" i="31"/>
  <c r="F40" i="31"/>
  <c r="E46" i="31"/>
  <c r="F46" i="31"/>
  <c r="G28" i="5"/>
  <c r="G34" i="5"/>
  <c r="L21" i="39"/>
  <c r="M21" i="39" s="1"/>
  <c r="L20" i="39"/>
  <c r="M20" i="39" s="1"/>
  <c r="T19" i="39"/>
  <c r="S19" i="39"/>
  <c r="Q19" i="39"/>
  <c r="K19" i="39"/>
  <c r="J19" i="39"/>
  <c r="I19" i="39"/>
  <c r="H19" i="39"/>
  <c r="T18" i="39"/>
  <c r="S18" i="39"/>
  <c r="Q18" i="39"/>
  <c r="K18" i="39"/>
  <c r="J18" i="39"/>
  <c r="I18" i="39"/>
  <c r="H18" i="39"/>
  <c r="R18" i="39"/>
  <c r="T17" i="39"/>
  <c r="S17" i="39"/>
  <c r="Q17" i="39"/>
  <c r="K17" i="39"/>
  <c r="J17" i="39"/>
  <c r="I17" i="39"/>
  <c r="H17" i="39"/>
  <c r="R17" i="39"/>
  <c r="D14" i="2"/>
  <c r="I14" i="2" s="1"/>
  <c r="D13" i="2"/>
  <c r="I13" i="2" s="1"/>
  <c r="K14" i="2"/>
  <c r="J14" i="2"/>
  <c r="H14" i="2"/>
  <c r="K13" i="2"/>
  <c r="J13" i="2"/>
  <c r="H13" i="2"/>
  <c r="D12" i="2"/>
  <c r="I12" i="2" s="1"/>
  <c r="K12" i="2"/>
  <c r="J12" i="2"/>
  <c r="H12" i="2"/>
  <c r="F34" i="5"/>
  <c r="F28" i="5"/>
  <c r="G13" i="21"/>
  <c r="V13" i="21" s="1" a="1"/>
  <c r="V13" i="21" s="1"/>
  <c r="G14" i="21"/>
  <c r="V14" i="21" s="1" a="1"/>
  <c r="V14" i="21" s="1"/>
  <c r="G15" i="21"/>
  <c r="V15" i="21" s="1" a="1"/>
  <c r="V15" i="21" s="1"/>
  <c r="G16" i="21"/>
  <c r="V16" i="21" s="1" a="1"/>
  <c r="V16" i="21" s="1"/>
  <c r="AB16" i="21" s="1"/>
  <c r="G18" i="21"/>
  <c r="V18" i="21" s="1" a="1"/>
  <c r="V18" i="21" s="1"/>
  <c r="AB18" i="21" s="1"/>
  <c r="M164" i="38"/>
  <c r="L233" i="38"/>
  <c r="L232" i="38"/>
  <c r="L231" i="38"/>
  <c r="L230" i="38"/>
  <c r="L229" i="38"/>
  <c r="L228" i="38"/>
  <c r="L227" i="38"/>
  <c r="L226" i="38"/>
  <c r="L225" i="38"/>
  <c r="L224" i="38"/>
  <c r="L223" i="38"/>
  <c r="L222" i="38"/>
  <c r="L221" i="38"/>
  <c r="L220" i="38"/>
  <c r="L219" i="38"/>
  <c r="L218" i="38"/>
  <c r="L217" i="38"/>
  <c r="L216" i="38"/>
  <c r="L215" i="38"/>
  <c r="L214" i="38"/>
  <c r="L213" i="38"/>
  <c r="L212" i="38"/>
  <c r="L211" i="38"/>
  <c r="L210" i="38"/>
  <c r="L209" i="38"/>
  <c r="L208" i="38"/>
  <c r="L207" i="38"/>
  <c r="L206" i="38"/>
  <c r="L205" i="38"/>
  <c r="L204" i="38"/>
  <c r="L203" i="38"/>
  <c r="L202" i="38"/>
  <c r="L201" i="38"/>
  <c r="L200" i="38"/>
  <c r="L199" i="38"/>
  <c r="L198" i="38"/>
  <c r="L197" i="38"/>
  <c r="L196" i="38"/>
  <c r="L195" i="38"/>
  <c r="L194" i="38"/>
  <c r="L193" i="38"/>
  <c r="L192" i="38"/>
  <c r="L191" i="38"/>
  <c r="L190" i="38"/>
  <c r="L189" i="38"/>
  <c r="L188" i="38"/>
  <c r="L187" i="38"/>
  <c r="L186" i="38"/>
  <c r="L185" i="38"/>
  <c r="L184" i="38"/>
  <c r="L183" i="38"/>
  <c r="L182" i="38"/>
  <c r="L181" i="38"/>
  <c r="L180" i="38"/>
  <c r="L179" i="38"/>
  <c r="L178" i="38"/>
  <c r="L177" i="38"/>
  <c r="L176" i="38"/>
  <c r="L175" i="38"/>
  <c r="L174" i="38"/>
  <c r="L173" i="38"/>
  <c r="L172" i="38"/>
  <c r="L171" i="38"/>
  <c r="L170" i="38"/>
  <c r="L169" i="38"/>
  <c r="L168" i="38"/>
  <c r="L167" i="38"/>
  <c r="L166" i="38"/>
  <c r="L165" i="38"/>
  <c r="L163" i="38"/>
  <c r="L162" i="38"/>
  <c r="L161" i="38"/>
  <c r="L160" i="38"/>
  <c r="L159" i="38"/>
  <c r="L158" i="38"/>
  <c r="L157" i="38"/>
  <c r="L156" i="38"/>
  <c r="L155" i="38"/>
  <c r="L154" i="38"/>
  <c r="L153" i="38"/>
  <c r="L152" i="38"/>
  <c r="L151" i="38"/>
  <c r="L150" i="38"/>
  <c r="L149" i="38"/>
  <c r="L148" i="38"/>
  <c r="L147" i="38"/>
  <c r="L146" i="38"/>
  <c r="L145" i="38"/>
  <c r="L144" i="38"/>
  <c r="L143" i="38"/>
  <c r="L142" i="38"/>
  <c r="L141" i="38"/>
  <c r="L140" i="38"/>
  <c r="L139" i="38"/>
  <c r="L138" i="38"/>
  <c r="L137" i="38"/>
  <c r="L136" i="38"/>
  <c r="L135" i="38"/>
  <c r="L134" i="38"/>
  <c r="L133" i="38"/>
  <c r="L132" i="38"/>
  <c r="L131" i="38"/>
  <c r="L130" i="38"/>
  <c r="L129" i="38"/>
  <c r="L128" i="38"/>
  <c r="L127" i="38"/>
  <c r="L126" i="38"/>
  <c r="L125" i="38"/>
  <c r="L124" i="38"/>
  <c r="L123" i="38"/>
  <c r="L122" i="38"/>
  <c r="L121" i="38"/>
  <c r="L120" i="38"/>
  <c r="L119" i="38"/>
  <c r="L118" i="38"/>
  <c r="L117" i="38"/>
  <c r="L116" i="38"/>
  <c r="L115" i="38"/>
  <c r="L114" i="38"/>
  <c r="L113" i="38"/>
  <c r="L112" i="38"/>
  <c r="L111" i="38"/>
  <c r="L110" i="38"/>
  <c r="L109" i="38"/>
  <c r="L108" i="38"/>
  <c r="L107" i="38"/>
  <c r="L106" i="38"/>
  <c r="L105" i="38"/>
  <c r="L104" i="38"/>
  <c r="L103" i="38"/>
  <c r="L102" i="38"/>
  <c r="L101" i="38"/>
  <c r="L100" i="38"/>
  <c r="L99" i="38"/>
  <c r="L98" i="38"/>
  <c r="L97" i="38"/>
  <c r="L96" i="38"/>
  <c r="L95" i="38"/>
  <c r="L94" i="38"/>
  <c r="L93" i="38"/>
  <c r="L92" i="38"/>
  <c r="L91" i="38"/>
  <c r="L90" i="38"/>
  <c r="L89" i="38"/>
  <c r="L88" i="38"/>
  <c r="L87" i="38"/>
  <c r="L86" i="38"/>
  <c r="L85" i="38"/>
  <c r="L84" i="38"/>
  <c r="L83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L67" i="38"/>
  <c r="L66" i="38"/>
  <c r="L65" i="38"/>
  <c r="L64" i="38"/>
  <c r="L63" i="38"/>
  <c r="L62" i="38"/>
  <c r="L61" i="38"/>
  <c r="L60" i="38"/>
  <c r="L58" i="38"/>
  <c r="L57" i="38"/>
  <c r="L56" i="38"/>
  <c r="L55" i="38"/>
  <c r="L54" i="38"/>
  <c r="L53" i="38"/>
  <c r="L52" i="38"/>
  <c r="L51" i="38"/>
  <c r="L50" i="38"/>
  <c r="L49" i="38"/>
  <c r="L48" i="38"/>
  <c r="L47" i="38"/>
  <c r="L46" i="38"/>
  <c r="L45" i="38"/>
  <c r="L44" i="38"/>
  <c r="L43" i="38"/>
  <c r="L42" i="38"/>
  <c r="L41" i="38"/>
  <c r="L40" i="38"/>
  <c r="L39" i="38"/>
  <c r="L38" i="38"/>
  <c r="L37" i="38"/>
  <c r="L36" i="38"/>
  <c r="L35" i="38"/>
  <c r="L34" i="38"/>
  <c r="L33" i="38"/>
  <c r="L32" i="38"/>
  <c r="L31" i="38"/>
  <c r="L30" i="38"/>
  <c r="L29" i="38"/>
  <c r="L27" i="38"/>
  <c r="L26" i="38"/>
  <c r="L25" i="38"/>
  <c r="L24" i="38"/>
  <c r="L23" i="38"/>
  <c r="L22" i="38"/>
  <c r="L21" i="38"/>
  <c r="L20" i="38"/>
  <c r="L19" i="38"/>
  <c r="L17" i="38"/>
  <c r="L16" i="38"/>
  <c r="L15" i="38"/>
  <c r="L14" i="38"/>
  <c r="L13" i="38"/>
  <c r="L12" i="38"/>
  <c r="L11" i="38"/>
  <c r="L10" i="38"/>
  <c r="L9" i="38"/>
  <c r="M234" i="38"/>
  <c r="K234" i="38"/>
  <c r="J234" i="38"/>
  <c r="H234" i="38"/>
  <c r="G234" i="38"/>
  <c r="I233" i="38"/>
  <c r="I232" i="38"/>
  <c r="I231" i="38"/>
  <c r="N231" i="38" s="1"/>
  <c r="I230" i="38"/>
  <c r="I229" i="38"/>
  <c r="I228" i="38"/>
  <c r="I227" i="38"/>
  <c r="N227" i="38" s="1"/>
  <c r="I226" i="38"/>
  <c r="I225" i="38"/>
  <c r="I224" i="38"/>
  <c r="N224" i="38" s="1"/>
  <c r="I223" i="38"/>
  <c r="N223" i="38" s="1"/>
  <c r="I222" i="38"/>
  <c r="I221" i="38"/>
  <c r="I220" i="38"/>
  <c r="N220" i="38" s="1"/>
  <c r="I219" i="38"/>
  <c r="I218" i="38"/>
  <c r="I217" i="38"/>
  <c r="I216" i="38"/>
  <c r="I215" i="38"/>
  <c r="N215" i="38" s="1"/>
  <c r="I214" i="38"/>
  <c r="I213" i="38"/>
  <c r="I212" i="38"/>
  <c r="N212" i="38" s="1"/>
  <c r="I211" i="38"/>
  <c r="N211" i="38" s="1"/>
  <c r="I210" i="38"/>
  <c r="I209" i="38"/>
  <c r="I208" i="38"/>
  <c r="N208" i="38" s="1"/>
  <c r="I207" i="38"/>
  <c r="I206" i="38"/>
  <c r="I205" i="38"/>
  <c r="I204" i="38"/>
  <c r="I203" i="38"/>
  <c r="I202" i="38"/>
  <c r="I201" i="38"/>
  <c r="I200" i="38"/>
  <c r="N200" i="38" s="1"/>
  <c r="I199" i="38"/>
  <c r="N199" i="38" s="1"/>
  <c r="I198" i="38"/>
  <c r="I197" i="38"/>
  <c r="I196" i="38"/>
  <c r="N196" i="38" s="1"/>
  <c r="I195" i="38"/>
  <c r="N195" i="38" s="1"/>
  <c r="I194" i="38"/>
  <c r="I193" i="38"/>
  <c r="I192" i="38"/>
  <c r="I191" i="38"/>
  <c r="N191" i="38" s="1"/>
  <c r="I190" i="38"/>
  <c r="I189" i="38"/>
  <c r="I188" i="38"/>
  <c r="N188" i="38" s="1"/>
  <c r="I187" i="38"/>
  <c r="N187" i="38" s="1"/>
  <c r="I186" i="38"/>
  <c r="I185" i="38"/>
  <c r="I184" i="38"/>
  <c r="N184" i="38" s="1"/>
  <c r="I183" i="38"/>
  <c r="N183" i="38" s="1"/>
  <c r="I182" i="38"/>
  <c r="I181" i="38"/>
  <c r="I180" i="38"/>
  <c r="I179" i="38"/>
  <c r="N179" i="38" s="1"/>
  <c r="I178" i="38"/>
  <c r="I177" i="38"/>
  <c r="I176" i="38"/>
  <c r="N176" i="38" s="1"/>
  <c r="I175" i="38"/>
  <c r="N175" i="38" s="1"/>
  <c r="I174" i="38"/>
  <c r="I173" i="38"/>
  <c r="I172" i="38"/>
  <c r="N172" i="38" s="1"/>
  <c r="I171" i="38"/>
  <c r="N171" i="38" s="1"/>
  <c r="I170" i="38"/>
  <c r="I169" i="38"/>
  <c r="I168" i="38"/>
  <c r="I167" i="38"/>
  <c r="N167" i="38" s="1"/>
  <c r="I166" i="38"/>
  <c r="B166" i="38"/>
  <c r="I165" i="38"/>
  <c r="K164" i="38"/>
  <c r="J164" i="38"/>
  <c r="H164" i="38"/>
  <c r="G164" i="38"/>
  <c r="I163" i="38"/>
  <c r="N163" i="38" s="1"/>
  <c r="I162" i="38"/>
  <c r="N162" i="38" s="1"/>
  <c r="I161" i="38"/>
  <c r="I160" i="38"/>
  <c r="I159" i="38"/>
  <c r="N159" i="38" s="1"/>
  <c r="I158" i="38"/>
  <c r="I157" i="38"/>
  <c r="I156" i="38"/>
  <c r="I155" i="38"/>
  <c r="B155" i="38"/>
  <c r="I154" i="38"/>
  <c r="N154" i="38" s="1"/>
  <c r="I153" i="38"/>
  <c r="I152" i="38"/>
  <c r="I151" i="38"/>
  <c r="N151" i="38" s="1"/>
  <c r="I150" i="38"/>
  <c r="I149" i="38"/>
  <c r="I148" i="38"/>
  <c r="N148" i="38" s="1"/>
  <c r="I147" i="38"/>
  <c r="N147" i="38" s="1"/>
  <c r="I146" i="38"/>
  <c r="N146" i="38" s="1"/>
  <c r="I145" i="38"/>
  <c r="I144" i="38"/>
  <c r="I143" i="38"/>
  <c r="I142" i="38"/>
  <c r="I141" i="38"/>
  <c r="I140" i="38"/>
  <c r="I139" i="38"/>
  <c r="N139" i="38" s="1"/>
  <c r="I138" i="38"/>
  <c r="N138" i="38" s="1"/>
  <c r="I137" i="38"/>
  <c r="I136" i="38"/>
  <c r="I135" i="38"/>
  <c r="N135" i="38" s="1"/>
  <c r="I134" i="38"/>
  <c r="I133" i="38"/>
  <c r="N133" i="38" s="1"/>
  <c r="I132" i="38"/>
  <c r="B132" i="38"/>
  <c r="I131" i="38"/>
  <c r="I130" i="38"/>
  <c r="N130" i="38" s="1"/>
  <c r="I129" i="38"/>
  <c r="I128" i="38"/>
  <c r="I127" i="38"/>
  <c r="N127" i="38" s="1"/>
  <c r="I126" i="38"/>
  <c r="N126" i="38" s="1"/>
  <c r="I125" i="38"/>
  <c r="N125" i="38" s="1"/>
  <c r="I124" i="38"/>
  <c r="I123" i="38"/>
  <c r="N123" i="38" s="1"/>
  <c r="B123" i="38"/>
  <c r="I122" i="38"/>
  <c r="N122" i="38" s="1"/>
  <c r="I121" i="38"/>
  <c r="I120" i="38"/>
  <c r="I119" i="38"/>
  <c r="I118" i="38"/>
  <c r="N118" i="38" s="1"/>
  <c r="I117" i="38"/>
  <c r="I116" i="38"/>
  <c r="I115" i="38"/>
  <c r="N115" i="38" s="1"/>
  <c r="I114" i="38"/>
  <c r="N114" i="38" s="1"/>
  <c r="I113" i="38"/>
  <c r="I112" i="38"/>
  <c r="I111" i="38"/>
  <c r="I110" i="38"/>
  <c r="I109" i="38"/>
  <c r="I108" i="38"/>
  <c r="I107" i="38"/>
  <c r="I106" i="38"/>
  <c r="N106" i="38" s="1"/>
  <c r="I105" i="38"/>
  <c r="I104" i="38"/>
  <c r="I103" i="38"/>
  <c r="N103" i="38" s="1"/>
  <c r="I102" i="38"/>
  <c r="N102" i="38" s="1"/>
  <c r="I101" i="38"/>
  <c r="I100" i="38"/>
  <c r="I99" i="38"/>
  <c r="N99" i="38" s="1"/>
  <c r="I98" i="38"/>
  <c r="N98" i="38" s="1"/>
  <c r="I97" i="38"/>
  <c r="I96" i="38"/>
  <c r="I95" i="38"/>
  <c r="I94" i="38"/>
  <c r="I93" i="38"/>
  <c r="I92" i="38"/>
  <c r="I91" i="38"/>
  <c r="N91" i="38" s="1"/>
  <c r="I90" i="38"/>
  <c r="N90" i="38" s="1"/>
  <c r="I89" i="38"/>
  <c r="I88" i="38"/>
  <c r="I87" i="38"/>
  <c r="N87" i="38" s="1"/>
  <c r="I86" i="38"/>
  <c r="N86" i="38" s="1"/>
  <c r="I85" i="38"/>
  <c r="I84" i="38"/>
  <c r="I83" i="38"/>
  <c r="I82" i="38"/>
  <c r="N82" i="38" s="1"/>
  <c r="I81" i="38"/>
  <c r="I80" i="38"/>
  <c r="I79" i="38"/>
  <c r="N79" i="38" s="1"/>
  <c r="I78" i="38"/>
  <c r="N78" i="38" s="1"/>
  <c r="I77" i="38"/>
  <c r="I76" i="38"/>
  <c r="I75" i="38"/>
  <c r="N75" i="38" s="1"/>
  <c r="I74" i="38"/>
  <c r="N74" i="38" s="1"/>
  <c r="I73" i="38"/>
  <c r="I72" i="38"/>
  <c r="I71" i="38"/>
  <c r="I70" i="38"/>
  <c r="I69" i="38"/>
  <c r="I68" i="38"/>
  <c r="I67" i="38"/>
  <c r="N67" i="38" s="1"/>
  <c r="I66" i="38"/>
  <c r="N66" i="38" s="1"/>
  <c r="I65" i="38"/>
  <c r="I64" i="38"/>
  <c r="I63" i="38"/>
  <c r="N63" i="38" s="1"/>
  <c r="I62" i="38"/>
  <c r="I61" i="38"/>
  <c r="I60" i="38"/>
  <c r="M59" i="38"/>
  <c r="K59" i="38"/>
  <c r="J59" i="38"/>
  <c r="H59" i="38"/>
  <c r="G59" i="38"/>
  <c r="I58" i="38"/>
  <c r="I57" i="38"/>
  <c r="N57" i="38" s="1"/>
  <c r="I56" i="38"/>
  <c r="I55" i="38"/>
  <c r="I54" i="38"/>
  <c r="N54" i="38" s="1"/>
  <c r="I53" i="38"/>
  <c r="I52" i="38"/>
  <c r="I51" i="38"/>
  <c r="I50" i="38"/>
  <c r="N50" i="38" s="1"/>
  <c r="I49" i="38"/>
  <c r="N49" i="38" s="1"/>
  <c r="I48" i="38"/>
  <c r="I47" i="38"/>
  <c r="I46" i="38"/>
  <c r="I45" i="38"/>
  <c r="I44" i="38"/>
  <c r="I43" i="38"/>
  <c r="I42" i="38"/>
  <c r="N42" i="38" s="1"/>
  <c r="I41" i="38"/>
  <c r="N41" i="38" s="1"/>
  <c r="I40" i="38"/>
  <c r="I39" i="38"/>
  <c r="I38" i="38"/>
  <c r="N38" i="38" s="1"/>
  <c r="I37" i="38"/>
  <c r="N37" i="38" s="1"/>
  <c r="I36" i="38"/>
  <c r="I35" i="38"/>
  <c r="I34" i="38"/>
  <c r="I33" i="38"/>
  <c r="N33" i="38" s="1"/>
  <c r="I32" i="38"/>
  <c r="I31" i="38"/>
  <c r="I30" i="38"/>
  <c r="N30" i="38" s="1"/>
  <c r="I29" i="38"/>
  <c r="I28" i="38"/>
  <c r="I27" i="38"/>
  <c r="N27" i="38" s="1"/>
  <c r="I26" i="38"/>
  <c r="N26" i="38" s="1"/>
  <c r="X15" i="30" s="1"/>
  <c r="Y15" i="1" s="1"/>
  <c r="I25" i="38"/>
  <c r="N25" i="38" s="1"/>
  <c r="I24" i="38"/>
  <c r="N24" i="38" s="1"/>
  <c r="I23" i="38"/>
  <c r="I22" i="38"/>
  <c r="I21" i="38"/>
  <c r="N21" i="38" s="1"/>
  <c r="I20" i="38"/>
  <c r="N20" i="38" s="1"/>
  <c r="X14" i="30" s="1"/>
  <c r="Y13" i="1" s="1"/>
  <c r="I19" i="38"/>
  <c r="I18" i="38"/>
  <c r="L18" i="38" s="1"/>
  <c r="I17" i="38"/>
  <c r="I16" i="38"/>
  <c r="N16" i="38" s="1"/>
  <c r="I15" i="38"/>
  <c r="I14" i="38"/>
  <c r="I13" i="38"/>
  <c r="I12" i="38"/>
  <c r="N12" i="38" s="1"/>
  <c r="I11" i="38"/>
  <c r="I10" i="38"/>
  <c r="N10" i="38" s="1"/>
  <c r="X14" i="21" s="1"/>
  <c r="X17" i="1" s="1"/>
  <c r="Z17" i="1" s="1"/>
  <c r="I9" i="38"/>
  <c r="G215" i="36"/>
  <c r="G214" i="36"/>
  <c r="G212" i="36"/>
  <c r="H211" i="36" s="1"/>
  <c r="G210" i="36"/>
  <c r="G209" i="36"/>
  <c r="G207" i="36"/>
  <c r="G206" i="36"/>
  <c r="G205" i="36"/>
  <c r="G204" i="36"/>
  <c r="G202" i="36"/>
  <c r="H201" i="36" s="1"/>
  <c r="G200" i="36"/>
  <c r="G199" i="36"/>
  <c r="G197" i="36"/>
  <c r="H196" i="36" s="1"/>
  <c r="G195" i="36"/>
  <c r="G194" i="36"/>
  <c r="G193" i="36"/>
  <c r="G192" i="36"/>
  <c r="G191" i="36"/>
  <c r="G189" i="36"/>
  <c r="G188" i="36"/>
  <c r="G187" i="36"/>
  <c r="G185" i="36"/>
  <c r="G184" i="36"/>
  <c r="G183" i="36"/>
  <c r="G180" i="36"/>
  <c r="G179" i="36"/>
  <c r="G178" i="36"/>
  <c r="G177" i="36"/>
  <c r="G176" i="36"/>
  <c r="G175" i="36"/>
  <c r="G174" i="36"/>
  <c r="G173" i="36"/>
  <c r="G172" i="36"/>
  <c r="G171" i="36"/>
  <c r="G170" i="36"/>
  <c r="G169" i="36"/>
  <c r="G168" i="36"/>
  <c r="G167" i="36"/>
  <c r="G166" i="36"/>
  <c r="G165" i="36"/>
  <c r="G164" i="36"/>
  <c r="G163" i="36"/>
  <c r="G162" i="36"/>
  <c r="G161" i="36"/>
  <c r="G160" i="36"/>
  <c r="G159" i="36"/>
  <c r="G158" i="36"/>
  <c r="G157" i="36"/>
  <c r="G156" i="36"/>
  <c r="G155" i="36"/>
  <c r="G154" i="36"/>
  <c r="G153" i="36"/>
  <c r="G152" i="36"/>
  <c r="G151" i="36"/>
  <c r="G150" i="36"/>
  <c r="G149" i="36"/>
  <c r="G148" i="36"/>
  <c r="A148" i="36"/>
  <c r="G220" i="36"/>
  <c r="G219" i="36"/>
  <c r="G218" i="36"/>
  <c r="G217" i="36"/>
  <c r="G146" i="36"/>
  <c r="G145" i="36"/>
  <c r="G144" i="36"/>
  <c r="G143" i="36"/>
  <c r="A143" i="36"/>
  <c r="G141" i="36"/>
  <c r="H140" i="36" s="1"/>
  <c r="G139" i="36"/>
  <c r="G138" i="36"/>
  <c r="G137" i="36"/>
  <c r="G136" i="36"/>
  <c r="G135" i="36"/>
  <c r="G134" i="36"/>
  <c r="G133" i="36"/>
  <c r="G132" i="36"/>
  <c r="G131" i="36"/>
  <c r="G130" i="36"/>
  <c r="G129" i="36"/>
  <c r="G128" i="36"/>
  <c r="G126" i="36"/>
  <c r="G125" i="36"/>
  <c r="G124" i="36"/>
  <c r="G123" i="36"/>
  <c r="G122" i="36"/>
  <c r="G121" i="36"/>
  <c r="G120" i="36"/>
  <c r="A120" i="36"/>
  <c r="G118" i="36"/>
  <c r="G117" i="36"/>
  <c r="G116" i="36"/>
  <c r="G115" i="36"/>
  <c r="G113" i="36"/>
  <c r="G112" i="36"/>
  <c r="G111" i="36"/>
  <c r="A111" i="36"/>
  <c r="G109" i="36"/>
  <c r="G108" i="36"/>
  <c r="G107" i="36"/>
  <c r="G106" i="36"/>
  <c r="G105" i="36"/>
  <c r="G104" i="36"/>
  <c r="G103" i="36"/>
  <c r="G102" i="36"/>
  <c r="G101" i="36"/>
  <c r="G100" i="36"/>
  <c r="G99" i="36"/>
  <c r="G97" i="36"/>
  <c r="G96" i="36"/>
  <c r="G95" i="36"/>
  <c r="G94" i="36"/>
  <c r="G92" i="36"/>
  <c r="G91" i="36"/>
  <c r="G90" i="36"/>
  <c r="G88" i="36"/>
  <c r="G87" i="36"/>
  <c r="G86" i="36"/>
  <c r="G85" i="36"/>
  <c r="G84" i="36"/>
  <c r="G83" i="36"/>
  <c r="G82" i="36"/>
  <c r="G81" i="36"/>
  <c r="G79" i="36"/>
  <c r="G78" i="36"/>
  <c r="G77" i="36"/>
  <c r="G76" i="36"/>
  <c r="G75" i="36"/>
  <c r="G74" i="36"/>
  <c r="G72" i="36"/>
  <c r="H71" i="36" s="1"/>
  <c r="G70" i="36"/>
  <c r="G69" i="36"/>
  <c r="G68" i="36"/>
  <c r="G67" i="36"/>
  <c r="G66" i="36"/>
  <c r="G65" i="36"/>
  <c r="G64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3" i="36"/>
  <c r="G22" i="36"/>
  <c r="G21" i="36"/>
  <c r="G20" i="36"/>
  <c r="G19" i="36"/>
  <c r="G233" i="36"/>
  <c r="G232" i="36"/>
  <c r="G230" i="36"/>
  <c r="G229" i="36"/>
  <c r="G228" i="36"/>
  <c r="G227" i="36"/>
  <c r="G226" i="36"/>
  <c r="G225" i="36"/>
  <c r="G224" i="36"/>
  <c r="G223" i="36"/>
  <c r="G222" i="36"/>
  <c r="G17" i="36"/>
  <c r="G16" i="36"/>
  <c r="G15" i="36"/>
  <c r="G14" i="36"/>
  <c r="G13" i="36"/>
  <c r="G12" i="36"/>
  <c r="G11" i="36"/>
  <c r="G10" i="36"/>
  <c r="G9" i="36"/>
  <c r="G33" i="1" l="1"/>
  <c r="G17" i="1"/>
  <c r="V17" i="1" s="1" a="1"/>
  <c r="V17" i="1" s="1"/>
  <c r="G16" i="1"/>
  <c r="V16" i="1" s="1" a="1"/>
  <c r="V16" i="1" s="1"/>
  <c r="G19" i="1"/>
  <c r="V19" i="1" s="1" a="1"/>
  <c r="V19" i="1" s="1"/>
  <c r="AD19" i="1" s="1"/>
  <c r="G18" i="1"/>
  <c r="V18" i="1" s="1" a="1"/>
  <c r="V18" i="1" s="1"/>
  <c r="G34" i="1"/>
  <c r="V34" i="1" s="1" a="1"/>
  <c r="V34" i="1" s="1"/>
  <c r="X28" i="30"/>
  <c r="N43" i="38"/>
  <c r="X18" i="21"/>
  <c r="X33" i="1" s="1"/>
  <c r="N165" i="38"/>
  <c r="N36" i="38"/>
  <c r="N40" i="38"/>
  <c r="N44" i="38"/>
  <c r="N48" i="38"/>
  <c r="N52" i="38"/>
  <c r="N56" i="38"/>
  <c r="N88" i="38"/>
  <c r="N92" i="38"/>
  <c r="N100" i="38"/>
  <c r="N116" i="38"/>
  <c r="N157" i="38"/>
  <c r="N161" i="38"/>
  <c r="N173" i="38"/>
  <c r="N189" i="38"/>
  <c r="N197" i="38"/>
  <c r="N213" i="38"/>
  <c r="N221" i="38"/>
  <c r="N51" i="38"/>
  <c r="N9" i="38"/>
  <c r="N17" i="38"/>
  <c r="N69" i="38"/>
  <c r="N77" i="38"/>
  <c r="N85" i="38"/>
  <c r="N93" i="38"/>
  <c r="N97" i="38"/>
  <c r="N101" i="38"/>
  <c r="N105" i="38"/>
  <c r="N109" i="38"/>
  <c r="N117" i="38"/>
  <c r="N124" i="38"/>
  <c r="L164" i="38"/>
  <c r="N174" i="38"/>
  <c r="N182" i="38"/>
  <c r="N190" i="38"/>
  <c r="N198" i="38"/>
  <c r="N206" i="38"/>
  <c r="N210" i="38"/>
  <c r="N214" i="38"/>
  <c r="N222" i="38"/>
  <c r="N230" i="38"/>
  <c r="M235" i="38"/>
  <c r="N35" i="38"/>
  <c r="N168" i="38"/>
  <c r="N180" i="38"/>
  <c r="N192" i="38"/>
  <c r="N204" i="38"/>
  <c r="N58" i="38"/>
  <c r="N181" i="38"/>
  <c r="N205" i="38"/>
  <c r="N229" i="38"/>
  <c r="X20" i="30"/>
  <c r="N71" i="38"/>
  <c r="N83" i="38"/>
  <c r="N95" i="38"/>
  <c r="N107" i="38"/>
  <c r="N119" i="38"/>
  <c r="N34" i="38"/>
  <c r="N60" i="38"/>
  <c r="N84" i="38"/>
  <c r="N108" i="38"/>
  <c r="N131" i="38"/>
  <c r="N143" i="38"/>
  <c r="N46" i="38"/>
  <c r="N155" i="38"/>
  <c r="N156" i="38"/>
  <c r="X26" i="30"/>
  <c r="N22" i="38"/>
  <c r="N80" i="38"/>
  <c r="N89" i="38"/>
  <c r="N132" i="38"/>
  <c r="N136" i="38"/>
  <c r="N153" i="38"/>
  <c r="N169" i="38"/>
  <c r="N177" i="38"/>
  <c r="N185" i="38"/>
  <c r="N193" i="38"/>
  <c r="N202" i="38"/>
  <c r="N225" i="38"/>
  <c r="N14" i="38"/>
  <c r="X19" i="21" s="1"/>
  <c r="X34" i="1" s="1"/>
  <c r="Z34" i="1" s="1"/>
  <c r="N68" i="38"/>
  <c r="N141" i="38"/>
  <c r="N145" i="38"/>
  <c r="N149" i="38"/>
  <c r="N216" i="38"/>
  <c r="N232" i="38"/>
  <c r="N32" i="38"/>
  <c r="N81" i="38"/>
  <c r="N112" i="38"/>
  <c r="N120" i="38"/>
  <c r="N137" i="38"/>
  <c r="N170" i="38"/>
  <c r="N178" i="38"/>
  <c r="N186" i="38"/>
  <c r="N194" i="38"/>
  <c r="N217" i="38"/>
  <c r="N226" i="38"/>
  <c r="X21" i="30"/>
  <c r="Y26" i="1" s="1"/>
  <c r="Z26" i="1" s="1"/>
  <c r="N61" i="38"/>
  <c r="X16" i="30"/>
  <c r="N65" i="38"/>
  <c r="N73" i="38"/>
  <c r="N129" i="38"/>
  <c r="N233" i="38"/>
  <c r="X17" i="30"/>
  <c r="Y22" i="1" s="1"/>
  <c r="N104" i="38"/>
  <c r="N113" i="38"/>
  <c r="N121" i="38"/>
  <c r="N160" i="38"/>
  <c r="N209" i="38"/>
  <c r="N218" i="38"/>
  <c r="N23" i="38"/>
  <c r="N228" i="38"/>
  <c r="X23" i="30"/>
  <c r="Y28" i="1" s="1"/>
  <c r="Z28" i="1" s="1"/>
  <c r="N19" i="38"/>
  <c r="N166" i="38"/>
  <c r="X24" i="30"/>
  <c r="N13" i="38"/>
  <c r="N31" i="38"/>
  <c r="N39" i="38"/>
  <c r="N47" i="38"/>
  <c r="N55" i="38"/>
  <c r="N64" i="38"/>
  <c r="N72" i="38"/>
  <c r="N96" i="38"/>
  <c r="N128" i="38"/>
  <c r="N144" i="38"/>
  <c r="N152" i="38"/>
  <c r="X27" i="30"/>
  <c r="X25" i="30"/>
  <c r="N140" i="38"/>
  <c r="Z15" i="1"/>
  <c r="N111" i="38"/>
  <c r="X22" i="30"/>
  <c r="N134" i="38"/>
  <c r="X18" i="30"/>
  <c r="N11" i="38"/>
  <c r="N15" i="38"/>
  <c r="N29" i="38"/>
  <c r="N45" i="38"/>
  <c r="N53" i="38"/>
  <c r="N62" i="38"/>
  <c r="N70" i="38"/>
  <c r="N94" i="38"/>
  <c r="N110" i="38"/>
  <c r="X19" i="30"/>
  <c r="Y24" i="1" s="1"/>
  <c r="Z24" i="1" s="1"/>
  <c r="N142" i="38"/>
  <c r="N150" i="38"/>
  <c r="N158" i="38"/>
  <c r="X16" i="21"/>
  <c r="X19" i="1" s="1"/>
  <c r="Z19" i="1" s="1"/>
  <c r="G25" i="30"/>
  <c r="G30" i="1" s="1"/>
  <c r="H198" i="36"/>
  <c r="H208" i="36"/>
  <c r="H182" i="36"/>
  <c r="L28" i="38"/>
  <c r="N28" i="38" s="1"/>
  <c r="N207" i="38"/>
  <c r="X17" i="21"/>
  <c r="X20" i="1" s="1"/>
  <c r="Z20" i="1" s="1"/>
  <c r="Z13" i="1"/>
  <c r="N76" i="38"/>
  <c r="X15" i="21"/>
  <c r="X18" i="1" s="1"/>
  <c r="Z18" i="1" s="1"/>
  <c r="N201" i="38"/>
  <c r="N203" i="38"/>
  <c r="N219" i="38"/>
  <c r="N18" i="38"/>
  <c r="L59" i="38"/>
  <c r="L17" i="39"/>
  <c r="L18" i="39"/>
  <c r="M18" i="39" s="1"/>
  <c r="L19" i="39"/>
  <c r="M19" i="39" s="1"/>
  <c r="F25" i="30" s="1"/>
  <c r="V25" i="30" s="1" a="1"/>
  <c r="V25" i="30" s="1"/>
  <c r="U17" i="39"/>
  <c r="U18" i="39"/>
  <c r="U19" i="39"/>
  <c r="H93" i="36"/>
  <c r="H142" i="36"/>
  <c r="H73" i="36"/>
  <c r="H63" i="36"/>
  <c r="H98" i="36"/>
  <c r="H216" i="36"/>
  <c r="H18" i="36"/>
  <c r="H89" i="36"/>
  <c r="H114" i="36"/>
  <c r="L234" i="38"/>
  <c r="I164" i="38"/>
  <c r="I234" i="38"/>
  <c r="I59" i="38"/>
  <c r="H186" i="36"/>
  <c r="H213" i="36"/>
  <c r="H24" i="36"/>
  <c r="H203" i="36"/>
  <c r="H48" i="36"/>
  <c r="H119" i="36"/>
  <c r="H110" i="36"/>
  <c r="H80" i="36"/>
  <c r="H231" i="36"/>
  <c r="H8" i="36"/>
  <c r="G234" i="36"/>
  <c r="H127" i="36"/>
  <c r="H221" i="36"/>
  <c r="H147" i="36"/>
  <c r="H190" i="36"/>
  <c r="Y31" i="1" l="1"/>
  <c r="Z31" i="1" s="1"/>
  <c r="Y25" i="1"/>
  <c r="Z25" i="1" s="1"/>
  <c r="H234" i="36"/>
  <c r="H46" i="36"/>
  <c r="F29" i="30"/>
  <c r="F30" i="1"/>
  <c r="V30" i="1" s="1" a="1"/>
  <c r="V30" i="1" s="1"/>
  <c r="L235" i="38"/>
  <c r="X13" i="21"/>
  <c r="X16" i="1" s="1"/>
  <c r="Z16" i="1" s="1"/>
  <c r="I244" i="38"/>
  <c r="I235" i="38"/>
  <c r="N235" i="38" s="1"/>
  <c r="X13" i="30"/>
  <c r="Y14" i="1" s="1"/>
  <c r="Z14" i="1" s="1"/>
  <c r="G29" i="30"/>
  <c r="Y23" i="1"/>
  <c r="Z23" i="1" s="1"/>
  <c r="Y27" i="1"/>
  <c r="Z27" i="1" s="1"/>
  <c r="Y21" i="1"/>
  <c r="Z21" i="1" s="1"/>
  <c r="Z22" i="1"/>
  <c r="Y30" i="1"/>
  <c r="Z30" i="1" s="1"/>
  <c r="Y32" i="1"/>
  <c r="Z32" i="1" s="1"/>
  <c r="Y33" i="1"/>
  <c r="Z33" i="1" s="1"/>
  <c r="Y29" i="1"/>
  <c r="Z29" i="1" s="1"/>
  <c r="L39" i="39"/>
  <c r="I243" i="38"/>
  <c r="N164" i="38"/>
  <c r="I242" i="38"/>
  <c r="N59" i="38"/>
  <c r="N234" i="38"/>
  <c r="M17" i="39"/>
  <c r="M39" i="39" s="1"/>
  <c r="H238" i="38"/>
  <c r="I239" i="38" s="1"/>
  <c r="E4" i="10" l="1"/>
  <c r="F52" i="10" s="1"/>
  <c r="E5" i="10"/>
  <c r="F53" i="10" s="1"/>
  <c r="X29" i="30"/>
  <c r="E25" i="30"/>
  <c r="I245" i="38"/>
  <c r="M238" i="38"/>
  <c r="N251" i="38"/>
  <c r="H237" i="36"/>
  <c r="G237" i="36" s="1"/>
  <c r="X7" i="30" l="1"/>
  <c r="X8" i="30" s="1"/>
  <c r="H4" i="10"/>
  <c r="X7" i="21"/>
  <c r="X8" i="21" s="1"/>
  <c r="E30" i="1"/>
  <c r="H5" i="10"/>
  <c r="E29" i="30"/>
  <c r="L3" i="10"/>
  <c r="Y7" i="1" l="1"/>
  <c r="Y8" i="1" s="1"/>
  <c r="X7" i="1"/>
  <c r="X8" i="1" s="1"/>
  <c r="Z7" i="1" l="1"/>
  <c r="Z8" i="1" s="1"/>
  <c r="Y38" i="1"/>
  <c r="Y39" i="1" l="1"/>
  <c r="X39" i="1"/>
  <c r="X38" i="1"/>
  <c r="Z38" i="1" s="1"/>
  <c r="Z39" i="1" l="1"/>
  <c r="G13" i="10"/>
  <c r="E14" i="5" l="1"/>
  <c r="E28" i="5"/>
  <c r="E30" i="5"/>
  <c r="E34" i="5"/>
  <c r="F14" i="21"/>
  <c r="F15" i="21"/>
  <c r="F16" i="21"/>
  <c r="F18" i="21"/>
  <c r="F33" i="1" s="1"/>
  <c r="V33" i="1" s="1" a="1"/>
  <c r="V33" i="1" s="1"/>
  <c r="F19" i="21"/>
  <c r="F17" i="1" l="1"/>
  <c r="F34" i="1"/>
  <c r="F19" i="1"/>
  <c r="F18" i="1"/>
  <c r="D40" i="31"/>
  <c r="D46" i="31"/>
  <c r="I33" i="30"/>
  <c r="I32" i="30"/>
  <c r="D30" i="5"/>
  <c r="C30" i="5"/>
  <c r="D14" i="5"/>
  <c r="C14" i="5"/>
  <c r="Q23" i="21" s="1"/>
  <c r="Q24" i="21" l="1"/>
  <c r="Q39" i="1" s="1"/>
  <c r="Q38" i="1"/>
  <c r="P23" i="21"/>
  <c r="P38" i="1" s="1"/>
  <c r="O23" i="21"/>
  <c r="N23" i="21"/>
  <c r="M23" i="21"/>
  <c r="P24" i="21"/>
  <c r="P39" i="1" s="1"/>
  <c r="O24" i="21"/>
  <c r="O39" i="1" s="1"/>
  <c r="N24" i="21"/>
  <c r="N39" i="1" s="1"/>
  <c r="M24" i="21"/>
  <c r="M39" i="1" s="1"/>
  <c r="L24" i="21"/>
  <c r="L39" i="1" s="1"/>
  <c r="K24" i="21"/>
  <c r="K39" i="1" s="1"/>
  <c r="V39" i="1" s="1" a="1"/>
  <c r="V39" i="1" s="1"/>
  <c r="J23" i="21"/>
  <c r="J38" i="1" s="1"/>
  <c r="L23" i="21"/>
  <c r="L38" i="1" s="1"/>
  <c r="K23" i="21"/>
  <c r="K38" i="1" s="1"/>
  <c r="J24" i="21"/>
  <c r="J39" i="1" s="1"/>
  <c r="I34" i="30"/>
  <c r="I36" i="30" s="1"/>
  <c r="I38" i="30" s="1"/>
  <c r="E32" i="30"/>
  <c r="F32" i="30"/>
  <c r="G32" i="30"/>
  <c r="H32" i="30"/>
  <c r="E33" i="30"/>
  <c r="G33" i="30"/>
  <c r="F33" i="30"/>
  <c r="H33" i="30"/>
  <c r="G24" i="21"/>
  <c r="I24" i="21"/>
  <c r="H24" i="21"/>
  <c r="I23" i="21"/>
  <c r="H23" i="21"/>
  <c r="G23" i="21"/>
  <c r="F24" i="21"/>
  <c r="F23" i="21"/>
  <c r="I39" i="1" l="1"/>
  <c r="I38" i="1"/>
  <c r="Q25" i="21"/>
  <c r="Q27" i="21" s="1"/>
  <c r="Q29" i="21" s="1"/>
  <c r="P40" i="1"/>
  <c r="P42" i="1" s="1"/>
  <c r="P44" i="1" s="1"/>
  <c r="P47" i="1" s="1"/>
  <c r="O38" i="1"/>
  <c r="O25" i="21"/>
  <c r="O27" i="21" s="1"/>
  <c r="O29" i="21" s="1"/>
  <c r="P25" i="21"/>
  <c r="P27" i="21" s="1"/>
  <c r="P29" i="21" s="1"/>
  <c r="N25" i="21"/>
  <c r="N27" i="21" s="1"/>
  <c r="N29" i="21" s="1"/>
  <c r="N38" i="1"/>
  <c r="N40" i="1" s="1"/>
  <c r="N42" i="1" s="1"/>
  <c r="N44" i="1" s="1"/>
  <c r="N47" i="1" s="1"/>
  <c r="H39" i="1"/>
  <c r="M38" i="1"/>
  <c r="M40" i="1" s="1"/>
  <c r="M42" i="1" s="1"/>
  <c r="M44" i="1" s="1"/>
  <c r="M47" i="1" s="1"/>
  <c r="M25" i="21"/>
  <c r="M27" i="21" s="1"/>
  <c r="M29" i="21" s="1"/>
  <c r="G39" i="1"/>
  <c r="F39" i="1"/>
  <c r="H38" i="1"/>
  <c r="G38" i="1"/>
  <c r="F38" i="1"/>
  <c r="L25" i="21"/>
  <c r="L27" i="21" s="1"/>
  <c r="L29" i="21" s="1"/>
  <c r="L40" i="1"/>
  <c r="L42" i="1" s="1"/>
  <c r="L44" i="1" s="1"/>
  <c r="L47" i="1" s="1"/>
  <c r="K40" i="1"/>
  <c r="K42" i="1" s="1"/>
  <c r="K44" i="1" s="1"/>
  <c r="K47" i="1" s="1"/>
  <c r="K25" i="21"/>
  <c r="K27" i="21" s="1"/>
  <c r="K29" i="21" s="1"/>
  <c r="J40" i="1"/>
  <c r="J42" i="1" s="1"/>
  <c r="J44" i="1" s="1"/>
  <c r="J47" i="1" s="1"/>
  <c r="J25" i="21"/>
  <c r="J27" i="21" s="1"/>
  <c r="J29" i="21" s="1"/>
  <c r="I25" i="21"/>
  <c r="I27" i="21" s="1"/>
  <c r="I29" i="21" s="1"/>
  <c r="H34" i="30"/>
  <c r="H36" i="30" s="1"/>
  <c r="H38" i="30" s="1"/>
  <c r="G34" i="30"/>
  <c r="G36" i="30" s="1"/>
  <c r="G38" i="30" s="1"/>
  <c r="F34" i="30"/>
  <c r="F36" i="30" s="1"/>
  <c r="F38" i="30" s="1"/>
  <c r="E34" i="30"/>
  <c r="E36" i="30" s="1"/>
  <c r="E38" i="30" s="1"/>
  <c r="H25" i="21"/>
  <c r="G25" i="21"/>
  <c r="F25" i="21"/>
  <c r="D18" i="21"/>
  <c r="E18" i="21"/>
  <c r="E33" i="1" s="1"/>
  <c r="D19" i="21"/>
  <c r="E19" i="21"/>
  <c r="E34" i="1" s="1"/>
  <c r="V38" i="1" l="1" a="1"/>
  <c r="V38" i="1" s="1"/>
  <c r="I40" i="1"/>
  <c r="I42" i="1" s="1"/>
  <c r="I44" i="1" s="1"/>
  <c r="I47" i="1" s="1"/>
  <c r="G40" i="1"/>
  <c r="F40" i="1"/>
  <c r="H40" i="1"/>
  <c r="D33" i="1"/>
  <c r="D34" i="1"/>
  <c r="Q249" i="34" l="1"/>
  <c r="P249" i="34"/>
  <c r="O249" i="34"/>
  <c r="N249" i="34"/>
  <c r="K249" i="34"/>
  <c r="H249" i="34"/>
  <c r="Q248" i="34"/>
  <c r="P248" i="34"/>
  <c r="O248" i="34"/>
  <c r="K248" i="34"/>
  <c r="N248" i="34"/>
  <c r="Q247" i="34"/>
  <c r="O247" i="34"/>
  <c r="P247" i="34"/>
  <c r="N247" i="34"/>
  <c r="R245" i="34"/>
  <c r="Q245" i="34"/>
  <c r="P245" i="34"/>
  <c r="O245" i="34"/>
  <c r="K245" i="34"/>
  <c r="N245" i="34"/>
  <c r="R244" i="34"/>
  <c r="Q244" i="34"/>
  <c r="O244" i="34"/>
  <c r="K244" i="34"/>
  <c r="H244" i="34"/>
  <c r="R243" i="34"/>
  <c r="Q243" i="34"/>
  <c r="O243" i="34"/>
  <c r="N243" i="34"/>
  <c r="P243" i="34"/>
  <c r="H243" i="34"/>
  <c r="R229" i="34"/>
  <c r="Q229" i="34"/>
  <c r="P229" i="34"/>
  <c r="O229" i="34"/>
  <c r="K229" i="34"/>
  <c r="R228" i="34"/>
  <c r="Q228" i="34"/>
  <c r="P228" i="34"/>
  <c r="O228" i="34"/>
  <c r="N228" i="34"/>
  <c r="K228" i="34"/>
  <c r="H228" i="34"/>
  <c r="R227" i="34"/>
  <c r="Q227" i="34"/>
  <c r="P227" i="34"/>
  <c r="O227" i="34"/>
  <c r="N227" i="34"/>
  <c r="K227" i="34"/>
  <c r="H227" i="34"/>
  <c r="R226" i="34"/>
  <c r="Q226" i="34"/>
  <c r="P226" i="34"/>
  <c r="O226" i="34"/>
  <c r="N226" i="34"/>
  <c r="K226" i="34"/>
  <c r="H226" i="34"/>
  <c r="R225" i="34"/>
  <c r="Q225" i="34"/>
  <c r="P225" i="34"/>
  <c r="O225" i="34"/>
  <c r="N225" i="34"/>
  <c r="K225" i="34"/>
  <c r="H225" i="34"/>
  <c r="R224" i="34"/>
  <c r="Q224" i="34"/>
  <c r="P224" i="34"/>
  <c r="O224" i="34"/>
  <c r="N224" i="34"/>
  <c r="K224" i="34"/>
  <c r="H224" i="34"/>
  <c r="K223" i="34"/>
  <c r="H223" i="34"/>
  <c r="R223" i="34"/>
  <c r="K222" i="34"/>
  <c r="H222" i="34"/>
  <c r="R222" i="34"/>
  <c r="AD220" i="34"/>
  <c r="AE220" i="34" s="1"/>
  <c r="AD219" i="34"/>
  <c r="AE219" i="34" s="1"/>
  <c r="AG219" i="34" s="1"/>
  <c r="H215" i="34"/>
  <c r="Q215" i="34"/>
  <c r="H214" i="34"/>
  <c r="R214" i="34"/>
  <c r="K212" i="34"/>
  <c r="F212" i="34"/>
  <c r="R212" i="34"/>
  <c r="R211" i="34"/>
  <c r="P211" i="34"/>
  <c r="K211" i="34"/>
  <c r="N211" i="34"/>
  <c r="K210" i="34"/>
  <c r="H210" i="34"/>
  <c r="R210" i="34"/>
  <c r="Q209" i="34"/>
  <c r="P209" i="34"/>
  <c r="O209" i="34"/>
  <c r="N209" i="34"/>
  <c r="K209" i="34"/>
  <c r="H209" i="34"/>
  <c r="Q208" i="34"/>
  <c r="Q206" i="34"/>
  <c r="P206" i="34"/>
  <c r="O206" i="34"/>
  <c r="H205" i="34"/>
  <c r="R205" i="34"/>
  <c r="K204" i="34"/>
  <c r="H204" i="34"/>
  <c r="R204" i="34"/>
  <c r="K203" i="34"/>
  <c r="H203" i="34"/>
  <c r="N203" i="34"/>
  <c r="R201" i="34"/>
  <c r="Q201" i="34"/>
  <c r="O201" i="34"/>
  <c r="K201" i="34"/>
  <c r="N201" i="34"/>
  <c r="Q200" i="34"/>
  <c r="P200" i="34"/>
  <c r="O200" i="34"/>
  <c r="N200" i="34"/>
  <c r="Q199" i="34"/>
  <c r="O199" i="34"/>
  <c r="H197" i="34"/>
  <c r="O197" i="34"/>
  <c r="R196" i="34"/>
  <c r="Q196" i="34"/>
  <c r="O196" i="34"/>
  <c r="N196" i="34"/>
  <c r="P196" i="34"/>
  <c r="H196" i="34"/>
  <c r="R194" i="34"/>
  <c r="Q194" i="34"/>
  <c r="P194" i="34"/>
  <c r="O194" i="34"/>
  <c r="N194" i="34"/>
  <c r="K194" i="34"/>
  <c r="H194" i="34"/>
  <c r="R192" i="34"/>
  <c r="Q192" i="34"/>
  <c r="O192" i="34"/>
  <c r="N192" i="34"/>
  <c r="K192" i="34"/>
  <c r="H192" i="34"/>
  <c r="R191" i="34"/>
  <c r="Q191" i="34"/>
  <c r="O191" i="34"/>
  <c r="K191" i="34"/>
  <c r="H191" i="34"/>
  <c r="R189" i="34"/>
  <c r="Q189" i="34"/>
  <c r="O189" i="34"/>
  <c r="N189" i="34"/>
  <c r="H189" i="34"/>
  <c r="Q188" i="34"/>
  <c r="O188" i="34"/>
  <c r="N188" i="34"/>
  <c r="I188" i="34"/>
  <c r="K188" i="34" s="1"/>
  <c r="H188" i="34"/>
  <c r="Q186" i="34"/>
  <c r="O186" i="34"/>
  <c r="P186" i="34"/>
  <c r="H186" i="34"/>
  <c r="Q184" i="34"/>
  <c r="O184" i="34"/>
  <c r="K184" i="34"/>
  <c r="Q183" i="34"/>
  <c r="O183" i="34"/>
  <c r="N183" i="34"/>
  <c r="H183" i="34"/>
  <c r="Q182" i="34"/>
  <c r="O182" i="34"/>
  <c r="P182" i="34"/>
  <c r="Q180" i="34"/>
  <c r="O180" i="34"/>
  <c r="Q178" i="34"/>
  <c r="O178" i="34"/>
  <c r="Q177" i="34"/>
  <c r="O177" i="34"/>
  <c r="Q176" i="34"/>
  <c r="O176" i="34"/>
  <c r="Q175" i="34"/>
  <c r="O175" i="34"/>
  <c r="Q174" i="34"/>
  <c r="O174" i="34"/>
  <c r="Q172" i="34"/>
  <c r="O172" i="34"/>
  <c r="Q171" i="34"/>
  <c r="O171" i="34"/>
  <c r="Q170" i="34"/>
  <c r="O170" i="34"/>
  <c r="Q168" i="34"/>
  <c r="O168" i="34"/>
  <c r="Q167" i="34"/>
  <c r="O167" i="34"/>
  <c r="Q166" i="34"/>
  <c r="O166" i="34"/>
  <c r="Q165" i="34"/>
  <c r="O165" i="34"/>
  <c r="AB163" i="34"/>
  <c r="R162" i="34"/>
  <c r="Q162" i="34"/>
  <c r="O162" i="34"/>
  <c r="N162" i="34"/>
  <c r="K162" i="34"/>
  <c r="H162" i="34"/>
  <c r="Q161" i="34"/>
  <c r="O161" i="34"/>
  <c r="H161" i="34"/>
  <c r="Q160" i="34"/>
  <c r="O160" i="34"/>
  <c r="K160" i="34"/>
  <c r="N160" i="34"/>
  <c r="Q159" i="34"/>
  <c r="O159" i="34"/>
  <c r="N159" i="34"/>
  <c r="P159" i="34"/>
  <c r="H159" i="34"/>
  <c r="H158" i="34"/>
  <c r="N158" i="34"/>
  <c r="H157" i="34"/>
  <c r="N157" i="34"/>
  <c r="K156" i="34"/>
  <c r="H156" i="34"/>
  <c r="N156" i="34"/>
  <c r="H155" i="34"/>
  <c r="Q155" i="34"/>
  <c r="K154" i="34"/>
  <c r="H154" i="34"/>
  <c r="H153" i="34"/>
  <c r="Q153" i="34"/>
  <c r="K152" i="34"/>
  <c r="H152" i="34"/>
  <c r="Q152" i="34"/>
  <c r="O151" i="34"/>
  <c r="H151" i="34"/>
  <c r="O150" i="34"/>
  <c r="P150" i="34"/>
  <c r="N150" i="34"/>
  <c r="O149" i="34"/>
  <c r="N149" i="34"/>
  <c r="J149" i="34"/>
  <c r="Q149" i="34" s="1"/>
  <c r="H149" i="34"/>
  <c r="Q148" i="34"/>
  <c r="O148" i="34"/>
  <c r="H148" i="34"/>
  <c r="Q147" i="34"/>
  <c r="O147" i="34"/>
  <c r="K147" i="34"/>
  <c r="N147" i="34"/>
  <c r="Q146" i="34"/>
  <c r="O146" i="34"/>
  <c r="P146" i="34"/>
  <c r="H146" i="34"/>
  <c r="Q145" i="34"/>
  <c r="O145" i="34"/>
  <c r="K145" i="34"/>
  <c r="N145" i="34"/>
  <c r="Q144" i="34"/>
  <c r="O144" i="34"/>
  <c r="K144" i="34"/>
  <c r="N144" i="34"/>
  <c r="Q143" i="34"/>
  <c r="O143" i="34"/>
  <c r="P143" i="34"/>
  <c r="Q142" i="34"/>
  <c r="O142" i="34"/>
  <c r="H142" i="34"/>
  <c r="K141" i="34"/>
  <c r="Q141" i="34"/>
  <c r="Q140" i="34"/>
  <c r="Q139" i="34"/>
  <c r="K138" i="34"/>
  <c r="O138" i="34"/>
  <c r="K137" i="34"/>
  <c r="Q137" i="34"/>
  <c r="Q136" i="34"/>
  <c r="H135" i="34"/>
  <c r="H134" i="34"/>
  <c r="Q134" i="34"/>
  <c r="K133" i="34"/>
  <c r="H133" i="34"/>
  <c r="O133" i="34"/>
  <c r="A133" i="34"/>
  <c r="N131" i="34"/>
  <c r="K130" i="34"/>
  <c r="P130" i="34"/>
  <c r="K129" i="34"/>
  <c r="H129" i="34"/>
  <c r="L131" i="34"/>
  <c r="H128" i="34"/>
  <c r="A128" i="34"/>
  <c r="R126" i="34"/>
  <c r="Q126" i="34"/>
  <c r="P126" i="34"/>
  <c r="O126" i="34"/>
  <c r="N126" i="34"/>
  <c r="K126" i="34"/>
  <c r="H126" i="34"/>
  <c r="S124" i="34"/>
  <c r="S123" i="34"/>
  <c r="S122" i="34"/>
  <c r="K122" i="34"/>
  <c r="H122" i="34"/>
  <c r="S121" i="34"/>
  <c r="K121" i="34"/>
  <c r="H121" i="34"/>
  <c r="S120" i="34"/>
  <c r="K120" i="34"/>
  <c r="H120" i="34"/>
  <c r="S119" i="34"/>
  <c r="K119" i="34"/>
  <c r="H119" i="34"/>
  <c r="S118" i="34"/>
  <c r="K118" i="34"/>
  <c r="H118" i="34"/>
  <c r="S117" i="34"/>
  <c r="K117" i="34"/>
  <c r="H117" i="34"/>
  <c r="S116" i="34"/>
  <c r="K116" i="34"/>
  <c r="H116" i="34"/>
  <c r="H113" i="34"/>
  <c r="R113" i="34"/>
  <c r="R112" i="34"/>
  <c r="K111" i="34"/>
  <c r="O111" i="34"/>
  <c r="Q110" i="34"/>
  <c r="O109" i="34"/>
  <c r="K108" i="34"/>
  <c r="H108" i="34"/>
  <c r="Q108" i="34"/>
  <c r="A108" i="34"/>
  <c r="A109" i="34" s="1"/>
  <c r="K106" i="34"/>
  <c r="H106" i="34"/>
  <c r="H105" i="34"/>
  <c r="K104" i="34"/>
  <c r="H104" i="34"/>
  <c r="P104" i="34"/>
  <c r="K103" i="34"/>
  <c r="P103" i="34"/>
  <c r="K101" i="34"/>
  <c r="H101" i="34"/>
  <c r="N101" i="34"/>
  <c r="K100" i="34"/>
  <c r="H100" i="34"/>
  <c r="N100" i="34"/>
  <c r="P99" i="34"/>
  <c r="H98" i="34"/>
  <c r="P98" i="34"/>
  <c r="A97" i="34"/>
  <c r="K94" i="34"/>
  <c r="H94" i="34"/>
  <c r="N94" i="34"/>
  <c r="P93" i="34"/>
  <c r="H92" i="34"/>
  <c r="N92" i="34"/>
  <c r="K91" i="34"/>
  <c r="H91" i="34"/>
  <c r="P91" i="34"/>
  <c r="K90" i="34"/>
  <c r="H90" i="34"/>
  <c r="N90" i="34"/>
  <c r="P89" i="34"/>
  <c r="R87" i="34"/>
  <c r="Q87" i="34"/>
  <c r="O87" i="34"/>
  <c r="K87" i="34"/>
  <c r="H87" i="34"/>
  <c r="R86" i="34"/>
  <c r="Q86" i="34"/>
  <c r="P86" i="34"/>
  <c r="O86" i="34"/>
  <c r="N86" i="34"/>
  <c r="K86" i="34"/>
  <c r="H86" i="34"/>
  <c r="R85" i="34"/>
  <c r="Q85" i="34"/>
  <c r="O85" i="34"/>
  <c r="N85" i="34"/>
  <c r="I85" i="34"/>
  <c r="K85" i="34" s="1"/>
  <c r="H85" i="34"/>
  <c r="R84" i="34"/>
  <c r="Q84" i="34"/>
  <c r="P84" i="34"/>
  <c r="O84" i="34"/>
  <c r="N84" i="34"/>
  <c r="K84" i="34"/>
  <c r="H84" i="34"/>
  <c r="H81" i="34"/>
  <c r="P81" i="34"/>
  <c r="Q79" i="34"/>
  <c r="P79" i="34"/>
  <c r="O79" i="34"/>
  <c r="N79" i="34"/>
  <c r="Q77" i="34"/>
  <c r="O77" i="34"/>
  <c r="Q76" i="34"/>
  <c r="P76" i="34"/>
  <c r="O76" i="34"/>
  <c r="N76" i="34"/>
  <c r="K75" i="34"/>
  <c r="P75" i="34"/>
  <c r="K74" i="34"/>
  <c r="H74" i="34"/>
  <c r="P74" i="34"/>
  <c r="K73" i="34"/>
  <c r="H73" i="34"/>
  <c r="N73" i="34"/>
  <c r="P72" i="34"/>
  <c r="I71" i="34"/>
  <c r="H71" i="34"/>
  <c r="N71" i="34"/>
  <c r="K70" i="34"/>
  <c r="H70" i="34"/>
  <c r="P70" i="34"/>
  <c r="P68" i="34"/>
  <c r="R67" i="34"/>
  <c r="R66" i="34"/>
  <c r="R65" i="34"/>
  <c r="H64" i="34"/>
  <c r="P64" i="34"/>
  <c r="K63" i="34"/>
  <c r="H63" i="34"/>
  <c r="R63" i="34"/>
  <c r="K62" i="34"/>
  <c r="H62" i="34"/>
  <c r="N62" i="34"/>
  <c r="P61" i="34"/>
  <c r="Q59" i="34"/>
  <c r="O59" i="34"/>
  <c r="R57" i="34"/>
  <c r="Q57" i="34"/>
  <c r="P57" i="34"/>
  <c r="O57" i="34"/>
  <c r="N57" i="34"/>
  <c r="K57" i="34"/>
  <c r="H57" i="34"/>
  <c r="H56" i="34"/>
  <c r="N56" i="34"/>
  <c r="K55" i="34"/>
  <c r="H55" i="34"/>
  <c r="P55" i="34"/>
  <c r="K54" i="34"/>
  <c r="H54" i="34"/>
  <c r="N54" i="34"/>
  <c r="K53" i="34"/>
  <c r="N53" i="34"/>
  <c r="P52" i="34"/>
  <c r="N52" i="34"/>
  <c r="R52" i="34"/>
  <c r="Q52" i="34"/>
  <c r="O52" i="34"/>
  <c r="I51" i="34"/>
  <c r="H51" i="34"/>
  <c r="Q49" i="34"/>
  <c r="P49" i="34"/>
  <c r="N49" i="34"/>
  <c r="E48" i="34"/>
  <c r="F47" i="34"/>
  <c r="I46" i="34"/>
  <c r="F46" i="34"/>
  <c r="K45" i="34"/>
  <c r="O45" i="34"/>
  <c r="N45" i="34"/>
  <c r="K44" i="34"/>
  <c r="H44" i="34"/>
  <c r="N44" i="34"/>
  <c r="K43" i="34"/>
  <c r="H43" i="34"/>
  <c r="N43" i="34"/>
  <c r="P42" i="34"/>
  <c r="K39" i="34"/>
  <c r="H39" i="34"/>
  <c r="Q39" i="34"/>
  <c r="K38" i="34"/>
  <c r="H38" i="34"/>
  <c r="Q38" i="34"/>
  <c r="Q37" i="34"/>
  <c r="P37" i="34"/>
  <c r="O37" i="34"/>
  <c r="N37" i="34"/>
  <c r="R37" i="34"/>
  <c r="K37" i="34"/>
  <c r="H37" i="34"/>
  <c r="R36" i="34"/>
  <c r="Q36" i="34"/>
  <c r="P36" i="34"/>
  <c r="O36" i="34"/>
  <c r="K36" i="34"/>
  <c r="N36" i="34"/>
  <c r="H35" i="34"/>
  <c r="Q35" i="34"/>
  <c r="H34" i="34"/>
  <c r="Q34" i="34"/>
  <c r="K33" i="34"/>
  <c r="H33" i="34"/>
  <c r="Q33" i="34"/>
  <c r="K32" i="34"/>
  <c r="O32" i="34"/>
  <c r="O31" i="34"/>
  <c r="H30" i="34"/>
  <c r="Q30" i="34"/>
  <c r="K29" i="34"/>
  <c r="H29" i="34"/>
  <c r="O29" i="34"/>
  <c r="O28" i="34"/>
  <c r="Q27" i="34"/>
  <c r="AC26" i="34"/>
  <c r="K26" i="34"/>
  <c r="H26" i="34"/>
  <c r="Q26" i="34"/>
  <c r="K25" i="34"/>
  <c r="O25" i="34"/>
  <c r="O24" i="34"/>
  <c r="K22" i="34"/>
  <c r="H22" i="34"/>
  <c r="R22" i="34"/>
  <c r="R21" i="34"/>
  <c r="Q21" i="34"/>
  <c r="P21" i="34"/>
  <c r="O21" i="34"/>
  <c r="N21" i="34"/>
  <c r="K21" i="34"/>
  <c r="H21" i="34"/>
  <c r="R18" i="34"/>
  <c r="Q18" i="34"/>
  <c r="O18" i="34"/>
  <c r="N18" i="34"/>
  <c r="K18" i="34"/>
  <c r="H18" i="34"/>
  <c r="R17" i="34"/>
  <c r="Q17" i="34"/>
  <c r="P17" i="34"/>
  <c r="O17" i="34"/>
  <c r="N17" i="34"/>
  <c r="Q16" i="34"/>
  <c r="P16" i="34"/>
  <c r="O16" i="34"/>
  <c r="N16" i="34"/>
  <c r="Q15" i="34"/>
  <c r="P15" i="34"/>
  <c r="O15" i="34"/>
  <c r="N15" i="34"/>
  <c r="R14" i="34"/>
  <c r="O14" i="34"/>
  <c r="N14" i="34"/>
  <c r="Q14" i="34"/>
  <c r="H14" i="34"/>
  <c r="P13" i="34"/>
  <c r="O13" i="34"/>
  <c r="N13" i="34"/>
  <c r="Q12" i="34"/>
  <c r="K12" i="34"/>
  <c r="O12" i="34"/>
  <c r="N12" i="34"/>
  <c r="R11" i="34"/>
  <c r="Q11" i="34"/>
  <c r="P11" i="34"/>
  <c r="O11" i="34"/>
  <c r="N11" i="34"/>
  <c r="K11" i="34"/>
  <c r="H11" i="34"/>
  <c r="Q10" i="34"/>
  <c r="P10" i="34"/>
  <c r="O10" i="34"/>
  <c r="N10" i="34"/>
  <c r="R9" i="34"/>
  <c r="Q9" i="34"/>
  <c r="P9" i="34"/>
  <c r="O9" i="34"/>
  <c r="N9" i="34"/>
  <c r="K9" i="34"/>
  <c r="H9" i="34"/>
  <c r="I189" i="34"/>
  <c r="M21" i="34" l="1"/>
  <c r="Q64" i="34"/>
  <c r="N111" i="34"/>
  <c r="F182" i="34"/>
  <c r="H182" i="34" s="1"/>
  <c r="S194" i="34"/>
  <c r="T193" i="34" s="1"/>
  <c r="N80" i="34"/>
  <c r="O20" i="34"/>
  <c r="M85" i="34"/>
  <c r="U85" i="34" s="1"/>
  <c r="V85" i="34" s="1"/>
  <c r="N98" i="34"/>
  <c r="R111" i="34"/>
  <c r="O112" i="34"/>
  <c r="H124" i="34"/>
  <c r="R131" i="34"/>
  <c r="M203" i="34"/>
  <c r="U203" i="34" s="1"/>
  <c r="M224" i="34"/>
  <c r="U224" i="34" s="1"/>
  <c r="V224" i="34" s="1"/>
  <c r="R44" i="34"/>
  <c r="K80" i="34"/>
  <c r="M86" i="34"/>
  <c r="Q111" i="34"/>
  <c r="P113" i="34"/>
  <c r="K114" i="34"/>
  <c r="M126" i="34"/>
  <c r="U126" i="34" s="1"/>
  <c r="V126" i="34" s="1"/>
  <c r="W125" i="34" s="1"/>
  <c r="P139" i="34"/>
  <c r="M226" i="34"/>
  <c r="U226" i="34" s="1"/>
  <c r="V226" i="34" s="1"/>
  <c r="M106" i="34"/>
  <c r="M194" i="34"/>
  <c r="U194" i="34" s="1"/>
  <c r="V194" i="34" s="1"/>
  <c r="W193" i="34" s="1"/>
  <c r="N210" i="34"/>
  <c r="K243" i="34"/>
  <c r="M54" i="34"/>
  <c r="M84" i="34"/>
  <c r="U84" i="34" s="1"/>
  <c r="V84" i="34" s="1"/>
  <c r="M225" i="34"/>
  <c r="U225" i="34" s="1"/>
  <c r="V225" i="34" s="1"/>
  <c r="M38" i="34"/>
  <c r="U38" i="34" s="1"/>
  <c r="V38" i="34" s="1"/>
  <c r="H45" i="34"/>
  <c r="H48" i="34"/>
  <c r="S86" i="34"/>
  <c r="H112" i="34"/>
  <c r="H123" i="34"/>
  <c r="M9" i="34"/>
  <c r="U9" i="34" s="1"/>
  <c r="V9" i="34" s="1"/>
  <c r="M11" i="34"/>
  <c r="U11" i="34" s="1"/>
  <c r="V11" i="34" s="1"/>
  <c r="Q48" i="34"/>
  <c r="Q81" i="34"/>
  <c r="N146" i="34"/>
  <c r="F184" i="34"/>
  <c r="H184" i="34" s="1"/>
  <c r="R197" i="34"/>
  <c r="R140" i="34"/>
  <c r="S9" i="34"/>
  <c r="Q40" i="34"/>
  <c r="Q99" i="34"/>
  <c r="S224" i="34"/>
  <c r="P244" i="34"/>
  <c r="P250" i="34" s="1"/>
  <c r="Q56" i="34"/>
  <c r="P192" i="34"/>
  <c r="S192" i="34" s="1"/>
  <c r="P158" i="34"/>
  <c r="S226" i="34"/>
  <c r="M57" i="34"/>
  <c r="U57" i="34" s="1"/>
  <c r="V57" i="34" s="1"/>
  <c r="N29" i="34"/>
  <c r="R51" i="34"/>
  <c r="R55" i="34"/>
  <c r="K59" i="34"/>
  <c r="M62" i="34"/>
  <c r="U62" i="34" s="1"/>
  <c r="V62" i="34" s="1"/>
  <c r="M63" i="34"/>
  <c r="R73" i="34"/>
  <c r="H77" i="34"/>
  <c r="M87" i="34"/>
  <c r="U87" i="34" s="1"/>
  <c r="V87" i="34" s="1"/>
  <c r="Q92" i="34"/>
  <c r="H95" i="34"/>
  <c r="O101" i="34"/>
  <c r="P109" i="34"/>
  <c r="O113" i="34"/>
  <c r="N138" i="34"/>
  <c r="O140" i="34"/>
  <c r="O158" i="34"/>
  <c r="P63" i="34"/>
  <c r="Q29" i="34"/>
  <c r="R45" i="34"/>
  <c r="P73" i="34"/>
  <c r="N91" i="34"/>
  <c r="O95" i="34"/>
  <c r="N104" i="34"/>
  <c r="Q113" i="34"/>
  <c r="K182" i="34"/>
  <c r="P214" i="34"/>
  <c r="N222" i="34"/>
  <c r="M243" i="34"/>
  <c r="U243" i="34" s="1"/>
  <c r="V243" i="34" s="1"/>
  <c r="N130" i="34"/>
  <c r="Q138" i="34"/>
  <c r="N55" i="34"/>
  <c r="Q25" i="34"/>
  <c r="K40" i="34"/>
  <c r="H59" i="34"/>
  <c r="N63" i="34"/>
  <c r="R68" i="34"/>
  <c r="R75" i="34"/>
  <c r="K77" i="34"/>
  <c r="P82" i="34"/>
  <c r="R93" i="34"/>
  <c r="P95" i="34"/>
  <c r="N97" i="34"/>
  <c r="O103" i="34"/>
  <c r="R138" i="34"/>
  <c r="P155" i="34"/>
  <c r="O203" i="34"/>
  <c r="K208" i="34"/>
  <c r="P210" i="34"/>
  <c r="U21" i="34"/>
  <c r="V21" i="34" s="1"/>
  <c r="Q24" i="34"/>
  <c r="P27" i="34"/>
  <c r="N141" i="34"/>
  <c r="L152" i="34"/>
  <c r="N191" i="34"/>
  <c r="K196" i="34"/>
  <c r="P67" i="34"/>
  <c r="N42" i="34"/>
  <c r="R94" i="34"/>
  <c r="K214" i="34"/>
  <c r="N244" i="34"/>
  <c r="H247" i="34"/>
  <c r="O53" i="34"/>
  <c r="K109" i="34"/>
  <c r="O27" i="34"/>
  <c r="P30" i="34"/>
  <c r="Q73" i="34"/>
  <c r="R109" i="34"/>
  <c r="N25" i="34"/>
  <c r="N39" i="34"/>
  <c r="R42" i="34"/>
  <c r="Q51" i="34"/>
  <c r="P65" i="34"/>
  <c r="Q71" i="34"/>
  <c r="H80" i="34"/>
  <c r="L80" i="34" s="1"/>
  <c r="O82" i="34"/>
  <c r="R100" i="34"/>
  <c r="Q109" i="34"/>
  <c r="P133" i="34"/>
  <c r="P136" i="34"/>
  <c r="N139" i="34"/>
  <c r="P144" i="34"/>
  <c r="Q156" i="34"/>
  <c r="K159" i="34"/>
  <c r="L159" i="34" s="1"/>
  <c r="P184" i="34"/>
  <c r="P188" i="34"/>
  <c r="P191" i="34"/>
  <c r="O250" i="34"/>
  <c r="Q42" i="34"/>
  <c r="O100" i="34"/>
  <c r="R53" i="34"/>
  <c r="K139" i="34"/>
  <c r="H200" i="34"/>
  <c r="M228" i="34"/>
  <c r="U228" i="34" s="1"/>
  <c r="V228" i="34" s="1"/>
  <c r="K15" i="34"/>
  <c r="R39" i="34"/>
  <c r="P28" i="34"/>
  <c r="N40" i="34"/>
  <c r="N66" i="34"/>
  <c r="P110" i="34"/>
  <c r="H145" i="34"/>
  <c r="L145" i="34" s="1"/>
  <c r="M145" i="34" s="1"/>
  <c r="U145" i="34" s="1"/>
  <c r="V145" i="34" s="1"/>
  <c r="J150" i="34"/>
  <c r="J151" i="34" s="1"/>
  <c r="Q151" i="34" s="1"/>
  <c r="P157" i="34"/>
  <c r="P215" i="34"/>
  <c r="O157" i="34"/>
  <c r="K186" i="34"/>
  <c r="O207" i="34"/>
  <c r="N215" i="34"/>
  <c r="S245" i="34"/>
  <c r="H248" i="34"/>
  <c r="L248" i="34" s="1"/>
  <c r="R248" i="34" s="1"/>
  <c r="R71" i="34"/>
  <c r="S52" i="34"/>
  <c r="P85" i="34"/>
  <c r="S85" i="34" s="1"/>
  <c r="N87" i="34"/>
  <c r="O90" i="34"/>
  <c r="Q43" i="34"/>
  <c r="P45" i="34"/>
  <c r="O48" i="34"/>
  <c r="O54" i="34"/>
  <c r="R72" i="34"/>
  <c r="O75" i="34"/>
  <c r="Q93" i="34"/>
  <c r="O104" i="34"/>
  <c r="R110" i="34"/>
  <c r="R134" i="34"/>
  <c r="R137" i="34"/>
  <c r="Q157" i="34"/>
  <c r="H160" i="34"/>
  <c r="P162" i="34"/>
  <c r="S162" i="34" s="1"/>
  <c r="N186" i="34"/>
  <c r="P197" i="34"/>
  <c r="M204" i="34"/>
  <c r="U204" i="34" s="1"/>
  <c r="N212" i="34"/>
  <c r="S225" i="34"/>
  <c r="P25" i="34"/>
  <c r="N28" i="34"/>
  <c r="O66" i="34"/>
  <c r="P12" i="34"/>
  <c r="K17" i="34"/>
  <c r="N20" i="34"/>
  <c r="P32" i="34"/>
  <c r="Q44" i="34"/>
  <c r="P48" i="34"/>
  <c r="Q66" i="34"/>
  <c r="Q75" i="34"/>
  <c r="Q97" i="34"/>
  <c r="O99" i="34"/>
  <c r="O105" i="34"/>
  <c r="R108" i="34"/>
  <c r="P140" i="34"/>
  <c r="N197" i="34"/>
  <c r="H212" i="34"/>
  <c r="M227" i="34"/>
  <c r="U227" i="34" s="1"/>
  <c r="V227" i="34" s="1"/>
  <c r="M73" i="34"/>
  <c r="S84" i="34"/>
  <c r="Q250" i="34"/>
  <c r="H67" i="34"/>
  <c r="N109" i="34"/>
  <c r="T115" i="34"/>
  <c r="H199" i="34"/>
  <c r="M210" i="34"/>
  <c r="U210" i="34" s="1"/>
  <c r="S227" i="34"/>
  <c r="P51" i="34"/>
  <c r="K51" i="34"/>
  <c r="M43" i="34"/>
  <c r="U43" i="34" s="1"/>
  <c r="V43" i="34" s="1"/>
  <c r="L33" i="34"/>
  <c r="M33" i="34" s="1"/>
  <c r="U33" i="34" s="1"/>
  <c r="V33" i="34" s="1"/>
  <c r="L26" i="34"/>
  <c r="M26" i="34" s="1"/>
  <c r="U26" i="34" s="1"/>
  <c r="V26" i="34" s="1"/>
  <c r="M191" i="34"/>
  <c r="U191" i="34" s="1"/>
  <c r="V191" i="34" s="1"/>
  <c r="S37" i="34"/>
  <c r="O70" i="34"/>
  <c r="S11" i="34"/>
  <c r="H15" i="34"/>
  <c r="S17" i="34"/>
  <c r="P18" i="34"/>
  <c r="S18" i="34" s="1"/>
  <c r="K27" i="34"/>
  <c r="Q32" i="34"/>
  <c r="N35" i="34"/>
  <c r="M37" i="34"/>
  <c r="U37" i="34" s="1"/>
  <c r="V37" i="34" s="1"/>
  <c r="M39" i="34"/>
  <c r="U39" i="34" s="1"/>
  <c r="V39" i="34" s="1"/>
  <c r="R43" i="34"/>
  <c r="R47" i="34"/>
  <c r="Q54" i="34"/>
  <c r="O61" i="34"/>
  <c r="Q65" i="34"/>
  <c r="H75" i="34"/>
  <c r="Q80" i="34"/>
  <c r="K82" i="34"/>
  <c r="R89" i="34"/>
  <c r="R91" i="34"/>
  <c r="O98" i="34"/>
  <c r="R99" i="34"/>
  <c r="R101" i="34"/>
  <c r="R104" i="34"/>
  <c r="H109" i="34"/>
  <c r="K124" i="34"/>
  <c r="R130" i="34"/>
  <c r="K136" i="34"/>
  <c r="K140" i="34"/>
  <c r="K197" i="34"/>
  <c r="K200" i="34"/>
  <c r="O210" i="34"/>
  <c r="R215" i="34"/>
  <c r="M223" i="34"/>
  <c r="U223" i="34" s="1"/>
  <c r="V223" i="34" s="1"/>
  <c r="S57" i="34"/>
  <c r="Q61" i="34"/>
  <c r="P208" i="34"/>
  <c r="P223" i="34"/>
  <c r="O73" i="34"/>
  <c r="M90" i="34"/>
  <c r="U90" i="34" s="1"/>
  <c r="V90" i="34" s="1"/>
  <c r="M100" i="34"/>
  <c r="U100" i="34" s="1"/>
  <c r="V100" i="34" s="1"/>
  <c r="R128" i="34"/>
  <c r="R152" i="34"/>
  <c r="P35" i="34"/>
  <c r="M55" i="34"/>
  <c r="U55" i="34" s="1"/>
  <c r="V55" i="34" s="1"/>
  <c r="P77" i="34"/>
  <c r="Q98" i="34"/>
  <c r="H10" i="34"/>
  <c r="K13" i="34"/>
  <c r="K30" i="34"/>
  <c r="S36" i="34"/>
  <c r="Q45" i="34"/>
  <c r="Q53" i="34"/>
  <c r="R61" i="34"/>
  <c r="Q68" i="34"/>
  <c r="O81" i="34"/>
  <c r="O92" i="34"/>
  <c r="M94" i="34"/>
  <c r="U94" i="34" s="1"/>
  <c r="V94" i="34" s="1"/>
  <c r="K98" i="34"/>
  <c r="M98" i="34" s="1"/>
  <c r="U98" i="34" s="1"/>
  <c r="V98" i="34" s="1"/>
  <c r="M108" i="34"/>
  <c r="U108" i="34" s="1"/>
  <c r="V108" i="34" s="1"/>
  <c r="K113" i="34"/>
  <c r="N137" i="34"/>
  <c r="H139" i="34"/>
  <c r="K143" i="34"/>
  <c r="H150" i="34"/>
  <c r="N152" i="34"/>
  <c r="Q197" i="34"/>
  <c r="H211" i="34"/>
  <c r="N214" i="34"/>
  <c r="Q223" i="34"/>
  <c r="K66" i="34"/>
  <c r="R98" i="34"/>
  <c r="Q104" i="34"/>
  <c r="O152" i="34"/>
  <c r="H207" i="34"/>
  <c r="L207" i="34" s="1"/>
  <c r="O214" i="34"/>
  <c r="H40" i="34"/>
  <c r="M129" i="34"/>
  <c r="U129" i="34" s="1"/>
  <c r="V129" i="34" s="1"/>
  <c r="K14" i="34"/>
  <c r="P20" i="34"/>
  <c r="O22" i="34"/>
  <c r="P31" i="34"/>
  <c r="O46" i="34"/>
  <c r="H52" i="34"/>
  <c r="P53" i="34"/>
  <c r="K64" i="34"/>
  <c r="M70" i="34"/>
  <c r="U70" i="34" s="1"/>
  <c r="V70" i="34" s="1"/>
  <c r="O72" i="34"/>
  <c r="M74" i="34"/>
  <c r="U74" i="34" s="1"/>
  <c r="V74" i="34" s="1"/>
  <c r="K81" i="34"/>
  <c r="P90" i="34"/>
  <c r="K92" i="34"/>
  <c r="O94" i="34"/>
  <c r="H97" i="34"/>
  <c r="P100" i="34"/>
  <c r="O108" i="34"/>
  <c r="P114" i="34"/>
  <c r="O137" i="34"/>
  <c r="P145" i="34"/>
  <c r="O156" i="34"/>
  <c r="K158" i="34"/>
  <c r="P207" i="34"/>
  <c r="R230" i="34"/>
  <c r="H245" i="34"/>
  <c r="M245" i="34" s="1"/>
  <c r="U245" i="34" s="1"/>
  <c r="V245" i="34" s="1"/>
  <c r="K247" i="34"/>
  <c r="L247" i="34" s="1"/>
  <c r="R247" i="34" s="1"/>
  <c r="S247" i="34" s="1"/>
  <c r="N31" i="34"/>
  <c r="N46" i="34"/>
  <c r="K10" i="34"/>
  <c r="H12" i="34"/>
  <c r="M18" i="34"/>
  <c r="U18" i="34" s="1"/>
  <c r="V18" i="34" s="1"/>
  <c r="Q20" i="34"/>
  <c r="P34" i="34"/>
  <c r="O56" i="34"/>
  <c r="R62" i="34"/>
  <c r="R64" i="34"/>
  <c r="Q70" i="34"/>
  <c r="Q72" i="34"/>
  <c r="R81" i="34"/>
  <c r="Q90" i="34"/>
  <c r="R92" i="34"/>
  <c r="P94" i="34"/>
  <c r="K97" i="34"/>
  <c r="Q100" i="34"/>
  <c r="Q103" i="34"/>
  <c r="P108" i="34"/>
  <c r="N110" i="34"/>
  <c r="K123" i="34"/>
  <c r="N133" i="34"/>
  <c r="R141" i="34"/>
  <c r="H144" i="34"/>
  <c r="P156" i="34"/>
  <c r="P201" i="34"/>
  <c r="S201" i="34" s="1"/>
  <c r="K207" i="34"/>
  <c r="M222" i="34"/>
  <c r="U222" i="34" s="1"/>
  <c r="V222" i="34" s="1"/>
  <c r="S243" i="34"/>
  <c r="N34" i="34"/>
  <c r="N38" i="34"/>
  <c r="M45" i="34"/>
  <c r="U45" i="34" s="1"/>
  <c r="V45" i="34" s="1"/>
  <c r="R46" i="34"/>
  <c r="O62" i="34"/>
  <c r="R74" i="34"/>
  <c r="N81" i="34"/>
  <c r="R90" i="34"/>
  <c r="P92" i="34"/>
  <c r="Q94" i="34"/>
  <c r="R105" i="34"/>
  <c r="R139" i="34"/>
  <c r="O141" i="34"/>
  <c r="M192" i="34"/>
  <c r="U192" i="34" s="1"/>
  <c r="V192" i="34" s="1"/>
  <c r="S196" i="34"/>
  <c r="N27" i="34"/>
  <c r="N32" i="34"/>
  <c r="O34" i="34"/>
  <c r="R38" i="34"/>
  <c r="O43" i="34"/>
  <c r="Q62" i="34"/>
  <c r="R70" i="34"/>
  <c r="N74" i="34"/>
  <c r="Q82" i="34"/>
  <c r="O89" i="34"/>
  <c r="Q101" i="34"/>
  <c r="K110" i="34"/>
  <c r="M133" i="34"/>
  <c r="U133" i="34" s="1"/>
  <c r="V133" i="34" s="1"/>
  <c r="H138" i="34"/>
  <c r="N151" i="34"/>
  <c r="K215" i="34"/>
  <c r="M22" i="34"/>
  <c r="U22" i="34" s="1"/>
  <c r="V22" i="34" s="1"/>
  <c r="P14" i="34"/>
  <c r="S14" i="34" s="1"/>
  <c r="S21" i="34"/>
  <c r="H27" i="34"/>
  <c r="O42" i="34"/>
  <c r="P43" i="34"/>
  <c r="R56" i="34"/>
  <c r="O65" i="34"/>
  <c r="O67" i="34"/>
  <c r="N70" i="34"/>
  <c r="O80" i="34"/>
  <c r="N82" i="34"/>
  <c r="Q89" i="34"/>
  <c r="M91" i="34"/>
  <c r="U91" i="34" s="1"/>
  <c r="V91" i="34" s="1"/>
  <c r="O93" i="34"/>
  <c r="O97" i="34"/>
  <c r="K99" i="34"/>
  <c r="M101" i="34"/>
  <c r="U101" i="34" s="1"/>
  <c r="V101" i="34" s="1"/>
  <c r="O130" i="34"/>
  <c r="R133" i="34"/>
  <c r="N140" i="34"/>
  <c r="K206" i="34"/>
  <c r="O222" i="34"/>
  <c r="M244" i="34"/>
  <c r="U244" i="34" s="1"/>
  <c r="V244" i="34" s="1"/>
  <c r="M44" i="34"/>
  <c r="U44" i="34" s="1"/>
  <c r="V44" i="34" s="1"/>
  <c r="H24" i="34"/>
  <c r="L29" i="34"/>
  <c r="K46" i="34"/>
  <c r="P46" i="34"/>
  <c r="H47" i="34"/>
  <c r="N47" i="34"/>
  <c r="Q13" i="34"/>
  <c r="H16" i="34"/>
  <c r="H20" i="34"/>
  <c r="K24" i="34"/>
  <c r="N26" i="34"/>
  <c r="H31" i="34"/>
  <c r="N33" i="34"/>
  <c r="K34" i="34"/>
  <c r="Q46" i="34"/>
  <c r="Q95" i="34"/>
  <c r="K95" i="34"/>
  <c r="M104" i="34"/>
  <c r="U104" i="34" s="1"/>
  <c r="V104" i="34" s="1"/>
  <c r="O106" i="34"/>
  <c r="N114" i="34"/>
  <c r="R106" i="34"/>
  <c r="Q106" i="34"/>
  <c r="P106" i="34"/>
  <c r="N106" i="34"/>
  <c r="O26" i="34"/>
  <c r="P29" i="34"/>
  <c r="O33" i="34"/>
  <c r="O40" i="34"/>
  <c r="O68" i="34"/>
  <c r="H68" i="34"/>
  <c r="U73" i="34"/>
  <c r="V73" i="34" s="1"/>
  <c r="U106" i="34"/>
  <c r="V106" i="34" s="1"/>
  <c r="O114" i="34"/>
  <c r="Q135" i="34"/>
  <c r="O135" i="34"/>
  <c r="P189" i="34"/>
  <c r="S189" i="34" s="1"/>
  <c r="K189" i="34"/>
  <c r="U121" i="34"/>
  <c r="V121" i="34" s="1"/>
  <c r="U118" i="34"/>
  <c r="V118" i="34" s="1"/>
  <c r="U122" i="34"/>
  <c r="V122" i="34" s="1"/>
  <c r="U123" i="34"/>
  <c r="V123" i="34" s="1"/>
  <c r="U119" i="34"/>
  <c r="V119" i="34" s="1"/>
  <c r="U124" i="34"/>
  <c r="V124" i="34" s="1"/>
  <c r="U120" i="34"/>
  <c r="V120" i="34" s="1"/>
  <c r="U116" i="34"/>
  <c r="V116" i="34" s="1"/>
  <c r="P26" i="34"/>
  <c r="H28" i="34"/>
  <c r="N30" i="34"/>
  <c r="J31" i="34"/>
  <c r="Q31" i="34" s="1"/>
  <c r="P33" i="34"/>
  <c r="P40" i="34"/>
  <c r="H42" i="34"/>
  <c r="O44" i="34"/>
  <c r="U86" i="34"/>
  <c r="V86" i="34" s="1"/>
  <c r="H13" i="34"/>
  <c r="K16" i="34"/>
  <c r="K20" i="34"/>
  <c r="N24" i="34"/>
  <c r="O30" i="34"/>
  <c r="K35" i="34"/>
  <c r="H36" i="34"/>
  <c r="P44" i="34"/>
  <c r="H46" i="34"/>
  <c r="U54" i="34"/>
  <c r="V54" i="34" s="1"/>
  <c r="P71" i="34"/>
  <c r="K71" i="34"/>
  <c r="K148" i="34"/>
  <c r="P148" i="34"/>
  <c r="Q67" i="34"/>
  <c r="K67" i="34"/>
  <c r="H17" i="34"/>
  <c r="L20" i="34"/>
  <c r="H25" i="34"/>
  <c r="J28" i="34"/>
  <c r="H32" i="34"/>
  <c r="K42" i="34"/>
  <c r="Q112" i="34"/>
  <c r="K112" i="34"/>
  <c r="Q114" i="34"/>
  <c r="P24" i="34"/>
  <c r="N22" i="34"/>
  <c r="U117" i="34"/>
  <c r="V117" i="34" s="1"/>
  <c r="O35" i="34"/>
  <c r="O47" i="34"/>
  <c r="K48" i="34"/>
  <c r="N65" i="34"/>
  <c r="H65" i="34"/>
  <c r="P22" i="34"/>
  <c r="O38" i="34"/>
  <c r="O39" i="34"/>
  <c r="Q22" i="34"/>
  <c r="P38" i="34"/>
  <c r="P39" i="34"/>
  <c r="I47" i="34"/>
  <c r="Q47" i="34"/>
  <c r="U63" i="34"/>
  <c r="V63" i="34" s="1"/>
  <c r="I105" i="34"/>
  <c r="Q105" i="34"/>
  <c r="N208" i="34"/>
  <c r="H208" i="34"/>
  <c r="O49" i="34"/>
  <c r="H49" i="34"/>
  <c r="P54" i="34"/>
  <c r="I56" i="34"/>
  <c r="N59" i="34"/>
  <c r="P62" i="34"/>
  <c r="O63" i="34"/>
  <c r="P66" i="34"/>
  <c r="N77" i="34"/>
  <c r="R103" i="34"/>
  <c r="N108" i="34"/>
  <c r="P111" i="34"/>
  <c r="S126" i="34"/>
  <c r="T125" i="34" s="1"/>
  <c r="Q129" i="34"/>
  <c r="N129" i="34"/>
  <c r="P135" i="34"/>
  <c r="K135" i="34"/>
  <c r="H143" i="34"/>
  <c r="N143" i="34"/>
  <c r="P161" i="34"/>
  <c r="K161" i="34"/>
  <c r="AB166" i="34"/>
  <c r="AD166" i="34" s="1"/>
  <c r="AB168" i="34"/>
  <c r="AD168" i="34" s="1"/>
  <c r="AB165" i="34"/>
  <c r="AB167" i="34"/>
  <c r="AD167" i="34" s="1"/>
  <c r="L186" i="34"/>
  <c r="R54" i="34"/>
  <c r="O55" i="34"/>
  <c r="P59" i="34"/>
  <c r="H61" i="34"/>
  <c r="Q63" i="34"/>
  <c r="N64" i="34"/>
  <c r="N67" i="34"/>
  <c r="K68" i="34"/>
  <c r="H72" i="34"/>
  <c r="O74" i="34"/>
  <c r="H76" i="34"/>
  <c r="H79" i="34"/>
  <c r="P87" i="34"/>
  <c r="H89" i="34"/>
  <c r="O91" i="34"/>
  <c r="H93" i="34"/>
  <c r="H99" i="34"/>
  <c r="H110" i="34"/>
  <c r="N112" i="34"/>
  <c r="H114" i="34"/>
  <c r="O129" i="34"/>
  <c r="R135" i="34"/>
  <c r="P183" i="34"/>
  <c r="K183" i="34"/>
  <c r="K52" i="34"/>
  <c r="O64" i="34"/>
  <c r="P80" i="34"/>
  <c r="H82" i="34"/>
  <c r="N95" i="34"/>
  <c r="P97" i="34"/>
  <c r="P101" i="34"/>
  <c r="H103" i="34"/>
  <c r="N105" i="34"/>
  <c r="N113" i="34"/>
  <c r="K199" i="34"/>
  <c r="P199" i="34"/>
  <c r="N48" i="34"/>
  <c r="N51" i="34"/>
  <c r="H53" i="34"/>
  <c r="Q55" i="34"/>
  <c r="K61" i="34"/>
  <c r="K65" i="34"/>
  <c r="K72" i="34"/>
  <c r="Q74" i="34"/>
  <c r="N75" i="34"/>
  <c r="K89" i="34"/>
  <c r="Q91" i="34"/>
  <c r="K93" i="34"/>
  <c r="P112" i="34"/>
  <c r="K153" i="34"/>
  <c r="P153" i="34"/>
  <c r="K49" i="34"/>
  <c r="O51" i="34"/>
  <c r="H66" i="34"/>
  <c r="N68" i="34"/>
  <c r="O71" i="34"/>
  <c r="K76" i="34"/>
  <c r="K79" i="34"/>
  <c r="H111" i="34"/>
  <c r="N136" i="34"/>
  <c r="K149" i="34"/>
  <c r="M162" i="34"/>
  <c r="U162" i="34" s="1"/>
  <c r="V162" i="34" s="1"/>
  <c r="R129" i="34"/>
  <c r="Q154" i="34"/>
  <c r="O154" i="34"/>
  <c r="N154" i="34"/>
  <c r="N61" i="34"/>
  <c r="N72" i="34"/>
  <c r="N89" i="34"/>
  <c r="N93" i="34"/>
  <c r="N99" i="34"/>
  <c r="P129" i="34"/>
  <c r="K134" i="34"/>
  <c r="P134" i="34"/>
  <c r="P205" i="34"/>
  <c r="K205" i="34"/>
  <c r="M205" i="34" s="1"/>
  <c r="U205" i="34" s="1"/>
  <c r="N103" i="34"/>
  <c r="O110" i="34"/>
  <c r="P128" i="34"/>
  <c r="N128" i="34"/>
  <c r="L144" i="34"/>
  <c r="M144" i="34" s="1"/>
  <c r="U144" i="34" s="1"/>
  <c r="V144" i="34" s="1"/>
  <c r="P154" i="34"/>
  <c r="L188" i="34"/>
  <c r="N206" i="34"/>
  <c r="H206" i="34"/>
  <c r="K142" i="34"/>
  <c r="P142" i="34"/>
  <c r="S228" i="34"/>
  <c r="J131" i="34"/>
  <c r="Q128" i="34"/>
  <c r="K128" i="34"/>
  <c r="R136" i="34"/>
  <c r="M152" i="34"/>
  <c r="U152" i="34" s="1"/>
  <c r="V152" i="34" s="1"/>
  <c r="Q130" i="34"/>
  <c r="Q133" i="34"/>
  <c r="N134" i="34"/>
  <c r="P137" i="34"/>
  <c r="P141" i="34"/>
  <c r="N142" i="34"/>
  <c r="P147" i="34"/>
  <c r="N148" i="34"/>
  <c r="P152" i="34"/>
  <c r="N153" i="34"/>
  <c r="L154" i="34"/>
  <c r="P203" i="34"/>
  <c r="N204" i="34"/>
  <c r="Q210" i="34"/>
  <c r="Q214" i="34"/>
  <c r="O215" i="34"/>
  <c r="P222" i="34"/>
  <c r="N223" i="34"/>
  <c r="O134" i="34"/>
  <c r="G136" i="34"/>
  <c r="O136" i="34" s="1"/>
  <c r="O153" i="34"/>
  <c r="K155" i="34"/>
  <c r="Q158" i="34"/>
  <c r="N199" i="34"/>
  <c r="Q203" i="34"/>
  <c r="O204" i="34"/>
  <c r="N207" i="34"/>
  <c r="O211" i="34"/>
  <c r="Q222" i="34"/>
  <c r="O223" i="34"/>
  <c r="H140" i="34"/>
  <c r="H201" i="34"/>
  <c r="R203" i="34"/>
  <c r="P204" i="34"/>
  <c r="N205" i="34"/>
  <c r="N135" i="34"/>
  <c r="P138" i="34"/>
  <c r="I151" i="34"/>
  <c r="P160" i="34"/>
  <c r="N161" i="34"/>
  <c r="Q204" i="34"/>
  <c r="O205" i="34"/>
  <c r="Q211" i="34"/>
  <c r="O128" i="34"/>
  <c r="H130" i="34"/>
  <c r="P149" i="34"/>
  <c r="N155" i="34"/>
  <c r="L156" i="34"/>
  <c r="Q207" i="34"/>
  <c r="O212" i="34"/>
  <c r="H137" i="34"/>
  <c r="O139" i="34"/>
  <c r="H141" i="34"/>
  <c r="K146" i="34"/>
  <c r="H147" i="34"/>
  <c r="O155" i="34"/>
  <c r="K157" i="34"/>
  <c r="Q205" i="34"/>
  <c r="P212" i="34"/>
  <c r="G131" i="34"/>
  <c r="L209" i="34"/>
  <c r="Q212" i="34"/>
  <c r="O208" i="34"/>
  <c r="L249" i="34"/>
  <c r="R249" i="34" s="1"/>
  <c r="S249" i="34" s="1"/>
  <c r="L77" i="34" l="1"/>
  <c r="L59" i="34"/>
  <c r="M59" i="34" s="1"/>
  <c r="U59" i="34" s="1"/>
  <c r="V59" i="34" s="1"/>
  <c r="W58" i="34" s="1"/>
  <c r="S81" i="34"/>
  <c r="Q230" i="34"/>
  <c r="N184" i="34"/>
  <c r="L15" i="34"/>
  <c r="L124" i="34"/>
  <c r="N182" i="34"/>
  <c r="S70" i="34"/>
  <c r="S45" i="34"/>
  <c r="S138" i="34"/>
  <c r="P230" i="34"/>
  <c r="S141" i="34"/>
  <c r="S130" i="34"/>
  <c r="S113" i="34"/>
  <c r="S152" i="34"/>
  <c r="Q150" i="34"/>
  <c r="O230" i="34"/>
  <c r="L123" i="34"/>
  <c r="M214" i="34"/>
  <c r="U214" i="34" s="1"/>
  <c r="V214" i="34" s="1"/>
  <c r="M77" i="34"/>
  <c r="U77" i="34" s="1"/>
  <c r="V77" i="34" s="1"/>
  <c r="S42" i="34"/>
  <c r="S191" i="34"/>
  <c r="T190" i="34" s="1"/>
  <c r="K150" i="34"/>
  <c r="L150" i="34" s="1"/>
  <c r="R150" i="34" s="1"/>
  <c r="S150" i="34" s="1"/>
  <c r="S72" i="34"/>
  <c r="S214" i="34"/>
  <c r="S61" i="34"/>
  <c r="L40" i="34"/>
  <c r="M40" i="34" s="1"/>
  <c r="U40" i="34" s="1"/>
  <c r="V40" i="34" s="1"/>
  <c r="S111" i="34"/>
  <c r="S89" i="34"/>
  <c r="S54" i="34"/>
  <c r="L12" i="34"/>
  <c r="R12" i="34" s="1"/>
  <c r="S12" i="34" s="1"/>
  <c r="M51" i="34"/>
  <c r="U51" i="34" s="1"/>
  <c r="V51" i="34" s="1"/>
  <c r="L97" i="34"/>
  <c r="M97" i="34" s="1"/>
  <c r="U97" i="34" s="1"/>
  <c r="V97" i="34" s="1"/>
  <c r="S73" i="34"/>
  <c r="S135" i="34"/>
  <c r="S43" i="34"/>
  <c r="S90" i="34"/>
  <c r="S210" i="34"/>
  <c r="L148" i="34"/>
  <c r="R148" i="34" s="1"/>
  <c r="S148" i="34" s="1"/>
  <c r="L10" i="34"/>
  <c r="M10" i="34" s="1"/>
  <c r="U10" i="34" s="1"/>
  <c r="V10" i="34" s="1"/>
  <c r="S244" i="34"/>
  <c r="T242" i="34" s="1"/>
  <c r="L160" i="34"/>
  <c r="R160" i="34" s="1"/>
  <c r="S160" i="34" s="1"/>
  <c r="L30" i="34"/>
  <c r="R30" i="34" s="1"/>
  <c r="S30" i="34" s="1"/>
  <c r="S211" i="34"/>
  <c r="S197" i="34"/>
  <c r="S98" i="34"/>
  <c r="M247" i="34"/>
  <c r="U247" i="34" s="1"/>
  <c r="V247" i="34" s="1"/>
  <c r="S212" i="34"/>
  <c r="S137" i="34"/>
  <c r="S68" i="34"/>
  <c r="S55" i="34"/>
  <c r="S65" i="34"/>
  <c r="S22" i="34"/>
  <c r="M197" i="34"/>
  <c r="U197" i="34" s="1"/>
  <c r="V197" i="34" s="1"/>
  <c r="S53" i="34"/>
  <c r="S104" i="34"/>
  <c r="M196" i="34"/>
  <c r="U196" i="34" s="1"/>
  <c r="V196" i="34" s="1"/>
  <c r="S99" i="34"/>
  <c r="S63" i="34"/>
  <c r="S140" i="34"/>
  <c r="N250" i="34"/>
  <c r="S87" i="34"/>
  <c r="T83" i="34" s="1"/>
  <c r="L200" i="34"/>
  <c r="M200" i="34" s="1"/>
  <c r="U200" i="34" s="1"/>
  <c r="V200" i="34" s="1"/>
  <c r="S110" i="34"/>
  <c r="S101" i="34"/>
  <c r="S109" i="34"/>
  <c r="H136" i="34"/>
  <c r="M136" i="34" s="1"/>
  <c r="U136" i="34" s="1"/>
  <c r="V136" i="34" s="1"/>
  <c r="R188" i="34"/>
  <c r="S188" i="34" s="1"/>
  <c r="S66" i="34"/>
  <c r="M212" i="34"/>
  <c r="U212" i="34" s="1"/>
  <c r="V212" i="34" s="1"/>
  <c r="R250" i="34"/>
  <c r="S139" i="34"/>
  <c r="M188" i="34"/>
  <c r="U188" i="34" s="1"/>
  <c r="V188" i="34" s="1"/>
  <c r="S71" i="34"/>
  <c r="S75" i="34"/>
  <c r="L95" i="34"/>
  <c r="S46" i="34"/>
  <c r="T195" i="34"/>
  <c r="M14" i="34"/>
  <c r="U14" i="34" s="1"/>
  <c r="V14" i="34" s="1"/>
  <c r="S38" i="34"/>
  <c r="S215" i="34"/>
  <c r="M112" i="34"/>
  <c r="U112" i="34" s="1"/>
  <c r="V112" i="34" s="1"/>
  <c r="R209" i="34"/>
  <c r="S209" i="34" s="1"/>
  <c r="S134" i="34"/>
  <c r="R207" i="34"/>
  <c r="S207" i="34" s="1"/>
  <c r="S133" i="34"/>
  <c r="S92" i="34"/>
  <c r="M249" i="34"/>
  <c r="U249" i="34" s="1"/>
  <c r="V249" i="34" s="1"/>
  <c r="L161" i="34"/>
  <c r="M161" i="34" s="1"/>
  <c r="U161" i="34" s="1"/>
  <c r="V161" i="34" s="1"/>
  <c r="S94" i="34"/>
  <c r="S100" i="34"/>
  <c r="S93" i="34"/>
  <c r="L27" i="34"/>
  <c r="R27" i="34" s="1"/>
  <c r="S27" i="34" s="1"/>
  <c r="M66" i="34"/>
  <c r="U66" i="34" s="1"/>
  <c r="V66" i="34" s="1"/>
  <c r="R159" i="34"/>
  <c r="S159" i="34" s="1"/>
  <c r="M68" i="34"/>
  <c r="U68" i="34" s="1"/>
  <c r="V68" i="34" s="1"/>
  <c r="M111" i="34"/>
  <c r="U111" i="34" s="1"/>
  <c r="V111" i="34" s="1"/>
  <c r="M53" i="34"/>
  <c r="U53" i="34" s="1"/>
  <c r="V53" i="34" s="1"/>
  <c r="S129" i="34"/>
  <c r="M67" i="34"/>
  <c r="U67" i="34" s="1"/>
  <c r="V67" i="34" s="1"/>
  <c r="W83" i="34"/>
  <c r="Y83" i="34" s="1"/>
  <c r="M138" i="34"/>
  <c r="U138" i="34" s="1"/>
  <c r="V138" i="34" s="1"/>
  <c r="L199" i="34"/>
  <c r="M199" i="34" s="1"/>
  <c r="U199" i="34" s="1"/>
  <c r="V199" i="34" s="1"/>
  <c r="M137" i="34"/>
  <c r="U137" i="34" s="1"/>
  <c r="V137" i="34" s="1"/>
  <c r="S51" i="34"/>
  <c r="S112" i="34"/>
  <c r="S67" i="34"/>
  <c r="R95" i="34"/>
  <c r="S95" i="34" s="1"/>
  <c r="R80" i="34"/>
  <c r="S80" i="34" s="1"/>
  <c r="M64" i="34"/>
  <c r="U64" i="34" s="1"/>
  <c r="V64" i="34" s="1"/>
  <c r="R33" i="34"/>
  <c r="S33" i="34" s="1"/>
  <c r="M110" i="34"/>
  <c r="U110" i="34" s="1"/>
  <c r="V110" i="34" s="1"/>
  <c r="S64" i="34"/>
  <c r="S39" i="34"/>
  <c r="R145" i="34"/>
  <c r="S145" i="34" s="1"/>
  <c r="M99" i="34"/>
  <c r="U99" i="34" s="1"/>
  <c r="V99" i="34" s="1"/>
  <c r="M71" i="34"/>
  <c r="U71" i="34" s="1"/>
  <c r="V71" i="34" s="1"/>
  <c r="R156" i="34"/>
  <c r="S156" i="34" s="1"/>
  <c r="M139" i="34"/>
  <c r="U139" i="34" s="1"/>
  <c r="V139" i="34" s="1"/>
  <c r="R59" i="34"/>
  <c r="S59" i="34" s="1"/>
  <c r="T58" i="34" s="1"/>
  <c r="M93" i="34"/>
  <c r="U93" i="34" s="1"/>
  <c r="V93" i="34" s="1"/>
  <c r="M159" i="34"/>
  <c r="U159" i="34" s="1"/>
  <c r="V159" i="34" s="1"/>
  <c r="S108" i="34"/>
  <c r="M65" i="34"/>
  <c r="U65" i="34" s="1"/>
  <c r="V65" i="34" s="1"/>
  <c r="R20" i="34"/>
  <c r="S20" i="34" s="1"/>
  <c r="M189" i="34"/>
  <c r="U189" i="34" s="1"/>
  <c r="V189" i="34" s="1"/>
  <c r="R29" i="34"/>
  <c r="S29" i="34" s="1"/>
  <c r="M75" i="34"/>
  <c r="U75" i="34" s="1"/>
  <c r="V75" i="34" s="1"/>
  <c r="L157" i="34"/>
  <c r="M130" i="34"/>
  <c r="U130" i="34" s="1"/>
  <c r="V130" i="34" s="1"/>
  <c r="R154" i="34"/>
  <c r="S154" i="34" s="1"/>
  <c r="M156" i="34"/>
  <c r="U156" i="34" s="1"/>
  <c r="V156" i="34" s="1"/>
  <c r="M17" i="34"/>
  <c r="U17" i="34" s="1"/>
  <c r="V17" i="34" s="1"/>
  <c r="M46" i="34"/>
  <c r="U46" i="34" s="1"/>
  <c r="V46" i="34" s="1"/>
  <c r="M29" i="34"/>
  <c r="U29" i="34" s="1"/>
  <c r="V29" i="34" s="1"/>
  <c r="R77" i="34"/>
  <c r="S77" i="34" s="1"/>
  <c r="S91" i="34"/>
  <c r="M215" i="34"/>
  <c r="U215" i="34" s="1"/>
  <c r="Y215" i="34" s="1"/>
  <c r="M109" i="34"/>
  <c r="U109" i="34" s="1"/>
  <c r="V109" i="34" s="1"/>
  <c r="L158" i="34"/>
  <c r="M134" i="34"/>
  <c r="U134" i="34" s="1"/>
  <c r="V134" i="34" s="1"/>
  <c r="M36" i="34"/>
  <c r="U36" i="34" s="1"/>
  <c r="V36" i="34" s="1"/>
  <c r="M211" i="34"/>
  <c r="U211" i="34" s="1"/>
  <c r="Y211" i="34" s="1"/>
  <c r="L146" i="34"/>
  <c r="M140" i="34"/>
  <c r="U140" i="34" s="1"/>
  <c r="V140" i="34" s="1"/>
  <c r="L142" i="34"/>
  <c r="S74" i="34"/>
  <c r="R186" i="34"/>
  <c r="S186" i="34" s="1"/>
  <c r="T185" i="34" s="1"/>
  <c r="M135" i="34"/>
  <c r="U135" i="34" s="1"/>
  <c r="V135" i="34" s="1"/>
  <c r="R97" i="34"/>
  <c r="S97" i="34" s="1"/>
  <c r="L35" i="34"/>
  <c r="M35" i="34" s="1"/>
  <c r="U35" i="34" s="1"/>
  <c r="V35" i="34" s="1"/>
  <c r="S44" i="34"/>
  <c r="M92" i="34"/>
  <c r="U92" i="34" s="1"/>
  <c r="V92" i="34" s="1"/>
  <c r="M113" i="34"/>
  <c r="U113" i="34" s="1"/>
  <c r="V113" i="34" s="1"/>
  <c r="S203" i="34"/>
  <c r="M201" i="34"/>
  <c r="U201" i="34" s="1"/>
  <c r="V201" i="34" s="1"/>
  <c r="R144" i="34"/>
  <c r="S144" i="34" s="1"/>
  <c r="L183" i="34"/>
  <c r="M141" i="34"/>
  <c r="U141" i="34" s="1"/>
  <c r="V141" i="34" s="1"/>
  <c r="M128" i="34"/>
  <c r="U128" i="34" s="1"/>
  <c r="V128" i="34" s="1"/>
  <c r="M103" i="34"/>
  <c r="U103" i="34" s="1"/>
  <c r="V103" i="34" s="1"/>
  <c r="S62" i="34"/>
  <c r="M52" i="34"/>
  <c r="U52" i="34" s="1"/>
  <c r="V52" i="34" s="1"/>
  <c r="L34" i="34"/>
  <c r="M34" i="34" s="1"/>
  <c r="U34" i="34" s="1"/>
  <c r="V34" i="34" s="1"/>
  <c r="R15" i="34"/>
  <c r="S15" i="34" s="1"/>
  <c r="M81" i="34"/>
  <c r="U81" i="34" s="1"/>
  <c r="V81" i="34" s="1"/>
  <c r="R26" i="34"/>
  <c r="S26" i="34" s="1"/>
  <c r="T187" i="34"/>
  <c r="I178" i="34"/>
  <c r="I176" i="34"/>
  <c r="I175" i="34"/>
  <c r="I174" i="34"/>
  <c r="I177" i="34"/>
  <c r="Y58" i="34"/>
  <c r="W190" i="34"/>
  <c r="AD165" i="34"/>
  <c r="AB169" i="34"/>
  <c r="P56" i="34"/>
  <c r="S56" i="34" s="1"/>
  <c r="K56" i="34"/>
  <c r="P105" i="34"/>
  <c r="S105" i="34" s="1"/>
  <c r="K105" i="34"/>
  <c r="M20" i="34"/>
  <c r="U20" i="34" s="1"/>
  <c r="V20" i="34" s="1"/>
  <c r="W19" i="34" s="1"/>
  <c r="L24" i="34"/>
  <c r="L184" i="34"/>
  <c r="M61" i="34"/>
  <c r="U61" i="34" s="1"/>
  <c r="V61" i="34" s="1"/>
  <c r="M80" i="34"/>
  <c r="U80" i="34" s="1"/>
  <c r="V80" i="34" s="1"/>
  <c r="W242" i="34"/>
  <c r="L16" i="34"/>
  <c r="S223" i="34"/>
  <c r="H131" i="34"/>
  <c r="O131" i="34"/>
  <c r="P151" i="34"/>
  <c r="K151" i="34"/>
  <c r="I171" i="34"/>
  <c r="I180" i="34"/>
  <c r="I170" i="34"/>
  <c r="I172" i="34"/>
  <c r="S248" i="34"/>
  <c r="K31" i="34"/>
  <c r="S106" i="34"/>
  <c r="F229" i="34"/>
  <c r="M89" i="34"/>
  <c r="U89" i="34" s="1"/>
  <c r="V89" i="34" s="1"/>
  <c r="M95" i="34"/>
  <c r="U95" i="34" s="1"/>
  <c r="V95" i="34" s="1"/>
  <c r="L32" i="34"/>
  <c r="L182" i="34"/>
  <c r="Q28" i="34"/>
  <c r="AA23" i="34" s="1"/>
  <c r="AA24" i="34" s="1"/>
  <c r="AC24" i="34" s="1"/>
  <c r="AD24" i="34" s="1"/>
  <c r="K28" i="34"/>
  <c r="S205" i="34"/>
  <c r="Q131" i="34"/>
  <c r="I131" i="34"/>
  <c r="M154" i="34"/>
  <c r="U154" i="34" s="1"/>
  <c r="V154" i="34" s="1"/>
  <c r="M209" i="34"/>
  <c r="U209" i="34" s="1"/>
  <c r="Y214" i="34"/>
  <c r="L82" i="34"/>
  <c r="L79" i="34"/>
  <c r="L49" i="34"/>
  <c r="M49" i="34" s="1"/>
  <c r="U49" i="34" s="1"/>
  <c r="V49" i="34" s="1"/>
  <c r="L25" i="34"/>
  <c r="L76" i="34"/>
  <c r="S204" i="34"/>
  <c r="S128" i="34"/>
  <c r="M248" i="34"/>
  <c r="U248" i="34" s="1"/>
  <c r="V248" i="34" s="1"/>
  <c r="L206" i="34"/>
  <c r="M207" i="34"/>
  <c r="U207" i="34" s="1"/>
  <c r="S136" i="34"/>
  <c r="Y204" i="34"/>
  <c r="V204" i="34"/>
  <c r="L13" i="34"/>
  <c r="W115" i="34"/>
  <c r="Y203" i="34"/>
  <c r="V203" i="34"/>
  <c r="Y193" i="34"/>
  <c r="M157" i="34"/>
  <c r="U157" i="34" s="1"/>
  <c r="V157" i="34" s="1"/>
  <c r="K47" i="34"/>
  <c r="P47" i="34"/>
  <c r="S47" i="34" s="1"/>
  <c r="L149" i="34"/>
  <c r="M72" i="34"/>
  <c r="U72" i="34" s="1"/>
  <c r="V72" i="34" s="1"/>
  <c r="L143" i="34"/>
  <c r="L155" i="34"/>
  <c r="L208" i="34"/>
  <c r="L48" i="34"/>
  <c r="Y125" i="34"/>
  <c r="M15" i="34"/>
  <c r="U15" i="34" s="1"/>
  <c r="V15" i="34" s="1"/>
  <c r="Y205" i="34"/>
  <c r="V205" i="34"/>
  <c r="Y210" i="34"/>
  <c r="V210" i="34"/>
  <c r="L147" i="34"/>
  <c r="S222" i="34"/>
  <c r="S103" i="34"/>
  <c r="L153" i="34"/>
  <c r="L114" i="34"/>
  <c r="M114" i="34" s="1"/>
  <c r="U114" i="34" s="1"/>
  <c r="V114" i="34" s="1"/>
  <c r="M186" i="34"/>
  <c r="U186" i="34" s="1"/>
  <c r="V186" i="34" s="1"/>
  <c r="W185" i="34" s="1"/>
  <c r="M42" i="34"/>
  <c r="U42" i="34" s="1"/>
  <c r="V42" i="34" s="1"/>
  <c r="L31" i="34"/>
  <c r="M30" i="34" l="1"/>
  <c r="U30" i="34" s="1"/>
  <c r="V30" i="34" s="1"/>
  <c r="M148" i="34"/>
  <c r="U148" i="34" s="1"/>
  <c r="V148" i="34" s="1"/>
  <c r="R200" i="34"/>
  <c r="S200" i="34" s="1"/>
  <c r="M27" i="34"/>
  <c r="U27" i="34" s="1"/>
  <c r="V27" i="34" s="1"/>
  <c r="T19" i="34"/>
  <c r="W187" i="34"/>
  <c r="Y187" i="34" s="1"/>
  <c r="T213" i="34"/>
  <c r="M160" i="34"/>
  <c r="U160" i="34" s="1"/>
  <c r="V160" i="34" s="1"/>
  <c r="W96" i="34"/>
  <c r="W246" i="34"/>
  <c r="W250" i="34" s="1"/>
  <c r="W252" i="34" s="1"/>
  <c r="V215" i="34"/>
  <c r="W213" i="34" s="1"/>
  <c r="W198" i="34"/>
  <c r="Y198" i="34" s="1"/>
  <c r="M12" i="34"/>
  <c r="U12" i="34" s="1"/>
  <c r="V12" i="34" s="1"/>
  <c r="R10" i="34"/>
  <c r="S10" i="34" s="1"/>
  <c r="W195" i="34"/>
  <c r="T60" i="34"/>
  <c r="R40" i="34"/>
  <c r="S40" i="34" s="1"/>
  <c r="Y212" i="34"/>
  <c r="M150" i="34"/>
  <c r="U150" i="34" s="1"/>
  <c r="V150" i="34" s="1"/>
  <c r="M146" i="34"/>
  <c r="U146" i="34" s="1"/>
  <c r="V146" i="34" s="1"/>
  <c r="T50" i="34"/>
  <c r="V211" i="34"/>
  <c r="R146" i="34"/>
  <c r="S146" i="34" s="1"/>
  <c r="W107" i="34"/>
  <c r="Y107" i="34" s="1"/>
  <c r="W60" i="34"/>
  <c r="R183" i="34"/>
  <c r="S183" i="34" s="1"/>
  <c r="T96" i="34"/>
  <c r="T88" i="34"/>
  <c r="L28" i="34"/>
  <c r="R28" i="34" s="1"/>
  <c r="S28" i="34" s="1"/>
  <c r="R161" i="34"/>
  <c r="S161" i="34" s="1"/>
  <c r="M47" i="34"/>
  <c r="U47" i="34" s="1"/>
  <c r="V47" i="34" s="1"/>
  <c r="M183" i="34"/>
  <c r="U183" i="34" s="1"/>
  <c r="V183" i="34" s="1"/>
  <c r="R155" i="34"/>
  <c r="S155" i="34" s="1"/>
  <c r="R206" i="34"/>
  <c r="S206" i="34" s="1"/>
  <c r="R149" i="34"/>
  <c r="S149" i="34" s="1"/>
  <c r="R153" i="34"/>
  <c r="S153" i="34" s="1"/>
  <c r="R157" i="34"/>
  <c r="S157" i="34" s="1"/>
  <c r="R79" i="34"/>
  <c r="S79" i="34" s="1"/>
  <c r="R182" i="34"/>
  <c r="S182" i="34" s="1"/>
  <c r="R184" i="34"/>
  <c r="S184" i="34" s="1"/>
  <c r="R76" i="34"/>
  <c r="S76" i="34" s="1"/>
  <c r="T69" i="34" s="1"/>
  <c r="R48" i="34"/>
  <c r="S48" i="34" s="1"/>
  <c r="R82" i="34"/>
  <c r="S82" i="34" s="1"/>
  <c r="R31" i="34"/>
  <c r="S31" i="34" s="1"/>
  <c r="R147" i="34"/>
  <c r="S147" i="34" s="1"/>
  <c r="R208" i="34"/>
  <c r="S208" i="34" s="1"/>
  <c r="R142" i="34"/>
  <c r="S142" i="34" s="1"/>
  <c r="M142" i="34"/>
  <c r="U142" i="34" s="1"/>
  <c r="V142" i="34" s="1"/>
  <c r="R158" i="34"/>
  <c r="S158" i="34" s="1"/>
  <c r="M158" i="34"/>
  <c r="U158" i="34" s="1"/>
  <c r="V158" i="34" s="1"/>
  <c r="R16" i="34"/>
  <c r="S16" i="34" s="1"/>
  <c r="M105" i="34"/>
  <c r="U105" i="34" s="1"/>
  <c r="V105" i="34" s="1"/>
  <c r="W102" i="34" s="1"/>
  <c r="R13" i="34"/>
  <c r="S13" i="34" s="1"/>
  <c r="M76" i="34"/>
  <c r="U76" i="34" s="1"/>
  <c r="V76" i="34" s="1"/>
  <c r="W69" i="34" s="1"/>
  <c r="R32" i="34"/>
  <c r="S32" i="34" s="1"/>
  <c r="M48" i="34"/>
  <c r="U48" i="34" s="1"/>
  <c r="V48" i="34" s="1"/>
  <c r="R35" i="34"/>
  <c r="S35" i="34" s="1"/>
  <c r="R25" i="34"/>
  <c r="S25" i="34" s="1"/>
  <c r="M56" i="34"/>
  <c r="U56" i="34" s="1"/>
  <c r="V56" i="34" s="1"/>
  <c r="W50" i="34" s="1"/>
  <c r="R34" i="34"/>
  <c r="S34" i="34" s="1"/>
  <c r="R24" i="34"/>
  <c r="S24" i="34" s="1"/>
  <c r="R143" i="34"/>
  <c r="S143" i="34" s="1"/>
  <c r="R114" i="34"/>
  <c r="S114" i="34" s="1"/>
  <c r="T107" i="34" s="1"/>
  <c r="R49" i="34"/>
  <c r="S49" i="34" s="1"/>
  <c r="R199" i="34"/>
  <c r="S199" i="34" s="1"/>
  <c r="T198" i="34" s="1"/>
  <c r="M31" i="34"/>
  <c r="U31" i="34" s="1"/>
  <c r="V31" i="34" s="1"/>
  <c r="M79" i="34"/>
  <c r="U79" i="34" s="1"/>
  <c r="V79" i="34" s="1"/>
  <c r="M32" i="34"/>
  <c r="U32" i="34" s="1"/>
  <c r="V32" i="34" s="1"/>
  <c r="L151" i="34"/>
  <c r="M24" i="34"/>
  <c r="U24" i="34" s="1"/>
  <c r="V24" i="34" s="1"/>
  <c r="Y96" i="34"/>
  <c r="Y19" i="34"/>
  <c r="Q216" i="34"/>
  <c r="K131" i="34"/>
  <c r="P131" i="34"/>
  <c r="S131" i="34" s="1"/>
  <c r="T127" i="34" s="1"/>
  <c r="M13" i="34"/>
  <c r="U13" i="34" s="1"/>
  <c r="V13" i="34" s="1"/>
  <c r="M82" i="34"/>
  <c r="U82" i="34" s="1"/>
  <c r="V82" i="34" s="1"/>
  <c r="M147" i="34"/>
  <c r="U147" i="34" s="1"/>
  <c r="V147" i="34" s="1"/>
  <c r="W88" i="34"/>
  <c r="T246" i="34"/>
  <c r="T250" i="34" s="1"/>
  <c r="S250" i="34"/>
  <c r="Y60" i="34"/>
  <c r="K177" i="34"/>
  <c r="F177" i="34"/>
  <c r="P177" i="34"/>
  <c r="V250" i="34"/>
  <c r="T102" i="34"/>
  <c r="Y185" i="34"/>
  <c r="M208" i="34"/>
  <c r="U208" i="34" s="1"/>
  <c r="M25" i="34"/>
  <c r="U25" i="34" s="1"/>
  <c r="V25" i="34" s="1"/>
  <c r="M182" i="34"/>
  <c r="U182" i="34" s="1"/>
  <c r="V182" i="34" s="1"/>
  <c r="P170" i="34"/>
  <c r="K170" i="34"/>
  <c r="F170" i="34"/>
  <c r="K174" i="34"/>
  <c r="F174" i="34"/>
  <c r="P174" i="34"/>
  <c r="M149" i="34"/>
  <c r="U149" i="34" s="1"/>
  <c r="V149" i="34" s="1"/>
  <c r="K172" i="34"/>
  <c r="F172" i="34"/>
  <c r="P172" i="34"/>
  <c r="Y207" i="34"/>
  <c r="V207" i="34"/>
  <c r="Y209" i="34"/>
  <c r="V209" i="34"/>
  <c r="P180" i="34"/>
  <c r="K180" i="34"/>
  <c r="F180" i="34"/>
  <c r="P175" i="34"/>
  <c r="K175" i="34"/>
  <c r="F175" i="34"/>
  <c r="N229" i="34"/>
  <c r="H229" i="34"/>
  <c r="M229" i="34" s="1"/>
  <c r="U229" i="34" s="1"/>
  <c r="V229" i="34" s="1"/>
  <c r="K171" i="34"/>
  <c r="F171" i="34"/>
  <c r="P171" i="34"/>
  <c r="I166" i="34"/>
  <c r="I168" i="34"/>
  <c r="I165" i="34"/>
  <c r="I167" i="34"/>
  <c r="AD169" i="34"/>
  <c r="K176" i="34"/>
  <c r="F176" i="34"/>
  <c r="P176" i="34"/>
  <c r="O216" i="34"/>
  <c r="M153" i="34"/>
  <c r="U153" i="34" s="1"/>
  <c r="V153" i="34" s="1"/>
  <c r="M143" i="34"/>
  <c r="U143" i="34" s="1"/>
  <c r="V143" i="34" s="1"/>
  <c r="M206" i="34"/>
  <c r="U206" i="34" s="1"/>
  <c r="M16" i="34"/>
  <c r="U16" i="34" s="1"/>
  <c r="V16" i="34" s="1"/>
  <c r="M184" i="34"/>
  <c r="U184" i="34" s="1"/>
  <c r="V184" i="34" s="1"/>
  <c r="Y190" i="34"/>
  <c r="P178" i="34"/>
  <c r="F178" i="34"/>
  <c r="K178" i="34"/>
  <c r="M155" i="34"/>
  <c r="U155" i="34" s="1"/>
  <c r="V155" i="34" s="1"/>
  <c r="M28" i="34" l="1"/>
  <c r="U28" i="34" s="1"/>
  <c r="V28" i="34" s="1"/>
  <c r="T202" i="34"/>
  <c r="T78" i="34"/>
  <c r="Y195" i="34"/>
  <c r="T8" i="34"/>
  <c r="W41" i="34"/>
  <c r="Y41" i="34" s="1"/>
  <c r="Y102" i="34"/>
  <c r="M131" i="34"/>
  <c r="U131" i="34" s="1"/>
  <c r="V131" i="34" s="1"/>
  <c r="W127" i="34" s="1"/>
  <c r="Y69" i="34"/>
  <c r="T41" i="34"/>
  <c r="Y50" i="34"/>
  <c r="T23" i="34"/>
  <c r="R151" i="34"/>
  <c r="S151" i="34" s="1"/>
  <c r="T132" i="34" s="1"/>
  <c r="T181" i="34"/>
  <c r="W8" i="34"/>
  <c r="W181" i="34"/>
  <c r="N176" i="34"/>
  <c r="H176" i="34"/>
  <c r="V230" i="34"/>
  <c r="W221" i="34"/>
  <c r="W230" i="34" s="1"/>
  <c r="S229" i="34"/>
  <c r="N230" i="34"/>
  <c r="W23" i="34"/>
  <c r="H177" i="34"/>
  <c r="N177" i="34"/>
  <c r="K165" i="34"/>
  <c r="F165" i="34"/>
  <c r="P165" i="34"/>
  <c r="H172" i="34"/>
  <c r="N172" i="34"/>
  <c r="H175" i="34"/>
  <c r="N175" i="34"/>
  <c r="K168" i="34"/>
  <c r="F168" i="34"/>
  <c r="P168" i="34"/>
  <c r="T254" i="34"/>
  <c r="S254" i="34" s="1"/>
  <c r="S252" i="34"/>
  <c r="M151" i="34"/>
  <c r="U151" i="34" s="1"/>
  <c r="V151" i="34" s="1"/>
  <c r="K167" i="34"/>
  <c r="F167" i="34"/>
  <c r="P167" i="34"/>
  <c r="P166" i="34"/>
  <c r="K166" i="34"/>
  <c r="F166" i="34"/>
  <c r="N174" i="34"/>
  <c r="H174" i="34"/>
  <c r="Y88" i="34"/>
  <c r="Y208" i="34"/>
  <c r="V208" i="34"/>
  <c r="H180" i="34"/>
  <c r="N180" i="34"/>
  <c r="Y206" i="34"/>
  <c r="V206" i="34"/>
  <c r="W78" i="34"/>
  <c r="H178" i="34"/>
  <c r="N178" i="34"/>
  <c r="N171" i="34"/>
  <c r="H171" i="34"/>
  <c r="H170" i="34"/>
  <c r="N170" i="34"/>
  <c r="Y127" i="34" l="1"/>
  <c r="Y181" i="34"/>
  <c r="W254" i="34"/>
  <c r="V254" i="34" s="1"/>
  <c r="Y8" i="34"/>
  <c r="P216" i="34"/>
  <c r="W132" i="34"/>
  <c r="L176" i="34"/>
  <c r="L170" i="34"/>
  <c r="N165" i="34"/>
  <c r="H165" i="34"/>
  <c r="L172" i="34"/>
  <c r="M172" i="34" s="1"/>
  <c r="U172" i="34" s="1"/>
  <c r="V172" i="34" s="1"/>
  <c r="S230" i="34"/>
  <c r="T221" i="34"/>
  <c r="T230" i="34" s="1"/>
  <c r="L178" i="34"/>
  <c r="L177" i="34"/>
  <c r="M177" i="34" s="1"/>
  <c r="U177" i="34" s="1"/>
  <c r="V177" i="34" s="1"/>
  <c r="Y23" i="34"/>
  <c r="H166" i="34"/>
  <c r="N166" i="34"/>
  <c r="Y78" i="34"/>
  <c r="N168" i="34"/>
  <c r="H168" i="34"/>
  <c r="W202" i="34"/>
  <c r="L175" i="34"/>
  <c r="N167" i="34"/>
  <c r="H167" i="34"/>
  <c r="L180" i="34"/>
  <c r="L171" i="34"/>
  <c r="L174" i="34"/>
  <c r="X25" i="21" l="1"/>
  <c r="R178" i="34"/>
  <c r="S178" i="34" s="1"/>
  <c r="R175" i="34"/>
  <c r="S175" i="34" s="1"/>
  <c r="R174" i="34"/>
  <c r="S174" i="34" s="1"/>
  <c r="R170" i="34"/>
  <c r="S170" i="34" s="1"/>
  <c r="R171" i="34"/>
  <c r="S171" i="34" s="1"/>
  <c r="X34" i="30"/>
  <c r="R180" i="34"/>
  <c r="S180" i="34" s="1"/>
  <c r="T179" i="34" s="1"/>
  <c r="R177" i="34"/>
  <c r="S177" i="34" s="1"/>
  <c r="R176" i="34"/>
  <c r="S176" i="34" s="1"/>
  <c r="R172" i="34"/>
  <c r="S172" i="34" s="1"/>
  <c r="N216" i="34"/>
  <c r="L168" i="34"/>
  <c r="M174" i="34"/>
  <c r="U174" i="34" s="1"/>
  <c r="V174" i="34" s="1"/>
  <c r="M178" i="34"/>
  <c r="U178" i="34" s="1"/>
  <c r="V178" i="34" s="1"/>
  <c r="M175" i="34"/>
  <c r="U175" i="34" s="1"/>
  <c r="V175" i="34" s="1"/>
  <c r="S232" i="34"/>
  <c r="M176" i="34"/>
  <c r="U176" i="34" s="1"/>
  <c r="V176" i="34" s="1"/>
  <c r="M180" i="34"/>
  <c r="U180" i="34" s="1"/>
  <c r="V180" i="34" s="1"/>
  <c r="Y132" i="34"/>
  <c r="M171" i="34"/>
  <c r="U171" i="34" s="1"/>
  <c r="V171" i="34" s="1"/>
  <c r="L167" i="34"/>
  <c r="M170" i="34"/>
  <c r="U170" i="34" s="1"/>
  <c r="V170" i="34" s="1"/>
  <c r="L166" i="34"/>
  <c r="L165" i="34"/>
  <c r="X36" i="30" l="1"/>
  <c r="X38" i="30" s="1"/>
  <c r="W169" i="34"/>
  <c r="Y169" i="34" s="1"/>
  <c r="T173" i="34"/>
  <c r="R165" i="34"/>
  <c r="S165" i="34" s="1"/>
  <c r="R166" i="34"/>
  <c r="S166" i="34" s="1"/>
  <c r="M166" i="34"/>
  <c r="U166" i="34" s="1"/>
  <c r="V166" i="34" s="1"/>
  <c r="R168" i="34"/>
  <c r="S168" i="34" s="1"/>
  <c r="R167" i="34"/>
  <c r="S167" i="34" s="1"/>
  <c r="T169" i="34"/>
  <c r="M167" i="34"/>
  <c r="U167" i="34" s="1"/>
  <c r="V167" i="34" s="1"/>
  <c r="M168" i="34"/>
  <c r="U168" i="34" s="1"/>
  <c r="V168" i="34" s="1"/>
  <c r="W173" i="34"/>
  <c r="W179" i="34"/>
  <c r="M165" i="34"/>
  <c r="U165" i="34" s="1"/>
  <c r="V165" i="34" s="1"/>
  <c r="R216" i="34" l="1"/>
  <c r="S216" i="34"/>
  <c r="T164" i="34"/>
  <c r="T216" i="34" s="1"/>
  <c r="T234" i="34" s="1"/>
  <c r="S234" i="34" s="1"/>
  <c r="V216" i="34"/>
  <c r="W164" i="34"/>
  <c r="Y173" i="34"/>
  <c r="Y179" i="34"/>
  <c r="S219" i="34" l="1"/>
  <c r="Y164" i="34"/>
  <c r="Y216" i="34" s="1"/>
  <c r="W216" i="34"/>
  <c r="AC225" i="34" l="1"/>
  <c r="AC224" i="34"/>
  <c r="Z216" i="34"/>
  <c r="W232" i="34"/>
  <c r="W219" i="34"/>
  <c r="V219" i="34" s="1"/>
  <c r="X216" i="34"/>
  <c r="Z221" i="34"/>
  <c r="W217" i="34"/>
  <c r="W218" i="34" s="1"/>
  <c r="X195" i="34"/>
  <c r="X187" i="34"/>
  <c r="X193" i="34"/>
  <c r="X125" i="34"/>
  <c r="X58" i="34"/>
  <c r="X83" i="34"/>
  <c r="X96" i="34"/>
  <c r="X190" i="34"/>
  <c r="X60" i="34"/>
  <c r="X107" i="34"/>
  <c r="X69" i="34"/>
  <c r="X19" i="34"/>
  <c r="X102" i="34"/>
  <c r="X198" i="34"/>
  <c r="X50" i="34"/>
  <c r="X115" i="34"/>
  <c r="X185" i="34"/>
  <c r="X41" i="34"/>
  <c r="X127" i="34"/>
  <c r="X8" i="34"/>
  <c r="X181" i="34"/>
  <c r="X88" i="34"/>
  <c r="X213" i="34"/>
  <c r="X78" i="34"/>
  <c r="X23" i="34"/>
  <c r="X132" i="34"/>
  <c r="X202" i="34"/>
  <c r="X169" i="34"/>
  <c r="X179" i="34"/>
  <c r="X173" i="34"/>
  <c r="X164" i="34"/>
  <c r="W234" i="34" l="1"/>
  <c r="V234" i="34" s="1"/>
  <c r="Z232" i="34"/>
  <c r="Y229" i="34"/>
  <c r="AB216" i="34"/>
  <c r="AC216" i="34" s="1"/>
  <c r="AD216" i="34" s="1"/>
  <c r="AF213" i="34"/>
  <c r="AH219" i="34" l="1"/>
  <c r="AH220" i="34"/>
  <c r="D10" i="4" l="1"/>
  <c r="E10" i="4"/>
  <c r="D11" i="4"/>
  <c r="E11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5" i="4"/>
  <c r="E45" i="4"/>
  <c r="D46" i="4"/>
  <c r="E46" i="4"/>
  <c r="E47" i="4" l="1"/>
  <c r="E12" i="4"/>
  <c r="D12" i="4"/>
  <c r="D47" i="4"/>
  <c r="D42" i="4"/>
  <c r="E42" i="4"/>
  <c r="E49" i="4" l="1"/>
  <c r="E51" i="4" s="1"/>
  <c r="D49" i="4"/>
  <c r="D51" i="4" s="1"/>
  <c r="D52" i="4" s="1"/>
  <c r="D16" i="30"/>
  <c r="D17" i="30"/>
  <c r="D18" i="30"/>
  <c r="D19" i="30"/>
  <c r="D20" i="30"/>
  <c r="D21" i="30"/>
  <c r="C46" i="31"/>
  <c r="C40" i="31"/>
  <c r="D22" i="1" l="1"/>
  <c r="D29" i="30"/>
  <c r="D32" i="30"/>
  <c r="D33" i="30"/>
  <c r="E52" i="4"/>
  <c r="S40" i="1" l="1"/>
  <c r="S42" i="1" s="1"/>
  <c r="S44" i="1" s="1"/>
  <c r="S47" i="1" s="1"/>
  <c r="D34" i="30"/>
  <c r="D36" i="30" l="1"/>
  <c r="E13" i="21"/>
  <c r="E16" i="1" s="1"/>
  <c r="E14" i="21"/>
  <c r="E17" i="1" s="1"/>
  <c r="E15" i="21"/>
  <c r="E18" i="1" s="1"/>
  <c r="E16" i="21"/>
  <c r="E19" i="1" s="1"/>
  <c r="E17" i="21"/>
  <c r="E20" i="1" s="1"/>
  <c r="D12" i="5"/>
  <c r="D28" i="5"/>
  <c r="E23" i="21" s="1"/>
  <c r="E38" i="1" s="1"/>
  <c r="D34" i="5"/>
  <c r="E24" i="21" s="1"/>
  <c r="E39" i="1" s="1"/>
  <c r="H23" i="10"/>
  <c r="D38" i="30" l="1"/>
  <c r="D39" i="30" s="1"/>
  <c r="E39" i="30" s="1"/>
  <c r="F39" i="30" s="1"/>
  <c r="G39" i="30" s="1"/>
  <c r="H39" i="30" s="1"/>
  <c r="I39" i="30" s="1"/>
  <c r="J39" i="30" s="1"/>
  <c r="K39" i="30" s="1"/>
  <c r="L39" i="30" s="1"/>
  <c r="M39" i="30" s="1"/>
  <c r="N39" i="30" s="1"/>
  <c r="O39" i="30" s="1"/>
  <c r="P39" i="30" s="1"/>
  <c r="Q39" i="30" s="1"/>
  <c r="R39" i="30" s="1"/>
  <c r="S39" i="30" s="1"/>
  <c r="T39" i="30" s="1"/>
  <c r="E35" i="1"/>
  <c r="E40" i="1"/>
  <c r="E20" i="21"/>
  <c r="E42" i="1" l="1"/>
  <c r="E44" i="1" s="1"/>
  <c r="E47" i="1" s="1"/>
  <c r="D17" i="21" l="1"/>
  <c r="D16" i="21"/>
  <c r="D15" i="21"/>
  <c r="D14" i="21"/>
  <c r="D13" i="21"/>
  <c r="C12" i="5"/>
  <c r="C28" i="5"/>
  <c r="D23" i="21" s="1"/>
  <c r="C34" i="5"/>
  <c r="D24" i="21" s="1"/>
  <c r="D38" i="1" l="1"/>
  <c r="D39" i="1"/>
  <c r="O40" i="1"/>
  <c r="D16" i="1"/>
  <c r="D20" i="1"/>
  <c r="D17" i="1"/>
  <c r="D18" i="1"/>
  <c r="D19" i="1"/>
  <c r="E25" i="21"/>
  <c r="E27" i="21" s="1"/>
  <c r="E29" i="21" s="1"/>
  <c r="D20" i="21"/>
  <c r="D40" i="1" l="1"/>
  <c r="D35" i="1"/>
  <c r="D25" i="21"/>
  <c r="D27" i="21" s="1"/>
  <c r="D29" i="21" s="1"/>
  <c r="D30" i="21" l="1"/>
  <c r="D42" i="1"/>
  <c r="D44" i="1" s="1"/>
  <c r="D47" i="1" s="1"/>
  <c r="E30" i="21" l="1"/>
  <c r="D8" i="25"/>
  <c r="D7" i="25"/>
  <c r="D6" i="25"/>
  <c r="Z9" i="1" l="1"/>
  <c r="AB9" i="1" l="1"/>
  <c r="Z10" i="1"/>
  <c r="AB7" i="1"/>
  <c r="AD7" i="1"/>
  <c r="AD8" i="1" s="1"/>
  <c r="AB8" i="21"/>
  <c r="AD40" i="1"/>
  <c r="Y40" i="1"/>
  <c r="D45" i="1"/>
  <c r="E45" i="1" l="1"/>
  <c r="E48" i="1" s="1"/>
  <c r="D48" i="1"/>
  <c r="AB8" i="1"/>
  <c r="AC8" i="1" s="1"/>
  <c r="AC9" i="1"/>
  <c r="AB10" i="1"/>
  <c r="AC7" i="1"/>
  <c r="Z7" i="21"/>
  <c r="X40" i="1"/>
  <c r="Z40" i="1"/>
  <c r="Z8" i="21" l="1"/>
  <c r="AA8" i="21" s="1"/>
  <c r="AA7" i="21"/>
  <c r="H20" i="10"/>
  <c r="G21" i="4" l="1"/>
  <c r="G10" i="4" l="1"/>
  <c r="E44" i="10" l="1"/>
  <c r="F8" i="10"/>
  <c r="G8" i="10" s="1"/>
  <c r="G11" i="4" l="1"/>
  <c r="G12" i="4" s="1"/>
  <c r="G7" i="10" l="1"/>
  <c r="G5" i="10"/>
  <c r="E9" i="10" l="1"/>
  <c r="E43" i="10"/>
  <c r="E46" i="10" s="1"/>
  <c r="H14" i="10" l="1"/>
  <c r="H16" i="10"/>
  <c r="H17" i="10"/>
  <c r="H19" i="10"/>
  <c r="G21" i="10"/>
  <c r="H22" i="10"/>
  <c r="H21" i="10" l="1"/>
  <c r="G41" i="4"/>
  <c r="G30" i="4" l="1"/>
  <c r="G33" i="4"/>
  <c r="G25" i="4"/>
  <c r="G34" i="4"/>
  <c r="G27" i="4"/>
  <c r="G32" i="4"/>
  <c r="G38" i="4"/>
  <c r="G31" i="4"/>
  <c r="G35" i="4"/>
  <c r="G36" i="4"/>
  <c r="G25" i="10" l="1"/>
  <c r="G39" i="10" s="1"/>
  <c r="H13" i="10"/>
  <c r="H12" i="10"/>
  <c r="T14" i="2"/>
  <c r="S14" i="2"/>
  <c r="R14" i="2"/>
  <c r="Q14" i="2"/>
  <c r="T13" i="2"/>
  <c r="S13" i="2"/>
  <c r="R13" i="2"/>
  <c r="Q13" i="2"/>
  <c r="T12" i="2"/>
  <c r="S12" i="2"/>
  <c r="R12" i="2"/>
  <c r="Q12" i="2"/>
  <c r="H25" i="10" l="1"/>
  <c r="H39" i="10" s="1"/>
  <c r="F11" i="3"/>
  <c r="G23" i="4"/>
  <c r="E57" i="10"/>
  <c r="E61" i="10" s="1"/>
  <c r="U13" i="2"/>
  <c r="U12" i="2"/>
  <c r="U14" i="2"/>
  <c r="L14" i="2"/>
  <c r="M14" i="2" s="1"/>
  <c r="L12" i="2"/>
  <c r="M12" i="2" s="1"/>
  <c r="L13" i="2"/>
  <c r="M13" i="2" s="1"/>
  <c r="E9" i="5" l="1"/>
  <c r="F17" i="21" s="1"/>
  <c r="M16" i="2"/>
  <c r="M19" i="2"/>
  <c r="E6" i="5"/>
  <c r="F13" i="21" s="1"/>
  <c r="F9" i="5"/>
  <c r="F12" i="5" s="1"/>
  <c r="H17" i="21"/>
  <c r="G12" i="5"/>
  <c r="G45" i="4"/>
  <c r="M21" i="2"/>
  <c r="G16" i="4"/>
  <c r="G37" i="4"/>
  <c r="G19" i="4"/>
  <c r="G28" i="4"/>
  <c r="G40" i="4"/>
  <c r="G39" i="4"/>
  <c r="G18" i="4"/>
  <c r="L16" i="2"/>
  <c r="E12" i="5" l="1"/>
  <c r="F20" i="1"/>
  <c r="G17" i="21"/>
  <c r="V17" i="21" s="1" a="1"/>
  <c r="V17" i="21" s="1"/>
  <c r="AB17" i="21" s="1"/>
  <c r="F16" i="1"/>
  <c r="H20" i="1"/>
  <c r="H20" i="21"/>
  <c r="H27" i="21" s="1"/>
  <c r="H29" i="21" s="1"/>
  <c r="F20" i="21"/>
  <c r="F27" i="21" s="1"/>
  <c r="F29" i="21" s="1"/>
  <c r="G20" i="4"/>
  <c r="G22" i="4"/>
  <c r="M42" i="10"/>
  <c r="G17" i="4"/>
  <c r="G46" i="4"/>
  <c r="G47" i="4" s="1"/>
  <c r="O35" i="1" l="1"/>
  <c r="O42" i="1" s="1"/>
  <c r="O44" i="1" s="1"/>
  <c r="O47" i="1" s="1"/>
  <c r="G20" i="21"/>
  <c r="G27" i="21" s="1"/>
  <c r="G29" i="21" s="1"/>
  <c r="G20" i="1"/>
  <c r="V20" i="1" s="1" a="1"/>
  <c r="V20" i="1" s="1"/>
  <c r="AD20" i="1" s="1"/>
  <c r="F30" i="21"/>
  <c r="H35" i="1"/>
  <c r="F35" i="1"/>
  <c r="G24" i="4"/>
  <c r="G26" i="4"/>
  <c r="G30" i="21" l="1"/>
  <c r="H30" i="21" s="1"/>
  <c r="I30" i="21" s="1"/>
  <c r="J30" i="21" s="1"/>
  <c r="K30" i="21" s="1"/>
  <c r="L30" i="21" s="1"/>
  <c r="M30" i="21" s="1"/>
  <c r="N30" i="21" s="1"/>
  <c r="O30" i="21" s="1"/>
  <c r="P30" i="21" s="1"/>
  <c r="Q30" i="21" s="1"/>
  <c r="R30" i="21" s="1"/>
  <c r="S30" i="21" s="1"/>
  <c r="T30" i="21" s="1"/>
  <c r="G35" i="1"/>
  <c r="G42" i="1" s="1"/>
  <c r="G44" i="1" s="1"/>
  <c r="G47" i="1" s="1"/>
  <c r="F42" i="1"/>
  <c r="H42" i="1"/>
  <c r="H44" i="1" s="1"/>
  <c r="H47" i="1" s="1"/>
  <c r="G29" i="4"/>
  <c r="G42" i="4" s="1"/>
  <c r="F4" i="10"/>
  <c r="F6" i="10"/>
  <c r="F44" i="1" l="1"/>
  <c r="G4" i="10"/>
  <c r="F9" i="10"/>
  <c r="G49" i="4"/>
  <c r="G51" i="4" s="1"/>
  <c r="G52" i="4" s="1"/>
  <c r="F57" i="10"/>
  <c r="G6" i="10"/>
  <c r="F45" i="1" l="1"/>
  <c r="F47" i="1"/>
  <c r="G9" i="10"/>
  <c r="G45" i="1" l="1"/>
  <c r="F48" i="1"/>
  <c r="AA10" i="21"/>
  <c r="H45" i="1" l="1"/>
  <c r="G48" i="1"/>
  <c r="Y35" i="1"/>
  <c r="Y42" i="1" s="1"/>
  <c r="X20" i="21"/>
  <c r="X27" i="21" s="1"/>
  <c r="X29" i="21" s="1"/>
  <c r="AC10" i="1"/>
  <c r="I45" i="1" l="1"/>
  <c r="H48" i="1"/>
  <c r="X35" i="1"/>
  <c r="X42" i="1" s="1"/>
  <c r="J45" i="1" l="1"/>
  <c r="I48" i="1"/>
  <c r="Z35" i="1"/>
  <c r="K45" i="1" l="1"/>
  <c r="J48" i="1"/>
  <c r="Z42" i="1"/>
  <c r="Z44" i="1" s="1"/>
  <c r="L45" i="1" l="1"/>
  <c r="K48" i="1"/>
  <c r="Z67" i="1"/>
  <c r="D11" i="25"/>
  <c r="D12" i="25"/>
  <c r="D9" i="25"/>
  <c r="M45" i="1" l="1"/>
  <c r="L48" i="1"/>
  <c r="D10" i="25"/>
  <c r="Z14" i="21"/>
  <c r="AA14" i="21" s="1"/>
  <c r="AB18" i="1"/>
  <c r="AC18" i="1" s="1"/>
  <c r="Z19" i="21"/>
  <c r="AA19" i="21" s="1"/>
  <c r="AB16" i="1"/>
  <c r="AC16" i="1" s="1"/>
  <c r="AB34" i="1"/>
  <c r="AC34" i="1" s="1"/>
  <c r="Z15" i="21"/>
  <c r="AA15" i="21" s="1"/>
  <c r="AB7" i="30"/>
  <c r="AB8" i="30" s="1"/>
  <c r="N45" i="1" l="1"/>
  <c r="M48" i="1"/>
  <c r="Z16" i="21"/>
  <c r="AA16" i="21" s="1"/>
  <c r="AB33" i="1"/>
  <c r="AC33" i="1" s="1"/>
  <c r="AB14" i="21"/>
  <c r="Z28" i="30"/>
  <c r="AA28" i="30" s="1"/>
  <c r="Z18" i="21"/>
  <c r="AA18" i="21" s="1"/>
  <c r="Z27" i="30"/>
  <c r="AA27" i="30" s="1"/>
  <c r="Z23" i="21"/>
  <c r="Z20" i="30"/>
  <c r="AA20" i="30" s="1"/>
  <c r="V29" i="30"/>
  <c r="Z29" i="30" s="1"/>
  <c r="Z24" i="21"/>
  <c r="AA24" i="21" s="1"/>
  <c r="Z25" i="30"/>
  <c r="AA25" i="30" s="1"/>
  <c r="Z14" i="30"/>
  <c r="AA14" i="30" s="1"/>
  <c r="Z33" i="30"/>
  <c r="AA33" i="30" s="1"/>
  <c r="Z22" i="30"/>
  <c r="AA22" i="30" s="1"/>
  <c r="AB39" i="1"/>
  <c r="AC39" i="1" s="1"/>
  <c r="AB20" i="1"/>
  <c r="AC20" i="1" s="1"/>
  <c r="AB19" i="1"/>
  <c r="AC19" i="1" s="1"/>
  <c r="AB27" i="1"/>
  <c r="AC27" i="1" s="1"/>
  <c r="AB14" i="1"/>
  <c r="AC14" i="1" s="1"/>
  <c r="Z24" i="30"/>
  <c r="AA24" i="30" s="1"/>
  <c r="Z23" i="30"/>
  <c r="AA23" i="30" s="1"/>
  <c r="Z16" i="30"/>
  <c r="AA16" i="30" s="1"/>
  <c r="Z26" i="30"/>
  <c r="AA26" i="30" s="1"/>
  <c r="Z19" i="30"/>
  <c r="AA19" i="30" s="1"/>
  <c r="Z15" i="30"/>
  <c r="AA15" i="30" s="1"/>
  <c r="Z17" i="30"/>
  <c r="AA17" i="30" s="1"/>
  <c r="Z21" i="30"/>
  <c r="AA21" i="30" s="1"/>
  <c r="Z18" i="30"/>
  <c r="AA18" i="30" s="1"/>
  <c r="AB13" i="21"/>
  <c r="Z17" i="21"/>
  <c r="AA17" i="21" s="1"/>
  <c r="Q40" i="1"/>
  <c r="AB19" i="21"/>
  <c r="AB15" i="21"/>
  <c r="AB17" i="1"/>
  <c r="AC17" i="1" s="1"/>
  <c r="AB38" i="1"/>
  <c r="Z13" i="21"/>
  <c r="V20" i="21"/>
  <c r="Z20" i="21" s="1"/>
  <c r="Z32" i="30"/>
  <c r="V34" i="30"/>
  <c r="Z34" i="30" s="1"/>
  <c r="Z13" i="30"/>
  <c r="Z7" i="30"/>
  <c r="O45" i="1" l="1"/>
  <c r="N48" i="1"/>
  <c r="V25" i="21"/>
  <c r="Z25" i="21" s="1"/>
  <c r="V40" i="1"/>
  <c r="AB40" i="1" s="1"/>
  <c r="AC40" i="1" s="1"/>
  <c r="AD18" i="1"/>
  <c r="AD17" i="1"/>
  <c r="AD34" i="1"/>
  <c r="AB24" i="1"/>
  <c r="AC24" i="1" s="1"/>
  <c r="AB23" i="1"/>
  <c r="AC23" i="1" s="1"/>
  <c r="AB22" i="1"/>
  <c r="AC22" i="1" s="1"/>
  <c r="AB15" i="1"/>
  <c r="AC15" i="1" s="1"/>
  <c r="AB25" i="1"/>
  <c r="AC25" i="1" s="1"/>
  <c r="AB21" i="1"/>
  <c r="AC21" i="1" s="1"/>
  <c r="AB28" i="1"/>
  <c r="AC28" i="1" s="1"/>
  <c r="AB29" i="1"/>
  <c r="AC29" i="1" s="1"/>
  <c r="AB26" i="1"/>
  <c r="AC26" i="1" s="1"/>
  <c r="AB30" i="1"/>
  <c r="AC30" i="1" s="1"/>
  <c r="AB31" i="1"/>
  <c r="AC31" i="1" s="1"/>
  <c r="AB32" i="1"/>
  <c r="AC32" i="1" s="1"/>
  <c r="AB20" i="21"/>
  <c r="Q35" i="1"/>
  <c r="Q42" i="1" s="1"/>
  <c r="Q44" i="1" s="1"/>
  <c r="AD16" i="1"/>
  <c r="Z8" i="30"/>
  <c r="AA8" i="30" s="1"/>
  <c r="V27" i="21"/>
  <c r="V29" i="21" s="1"/>
  <c r="AA13" i="21"/>
  <c r="AC38" i="1"/>
  <c r="V36" i="30"/>
  <c r="V38" i="30" s="1"/>
  <c r="AA25" i="21"/>
  <c r="AA23" i="21"/>
  <c r="AA13" i="30"/>
  <c r="AA34" i="30"/>
  <c r="AA32" i="30"/>
  <c r="AA7" i="30"/>
  <c r="Q47" i="1" l="1"/>
  <c r="P45" i="1"/>
  <c r="P48" i="1" s="1"/>
  <c r="O48" i="1"/>
  <c r="AD35" i="1"/>
  <c r="V35" i="1"/>
  <c r="AB35" i="1" s="1"/>
  <c r="AC35" i="1" s="1"/>
  <c r="AB13" i="1"/>
  <c r="AC13" i="1" s="1"/>
  <c r="AA20" i="21"/>
  <c r="AA29" i="30"/>
  <c r="AA10" i="30"/>
  <c r="Q45" i="1" l="1"/>
  <c r="V42" i="1"/>
  <c r="V44" i="1" s="1"/>
  <c r="R45" i="1" l="1"/>
  <c r="Q48" i="1"/>
  <c r="S45" i="1" l="1"/>
  <c r="R48" i="1"/>
  <c r="T45" i="1" l="1"/>
  <c r="T48" i="1" s="1"/>
  <c r="S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Rebeca Campos</author>
  </authors>
  <commentList>
    <comment ref="M33" authorId="0" shapeId="0" xr:uid="{D236407E-3632-4E8E-99BF-EBEC4B897A18}">
      <text>
        <r>
          <rPr>
            <b/>
            <sz val="9"/>
            <color indexed="81"/>
            <rFont val="Tahoma"/>
            <family val="2"/>
          </rPr>
          <t>Rebeca Campos:</t>
        </r>
        <r>
          <rPr>
            <sz val="9"/>
            <color indexed="81"/>
            <rFont val="Tahoma"/>
            <family val="2"/>
          </rPr>
          <t xml:space="preserve">
Camioneta E.C.
</t>
        </r>
      </text>
    </comment>
    <comment ref="M34" authorId="0" shapeId="0" xr:uid="{B6BEDE5D-1F81-4DE7-864C-B13B9F26E2F5}">
      <text>
        <r>
          <rPr>
            <b/>
            <sz val="9"/>
            <color indexed="81"/>
            <rFont val="Tahoma"/>
            <family val="2"/>
          </rPr>
          <t>Rebeca Campos:</t>
        </r>
        <r>
          <rPr>
            <sz val="9"/>
            <color indexed="81"/>
            <rFont val="Tahoma"/>
            <family val="2"/>
          </rPr>
          <t xml:space="preserve">
Camionetas D.C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tc={55DADAF3-A165-40EE-A4C3-16AB9160DA41}</author>
    <author>Rebeca</author>
  </authors>
  <commentList>
    <comment ref="G45" authorId="0" shapeId="0" xr:uid="{55DADAF3-A165-40EE-A4C3-16AB9160DA4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Estimo a la mitad de la pared a realizar de nuevo</t>
      </text>
    </comment>
    <comment ref="C181" authorId="1" shapeId="0" xr:uid="{523EBD98-4149-4FD7-A5B5-EFB1B8E8CD6D}">
      <text>
        <r>
          <rPr>
            <b/>
            <sz val="9"/>
            <color indexed="81"/>
            <rFont val="Tahoma"/>
            <family val="2"/>
          </rPr>
          <t>Rebeca:</t>
        </r>
        <r>
          <rPr>
            <sz val="9"/>
            <color indexed="81"/>
            <rFont val="Tahoma"/>
            <family val="2"/>
          </rPr>
          <t xml:space="preserve">
Consultar si corresponden los números registrados al final de hoja (item calefacción) - Para el costo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Rebeca Campos</author>
    <author>Rebeca</author>
  </authors>
  <commentList>
    <comment ref="N6" authorId="0" shapeId="0" xr:uid="{027E6BE3-A885-4AB8-AC6E-09C638378F3A}">
      <text>
        <r>
          <rPr>
            <b/>
            <sz val="9"/>
            <color indexed="81"/>
            <rFont val="Tahoma"/>
            <family val="2"/>
          </rPr>
          <t>Rebeca Campos:</t>
        </r>
        <r>
          <rPr>
            <sz val="9"/>
            <color indexed="81"/>
            <rFont val="Tahoma"/>
            <family val="2"/>
          </rPr>
          <t xml:space="preserve">
Cerco de obra - imputado a todas las obras</t>
        </r>
      </text>
    </comment>
    <comment ref="B11" authorId="1" shapeId="0" xr:uid="{06C4F5DC-7F1D-4126-A5EA-4789E95EF6F8}">
      <text>
        <r>
          <rPr>
            <b/>
            <sz val="9"/>
            <color indexed="81"/>
            <rFont val="Tahoma"/>
            <family val="2"/>
          </rPr>
          <t>Rebeca:</t>
        </r>
        <r>
          <rPr>
            <sz val="9"/>
            <color indexed="81"/>
            <rFont val="Tahoma"/>
            <family val="2"/>
          </rPr>
          <t xml:space="preserve">
Amortización Herramientas</t>
        </r>
      </text>
    </comment>
    <comment ref="B27" authorId="1" shapeId="0" xr:uid="{8D542CC9-B2E1-4EDB-A609-954BABCF1FCA}">
      <text>
        <r>
          <rPr>
            <b/>
            <sz val="9"/>
            <color indexed="81"/>
            <rFont val="Tahoma"/>
            <family val="2"/>
          </rPr>
          <t>Rebeca:</t>
        </r>
        <r>
          <rPr>
            <sz val="9"/>
            <color indexed="81"/>
            <rFont val="Tahoma"/>
            <family val="2"/>
          </rPr>
          <t xml:space="preserve">
Amortización Rodados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Los redonditos</author>
  </authors>
  <commentList>
    <comment ref="H6" authorId="0" shapeId="0" xr:uid="{1940ADC4-F7CD-4E53-9C20-D6799380B9B9}">
      <text>
        <r>
          <rPr>
            <b/>
            <sz val="9"/>
            <color indexed="81"/>
            <rFont val="Tahoma"/>
            <family val="2"/>
          </rPr>
          <t>Rebeca:</t>
        </r>
        <r>
          <rPr>
            <sz val="9"/>
            <color indexed="81"/>
            <rFont val="Tahoma"/>
            <family val="2"/>
          </rPr>
          <t xml:space="preserve">
Se está imputando un gasto de EPP que corresponde a Hormigón MO, donde ya está registrado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tc={385C540D-91B9-474D-9959-59167E466139}</author>
  </authors>
  <commentList>
    <comment ref="G53" authorId="0" shapeId="0" xr:uid="{385C540D-91B9-474D-9959-59167E466139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Estimo que reparo y completo ¼ de toda la superficie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<sst xmlns="http://schemas.openxmlformats.org/spreadsheetml/2006/main" count="4788" uniqueCount="991">
  <si>
    <t>OBRA: Edificio El Salvador 4140</t>
  </si>
  <si>
    <t xml:space="preserve">Cliente / Comitente: </t>
  </si>
  <si>
    <t>Facturacion</t>
  </si>
  <si>
    <t xml:space="preserve">Dirección / Jefe de la Obra: </t>
  </si>
  <si>
    <t>Fecha de Inicio :</t>
  </si>
  <si>
    <t>Duracion de Obra:</t>
  </si>
  <si>
    <t>18 meses</t>
  </si>
  <si>
    <t>Presupuesto Aprobado :</t>
  </si>
  <si>
    <t>Fecha de Aprobacion:</t>
  </si>
  <si>
    <t>Orden de Compra CL :</t>
  </si>
  <si>
    <t>Nota de Pedido ARQ:</t>
  </si>
  <si>
    <t>Anticipo :</t>
  </si>
  <si>
    <t>Condiciones de Pago:</t>
  </si>
  <si>
    <t>Certifiaciones :</t>
  </si>
  <si>
    <t>Forma de Pago:</t>
  </si>
  <si>
    <t>Actualización CAC:</t>
  </si>
  <si>
    <t>Seguros :</t>
  </si>
  <si>
    <t>Caucion Anticipo</t>
  </si>
  <si>
    <t>Caucion Ejecucion</t>
  </si>
  <si>
    <t>Resp. Civil</t>
  </si>
  <si>
    <t>Programa S&amp;H :</t>
  </si>
  <si>
    <t>Aviso de Obra :</t>
  </si>
  <si>
    <t>Descripcion de Tareas</t>
  </si>
  <si>
    <t>Contactos del cliente:</t>
  </si>
  <si>
    <t>Nombre</t>
  </si>
  <si>
    <t>TEL</t>
  </si>
  <si>
    <t>Rubro</t>
  </si>
  <si>
    <t>Mail de contacto</t>
  </si>
  <si>
    <t>Subcontratistas</t>
  </si>
  <si>
    <t>Inicio</t>
  </si>
  <si>
    <t>Presupuesto Aprobado</t>
  </si>
  <si>
    <t>Cerrado / Estimado</t>
  </si>
  <si>
    <t>Cuadrilla de Obra</t>
  </si>
  <si>
    <t>Categoría</t>
  </si>
  <si>
    <t>Observación</t>
  </si>
  <si>
    <t>Observaciones Particulares</t>
  </si>
  <si>
    <t>Actualizado</t>
  </si>
  <si>
    <t>OBRA: GDR 3760</t>
  </si>
  <si>
    <t>RESUMEN DE OBRA</t>
  </si>
  <si>
    <t>Acum. Descontado</t>
  </si>
  <si>
    <t>Presupuesto #1</t>
  </si>
  <si>
    <t>Presupuesto #2</t>
  </si>
  <si>
    <t>Previsto</t>
  </si>
  <si>
    <t>% Cert. Acum.</t>
  </si>
  <si>
    <t>Saldo Disponible</t>
  </si>
  <si>
    <t>Disponible %</t>
  </si>
  <si>
    <t>Rubro Completado</t>
  </si>
  <si>
    <t>Ingresos de Obra</t>
  </si>
  <si>
    <t>Ingresos por Certificados</t>
  </si>
  <si>
    <t>Total Ingresos de Obra</t>
  </si>
  <si>
    <t>Actualización por CAC</t>
  </si>
  <si>
    <t>Costos de Obra</t>
  </si>
  <si>
    <t xml:space="preserve">    </t>
  </si>
  <si>
    <t>Seguridad e Higiene</t>
  </si>
  <si>
    <t>Supervisión de Obra</t>
  </si>
  <si>
    <t>Movilidad</t>
  </si>
  <si>
    <t>Preliminares</t>
  </si>
  <si>
    <t>Agrimensura</t>
  </si>
  <si>
    <t>Excavación y Mov. de Suelos</t>
  </si>
  <si>
    <t>Hormigón</t>
  </si>
  <si>
    <t>MAT</t>
  </si>
  <si>
    <t>MO</t>
  </si>
  <si>
    <t>Albañilería</t>
  </si>
  <si>
    <t>Durlock</t>
  </si>
  <si>
    <t>Pintura</t>
  </si>
  <si>
    <t>Revestimiento</t>
  </si>
  <si>
    <t>Eléctrico</t>
  </si>
  <si>
    <t>Sanitaria</t>
  </si>
  <si>
    <t>Equipos</t>
  </si>
  <si>
    <t>Gastos Generales Obra</t>
  </si>
  <si>
    <t>Total Egresos de Obra</t>
  </si>
  <si>
    <t>Gastos Generales</t>
  </si>
  <si>
    <t>Gastos Directos</t>
  </si>
  <si>
    <t>Gastos Indirectos</t>
  </si>
  <si>
    <t>Total Gastos Generales</t>
  </si>
  <si>
    <t>Total Egresos</t>
  </si>
  <si>
    <t>Resultado Operativo</t>
  </si>
  <si>
    <t>Resultado Acumulado</t>
  </si>
  <si>
    <t>Ingresos por certificados</t>
  </si>
  <si>
    <t>Total Ingresos por CAC</t>
  </si>
  <si>
    <t>Obra: GDR 3740</t>
  </si>
  <si>
    <t>Ingresos Pendientes de facturación y cobro</t>
  </si>
  <si>
    <t>CAC Base</t>
  </si>
  <si>
    <t>Fecha</t>
  </si>
  <si>
    <t>Detalle</t>
  </si>
  <si>
    <t>Importe</t>
  </si>
  <si>
    <t>CAC</t>
  </si>
  <si>
    <t>Total</t>
  </si>
  <si>
    <t>O.C.</t>
  </si>
  <si>
    <t>Descripcion</t>
  </si>
  <si>
    <t>IVA</t>
  </si>
  <si>
    <t>Anticipo</t>
  </si>
  <si>
    <t>Anticipo Pto. 1</t>
  </si>
  <si>
    <t>GDR3760-01-F</t>
  </si>
  <si>
    <t>Presupuesto 1 Preliminares Y Hormigon</t>
  </si>
  <si>
    <t>Anticipo Pto. 2</t>
  </si>
  <si>
    <t>GDR3760-01-N</t>
  </si>
  <si>
    <t>Cert. # 1 - Pto. 1</t>
  </si>
  <si>
    <t>GDR3760-02-F</t>
  </si>
  <si>
    <t>Presupuesto 2 - Etapa Albañilería y Terminaciones</t>
  </si>
  <si>
    <t>Cert. # 1 - Pto. 2</t>
  </si>
  <si>
    <t>GDR3760-02-N</t>
  </si>
  <si>
    <t>Cert. # 2 - Pto. 1</t>
  </si>
  <si>
    <t>Cert. # 2 - Pto. 2</t>
  </si>
  <si>
    <t>Totales</t>
  </si>
  <si>
    <t>Cert. # 3 - Pto. 1</t>
  </si>
  <si>
    <t>Según Banco</t>
  </si>
  <si>
    <t>Cert. # 3 - Pto. 2</t>
  </si>
  <si>
    <t>Factura</t>
  </si>
  <si>
    <t>Retenciones</t>
  </si>
  <si>
    <t>0003-00000653</t>
  </si>
  <si>
    <t>Presupuesto 1 - Anticipo</t>
  </si>
  <si>
    <t>Pto 1</t>
  </si>
  <si>
    <t>Cobrado</t>
  </si>
  <si>
    <t>Total Pendiente</t>
  </si>
  <si>
    <t>Por Cobrar</t>
  </si>
  <si>
    <t>Total Presupuestado</t>
  </si>
  <si>
    <t>Total Facturado</t>
  </si>
  <si>
    <t>Total Sin Facturar</t>
  </si>
  <si>
    <t>Pendiente de Facturar</t>
  </si>
  <si>
    <t>Facturación Según O. C. Aprobadas</t>
  </si>
  <si>
    <t>Facturado</t>
  </si>
  <si>
    <t>Pendiente</t>
  </si>
  <si>
    <t>ARQUINERING S.R.L.</t>
  </si>
  <si>
    <t>Obra: Mansilla 2920</t>
  </si>
  <si>
    <t>Cash Flow</t>
  </si>
  <si>
    <t>Ingresos</t>
  </si>
  <si>
    <t>Total Ingresos Netos</t>
  </si>
  <si>
    <t>Egresos</t>
  </si>
  <si>
    <t>Egresos de Obra</t>
  </si>
  <si>
    <t>Gastos en Personal</t>
  </si>
  <si>
    <t>Termomecánica</t>
  </si>
  <si>
    <t>Consumibles y Ferretería</t>
  </si>
  <si>
    <t>Saldo de Caja</t>
  </si>
  <si>
    <t>Saldo de Caja Acumulado</t>
  </si>
  <si>
    <t>usd</t>
  </si>
  <si>
    <t>Pto. 1</t>
  </si>
  <si>
    <t>Presupuesto 1 - Anticipo B70</t>
  </si>
  <si>
    <t>Presupuesto 1 - Anticipo N30</t>
  </si>
  <si>
    <t>Pto. 2</t>
  </si>
  <si>
    <t>Presupuesto 2 - Anticipo B70</t>
  </si>
  <si>
    <t>Presupuesto 2 - Anticipo N30</t>
  </si>
  <si>
    <t>Presupuesto 1 - Certif. # 1 - B70</t>
  </si>
  <si>
    <t>Presupuesto 1 - Certif. # 1 - N30</t>
  </si>
  <si>
    <t>Presupuesto 2 - Certif. # 1 - B70</t>
  </si>
  <si>
    <t>Presupuesto 2 - Certif. # 1 - N30</t>
  </si>
  <si>
    <t>Presupuesto 1 - Certif. # 2 - B70</t>
  </si>
  <si>
    <t>Presupuesto 1 - Certif. # 2 - N30</t>
  </si>
  <si>
    <t>Presupuesto 2 - Certif. # 2 - B70</t>
  </si>
  <si>
    <t>Presupuesto 2 - Certif. # 2 - N30</t>
  </si>
  <si>
    <t>Presupuesto 1 - Certif. # 3 - B70</t>
  </si>
  <si>
    <t>Presupuesto 1 - Certif. # 3 - N30</t>
  </si>
  <si>
    <t>Presupuesto 2 - Certif. # 3 - B70</t>
  </si>
  <si>
    <t>Presupuesto 2 - Certif. # 3 - N30</t>
  </si>
  <si>
    <t>MANO DE OBRA</t>
  </si>
  <si>
    <t>T</t>
  </si>
  <si>
    <t>Trabajado</t>
  </si>
  <si>
    <t>Costo Real</t>
  </si>
  <si>
    <t>P</t>
  </si>
  <si>
    <t>Presupuesto</t>
  </si>
  <si>
    <t>Días x Quincena</t>
  </si>
  <si>
    <t>Capataz</t>
  </si>
  <si>
    <t>Oficial</t>
  </si>
  <si>
    <t>1/2 Oficial</t>
  </si>
  <si>
    <t>Ayudante</t>
  </si>
  <si>
    <t>Subtotal</t>
  </si>
  <si>
    <t>Personal por día</t>
  </si>
  <si>
    <t>ESP</t>
  </si>
  <si>
    <t>OF</t>
  </si>
  <si>
    <t>1/2 Of</t>
  </si>
  <si>
    <t>Ayu</t>
  </si>
  <si>
    <t>Días</t>
  </si>
  <si>
    <t>Tot</t>
  </si>
  <si>
    <t>2Q</t>
  </si>
  <si>
    <t>1Q</t>
  </si>
  <si>
    <t>Total T</t>
  </si>
  <si>
    <t>Total P</t>
  </si>
  <si>
    <t>CPZ</t>
  </si>
  <si>
    <t>GDR 3760</t>
  </si>
  <si>
    <t>CONTRATISTAS</t>
  </si>
  <si>
    <t>ANCLAJES CIMA</t>
  </si>
  <si>
    <t>Fundaciones</t>
  </si>
  <si>
    <t>Observacion</t>
  </si>
  <si>
    <t>Pagos</t>
  </si>
  <si>
    <t>Anticipo 30%</t>
  </si>
  <si>
    <t>Cert. #1</t>
  </si>
  <si>
    <t>CELSI VIAL S.A.</t>
  </si>
  <si>
    <t>Excavacion y Mov. Suelos</t>
  </si>
  <si>
    <t>Certif. #1</t>
  </si>
  <si>
    <t>Certif. #2</t>
  </si>
  <si>
    <t>Certif. #3</t>
  </si>
  <si>
    <t>Certif. #4</t>
  </si>
  <si>
    <t>DÓLAR BNA</t>
  </si>
  <si>
    <t>DÓLAR MEP</t>
  </si>
  <si>
    <t>OBRA: EDIFICIO GDR 3760</t>
  </si>
  <si>
    <t>PRESUPUESTO OBRA CIVIL</t>
  </si>
  <si>
    <t xml:space="preserve"> </t>
  </si>
  <si>
    <t>E</t>
  </si>
  <si>
    <t>Descripción</t>
  </si>
  <si>
    <t>U</t>
  </si>
  <si>
    <t>Cant</t>
  </si>
  <si>
    <t>P unit</t>
  </si>
  <si>
    <t>Material</t>
  </si>
  <si>
    <t>Mano de obra</t>
  </si>
  <si>
    <t>TAREAS PRELIMINARES</t>
  </si>
  <si>
    <t>OK</t>
  </si>
  <si>
    <r>
      <t xml:space="preserve">Limpieza y preparación del terreno </t>
    </r>
    <r>
      <rPr>
        <i/>
        <sz val="10"/>
        <color rgb="FFFF0000"/>
        <rFont val="Calibri"/>
        <family val="2"/>
        <scheme val="minor"/>
      </rPr>
      <t>- No cotiza</t>
    </r>
  </si>
  <si>
    <t>gl</t>
  </si>
  <si>
    <t>Topógrafo - Visita de obra replanteo</t>
  </si>
  <si>
    <r>
      <t xml:space="preserve">Cartel de Obra </t>
    </r>
    <r>
      <rPr>
        <i/>
        <sz val="10"/>
        <color rgb="FFFF0000"/>
        <rFont val="Calibri"/>
        <family val="2"/>
        <scheme val="minor"/>
      </rPr>
      <t>- No cotiza</t>
    </r>
  </si>
  <si>
    <r>
      <t>Cerco de obra perimetral</t>
    </r>
    <r>
      <rPr>
        <i/>
        <sz val="10"/>
        <color rgb="FFFF0000"/>
        <rFont val="Calibri"/>
        <family val="2"/>
        <scheme val="minor"/>
      </rPr>
      <t xml:space="preserve"> - En chapa C25 + Concertina + Porton corredizo </t>
    </r>
  </si>
  <si>
    <t>ml</t>
  </si>
  <si>
    <r>
      <t>Obrador, pañol y ducha</t>
    </r>
    <r>
      <rPr>
        <i/>
        <sz val="10"/>
        <rFont val="Calibri"/>
        <family val="2"/>
        <scheme val="minor"/>
      </rPr>
      <t>.</t>
    </r>
  </si>
  <si>
    <t>Alquiler de baños quimicos y duchas portatiles</t>
  </si>
  <si>
    <t>mes</t>
  </si>
  <si>
    <t>Conexión pilar y luz de obra + Tablero de obra</t>
  </si>
  <si>
    <t>Conexión agua de obra, tanque + bomba</t>
  </si>
  <si>
    <t>Tramite luz de obra, certificado luz de obra (2) y medición PAT</t>
  </si>
  <si>
    <t>AYUDA DE GREMIOS</t>
  </si>
  <si>
    <t>Sereno</t>
  </si>
  <si>
    <t>Tecnico de seguridad &amp; higiene permanente en Obra</t>
  </si>
  <si>
    <t>Higiene y seguridad Res 51</t>
  </si>
  <si>
    <t>Protecciones y defensas</t>
  </si>
  <si>
    <t>Ayuda de gremios</t>
  </si>
  <si>
    <t xml:space="preserve">Limpieza periodica </t>
  </si>
  <si>
    <t>Limpieza final de Obra</t>
  </si>
  <si>
    <t>Fletes</t>
  </si>
  <si>
    <t>Volquetes</t>
  </si>
  <si>
    <t>JEFATURA DE OBRA</t>
  </si>
  <si>
    <t>Supervisión profesional de Obra</t>
  </si>
  <si>
    <t>Movilidad y viaticos</t>
  </si>
  <si>
    <t>MOVIMIENTO DE TIERRA, COMPACTACION Y RELLENO</t>
  </si>
  <si>
    <t>Excavación a maquina para submuración, subsuelo y fundaciones</t>
  </si>
  <si>
    <t>m3</t>
  </si>
  <si>
    <t>Perfilado manual de bases. Relleno y compactación de pozos</t>
  </si>
  <si>
    <t>Excavación manual para vigas de fundación</t>
  </si>
  <si>
    <t>IN</t>
  </si>
  <si>
    <r>
      <t xml:space="preserve">Aporte y compactación de suelo seleccionado, e: 40 cm (2 capas de 20 cm) </t>
    </r>
    <r>
      <rPr>
        <i/>
        <sz val="10"/>
        <color rgb="FFFF0000"/>
        <rFont val="Calibri"/>
        <family val="2"/>
        <scheme val="minor"/>
      </rPr>
      <t>- Cotizado Hº Pobre en item 8,02</t>
    </r>
  </si>
  <si>
    <t>m2</t>
  </si>
  <si>
    <r>
      <t xml:space="preserve">Demolición de bases existentes </t>
    </r>
    <r>
      <rPr>
        <i/>
        <sz val="10"/>
        <color rgb="FFFF0000"/>
        <rFont val="Calibri"/>
        <family val="2"/>
        <scheme val="minor"/>
      </rPr>
      <t>- No cotiza</t>
    </r>
  </si>
  <si>
    <t>ESTRUCTURA RESISTENTE</t>
  </si>
  <si>
    <t>Hormigón de limpieza - e: 10 cm</t>
  </si>
  <si>
    <t>Pilotes de tracción Ø 20 cm - (120 kg/m3 de hierro)</t>
  </si>
  <si>
    <t>u</t>
  </si>
  <si>
    <t>Tabique submuración - H35 (95 kg/m3 de hierro)</t>
  </si>
  <si>
    <t>Zapata corrida tabique - H35 (120 kg/m3 de hierro)</t>
  </si>
  <si>
    <t>Platea - H35 (95 kg/m3 de hierro)</t>
  </si>
  <si>
    <t>Bases aisladas - (60 kg/m3 de hierro)</t>
  </si>
  <si>
    <t>Troncos de columnas - H35 (240 kg/m3 de hierro)</t>
  </si>
  <si>
    <t>Viga de encadenado - H35 (180 kg/m3 de hierro)</t>
  </si>
  <si>
    <t>Losa maciza - H35 (100 kg/m3 de hierro)</t>
  </si>
  <si>
    <t xml:space="preserve">Losa maciza de Hº visto - H35 (100 kg/m3 de hierro) </t>
  </si>
  <si>
    <t>Vigas - H35 (180 kg/m3 de hierro)</t>
  </si>
  <si>
    <t xml:space="preserve">Vigas de H° visto - H35 (180 kg/m3 de hierro) </t>
  </si>
  <si>
    <t>Tabiques - H35 (100 kg/m3 de hierro)</t>
  </si>
  <si>
    <t>Columna - H35 (180 Kg/m3 de hierro)</t>
  </si>
  <si>
    <t>Columna vista- H35 (180 Kg/m3 de hierro)</t>
  </si>
  <si>
    <t>Escaleras de Hº visto - H35 (105 kg/m3 de hierro)</t>
  </si>
  <si>
    <r>
      <t xml:space="preserve">Tanques de HºAº - H35 (100 kg/m3 de hierro) </t>
    </r>
    <r>
      <rPr>
        <i/>
        <sz val="10"/>
        <color rgb="FFFF0000"/>
        <rFont val="Calibri"/>
        <family val="2"/>
        <scheme val="minor"/>
      </rPr>
      <t>- Tanque de reserva</t>
    </r>
  </si>
  <si>
    <t>Sistema de apuntalamiento y reapuntalamiento</t>
  </si>
  <si>
    <t xml:space="preserve">Ensayos de hormigon por etapas de hormigonado </t>
  </si>
  <si>
    <t>Permiso de estacionamiento de bomba de hormigón a contramano</t>
  </si>
  <si>
    <r>
      <t xml:space="preserve">Picado de medianeras para columnas y vigas </t>
    </r>
    <r>
      <rPr>
        <i/>
        <sz val="10"/>
        <color rgb="FFFF0000"/>
        <rFont val="Calibri"/>
        <family val="2"/>
        <scheme val="minor"/>
      </rPr>
      <t>- Cotizado para PB y 1P</t>
    </r>
  </si>
  <si>
    <t>MAMPOSTERÍA</t>
  </si>
  <si>
    <t>Muro tipo 1 - Ladrillo hueco 8 x 18 x 33</t>
  </si>
  <si>
    <t xml:space="preserve">Muro tipo 2 - Ladrillo hueco 12 x 18 x 33 </t>
  </si>
  <si>
    <t>Muro tipo 3 - Ladrillo comun en panderete</t>
  </si>
  <si>
    <t>Muro tipo 4 - Ladrillo hueco portante 12 x 18 x 33</t>
  </si>
  <si>
    <t>Muro tipo 5 - Bloque HCCA e: 7,5 cm</t>
  </si>
  <si>
    <t>Muro tipo 6 - Ladrillo hueco 18 x 18 x 33</t>
  </si>
  <si>
    <r>
      <t xml:space="preserve">Enchape de medianeras existentes </t>
    </r>
    <r>
      <rPr>
        <sz val="10"/>
        <color rgb="FFFF0000"/>
        <rFont val="Calibri"/>
        <family val="2"/>
        <scheme val="minor"/>
      </rPr>
      <t>- Contemplamos picado zonas sueltas y enchape con ladrillo comun para PB</t>
    </r>
  </si>
  <si>
    <t>Cordón de hormigón en umbrales carpinterías</t>
  </si>
  <si>
    <t xml:space="preserve">Banquina Sala tanque de bombeo </t>
  </si>
  <si>
    <t>Banquina en parrillas</t>
  </si>
  <si>
    <t>Excavación y amurado con Hº tanque de recuperación de agua de lluvia</t>
  </si>
  <si>
    <t>Provisión y amurado de tapas de inspección para tanque de reserva</t>
  </si>
  <si>
    <r>
      <t xml:space="preserve">Vigas de encadenado </t>
    </r>
    <r>
      <rPr>
        <i/>
        <sz val="10"/>
        <color rgb="FFFF0000"/>
        <rFont val="Calibri"/>
        <family val="2"/>
        <scheme val="minor"/>
      </rPr>
      <t>- Cuantía aprox. 60 kg/m3</t>
    </r>
  </si>
  <si>
    <t xml:space="preserve">Amurado de bañera </t>
  </si>
  <si>
    <t>AISLACIONES</t>
  </si>
  <si>
    <t>Cajón hidrofugo</t>
  </si>
  <si>
    <r>
      <t xml:space="preserve">Aislación hidrófuga horizontal (baños) - </t>
    </r>
    <r>
      <rPr>
        <i/>
        <sz val="10"/>
        <color rgb="FFFF0000"/>
        <rFont val="Calibri"/>
        <family val="2"/>
        <scheme val="minor"/>
      </rPr>
      <t>Inc. membrana geotextil</t>
    </r>
    <r>
      <rPr>
        <sz val="10"/>
        <color rgb="FFFF0000"/>
        <rFont val="Calibri"/>
        <family val="2"/>
        <scheme val="minor"/>
      </rPr>
      <t xml:space="preserve"> y 35% en concepto de babetas</t>
    </r>
  </si>
  <si>
    <r>
      <t xml:space="preserve">Azotado hidrófugo - </t>
    </r>
    <r>
      <rPr>
        <i/>
        <sz val="10"/>
        <color rgb="FFFF0000"/>
        <rFont val="Calibri"/>
        <family val="2"/>
        <scheme val="minor"/>
      </rPr>
      <t>Contrapiso de PB</t>
    </r>
  </si>
  <si>
    <t xml:space="preserve">Aislación térmica en terrazas, eps e:2,00 cm </t>
  </si>
  <si>
    <t>Barrera de vapor</t>
  </si>
  <si>
    <r>
      <t xml:space="preserve">Membrana asfáltica geotextil 4mm </t>
    </r>
    <r>
      <rPr>
        <i/>
        <sz val="10"/>
        <color rgb="FFFF0000"/>
        <rFont val="Calibri"/>
        <family val="2"/>
        <scheme val="minor"/>
      </rPr>
      <t>- Balcones y azotea - Inc. 20% en concepto de babetas</t>
    </r>
  </si>
  <si>
    <t>Impermeabilización de tanque de reserva de HºAº</t>
  </si>
  <si>
    <t>CUBIERTAS</t>
  </si>
  <si>
    <t>Babeta de chapa galvanizada en medianeras</t>
  </si>
  <si>
    <t>REVOQUES</t>
  </si>
  <si>
    <t xml:space="preserve">Revoque Grueso Impermeable Exterior </t>
  </si>
  <si>
    <r>
      <t xml:space="preserve">Revoque Grueso Impermeable Exterior a mas de 3m </t>
    </r>
    <r>
      <rPr>
        <i/>
        <sz val="10"/>
        <color rgb="FFFF0000"/>
        <rFont val="Calibri"/>
        <family val="2"/>
        <scheme val="minor"/>
      </rPr>
      <t>- Medianero y fachadas</t>
    </r>
  </si>
  <si>
    <t>Yeso interior</t>
  </si>
  <si>
    <t xml:space="preserve">Arista en yeso </t>
  </si>
  <si>
    <t xml:space="preserve">Provisión y colocación de guardacanto yesero </t>
  </si>
  <si>
    <t>un</t>
  </si>
  <si>
    <t>Revoque Grueso Impermeable Interior b/ revestimiento</t>
  </si>
  <si>
    <t>CONTRAPISOS Y CARPETAS</t>
  </si>
  <si>
    <t xml:space="preserve">Contrapiso de Hº armado e: 18 cm, incluye malla Ø 6 mm y film 200 mic. </t>
  </si>
  <si>
    <t>Contrapiso de H13 subase bajo intertrabado y garden block</t>
  </si>
  <si>
    <t xml:space="preserve">Monolítico e: 6 cm </t>
  </si>
  <si>
    <t>Contrapiso alivianado en azoteas (RDC), e: 15 cm</t>
  </si>
  <si>
    <r>
      <t xml:space="preserve">Contrapiso con piedra binder e: 4/5 cm </t>
    </r>
    <r>
      <rPr>
        <i/>
        <sz val="10"/>
        <color rgb="FFFF0000"/>
        <rFont val="Calibri"/>
        <family val="2"/>
        <scheme val="minor"/>
      </rPr>
      <t>- En locales húmedos (baños)</t>
    </r>
  </si>
  <si>
    <r>
      <t xml:space="preserve">Carpeta autonivelante e: 4/10 mm </t>
    </r>
    <r>
      <rPr>
        <i/>
        <sz val="10"/>
        <color rgb="FFFF0000"/>
        <rFont val="Calibri"/>
        <family val="2"/>
        <scheme val="minor"/>
      </rPr>
      <t>- En locales húmedos (baños)</t>
    </r>
  </si>
  <si>
    <t>Carpeta a la cal reforzada</t>
  </si>
  <si>
    <t>Carpeta a la cal reforzada s/membrana</t>
  </si>
  <si>
    <t>ESCALERAS</t>
  </si>
  <si>
    <t>Provisión y ejecución de cemento alisado arrodillado, e: 3,00 cm, en alzada y pedad</t>
  </si>
  <si>
    <t xml:space="preserve">Provisión nariz escalera, hierro angulo 5/8 x 1/8" </t>
  </si>
  <si>
    <t>Ejecución de zócalo rampante de concreto h: 10 cm</t>
  </si>
  <si>
    <t>VENTILACIONES - PROVISION A CARGO DEL COMITENTE</t>
  </si>
  <si>
    <r>
      <t xml:space="preserve">Montaje de conductos de ventilación de baños C27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</si>
  <si>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Montaje de conductos de ventilación de parrillas C27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</si>
  <si>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Montaje de campanas de parrillas C22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</si>
  <si>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Montaje de sombreretes en chapa prepintada C25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</si>
  <si>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PISOS - PROVISION A CARGO DEL COMITENTE</t>
  </si>
  <si>
    <t>Provisión y ejecución de alisado de cemento a la llana metálica, e: 6,00 cm</t>
  </si>
  <si>
    <t>Provisión y ejecución de cemento alisado arrodillado, e: 3,00 cm</t>
  </si>
  <si>
    <r>
      <t xml:space="preserve">Colocación de porcelanato a definir en sspacios comunes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</si>
  <si>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pavimento intertrabado de H°, incluye provisión y colocación de cama de arena + tomado de junta - </t>
    </r>
    <r>
      <rPr>
        <sz val="10"/>
        <color rgb="FFFF0000"/>
        <rFont val="Calibri"/>
        <family val="2"/>
        <scheme val="minor"/>
      </rPr>
      <t>Provisión a cargo del comitente</t>
    </r>
  </si>
  <si>
    <r>
      <t xml:space="preserve">Colocación de garden block, incluye provisión y colocación de cama de arena + tomado de junta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</si>
  <si>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Provisión y colocación de relleno de piedra binder</t>
  </si>
  <si>
    <r>
      <t xml:space="preserve">Colocación de baldoson granítico vereda 40 x 40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</si>
  <si>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a definir Interior UF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</si>
  <si>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a definir Baños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</si>
  <si>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a definir Balcones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</si>
  <si>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a definir Palier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</si>
  <si>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ZOCALOS Y SOLIAS - PROVISION A CARGO DEL COMITENTE</t>
  </si>
  <si>
    <t>Ejecución de zócalo de concreto h: 10 cm</t>
  </si>
  <si>
    <t>Provisión y colocación de zócalo de MDF prepintado color bco. h: 7cm</t>
  </si>
  <si>
    <r>
      <t xml:space="preserve">Colocación de zócalo de porcelanato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</si>
  <si>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REVESTIMIENTOS - PROVISION A CARGO DEL COMITENTE</t>
  </si>
  <si>
    <r>
      <t xml:space="preserve">Colocación de porcelanato en baños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</si>
  <si>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revestimiento en cocinas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</si>
  <si>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listones refractarios en parrillas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</si>
  <si>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Revestimiento Simil madera </t>
    </r>
    <r>
      <rPr>
        <i/>
        <sz val="10"/>
        <color rgb="FFFF0000"/>
        <rFont val="Calibri"/>
        <family val="2"/>
        <scheme val="minor"/>
      </rPr>
      <t>- Cotizado en provisiones</t>
    </r>
  </si>
  <si>
    <t>CIELORRASOS</t>
  </si>
  <si>
    <t>Aplicado de yeso</t>
  </si>
  <si>
    <t>Buña en yeso aplicado</t>
  </si>
  <si>
    <t>Cielorraso suspendido en placa STD</t>
  </si>
  <si>
    <t>Cielorraso suspendido en placa RH</t>
  </si>
  <si>
    <t>Buña Z en cielorraso suspendido</t>
  </si>
  <si>
    <t xml:space="preserve">Cantonera / Cajón </t>
  </si>
  <si>
    <t>Hormigon visto, maquillaje</t>
  </si>
  <si>
    <t>PINTURA</t>
  </si>
  <si>
    <r>
      <t xml:space="preserve">Latex exterior mate en paredes, color bco., sin enduido, a mas de 3 m de altura - </t>
    </r>
    <r>
      <rPr>
        <i/>
        <sz val="10"/>
        <color rgb="FFFF0000"/>
        <rFont val="Calibri"/>
        <family val="2"/>
        <scheme val="minor"/>
      </rPr>
      <t>Medianeras</t>
    </r>
  </si>
  <si>
    <t>Latex interior mate en paredes, color bco., con enduido parcial</t>
  </si>
  <si>
    <t>Latex interior mate en paredes, color bco., con enduido completo</t>
  </si>
  <si>
    <r>
      <t xml:space="preserve">Latex exterior acrílico en cielorraso, color a definir, sin enduido </t>
    </r>
    <r>
      <rPr>
        <i/>
        <sz val="10"/>
        <color rgb="FFFF0000"/>
        <rFont val="Calibri"/>
        <family val="2"/>
        <scheme val="minor"/>
      </rPr>
      <t>- Sector cocheras</t>
    </r>
  </si>
  <si>
    <t>Latex interior mate en cielorraso, color bco., con enduido parcial</t>
  </si>
  <si>
    <t>Latex interior mate en cielorraso, color bco., con enduido completo</t>
  </si>
  <si>
    <t xml:space="preserve">Impermeabilizane de Hº, silicona transparente </t>
  </si>
  <si>
    <t>Revestimiento tipo Tarquini hasta 3 m de altura</t>
  </si>
  <si>
    <t>Revestimiento tipo Tarquini a mas de 3 m de altura</t>
  </si>
  <si>
    <t>Franjas división cocheras</t>
  </si>
  <si>
    <r>
      <t xml:space="preserve">Esmalte sintetico en puertas color bco. </t>
    </r>
    <r>
      <rPr>
        <i/>
        <sz val="10"/>
        <color rgb="FFFF0000"/>
        <rFont val="Calibri"/>
        <family val="2"/>
        <scheme val="minor"/>
      </rPr>
      <t>- Puertas placa, de chapa y de ascensor</t>
    </r>
  </si>
  <si>
    <r>
      <t>Esmalte sintético convertidor antioxido color negro satinado en herrería -</t>
    </r>
    <r>
      <rPr>
        <i/>
        <sz val="10"/>
        <color rgb="FFFF0000"/>
        <rFont val="Calibri"/>
        <family val="2"/>
        <scheme val="minor"/>
      </rPr>
      <t xml:space="preserve"> Barandas, herrerías, etc.</t>
    </r>
  </si>
  <si>
    <t>MARMOLES Y GRANITOS - PROVISION  A CARGO DEL COMITENTE</t>
  </si>
  <si>
    <t>CARPINTERIA - PROVISION A CARGO DEL COMITENTE</t>
  </si>
  <si>
    <r>
      <t xml:space="preserve">Amure de puertas placa </t>
    </r>
    <r>
      <rPr>
        <i/>
        <sz val="10"/>
        <color rgb="FFFF0000"/>
        <rFont val="Calibri"/>
        <family val="2"/>
        <scheme val="minor"/>
      </rPr>
      <t xml:space="preserve"> </t>
    </r>
  </si>
  <si>
    <t xml:space="preserve">Amure de puertas de chapa e ingresos depto </t>
  </si>
  <si>
    <r>
      <t>Amure de premarcos</t>
    </r>
    <r>
      <rPr>
        <i/>
        <sz val="10"/>
        <color rgb="FFFF0000"/>
        <rFont val="Calibri"/>
        <family val="2"/>
        <scheme val="minor"/>
      </rPr>
      <t xml:space="preserve"> </t>
    </r>
  </si>
  <si>
    <t xml:space="preserve">Amure Puertas de Ascensor </t>
  </si>
  <si>
    <t>TRABAJOS COMPLEMENTARIOS</t>
  </si>
  <si>
    <r>
      <t xml:space="preserve">Albañilería parrilla completa </t>
    </r>
    <r>
      <rPr>
        <i/>
        <sz val="10"/>
        <color rgb="FFFF0000"/>
        <rFont val="Calibri"/>
        <family val="2"/>
        <scheme val="minor"/>
      </rPr>
      <t xml:space="preserve">- Losa y muros </t>
    </r>
  </si>
  <si>
    <r>
      <t xml:space="preserve">Amure de tapas para pleno eléctricos y gas en palieres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</si>
  <si>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Demolición de vereda</t>
  </si>
  <si>
    <t xml:space="preserve">Tabique divisorio dormitorios - Tabique simple con aislacion de lana de vidrio </t>
  </si>
  <si>
    <t>INSTALACION ELECTRICA</t>
  </si>
  <si>
    <t>Tendido y cableado boca Iluminación en losa</t>
  </si>
  <si>
    <t>Tendido y cableado boca Iluminación en pared</t>
  </si>
  <si>
    <t>Tendido y cableado boca Iluminación emergencia</t>
  </si>
  <si>
    <t>Tendido y cableado boca sensor de movimiento</t>
  </si>
  <si>
    <t xml:space="preserve">Tendido y cableado boca semáforo </t>
  </si>
  <si>
    <t>Tendido y cableado boca de extractor de baño</t>
  </si>
  <si>
    <t>Tendido y cableado boca tomacorriente (simple/doble/exterior)</t>
  </si>
  <si>
    <t>Tendido y cableado boca tomacorriente especial (AA.CC)</t>
  </si>
  <si>
    <t>Tendido y cableado boca MBT Timbre</t>
  </si>
  <si>
    <t xml:space="preserve">Tendido y cableado boca de temostato </t>
  </si>
  <si>
    <t xml:space="preserve">Boca de TE - Cañería c/cable testigo </t>
  </si>
  <si>
    <t xml:space="preserve">Boca de TV - Cañería c/cable testigo </t>
  </si>
  <si>
    <t xml:space="preserve">Boca de PE - Cañería c/cable testigo </t>
  </si>
  <si>
    <t xml:space="preserve">Boca de DA - Cañería c/cable testigo </t>
  </si>
  <si>
    <t xml:space="preserve">Boca de CCTV - Cañería c/cable testigo </t>
  </si>
  <si>
    <t>Tablero servicios generales - TSG</t>
  </si>
  <si>
    <t>Tablero seccional, bombas de elevación - TSBE</t>
  </si>
  <si>
    <t>Tablero seccional ascensor - TSASC</t>
  </si>
  <si>
    <t>Tablero seccional departamento - TSD</t>
  </si>
  <si>
    <t>Montante eléctrica</t>
  </si>
  <si>
    <t xml:space="preserve">Montante TV + Tablero TV - Cañería c/cable testigo </t>
  </si>
  <si>
    <t>Montante PE + Tablero PE- Cañería c/cable testigo</t>
  </si>
  <si>
    <r>
      <t xml:space="preserve">Colocación de sensor de movimiento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</si>
  <si>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teclas simples y/o combinadas, pulsadores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</si>
  <si>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tomas simples/dobles/encapsulados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</si>
  <si>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campanilla/zumbadores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</si>
  <si>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extractor de baño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</si>
  <si>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luz de emergencia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</si>
  <si>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semáforo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</si>
  <si>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artefactos en espacios comunes y balcones </t>
    </r>
    <r>
      <rPr>
        <i/>
        <sz val="10"/>
        <color rgb="FFFF0000"/>
        <rFont val="Calibri"/>
        <family val="2"/>
        <scheme val="minor"/>
      </rPr>
      <t>- Provisión a cargo del comitente. NO incluye provisión, ni colocación de artefactos en interior de UF</t>
    </r>
  </si>
  <si>
    <t xml:space="preserve">Acometida y gabiente de medidores </t>
  </si>
  <si>
    <t>Puesta a tierra, jabalinas y cableados</t>
  </si>
  <si>
    <t>Certificado DCI para servicios generales</t>
  </si>
  <si>
    <t>INSTALACION SANITARIA, GRIFERIA Y SANITARIOS</t>
  </si>
  <si>
    <t>INSTALACION CLOACAL</t>
  </si>
  <si>
    <t xml:space="preserve">GDR </t>
  </si>
  <si>
    <t>Tendido caño cloacal en planta baja</t>
  </si>
  <si>
    <t>Por armar CDV en planta tipo</t>
  </si>
  <si>
    <t>Montantes, remate y ventilación a los 4 vientos</t>
  </si>
  <si>
    <t>INSTALACION PLUVIAL</t>
  </si>
  <si>
    <t xml:space="preserve">Tendido caño pluvial en planta baja </t>
  </si>
  <si>
    <t>Tendido caño pluvial por pisos</t>
  </si>
  <si>
    <t>Instalación tanque de recupero y bombeo pluvial</t>
  </si>
  <si>
    <t>INSTALACION AGUA FRIA Y CALIENTE</t>
  </si>
  <si>
    <t>Tendido caño de agua hasta TB. Colocación de TB, armado de colector y cuadro de bombas</t>
  </si>
  <si>
    <t>Armado de colector, subida y bajadas de AF</t>
  </si>
  <si>
    <t>Colocación de bomba presurizadora, armado de colector y montantes presurizadas (ultimo piso 4°) AF</t>
  </si>
  <si>
    <t>Distribución agua fria y caliente en planta tipo</t>
  </si>
  <si>
    <t>Colocación de artefactos y griferias</t>
  </si>
  <si>
    <t>INSTALACION DESCARGA SPLIT</t>
  </si>
  <si>
    <r>
      <t xml:space="preserve">Armado y conexionado de desagües </t>
    </r>
    <r>
      <rPr>
        <sz val="10"/>
        <rFont val="Calibri"/>
        <family val="2"/>
        <scheme val="minor"/>
      </rPr>
      <t>AA.CC</t>
    </r>
  </si>
  <si>
    <t>INSTALACION CALEFACCION</t>
  </si>
  <si>
    <r>
      <t xml:space="preserve">Tendido de cañerías de piso radiante </t>
    </r>
    <r>
      <rPr>
        <i/>
        <sz val="10"/>
        <color rgb="FFFF0000"/>
        <rFont val="Calibri"/>
        <family val="2"/>
        <scheme val="minor"/>
      </rPr>
      <t>- Colectores, gabinetes y termostatos a cargo del comitente</t>
    </r>
  </si>
  <si>
    <r>
      <t xml:space="preserve">Montaje de caldera y puesta en marcha </t>
    </r>
    <r>
      <rPr>
        <i/>
        <sz val="10"/>
        <color rgb="FFFF0000"/>
        <rFont val="Calibri"/>
        <family val="2"/>
        <scheme val="minor"/>
      </rPr>
      <t>- Provisión a cargo del comitente, incluida las ventilaciones</t>
    </r>
  </si>
  <si>
    <t>INSTALACION DE INCENDIO</t>
  </si>
  <si>
    <r>
      <t xml:space="preserve">Tendido cañeria de incendio </t>
    </r>
    <r>
      <rPr>
        <i/>
        <sz val="10"/>
        <color rgb="FFFF0000"/>
        <rFont val="Calibri"/>
        <family val="2"/>
        <scheme val="minor"/>
      </rPr>
      <t>- Gabinetes, tapas, mangueras y lanzas cotizadas en provisiones</t>
    </r>
  </si>
  <si>
    <t>INSTALACION DE GAS</t>
  </si>
  <si>
    <t>Provisión y tendido de cañerías de gas a cada UF</t>
  </si>
  <si>
    <r>
      <t xml:space="preserve">Colocación de anafes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</si>
  <si>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Provisión y amure de rejillas de ventilación homologadas</t>
  </si>
  <si>
    <t>C</t>
  </si>
  <si>
    <t>Tramites gas - Prefactibilidad, inspección parcial, final</t>
  </si>
  <si>
    <t>AIRE ACONDICIONADO - PROVISION A CARGO DEL COMITENTE</t>
  </si>
  <si>
    <r>
      <t xml:space="preserve">Preinstalación para AA.CC </t>
    </r>
    <r>
      <rPr>
        <i/>
        <sz val="10"/>
        <color rgb="FFFF0000"/>
        <rFont val="Calibri"/>
        <family val="2"/>
        <scheme val="minor"/>
      </rPr>
      <t>- Cotizado en provisiones</t>
    </r>
  </si>
  <si>
    <r>
      <t>Montaje, colocación y puesta en marcha de equipos</t>
    </r>
    <r>
      <rPr>
        <i/>
        <sz val="10"/>
        <color rgb="FFFF0000"/>
        <rFont val="Calibri"/>
        <family val="2"/>
        <scheme val="minor"/>
      </rPr>
      <t xml:space="preserve"> - Cotizado en provisiones</t>
    </r>
  </si>
  <si>
    <t>ASCENSOR  - PROVISION A CARGO DEL COMITENTE</t>
  </si>
  <si>
    <t xml:space="preserve">Ascensores </t>
  </si>
  <si>
    <t>EQUIPAMIENTO - PROVISION A CARGO DEL COMITENTE</t>
  </si>
  <si>
    <r>
      <t>Instalación de artefactos de cocina, hornos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</si>
  <si>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>Instalacion de extractores de baños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</si>
  <si>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Precio base DIC24</t>
  </si>
  <si>
    <t>VALOR x m2 (sin IVA)</t>
  </si>
  <si>
    <t>usd/m2</t>
  </si>
  <si>
    <t>PTO 01 - PRELIMINARES, MOV SUELO Y  HORMIGON</t>
  </si>
  <si>
    <t>PTO 02 - ALBANILERIA Y TERMINACIONES</t>
  </si>
  <si>
    <t>PTO 03 - INSTALACIONES</t>
  </si>
  <si>
    <t>MATERIAL</t>
  </si>
  <si>
    <t>M. DE OBRA</t>
  </si>
  <si>
    <t>Otro</t>
  </si>
  <si>
    <t>Corralón</t>
  </si>
  <si>
    <t>Total MAT</t>
  </si>
  <si>
    <t>Albañil</t>
  </si>
  <si>
    <t>Total MO</t>
  </si>
  <si>
    <t>EQUIPOS</t>
  </si>
  <si>
    <t>SUB TOTAL OBRA GRIS</t>
  </si>
  <si>
    <t>MATERIALES</t>
  </si>
  <si>
    <t>Mensual</t>
  </si>
  <si>
    <t>Acumulado</t>
  </si>
  <si>
    <t>VENTA</t>
  </si>
  <si>
    <t>COSTO</t>
  </si>
  <si>
    <t>GGBB</t>
  </si>
  <si>
    <t>Listo</t>
  </si>
  <si>
    <t xml:space="preserve">Estimado </t>
  </si>
  <si>
    <t>Chekear (Inventado)</t>
  </si>
  <si>
    <t>R</t>
  </si>
  <si>
    <t>Sin hacer/revisar</t>
  </si>
  <si>
    <t>OBRA: EDIFICIO EL SALVADOR 4140</t>
  </si>
  <si>
    <t>P. Unit. MAT</t>
  </si>
  <si>
    <t>P. Unit. MO</t>
  </si>
  <si>
    <t>P. Unit. EQ</t>
  </si>
  <si>
    <t>P.Unit</t>
  </si>
  <si>
    <t xml:space="preserve">P unit </t>
  </si>
  <si>
    <t>Obrador colgante, pañol y ducha</t>
  </si>
  <si>
    <t>Sistema de depresión de napas</t>
  </si>
  <si>
    <t>Excavación a maquina para submuración y subsuelo</t>
  </si>
  <si>
    <r>
      <t xml:space="preserve">Demolición y retiro de fundaciones existentes </t>
    </r>
    <r>
      <rPr>
        <i/>
        <sz val="10"/>
        <color rgb="FFFF0000"/>
        <rFont val="Calibri"/>
        <family val="2"/>
        <scheme val="minor"/>
      </rPr>
      <t>- No cotiza</t>
    </r>
  </si>
  <si>
    <t>Excavación manual para pozo de achique y bombeo</t>
  </si>
  <si>
    <t>EL SALVADOR 4041</t>
  </si>
  <si>
    <t>Tabique submuración - H30 hidrófugo (95 kg/m3 de hierro)</t>
  </si>
  <si>
    <t>Zapata corrida tabique - H30 hidrófugo (120 kg/m3)</t>
  </si>
  <si>
    <t>MNS 2920</t>
  </si>
  <si>
    <t>Platea - H30 hidrófugo (95 kg/m3 de hierro)</t>
  </si>
  <si>
    <t>Rampa - H30 (120 kg/m3 de hierro)</t>
  </si>
  <si>
    <t>Losa maciza - H30 (110 kg/m3 de hierro)</t>
  </si>
  <si>
    <t>Vigas - H30 (140 kg/m3 de hierro)</t>
  </si>
  <si>
    <t>Vigas de H° visto - H30 (140 kg/m3 de hierro)</t>
  </si>
  <si>
    <t>Tabiques - H30 (120 kg/m3 de hierro)</t>
  </si>
  <si>
    <t>Columna - H30 (240 Kg/m3 de hierro)</t>
  </si>
  <si>
    <t>Escaleras - H30 (105 kg/m3 de hierro)</t>
  </si>
  <si>
    <t>Tabiques tanques de H° - H30 (120 kg/m3 de hierro)</t>
  </si>
  <si>
    <r>
      <t>Junta de impermeabilización de PVC -</t>
    </r>
    <r>
      <rPr>
        <i/>
        <sz val="10"/>
        <color rgb="FFFF0000"/>
        <rFont val="Calibri"/>
        <family val="2"/>
        <scheme val="minor"/>
      </rPr>
      <t xml:space="preserve"> Sika Waterbars v15 x 15mts o similar</t>
    </r>
  </si>
  <si>
    <t xml:space="preserve">Ensayos de Hormigon por etapas de hormigonado </t>
  </si>
  <si>
    <r>
      <t xml:space="preserve">Picado de medianeras para columnas y vigas </t>
    </r>
    <r>
      <rPr>
        <i/>
        <sz val="10"/>
        <color rgb="FFFF0000"/>
        <rFont val="Calibri"/>
        <family val="2"/>
        <scheme val="minor"/>
      </rPr>
      <t xml:space="preserve">- Cotizado solo para PB y 1P, </t>
    </r>
    <r>
      <rPr>
        <b/>
        <i/>
        <sz val="10"/>
        <color rgb="FFFF0000"/>
        <rFont val="Calibri"/>
        <family val="2"/>
        <scheme val="minor"/>
      </rPr>
      <t>No</t>
    </r>
    <r>
      <rPr>
        <i/>
        <sz val="10"/>
        <color rgb="FFFF0000"/>
        <rFont val="Calibri"/>
        <family val="2"/>
        <scheme val="minor"/>
      </rPr>
      <t xml:space="preserve"> contempla picado en SS</t>
    </r>
  </si>
  <si>
    <t>ALBAÑILERIA</t>
  </si>
  <si>
    <t>Muro tipo 1 (interiores, divisorio de locales) e: 10 cm - Ladrillo hueco 08 x 18 x 33</t>
  </si>
  <si>
    <t xml:space="preserve">Muro tipo 2 y 3 (medianera, caja de escaleras y ascensor) e: 15 cm - Ladrillo hueco portante 12 x 19 x 33 </t>
  </si>
  <si>
    <t>Muro tipo 4 (divisorio de unidades y fachas) e: 15 cm -  Ladrillo hueco 12 x 18 x 33</t>
  </si>
  <si>
    <r>
      <t xml:space="preserve">Enchape medianeras existentes </t>
    </r>
    <r>
      <rPr>
        <sz val="10"/>
        <color rgb="FFFF0000"/>
        <rFont val="Calibri"/>
        <family val="2"/>
        <scheme val="minor"/>
      </rPr>
      <t>- Contemplamos picado zonas sueltas y enchape con ladrillo comun para PB</t>
    </r>
  </si>
  <si>
    <t xml:space="preserve">Mamposteria cribada de ladrillo visto en balcones </t>
  </si>
  <si>
    <t xml:space="preserve">Bloque de H° con masillado de hormigon </t>
  </si>
  <si>
    <t>Pozo de bombeo pluvial y cloacal</t>
  </si>
  <si>
    <r>
      <t xml:space="preserve">Azotado hidrofugo - </t>
    </r>
    <r>
      <rPr>
        <i/>
        <sz val="10"/>
        <color rgb="FFFF0000"/>
        <rFont val="Calibri"/>
        <family val="2"/>
        <scheme val="minor"/>
      </rPr>
      <t>Sobre medianeras existentes</t>
    </r>
  </si>
  <si>
    <r>
      <t xml:space="preserve">Azotado hidrofugo - </t>
    </r>
    <r>
      <rPr>
        <i/>
        <sz val="10"/>
        <color rgb="FFFF0000"/>
        <rFont val="Calibri"/>
        <family val="2"/>
        <scheme val="minor"/>
      </rPr>
      <t xml:space="preserve">Contrapiso de vereda </t>
    </r>
  </si>
  <si>
    <r>
      <t xml:space="preserve">Membrana asfaltica geotextil 4mm </t>
    </r>
    <r>
      <rPr>
        <i/>
        <sz val="10"/>
        <color rgb="FFFF0000"/>
        <rFont val="Calibri"/>
        <family val="2"/>
        <scheme val="minor"/>
      </rPr>
      <t>- Balcones y azotea - Inc. 20% en concepto de babetas</t>
    </r>
  </si>
  <si>
    <t>Impermeabilización de subsuelo</t>
  </si>
  <si>
    <t>Revoque Grueso Impermeable Exterior proyectable</t>
  </si>
  <si>
    <r>
      <t xml:space="preserve">Revoque Grueso Impermeable Exterior a mas de 3m proyectable </t>
    </r>
    <r>
      <rPr>
        <i/>
        <sz val="10"/>
        <color rgb="FFFF0000"/>
        <rFont val="Calibri"/>
        <family val="2"/>
        <scheme val="minor"/>
      </rPr>
      <t>- Medianero y fachadas</t>
    </r>
  </si>
  <si>
    <t>Buña en revoque</t>
  </si>
  <si>
    <t>Revoque Grueso Interior + fino</t>
  </si>
  <si>
    <t>Contrapiso de cascotes en SS e: 15 cm</t>
  </si>
  <si>
    <t>Contrapiso de cascote s/terreno natural e: 20 cm - Incluye film de polietileno</t>
  </si>
  <si>
    <t>Contrapiso de cascotes en azoteas c/pendiente e: 15 cm</t>
  </si>
  <si>
    <t xml:space="preserve">Contrapiso - Carpeta monolitico e: 7 cm </t>
  </si>
  <si>
    <t xml:space="preserve">Carpeta en PB y balcones, baños y azoteas e: 3,00 cm </t>
  </si>
  <si>
    <t>Carpeta sobre membrana</t>
  </si>
  <si>
    <t>Banquinas para cocinas</t>
  </si>
  <si>
    <t>Banquinas para bombas y tanques en SB</t>
  </si>
  <si>
    <t>Cemento alisado arrodillado en escaleras</t>
  </si>
  <si>
    <t xml:space="preserve">Zócalo de concreto </t>
  </si>
  <si>
    <t>Provisión y colocación de Rodapie/ Zócalo rampante en placa cementicia</t>
  </si>
  <si>
    <t>VENTILACIONES</t>
  </si>
  <si>
    <r>
      <t xml:space="preserve">Ventilación Conducto Humos. Incluye toma de aire en PB </t>
    </r>
    <r>
      <rPr>
        <i/>
        <sz val="10"/>
        <color rgb="FFFF0000"/>
        <rFont val="Calibri"/>
        <family val="2"/>
        <scheme val="minor"/>
      </rPr>
      <t>- No aplica s/proyecto</t>
    </r>
  </si>
  <si>
    <r>
      <t xml:space="preserve">Ventilación Baños </t>
    </r>
    <r>
      <rPr>
        <i/>
        <sz val="10"/>
        <color rgb="FFFF0000"/>
        <rFont val="Calibri"/>
        <family val="2"/>
        <scheme val="minor"/>
      </rPr>
      <t xml:space="preserve">- En caño Ø 110 </t>
    </r>
  </si>
  <si>
    <r>
      <t>Colocación de rejillas de inyección y extracción</t>
    </r>
    <r>
      <rPr>
        <i/>
        <sz val="10"/>
        <color rgb="FFFF0000"/>
        <rFont val="Calibri"/>
        <family val="2"/>
        <scheme val="minor"/>
      </rPr>
      <t xml:space="preserve"> - No aplica s/proyecto</t>
    </r>
  </si>
  <si>
    <t>Sombreretes en chapa prepintada C25</t>
  </si>
  <si>
    <r>
      <t xml:space="preserve">Colocación de travertino en hall PB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</si>
  <si>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paliers, terraza y espacios comunes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</si>
  <si>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UF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</si>
  <si>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 xml:space="preserve">Provisión y ejecución de alisado de cemento rodillado </t>
  </si>
  <si>
    <r>
      <t>Colocación de baldoson de vereda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</si>
  <si>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Provisión y ejecución de pavimento e: 18 cm, incluye malla Q188</t>
  </si>
  <si>
    <t>Provisión y colocación de zocalos de Madera (MDF) h: 7 cm</t>
  </si>
  <si>
    <r>
      <t xml:space="preserve">Colocación de zocalo de porcelanico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</si>
  <si>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palieres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</si>
  <si>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terraza y espacios comunes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</si>
  <si>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>Revestimiento en baños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</si>
  <si>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>Revestimiento en cocinas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</si>
  <si>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Revestimiento tejuela exterior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</si>
  <si>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Provisión y colocación de perfileria de aluminio tipo ATRIM L anod. Natural</t>
  </si>
  <si>
    <t xml:space="preserve">Cielorraso junta tomada placa STD </t>
  </si>
  <si>
    <t>Cielorraso junta tomada placa RH</t>
  </si>
  <si>
    <t>Cajon en junta tomada placa STD</t>
  </si>
  <si>
    <t>Buña perimetral / Cantoneras</t>
  </si>
  <si>
    <t>Aplicado de yeso interior</t>
  </si>
  <si>
    <t xml:space="preserve">Buña en yeso </t>
  </si>
  <si>
    <t>H° Visto - Maquillaje para recibir pintura</t>
  </si>
  <si>
    <t>Látex interior para paredes Bco. mate (enduido parcial)</t>
  </si>
  <si>
    <t>Látex interior para paredes Bco. mate (s/enduido)</t>
  </si>
  <si>
    <t>Látex para cielorraso Bco. mate (enduido parcial)</t>
  </si>
  <si>
    <t>Látex para cielorraso Bco. mate (enduido completo)</t>
  </si>
  <si>
    <t>Latex interior cielorraso sobre H°</t>
  </si>
  <si>
    <t>Revestimiento plastico tipo Quimtex en exteriores y PB</t>
  </si>
  <si>
    <t>Revestimiento plastico tipo Quimtex en exteriores a mas de 3m de altura, incluye medianeras</t>
  </si>
  <si>
    <t>Esmalte sintético en puertas placa, chapa y de ascensor</t>
  </si>
  <si>
    <r>
      <t xml:space="preserve">Convertidor y esmalte sintentico en barandas </t>
    </r>
    <r>
      <rPr>
        <i/>
        <sz val="10"/>
        <color rgb="FFFF0000"/>
        <rFont val="Calibri"/>
        <family val="2"/>
        <scheme val="minor"/>
      </rPr>
      <t>- Escalera, balcones, porton, medidores y SDM</t>
    </r>
  </si>
  <si>
    <t>MARMOLES Y GRANITOS - PROVISION Y COLOCACION A CARGO DEL COMITENTE</t>
  </si>
  <si>
    <r>
      <t xml:space="preserve">Amure de puertas placa </t>
    </r>
    <r>
      <rPr>
        <i/>
        <sz val="10"/>
        <color rgb="FFFF0000"/>
        <rFont val="Calibri"/>
        <family val="2"/>
        <scheme val="minor"/>
      </rPr>
      <t xml:space="preserve"> Provisión a cargo del comitente</t>
    </r>
  </si>
  <si>
    <r>
      <t xml:space="preserve">Amure de puertas de chapa e ingresos depto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</si>
  <si>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>Amure de premarcos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</si>
  <si>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Amure Puertas de Ascensor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</si>
  <si>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Tendido y cableado boca Iluminación</t>
  </si>
  <si>
    <t>Tendido y cableado boca Iluminación - Caja mignon para Led</t>
  </si>
  <si>
    <t>Tendido y cableado boca tomacorriente</t>
  </si>
  <si>
    <r>
      <t xml:space="preserve">Tendido y cableado boca de temostato </t>
    </r>
    <r>
      <rPr>
        <i/>
        <sz val="10"/>
        <color rgb="FFFF0000"/>
        <rFont val="Calibri"/>
        <family val="2"/>
        <scheme val="minor"/>
      </rPr>
      <t>- Sin instalación de termostato</t>
    </r>
  </si>
  <si>
    <t>Tablero Servicios generales - TSG</t>
  </si>
  <si>
    <t>Tablero Bombas impulsión - TS BI</t>
  </si>
  <si>
    <t>Tablero Seccional ascensor - TS.ASC.</t>
  </si>
  <si>
    <t>Tablero de Bomba presurizadora - TS BR</t>
  </si>
  <si>
    <t xml:space="preserve">Tablero TS Local </t>
  </si>
  <si>
    <t>Tablero de UF (monoambiente)</t>
  </si>
  <si>
    <t>Tablero de UF (2 y 3 ambientes)</t>
  </si>
  <si>
    <r>
      <t>Colocación de teclas simples y/o combinadas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</si>
  <si>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pulsadores, circulación + timbres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</si>
  <si>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tomacorriente simple y doble 10 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</si>
  <si>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zumbador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</si>
  <si>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fotocelula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</si>
  <si>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Vera</t>
  </si>
  <si>
    <t>Act</t>
  </si>
  <si>
    <t>Incidencia</t>
  </si>
  <si>
    <t>Tendido caño cloacal en planta baja y ss</t>
  </si>
  <si>
    <t>Cloaca</t>
  </si>
  <si>
    <t>Armado de pozo de bombeo cloacal</t>
  </si>
  <si>
    <t>Pluvial + SPLIT</t>
  </si>
  <si>
    <t>AF Y AC</t>
  </si>
  <si>
    <t>Incendio</t>
  </si>
  <si>
    <t>Tendido caño pluvial en planta baja y ss</t>
  </si>
  <si>
    <t>Tendido caño de agua en SS hasta TB. Colocación de TB, armado de colector y cuadro de bombas</t>
  </si>
  <si>
    <t>Colocación TR, armado de colector, subida y bajadas de AF</t>
  </si>
  <si>
    <r>
      <t xml:space="preserve">Colocación de artefactos y griferias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</si>
  <si>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Tendido de cañerías de mando y retorno para calefacción</t>
  </si>
  <si>
    <r>
      <t xml:space="preserve">Montaje de radiadores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</si>
  <si>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Montaje de caldera y puesta en marcha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</si>
  <si>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Tendido cañeria de incendio </t>
    </r>
    <r>
      <rPr>
        <i/>
        <sz val="10"/>
        <color rgb="FFFF0000"/>
        <rFont val="Calibri"/>
        <family val="2"/>
        <scheme val="minor"/>
      </rPr>
      <t xml:space="preserve">- Gabinetes, mangueras, lanzas y valvulas cotizadas en provisiones </t>
    </r>
  </si>
  <si>
    <t xml:space="preserve">Preinstalación para AA.CC </t>
  </si>
  <si>
    <r>
      <t>Montaje, colocación y puesta en marcha de equipos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</si>
  <si>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Ascensores </t>
    </r>
    <r>
      <rPr>
        <i/>
        <sz val="10"/>
        <color rgb="FFFF0000"/>
        <rFont val="Calibri"/>
        <family val="2"/>
        <scheme val="minor"/>
      </rPr>
      <t>- Provisión y colocación a cargo del comitente</t>
    </r>
  </si>
  <si>
    <r>
      <t>Artefactos de cocina, instalacion anafes y hornos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</si>
  <si>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Albañilería parrila completa</t>
  </si>
  <si>
    <r>
      <t xml:space="preserve">Colocación de ladrillos de vidrio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</si>
  <si>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Provisión y amure de tapas para pleno electricos y gas en palieres</t>
  </si>
  <si>
    <t xml:space="preserve"> Ayuda de Gremios</t>
  </si>
  <si>
    <t>Alquiler de equipos - Montacargas, tubos de descarga y balancin</t>
  </si>
  <si>
    <t>3 ambientes</t>
  </si>
  <si>
    <t>1 ambienta</t>
  </si>
  <si>
    <t>COMPRA DIRECTA COMITENTE</t>
  </si>
  <si>
    <t>Hierro c/ corte y doblado</t>
  </si>
  <si>
    <t>kg</t>
  </si>
  <si>
    <t>H° - inc hidrofugo, bombeo, piedra 6/12</t>
  </si>
  <si>
    <r>
      <t xml:space="preserve">Tanques y bombas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</si>
  <si>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Matafuego ABC x 5 kg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</si>
  <si>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Matafuego CO2 x 3,5 kg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</si>
  <si>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Boca de incencio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</si>
  <si>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Boca de impulsión </t>
    </r>
    <r>
      <rPr>
        <i/>
        <sz val="10"/>
        <color rgb="FFFF0000"/>
        <rFont val="Calibri"/>
        <family val="2"/>
        <scheme val="minor"/>
      </rPr>
      <t>- No cotiza</t>
    </r>
  </si>
  <si>
    <t>Gestión de compras</t>
  </si>
  <si>
    <t>%</t>
  </si>
  <si>
    <t>Los valores no contemplan IVA</t>
  </si>
  <si>
    <t>Presupuesto base sep 24</t>
  </si>
  <si>
    <t>VARIOS</t>
  </si>
  <si>
    <t xml:space="preserve">Colocación de artefactos a gas - Anafe/Horno </t>
  </si>
  <si>
    <t xml:space="preserve">Provisión y colicación de campanas de parrilla y ventilaciones individuales. Tramo a los 4 vientos en chapa prep. Negra </t>
  </si>
  <si>
    <r>
      <t>Provisión de teclas, tomacorrientes, pulsadores marca Cambre Linea SXXI</t>
    </r>
    <r>
      <rPr>
        <i/>
        <sz val="10"/>
        <color rgb="FFFF0000"/>
        <rFont val="Calibri"/>
        <family val="2"/>
        <scheme val="minor"/>
      </rPr>
      <t xml:space="preserve"> No incluye mod. Coaxil ni RJ45</t>
    </r>
  </si>
  <si>
    <t>CALEFACCION</t>
  </si>
  <si>
    <t>Tendido de cañería por piso, manta y malla</t>
  </si>
  <si>
    <t>Colectores y gabinetes</t>
  </si>
  <si>
    <t>Flexibles caldera</t>
  </si>
  <si>
    <t>MESES</t>
  </si>
  <si>
    <t>Descrip</t>
  </si>
  <si>
    <t>Mes</t>
  </si>
  <si>
    <t>Total Dias</t>
  </si>
  <si>
    <t>GASTOS GENERALES y BENEFICIO</t>
  </si>
  <si>
    <t>Prelim</t>
  </si>
  <si>
    <t>Syh permanente</t>
  </si>
  <si>
    <t>Mov de suelos y excav.</t>
  </si>
  <si>
    <t>Gastos Grales de obra en items</t>
  </si>
  <si>
    <t>Precio Unit</t>
  </si>
  <si>
    <t>Losa sobre PB</t>
  </si>
  <si>
    <t>Oficina en obra (6x3 c/AA)</t>
  </si>
  <si>
    <t>Losa sobre 1</t>
  </si>
  <si>
    <t>Obrador 6x3 s/AA</t>
  </si>
  <si>
    <t>Losa sobre 2</t>
  </si>
  <si>
    <t>Pañol (6x3)</t>
  </si>
  <si>
    <t>Losa sobre 3</t>
  </si>
  <si>
    <t>Inicio mamposteria</t>
  </si>
  <si>
    <t>Baños</t>
  </si>
  <si>
    <t>Losa sobre 4</t>
  </si>
  <si>
    <t>Losa sobre SM</t>
  </si>
  <si>
    <t xml:space="preserve">Meses H° </t>
  </si>
  <si>
    <t>Estacionamiento en contramano</t>
  </si>
  <si>
    <t>HyS permanente</t>
  </si>
  <si>
    <t>Mampostería</t>
  </si>
  <si>
    <t>HyS</t>
  </si>
  <si>
    <t>Revoques, contrap y carp</t>
  </si>
  <si>
    <t>Energía de obra</t>
  </si>
  <si>
    <t>Colocación</t>
  </si>
  <si>
    <t>Agua de obra</t>
  </si>
  <si>
    <t>Internet</t>
  </si>
  <si>
    <t>Terminaciones</t>
  </si>
  <si>
    <t>Alquiler cerco de obra chapa</t>
  </si>
  <si>
    <t>Proyecto Ejecutivo</t>
  </si>
  <si>
    <t>Proyecto (50%)</t>
  </si>
  <si>
    <t>Coordinacion de obra</t>
  </si>
  <si>
    <t>Jefe de obra</t>
  </si>
  <si>
    <t>Sobrestante</t>
  </si>
  <si>
    <t>Administrativo en obra</t>
  </si>
  <si>
    <t>Logistica</t>
  </si>
  <si>
    <t>Vehiculo obra</t>
  </si>
  <si>
    <t>Mov y viaticos</t>
  </si>
  <si>
    <t>UOCRA</t>
  </si>
  <si>
    <t>Pañolero/Sereno</t>
  </si>
  <si>
    <t>Bobcat</t>
  </si>
  <si>
    <t>Camion limpieza</t>
  </si>
  <si>
    <t>Tijera electrica 12</t>
  </si>
  <si>
    <t>JLG</t>
  </si>
  <si>
    <t>Grua 20ton</t>
  </si>
  <si>
    <t>Admin (50%Compras - 50%RRHH)</t>
  </si>
  <si>
    <t>Seguros</t>
  </si>
  <si>
    <t>IIBB (monto venta obra gris)</t>
  </si>
  <si>
    <t>Imp cheque</t>
  </si>
  <si>
    <t>Contrato</t>
  </si>
  <si>
    <t>Monto puesto en Ayuda de gremio que no se eroga</t>
  </si>
  <si>
    <t>Imputados en pres</t>
  </si>
  <si>
    <t>Total GGBB</t>
  </si>
  <si>
    <t>Total de Gastos Generales</t>
  </si>
  <si>
    <t>Corralon</t>
  </si>
  <si>
    <t>Subcontratos</t>
  </si>
  <si>
    <t>A</t>
  </si>
  <si>
    <t>GG</t>
  </si>
  <si>
    <t>Imprevistos + Negociacion</t>
  </si>
  <si>
    <t>Beneficio</t>
  </si>
  <si>
    <t>B</t>
  </si>
  <si>
    <t>K</t>
  </si>
  <si>
    <t>A+B</t>
  </si>
  <si>
    <t>CUADRO DE GESTIÓN CONSOLIDADO - Pto. #1</t>
  </si>
  <si>
    <t>Cuenta</t>
  </si>
  <si>
    <t>HormigónMAT</t>
  </si>
  <si>
    <t>HormigónMO</t>
  </si>
  <si>
    <t>Gtos Directos</t>
  </si>
  <si>
    <t>Gtos Indirectos</t>
  </si>
  <si>
    <t xml:space="preserve">Payroll - Socios </t>
  </si>
  <si>
    <t>Intereses Financiamiento</t>
  </si>
  <si>
    <t>Payroll - Administración</t>
  </si>
  <si>
    <t>CUADRO DE GESTIÓN CONSOLIDADO - Pto. #2</t>
  </si>
  <si>
    <t>AlbañileríaMAT</t>
  </si>
  <si>
    <t>AlbañileríaMO</t>
  </si>
  <si>
    <t>DurlockMAT</t>
  </si>
  <si>
    <t>DurlockMO</t>
  </si>
  <si>
    <t>RevestimientoMAT</t>
  </si>
  <si>
    <t>RevestimientoMO</t>
  </si>
  <si>
    <t>PinturaMAT</t>
  </si>
  <si>
    <t>PinturaMO</t>
  </si>
  <si>
    <t>EléctricoMAT</t>
  </si>
  <si>
    <t>EléctricoMO</t>
  </si>
  <si>
    <t>SanitariaMAT</t>
  </si>
  <si>
    <t>SanitariaMO</t>
  </si>
  <si>
    <t>TermomecánicaMAT</t>
  </si>
  <si>
    <t>TermomecánicaMO</t>
  </si>
  <si>
    <t xml:space="preserve">Certificado </t>
  </si>
  <si>
    <t>PRESUPUESTO OBRA CIVIL 01</t>
  </si>
  <si>
    <t>Avance</t>
  </si>
  <si>
    <t>Materiales</t>
  </si>
  <si>
    <t>Mano de Obra</t>
  </si>
  <si>
    <t xml:space="preserve">Materiales </t>
  </si>
  <si>
    <t>Anterior</t>
  </si>
  <si>
    <t>Actual</t>
  </si>
  <si>
    <r>
      <t xml:space="preserve">Limpieza y preparación del terreno </t>
    </r>
    <r>
      <rPr>
        <i/>
        <sz val="10"/>
        <color rgb="FFFF0000"/>
        <rFont val="Calibri"/>
        <family val="2"/>
      </rPr>
      <t>- No cotiza</t>
    </r>
  </si>
  <si>
    <r>
      <t xml:space="preserve">Cartel de Obra </t>
    </r>
    <r>
      <rPr>
        <i/>
        <sz val="10"/>
        <color rgb="FFFF0000"/>
        <rFont val="Calibri"/>
        <family val="2"/>
      </rPr>
      <t>- No cotiza</t>
    </r>
  </si>
  <si>
    <r>
      <t>Cerco de obra perimetral</t>
    </r>
    <r>
      <rPr>
        <i/>
        <sz val="10"/>
        <color rgb="FFFF0000"/>
        <rFont val="Calibri"/>
        <family val="2"/>
      </rPr>
      <t xml:space="preserve"> - En chapa C25 + Concertina + Porton corredizo </t>
    </r>
  </si>
  <si>
    <r>
      <t>Obrador, pañol y ducha</t>
    </r>
    <r>
      <rPr>
        <i/>
        <sz val="10"/>
        <rFont val="Calibri"/>
        <family val="2"/>
      </rPr>
      <t>.</t>
    </r>
  </si>
  <si>
    <r>
      <t xml:space="preserve">Aporte y compactación de suelo seleccionado, e: 40 cm (2 capas de 20 cm) </t>
    </r>
    <r>
      <rPr>
        <i/>
        <sz val="10"/>
        <color rgb="FFFF0000"/>
        <rFont val="Calibri"/>
        <family val="2"/>
      </rPr>
      <t>- Cotizado Hº Pobre en item 8,02</t>
    </r>
  </si>
  <si>
    <r>
      <t xml:space="preserve">Demolición de bases existentes </t>
    </r>
    <r>
      <rPr>
        <i/>
        <sz val="10"/>
        <color rgb="FFFF0000"/>
        <rFont val="Calibri"/>
        <family val="2"/>
      </rPr>
      <t>- No cotiza</t>
    </r>
  </si>
  <si>
    <r>
      <t xml:space="preserve">Tanques de HºAº - H35 (100 kg/m3 de hierro) </t>
    </r>
    <r>
      <rPr>
        <i/>
        <sz val="10"/>
        <color rgb="FFFF0000"/>
        <rFont val="Calibri"/>
        <family val="2"/>
      </rPr>
      <t>- Tanque de reserva</t>
    </r>
  </si>
  <si>
    <r>
      <t xml:space="preserve">Picado de medianeras para columnas y vigas </t>
    </r>
    <r>
      <rPr>
        <i/>
        <sz val="10"/>
        <color rgb="FFFF0000"/>
        <rFont val="Calibri"/>
        <family val="2"/>
      </rPr>
      <t>- Cotizado para PB y 1P</t>
    </r>
  </si>
  <si>
    <t>PRESUPUESTO 02 - ALBANILERIA, INSTALACIONES Y TERMINACIONES</t>
  </si>
  <si>
    <t>Enchape de medianeras existentes - Contemplamos picado zonas sueltas y enchape con ladrillo comun para PB</t>
  </si>
  <si>
    <t>Vigas de encadenado - Cuantía aprox. 60 kg/m3</t>
  </si>
  <si>
    <t>Aislación hidrófuga horizontal (baños) - Inc. membrana geotextil y 35% en concepto de babetas</t>
  </si>
  <si>
    <t>Azotado hidrófugo - Contrapiso de PB</t>
  </si>
  <si>
    <t>Membrana asfáltica geotextil 4mm - Balcones y azotea - Inc. 20% en concepto de babetas</t>
  </si>
  <si>
    <t>Revoque Grueso Impermeable Exterior a mas de 3m - Medianero y fachadas</t>
  </si>
  <si>
    <t>Contrapiso con piedra binder e: 4/5 cm - En locales húmedos (baños)</t>
  </si>
  <si>
    <t>Carpeta autonivelante e: 4/10 mm - En locales húmedos (baños)</t>
  </si>
  <si>
    <t>Montaje de conductos de ventilación de baños C27 - Provisión a cargo del comitente</t>
  </si>
  <si>
    <t>Montaje de conductos de ventilación de parrillas C27 - Provisión a cargo del comitente</t>
  </si>
  <si>
    <t>Montaje de campanas de parrillas C22 - Provisión a cargo del comitente</t>
  </si>
  <si>
    <t>Montaje de sombreretes en chapa prepintada C25 - Provisión a cargo del comitente</t>
  </si>
  <si>
    <t>Colocación de porcelanato a definir en sspacios comunes - Provisión a cargo del comitente</t>
  </si>
  <si>
    <t>Colocación de pavimento intertrabado de H°, incluye provisión y colocación de cama de arena + tomado de junta - Provisión a cargo del comitente</t>
  </si>
  <si>
    <t>Colocación de garden block, incluye provisión y colocación de cama de arena + tomado de junta - Provisión a cargo del comitente</t>
  </si>
  <si>
    <t>Colocación de baldoson granítico vereda 40 x 40 - Provisión a cargo del comitente</t>
  </si>
  <si>
    <t>Colocación de porcelanato a definir Interior UF - Provisión a cargo del comitente</t>
  </si>
  <si>
    <t>Colocación de porcelanato a definir Baños - Provisión a cargo del comitente</t>
  </si>
  <si>
    <t>Colocación de porcelanato a definir Balcones - Provisión a cargo del comitente</t>
  </si>
  <si>
    <t>Colocación de porcelanato a definir Palier - Provisión a cargo del comitente</t>
  </si>
  <si>
    <t>Colocación de zócalo de porcelanato - Provisión a cargo del comitente</t>
  </si>
  <si>
    <t>Colocación de porcelanato en baños - Provisión a cargo del comitente</t>
  </si>
  <si>
    <t>Colocación de revestimiento en cocinas - Provisión a cargo del comitente</t>
  </si>
  <si>
    <t>Colocación de listones refractarios en parrillas - Provisión a cargo del comitente</t>
  </si>
  <si>
    <t>Revestimiento Simil madera - Cotizado en provisiones</t>
  </si>
  <si>
    <t>Latex exterior mate en paredes, color bco., sin enduido, a mas de 3 m de altura - Medianeras</t>
  </si>
  <si>
    <t>Latex exterior acrílico en cielorraso, color a definir, sin enduido - Sector cocheras</t>
  </si>
  <si>
    <t>Esmalte sintetico en puertas color bco. - Puertas placa, de chapa y de ascensor</t>
  </si>
  <si>
    <t>Esmalte sintético convertidor antioxido color negro satinado en herrería - Barandas, herrerías, etc.</t>
  </si>
  <si>
    <t xml:space="preserve">Amure de puertas placa  </t>
  </si>
  <si>
    <t xml:space="preserve">Amure de premarcos </t>
  </si>
  <si>
    <t>Colocación de sensor de movimiento - Provisión a cargo del comitente</t>
  </si>
  <si>
    <t>Colocación de teclas simples y/o combinadas, pulsadores - Provisión a cargo del comitente</t>
  </si>
  <si>
    <t>Colocación de tomas simples/dobles/encapsulados - Provisión a cargo del comitente</t>
  </si>
  <si>
    <t>Colocación de campanilla/zumbadores - Provisión a cargo del comitente</t>
  </si>
  <si>
    <t>Colocación de extractor de baño - Provisión a cargo del comitente</t>
  </si>
  <si>
    <t>Colocación de luz de emergencia - Provisión a cargo del comitente</t>
  </si>
  <si>
    <t>Colocación de semáforo - Provisión a cargo del comitente</t>
  </si>
  <si>
    <t>Colocación artefactos en espacios comunes y balcones - Provisión a cargo del comitente. NO incluye provisión, ni colocación de artefactos en interior de UF</t>
  </si>
  <si>
    <t>Armado y conexionado de desagües AA.CC</t>
  </si>
  <si>
    <t>Tendido de cañerías de piso radiante - Colectores, gabinetes y termostatos a cargo del comitente</t>
  </si>
  <si>
    <t>Montaje de caldera y puesta en marcha - Provisión a cargo del comitente, incluida las ventilaciones</t>
  </si>
  <si>
    <t>Tendido cañeria de incendio - Gabinetes, tapas, mangueras y lanzas cotizadas en provisiones</t>
  </si>
  <si>
    <t>Colocación de anafes - Provisión a cargo del comitente</t>
  </si>
  <si>
    <t>Preinstalación para AA.CC - Cotizado en provisiones</t>
  </si>
  <si>
    <t>Montaje, colocación y puesta en marcha de equipos - Cotizado en provisiones</t>
  </si>
  <si>
    <t>Instalación de artefactos de cocina, hornos - Provisión a cargo del comitente</t>
  </si>
  <si>
    <t>Instalacion de extractores de baños - Provisión a cargo del comitente</t>
  </si>
  <si>
    <t xml:space="preserve">Albañilería parrilla completa - Losa y muros </t>
  </si>
  <si>
    <t>Amure de tapas para pleno eléctricos y gas en palieres - Provisión a cargo del comitente</t>
  </si>
  <si>
    <t>RESUMEN CERTIFICADO</t>
  </si>
  <si>
    <t xml:space="preserve">CERT. N° </t>
  </si>
  <si>
    <t>IMPORTE</t>
  </si>
  <si>
    <t>Presupuesto aprobado</t>
  </si>
  <si>
    <t>Certificado actual</t>
  </si>
  <si>
    <t>D</t>
  </si>
  <si>
    <t xml:space="preserve">Desacopio </t>
  </si>
  <si>
    <t>Subtotal certificacion actual completa (SIN IVA)</t>
  </si>
  <si>
    <t>Base 12-2024</t>
  </si>
  <si>
    <t>Act. 02-2025</t>
  </si>
  <si>
    <t>F</t>
  </si>
  <si>
    <t>Actualizacion CAC</t>
  </si>
  <si>
    <t>G</t>
  </si>
  <si>
    <t>Subtotal certificacion con actualización (SIN IVA)</t>
  </si>
  <si>
    <t>Escala de tiempo</t>
  </si>
  <si>
    <t>Valores</t>
  </si>
  <si>
    <t>Previsión</t>
  </si>
  <si>
    <t>Indice</t>
  </si>
  <si>
    <t>Cloaca y pluvial</t>
  </si>
  <si>
    <t>Gas</t>
  </si>
  <si>
    <t>M.O</t>
  </si>
  <si>
    <t>SVD 4140</t>
  </si>
  <si>
    <t>ACT X cac</t>
  </si>
  <si>
    <t>USD</t>
  </si>
  <si>
    <t>OBRA</t>
  </si>
  <si>
    <t>Aberturas</t>
  </si>
  <si>
    <t>Artefactos Sanitarios</t>
  </si>
  <si>
    <t>Instalación Incendio</t>
  </si>
  <si>
    <t>VitroBlock</t>
  </si>
  <si>
    <t>Presupuesto 1 - Certif. # 4 - B70</t>
  </si>
  <si>
    <t>Presupuesto 1 - Certif. # 4 - N30</t>
  </si>
  <si>
    <t>Presupuesto 2 - Certif. # 4 - B70</t>
  </si>
  <si>
    <t>Presupuesto 2 - Certif. # 4 - N30</t>
  </si>
  <si>
    <t>Pto.</t>
  </si>
  <si>
    <t>Cta. Corriente según facturación</t>
  </si>
  <si>
    <t>Cta. Corriente en Efectivo</t>
  </si>
  <si>
    <t>TC</t>
  </si>
  <si>
    <t>Pago a Cuenta de Deuda en USD</t>
  </si>
  <si>
    <t>Depósito Bco. Galicia</t>
  </si>
  <si>
    <t>SUB TOTAL OBRA GRIS (SIN IVA) - PRESUPUESTO 2</t>
  </si>
  <si>
    <t>Certif. #5</t>
  </si>
  <si>
    <t>Certif. #6</t>
  </si>
  <si>
    <t>0003-00000683</t>
  </si>
  <si>
    <t>0003-00000699</t>
  </si>
  <si>
    <t>0003-00000704</t>
  </si>
  <si>
    <t>Presupuesto 1 - Certif. #1</t>
  </si>
  <si>
    <t>Cert. # 4 - Pto. 1</t>
  </si>
  <si>
    <t>Cert. # 4 - Pto. 2</t>
  </si>
  <si>
    <t>Presupuesto 1 - Certif. # 5 - B70</t>
  </si>
  <si>
    <t>Presupuesto 1 - Certif. # 5 - N30</t>
  </si>
  <si>
    <t>Presupuesto 2 - Certif. # 5 - B70</t>
  </si>
  <si>
    <t>Presupuesto 2 - Certif. # 5 - N30</t>
  </si>
  <si>
    <t>0003-00000719</t>
  </si>
  <si>
    <t>Presupuesto 1 - Certif. #2</t>
  </si>
  <si>
    <t>Presupuesto 2 - Certif. #1</t>
  </si>
  <si>
    <t>Pto 2</t>
  </si>
  <si>
    <t>Presupuesto 2 - Certif. #2</t>
  </si>
  <si>
    <t>Certif. #7</t>
  </si>
  <si>
    <t>CUADRILLA HORMIGON</t>
  </si>
  <si>
    <t>Hormigon M.O.</t>
  </si>
  <si>
    <t>Hormigon M.O. - Cargas Sociales</t>
  </si>
  <si>
    <t>P.B.</t>
  </si>
  <si>
    <t>S/1er. Piso</t>
  </si>
  <si>
    <t>S/2do. Piso</t>
  </si>
  <si>
    <t>S/3er. Piso</t>
  </si>
  <si>
    <t>S/4to. Piso</t>
  </si>
  <si>
    <t>Piso y Techo SDM</t>
  </si>
  <si>
    <t>P.B. - Escalera</t>
  </si>
  <si>
    <t>1ro. - Escalera</t>
  </si>
  <si>
    <t>2do. - Escalera</t>
  </si>
  <si>
    <t>3er - Escalera</t>
  </si>
  <si>
    <t>4to. - Escalera</t>
  </si>
  <si>
    <t>1Q 04-2025</t>
  </si>
  <si>
    <t>2Q 04-2025</t>
  </si>
  <si>
    <t>1Q 05-2025</t>
  </si>
  <si>
    <t>2Q 05-2025</t>
  </si>
  <si>
    <t>1Q 06-2025</t>
  </si>
  <si>
    <t>2Q 06-2025</t>
  </si>
  <si>
    <t>Pago Certif. Fundaciones</t>
  </si>
  <si>
    <t>Quincenas</t>
  </si>
  <si>
    <t>Cargas Sociales</t>
  </si>
  <si>
    <t>06-2025 - Bonos</t>
  </si>
  <si>
    <t>07-2025 - Bonos</t>
  </si>
  <si>
    <t>1Q 07-2025</t>
  </si>
  <si>
    <t>2Q 07-2025</t>
  </si>
  <si>
    <t>1Q 08-2025</t>
  </si>
  <si>
    <t>a Facturar</t>
  </si>
  <si>
    <t>Cert. # 5 - Pto. 1</t>
  </si>
  <si>
    <t>Cert. # 5 - Pto. 2</t>
  </si>
  <si>
    <t>0003-00000721</t>
  </si>
  <si>
    <t>2Q 08-2025</t>
  </si>
  <si>
    <t>1Q 09-2024</t>
  </si>
  <si>
    <t>08-2025 - Bonos</t>
  </si>
  <si>
    <t>Saldo Certif. Losa 1 y Esc PB</t>
  </si>
  <si>
    <t>SAC 06-2025</t>
  </si>
  <si>
    <t>Cert. # 6 - Pto. 1</t>
  </si>
  <si>
    <t>Cert. # 6 - Pto. 2</t>
  </si>
  <si>
    <t>Presupuesto 1 - Certif. # 6 - B70</t>
  </si>
  <si>
    <t>Presupuesto 1 - Certif. # 6 - N30</t>
  </si>
  <si>
    <t>Presupuesto 2 - Certif. # 6 - B70</t>
  </si>
  <si>
    <t>Presupuesto 2 - Certif. # 6 - N30</t>
  </si>
  <si>
    <t>0003-00000722</t>
  </si>
  <si>
    <t>0003-00000723</t>
  </si>
  <si>
    <t>Presupuesto 1 - Certif. #3</t>
  </si>
  <si>
    <t>Presupuesto 2 - Certif. #3</t>
  </si>
  <si>
    <t>Presupuesto 1 - Certif. #4</t>
  </si>
  <si>
    <t>Presupuesto 2 - Certif. #4</t>
  </si>
  <si>
    <t>0003-00000736</t>
  </si>
  <si>
    <t>50% Herrera Nogales</t>
  </si>
  <si>
    <t>2Q 09-2024</t>
  </si>
  <si>
    <t>1Q 09-2025</t>
  </si>
  <si>
    <t>2Q 09-2025</t>
  </si>
  <si>
    <t>SUB TOTAL OBRA GRIS (SIN IVA) - PRESUPUESTO 1</t>
  </si>
  <si>
    <t>0003-00000754</t>
  </si>
  <si>
    <t>Presupuesto 1 - Certif. #5</t>
  </si>
  <si>
    <t>Presupuesto 2 - Certif. #5</t>
  </si>
  <si>
    <t>P1B70</t>
  </si>
  <si>
    <t>P1N30</t>
  </si>
  <si>
    <t>P2B70</t>
  </si>
  <si>
    <t>P2N30</t>
  </si>
  <si>
    <t>Certificado</t>
  </si>
  <si>
    <t>Facturable</t>
  </si>
  <si>
    <t xml:space="preserve">Total de Certificados Aprobados y Facturables </t>
  </si>
  <si>
    <t>Saldo de Certificados Aprobados sin Facturar</t>
  </si>
  <si>
    <t>CERT. - B</t>
  </si>
  <si>
    <t>Presupuesto 1 Preliminar Y Hormigon</t>
  </si>
  <si>
    <t>Presupuesto 2 -  Albañilería/Inst.</t>
  </si>
  <si>
    <t>Pago Certif. Losa 2</t>
  </si>
  <si>
    <t>1Q 10-2025</t>
  </si>
  <si>
    <t>10-2025 - Bonos</t>
  </si>
  <si>
    <t>2Q 10-2025</t>
  </si>
  <si>
    <t>Pago Certif. Losa 3</t>
  </si>
  <si>
    <t>1Q 11-2025</t>
  </si>
  <si>
    <t>Pago Certif. Losa 4</t>
  </si>
  <si>
    <t>0003-00000784</t>
  </si>
  <si>
    <t>Presupuesto 1 - Certif. #6</t>
  </si>
  <si>
    <t>Presupuesto 2 - Certif. #6</t>
  </si>
  <si>
    <t>AD01N</t>
  </si>
  <si>
    <t>Adicionales 01</t>
  </si>
  <si>
    <t>Adic</t>
  </si>
  <si>
    <t>Adicional 01 - Certif. #1</t>
  </si>
  <si>
    <t>Adicional 01 - Certif. #2</t>
  </si>
  <si>
    <t>Adicional 01 - Certif. #3</t>
  </si>
  <si>
    <t>Adicional 01 - Certif. #4</t>
  </si>
  <si>
    <t>Presupuesto 1 - Certif. # 7 - B65</t>
  </si>
  <si>
    <t>Presupuesto 1 - Certif. # 7 - N35</t>
  </si>
  <si>
    <t>Presupuesto 2 - Certif. # 7 - B65</t>
  </si>
  <si>
    <t>Presupuesto 2 - Certif. # 7 - N35</t>
  </si>
  <si>
    <t>Presupuesto 1 - Certif. # 8 - B65</t>
  </si>
  <si>
    <t>Presupuesto 1 - Certif. # 8 - N35</t>
  </si>
  <si>
    <t>Presupuesto 2 - Certif. # 8 - B65</t>
  </si>
  <si>
    <t>Presupuesto 2 - Certif. # 8 - N35</t>
  </si>
  <si>
    <t>Presupuesto 1 - Certif. # 9 - B65</t>
  </si>
  <si>
    <t>Presupuesto 1 - Certif. # 9 - N35</t>
  </si>
  <si>
    <t>Presupuesto 2 - Certif. # 9 - B65</t>
  </si>
  <si>
    <t>Presupuesto 2 - Certif. # 9 - N35</t>
  </si>
  <si>
    <t>0003-00000800</t>
  </si>
  <si>
    <t>0003-00000802</t>
  </si>
  <si>
    <t>0003-00000810</t>
  </si>
  <si>
    <t>Presupuesto 1 - Certif. # 7</t>
  </si>
  <si>
    <t>Presupuesto 2 - Certif. # 7</t>
  </si>
  <si>
    <t>Presupuesto 1 - Certif. # 8</t>
  </si>
  <si>
    <t>Presupuesto 2 - Certif. # 8</t>
  </si>
  <si>
    <t>Presupuesto 1 - Certif. # 9</t>
  </si>
  <si>
    <t>Presupuesto 2 - Certif. # 9</t>
  </si>
  <si>
    <t>ELVIO CESPEDES</t>
  </si>
  <si>
    <t>YESO</t>
  </si>
  <si>
    <t>REVOQUE EXTERIOR</t>
  </si>
  <si>
    <t>Presupuesto 2 - Certif. # 11 - B60</t>
  </si>
  <si>
    <t>Presupuesto 2 - Certif. # 11 - N40</t>
  </si>
  <si>
    <t>Elvio Cespedes - 2Q 02/26</t>
  </si>
  <si>
    <t>Cardozo Jorge - 2Q 02/26</t>
  </si>
  <si>
    <t>Presupuesto 2 - Certif. # 12 - B60</t>
  </si>
  <si>
    <t>Presupuesto 2 - Certif. # 12 - N40</t>
  </si>
  <si>
    <t>Presupuesto 2 - Certif. # 10 - B60</t>
  </si>
  <si>
    <t>Presupuesto 2 - Certif. # 10 - N40</t>
  </si>
  <si>
    <t>GGN</t>
  </si>
  <si>
    <t>COD</t>
  </si>
  <si>
    <t>Pto. 3</t>
  </si>
  <si>
    <t>Presupuesto 3 - Certif. #1</t>
  </si>
  <si>
    <t>Presupuesto 3 - Certif. #2</t>
  </si>
  <si>
    <t>Presupuesto 3 - Certif. #3</t>
  </si>
  <si>
    <t>Presupuesto 3 - Certif. #4</t>
  </si>
  <si>
    <t>Presupuesto 3 - Certif. #5</t>
  </si>
  <si>
    <t>Presupuesto 3 - Certif. #6</t>
  </si>
  <si>
    <t>Presupuesto 3 - Certif. #7</t>
  </si>
  <si>
    <t>Presupuesto 3 - Certif. #8</t>
  </si>
  <si>
    <t>Presupuesto 3 - Certif. #9</t>
  </si>
  <si>
    <t>Presupuesto 3 - Certif. #10</t>
  </si>
  <si>
    <t>Presupuesto 3 - Certif. #11</t>
  </si>
  <si>
    <t>Presupuesto 3 - Certif. #12</t>
  </si>
  <si>
    <t>0003-00000832</t>
  </si>
  <si>
    <t>Presupuesto 2 - Certif. # 10</t>
  </si>
  <si>
    <t>1Q 03-2026</t>
  </si>
  <si>
    <t>2Q 03-2026</t>
  </si>
  <si>
    <t>Deductivos Pto. 1 (Anticipo Pto. 1)</t>
  </si>
  <si>
    <t>Presupuesto 2 - Certif. # 13 - B60</t>
  </si>
  <si>
    <t>Presupuesto 2 - Certif. # 13 - N40</t>
  </si>
  <si>
    <t>Presupuesto 3 - Certif. #13</t>
  </si>
  <si>
    <t>DEDUCTIVOS</t>
  </si>
  <si>
    <t>SUBTOTAL DEDUCTIVOS PTO#1</t>
  </si>
  <si>
    <t>Tanques de HºAº - H35 (100 kg/m3 de hierro) - Tanque de reserva</t>
  </si>
  <si>
    <t>SUB TOTAL DEDUCTIVOS</t>
  </si>
  <si>
    <t>Resultado Operativo USD</t>
  </si>
  <si>
    <t>Resultado Acumulado USD</t>
  </si>
  <si>
    <t>Cotización Dólar MEP
Histórico</t>
  </si>
  <si>
    <t>Referencia</t>
  </si>
  <si>
    <t>1.299,32</t>
  </si>
  <si>
    <t>1.286,38</t>
  </si>
  <si>
    <t>1.287,59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</si>
</sst>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43" formatCode="_(* #,##0.00_);_(* \(#,##0.00\);_(* &quot;-&quot;??_);_(@_)"/>
    <numFmt numFmtId="164" formatCode="&quot;$&quot;\ #,##0.00;[Red]\-&quot;$&quot;\ #,##0.00"/>
    <numFmt numFmtId="165" formatCode="_-&quot;$&quot;\ * #,##0_-;\-&quot;$&quot;\ * #,##0_-;_-&quot;$&quot;\ * &quot;-&quot;_-;_-@_-"/>
    <numFmt numFmtId="166" formatCode="_-* #,##0_-;\-* #,##0_-;_-* &quot;-&quot;_-;_-@_-"/>
    <numFmt numFmtId="167" formatCode="_-&quot;$&quot;\ * #,##0.00_-;\-&quot;$&quot;\ * #,##0.00_-;_-&quot;$&quot;\ * &quot;-&quot;??_-;_-@_-"/>
    <numFmt numFmtId="168" formatCode="_-* #,##0.00_-;\-* #,##0.00_-;_-* &quot;-&quot;??_-;_-@_-"/>
    <numFmt numFmtId="169" formatCode="_ &quot;$&quot;\ * #,##0.00_ ;_ &quot;$&quot;\ * \-#,##0.00_ ;_ &quot;$&quot;\ * &quot;-&quot;??_ ;_ @_ "/>
    <numFmt numFmtId="170" formatCode="_ * #,##0.00_ ;_ * \-#,##0.00_ ;_ * &quot;-&quot;??_ ;_ @_ "/>
    <numFmt numFmtId="171" formatCode="_ * #,##0_ ;_ * \-#,##0_ ;_ * &quot;-&quot;_ ;_ @_ "/>
    <numFmt numFmtId="172" formatCode="_-* #,##0_-;\-* #,##0_-;_-* &quot;-&quot;??_-;_-@_-"/>
    <numFmt numFmtId="173" formatCode="[$$-2C0A]\ #,##0.00"/>
    <numFmt numFmtId="174" formatCode="dd\-mm\-yy;@"/>
    <numFmt numFmtId="175" formatCode="_-* #,##0.00\ _€_-;\-* #,##0.00\ _€_-;_-* &quot;-&quot;??\ _€_-;_-@_-"/>
    <numFmt numFmtId="176" formatCode="_-* #,##0.00\ _$_-;\-* #,##0.00\ _$_-;_-* &quot;-&quot;??\ _$_-;_-@_-"/>
    <numFmt numFmtId="177" formatCode="0\ &quot;Dias&quot;"/>
    <numFmt numFmtId="178" formatCode="_(* #,##0_);_(* \(#,##0\);_(* &quot;-&quot;??_);_(@_)"/>
    <numFmt numFmtId="179" formatCode="_-* #,##0.00\ _p_t_a_-;\-* #,##0.00\ _p_t_a_-;_-* &quot;-&quot;??\ _p_t_a_-;_-@_-"/>
    <numFmt numFmtId="180" formatCode="_(* #,##0.0000_);_(* \(#,##0.0000\);_(* &quot;-&quot;??_);_(@_)"/>
    <numFmt numFmtId="181" formatCode="0.000"/>
    <numFmt numFmtId="182" formatCode="0.0%"/>
    <numFmt numFmtId="183" formatCode="_-[$USD]\ * #,##0_-;\-[$USD]\ * #,##0_-;_-[$USD]\ * &quot;-&quot;_-;_-@_-"/>
    <numFmt numFmtId="184" formatCode="_ * #,##0.0_ ;_ * \-#,##0.0_ ;_ * &quot;-&quot;??_ ;_ @_ "/>
    <numFmt numFmtId="185" formatCode="_-* #,##0.0_-;\-* #,##0.0_-;_-* &quot;-&quot;??_-;_-@_-"/>
    <numFmt numFmtId="186" formatCode="0.000%"/>
    <numFmt numFmtId="187" formatCode="0.0000%"/>
    <numFmt numFmtId="188" formatCode="0.0000"/>
    <numFmt numFmtId="190" formatCode="_-* #,##0_-;\-* #,##0_-;_-* \-??_-;_-@_-"/>
  </numFmts>
  <fonts count="8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i/>
      <sz val="10"/>
      <color rgb="FFFF0000"/>
      <name val="Calibri"/>
      <family val="2"/>
    </font>
    <font>
      <b/>
      <sz val="10"/>
      <name val="Calibri"/>
      <family val="2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indexed="8"/>
      <name val="MS Sans Serif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name val="MS Sans Serif"/>
    </font>
    <font>
      <sz val="8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7"/>
      <name val="Calibri"/>
      <family val="2"/>
      <scheme val="minor"/>
    </font>
    <font>
      <sz val="10"/>
      <color theme="7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5"/>
      <name val="Calibri"/>
      <family val="2"/>
    </font>
    <font>
      <b/>
      <sz val="10"/>
      <color rgb="FFC0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8"/>
      <color theme="1"/>
      <name val="Calibri"/>
      <family val="2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name val="Calibri"/>
      <family val="2"/>
    </font>
    <font>
      <sz val="5"/>
      <color theme="1"/>
      <name val="Calibri"/>
      <family val="2"/>
    </font>
    <font>
      <sz val="6"/>
      <name val="Bbvabentonsanslight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color theme="2" tint="-0.749992370372631"/>
      <name val="Calibri Light"/>
      <family val="2"/>
      <scheme val="major"/>
    </font>
    <font>
      <sz val="11"/>
      <color theme="2" tint="-0.749992370372631"/>
      <name val="Calibri Light"/>
      <family val="2"/>
      <scheme val="major"/>
    </font>
    <font>
      <b/>
      <sz val="10"/>
      <color theme="1"/>
      <name val="Segoe UI"/>
      <family val="2"/>
    </font>
    <font>
      <sz val="10"/>
      <color theme="2" tint="-0.749992370372631"/>
      <name val="Calibri Light"/>
      <family val="2"/>
      <scheme val="major"/>
    </font>
    <font>
      <sz val="9"/>
      <color theme="1"/>
      <name val="Aptos Narrow"/>
      <family val="2"/>
      <charset val="1"/>
    </font>
    <font>
      <b/>
      <sz val="11"/>
      <color rgb="FF0000FF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Down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-0.249977111117893"/>
        <bgColor indexed="64"/>
      </patternFill>
    </fill>
  </fills>
  <borders count="8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thick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2499465926084170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1">
    <xf numFmtId="0" fontId="0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169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4" fillId="0" borderId="0"/>
    <xf numFmtId="176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/>
    <xf numFmtId="17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76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9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175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2" fillId="0" borderId="0"/>
    <xf numFmtId="168" fontId="22" fillId="0" borderId="0" applyFont="0" applyFill="0" applyBorder="0" applyAlignment="0" applyProtection="0"/>
    <xf numFmtId="0" fontId="4" fillId="0" borderId="0"/>
    <xf numFmtId="0" fontId="4" fillId="0" borderId="0"/>
    <xf numFmtId="169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9" fontId="4" fillId="0" borderId="0" applyFont="0" applyFill="0" applyBorder="0" applyAlignment="0" applyProtection="0"/>
    <xf numFmtId="0" fontId="20" fillId="0" borderId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168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48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1" fillId="0" borderId="48"/>
    <xf numFmtId="0" fontId="1" fillId="0" borderId="0"/>
    <xf numFmtId="179" fontId="4" fillId="0" borderId="0" applyFont="0" applyFill="0" applyBorder="0" applyAlignment="0" applyProtection="0"/>
    <xf numFmtId="168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4" fillId="0" borderId="48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6" fillId="0" borderId="48"/>
    <xf numFmtId="0" fontId="1" fillId="0" borderId="0"/>
    <xf numFmtId="176" fontId="1" fillId="0" borderId="0" applyFont="0" applyFill="0" applyBorder="0" applyAlignment="0" applyProtection="0"/>
    <xf numFmtId="0" fontId="4" fillId="0" borderId="48"/>
    <xf numFmtId="0" fontId="1" fillId="0" borderId="0"/>
    <xf numFmtId="0" fontId="1" fillId="0" borderId="0"/>
    <xf numFmtId="0" fontId="17" fillId="9" borderId="0" applyNumberFormat="0" applyBorder="0" applyAlignment="0" applyProtection="0"/>
    <xf numFmtId="168" fontId="4" fillId="0" borderId="0" applyFont="0" applyFill="0" applyBorder="0" applyAlignment="0" applyProtection="0"/>
    <xf numFmtId="0" fontId="1" fillId="0" borderId="0"/>
    <xf numFmtId="0" fontId="75" fillId="0" borderId="48"/>
  </cellStyleXfs>
  <cellXfs count="1452">
    <xf numFmtId="0" fontId="0" fillId="0" borderId="0" xfId="0"/>
    <xf numFmtId="0" fontId="3" fillId="2" borderId="0" xfId="0" applyFont="1" applyFill="1"/>
    <xf numFmtId="0" fontId="5" fillId="2" borderId="0" xfId="2" applyFont="1" applyFill="1"/>
    <xf numFmtId="168" fontId="1" fillId="2" borderId="0" xfId="1" applyFill="1" applyBorder="1" applyAlignment="1">
      <alignment vertical="center"/>
    </xf>
    <xf numFmtId="0" fontId="0" fillId="2" borderId="0" xfId="0" applyFill="1"/>
    <xf numFmtId="0" fontId="7" fillId="2" borderId="0" xfId="3" applyFont="1" applyFill="1" applyAlignment="1">
      <alignment vertical="center"/>
    </xf>
    <xf numFmtId="168" fontId="8" fillId="2" borderId="0" xfId="2" applyNumberFormat="1" applyFont="1" applyFill="1" applyAlignment="1">
      <alignment horizontal="center" wrapText="1"/>
    </xf>
    <xf numFmtId="0" fontId="2" fillId="0" borderId="0" xfId="0" applyFon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/>
    <xf numFmtId="0" fontId="0" fillId="5" borderId="11" xfId="0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0" fillId="5" borderId="11" xfId="0" applyFill="1" applyBorder="1"/>
    <xf numFmtId="0" fontId="2" fillId="8" borderId="6" xfId="0" applyFont="1" applyFill="1" applyBorder="1" applyAlignment="1">
      <alignment horizontal="center"/>
    </xf>
    <xf numFmtId="17" fontId="2" fillId="0" borderId="13" xfId="0" applyNumberFormat="1" applyFont="1" applyBorder="1" applyAlignment="1">
      <alignment horizontal="center"/>
    </xf>
    <xf numFmtId="171" fontId="0" fillId="0" borderId="13" xfId="0" applyNumberFormat="1" applyBorder="1" applyAlignment="1">
      <alignment horizontal="center" vertical="center"/>
    </xf>
    <xf numFmtId="172" fontId="0" fillId="0" borderId="13" xfId="0" applyNumberFormat="1" applyBorder="1"/>
    <xf numFmtId="172" fontId="0" fillId="0" borderId="14" xfId="0" applyNumberFormat="1" applyBorder="1"/>
    <xf numFmtId="0" fontId="0" fillId="5" borderId="13" xfId="0" applyFill="1" applyBorder="1" applyAlignment="1">
      <alignment horizontal="center"/>
    </xf>
    <xf numFmtId="171" fontId="0" fillId="0" borderId="15" xfId="0" applyNumberFormat="1" applyBorder="1" applyAlignment="1">
      <alignment horizontal="center" vertical="center"/>
    </xf>
    <xf numFmtId="170" fontId="0" fillId="0" borderId="16" xfId="5" applyFont="1" applyFill="1" applyBorder="1" applyAlignment="1">
      <alignment horizontal="center" vertical="center"/>
    </xf>
    <xf numFmtId="17" fontId="2" fillId="0" borderId="16" xfId="0" applyNumberFormat="1" applyFont="1" applyBorder="1" applyAlignment="1">
      <alignment horizontal="center"/>
    </xf>
    <xf numFmtId="171" fontId="0" fillId="0" borderId="16" xfId="0" applyNumberFormat="1" applyBorder="1" applyAlignment="1">
      <alignment horizontal="center" vertical="center"/>
    </xf>
    <xf numFmtId="172" fontId="0" fillId="0" borderId="15" xfId="0" applyNumberFormat="1" applyBorder="1"/>
    <xf numFmtId="172" fontId="0" fillId="0" borderId="17" xfId="0" applyNumberFormat="1" applyBorder="1"/>
    <xf numFmtId="171" fontId="0" fillId="5" borderId="18" xfId="0" applyNumberFormat="1" applyFill="1" applyBorder="1"/>
    <xf numFmtId="0" fontId="0" fillId="5" borderId="16" xfId="0" applyFill="1" applyBorder="1" applyAlignment="1">
      <alignment horizontal="center"/>
    </xf>
    <xf numFmtId="17" fontId="2" fillId="0" borderId="15" xfId="0" applyNumberFormat="1" applyFont="1" applyBorder="1" applyAlignment="1">
      <alignment horizontal="center"/>
    </xf>
    <xf numFmtId="172" fontId="0" fillId="0" borderId="19" xfId="0" applyNumberFormat="1" applyBorder="1"/>
    <xf numFmtId="17" fontId="2" fillId="0" borderId="20" xfId="0" applyNumberFormat="1" applyFont="1" applyBorder="1" applyAlignment="1">
      <alignment horizontal="center"/>
    </xf>
    <xf numFmtId="171" fontId="0" fillId="0" borderId="18" xfId="0" applyNumberFormat="1" applyBorder="1"/>
    <xf numFmtId="0" fontId="0" fillId="0" borderId="21" xfId="0" applyBorder="1"/>
    <xf numFmtId="170" fontId="0" fillId="0" borderId="15" xfId="5" applyFont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171" fontId="0" fillId="0" borderId="3" xfId="0" applyNumberFormat="1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0" fillId="5" borderId="0" xfId="0" applyFill="1"/>
    <xf numFmtId="171" fontId="0" fillId="5" borderId="0" xfId="0" applyNumberFormat="1" applyFill="1"/>
    <xf numFmtId="0" fontId="0" fillId="6" borderId="0" xfId="0" applyFill="1"/>
    <xf numFmtId="171" fontId="0" fillId="6" borderId="0" xfId="0" applyNumberFormat="1" applyFill="1"/>
    <xf numFmtId="171" fontId="2" fillId="0" borderId="0" xfId="0" applyNumberFormat="1" applyFont="1"/>
    <xf numFmtId="14" fontId="0" fillId="0" borderId="0" xfId="0" applyNumberFormat="1" applyAlignment="1">
      <alignment horizontal="center"/>
    </xf>
    <xf numFmtId="14" fontId="0" fillId="0" borderId="27" xfId="0" applyNumberFormat="1" applyBorder="1" applyAlignment="1">
      <alignment horizontal="center"/>
    </xf>
    <xf numFmtId="174" fontId="0" fillId="0" borderId="26" xfId="0" applyNumberFormat="1" applyBorder="1" applyAlignment="1">
      <alignment horizontal="center"/>
    </xf>
    <xf numFmtId="168" fontId="0" fillId="0" borderId="0" xfId="1" applyFont="1" applyFill="1" applyBorder="1" applyAlignment="1">
      <alignment horizontal="right"/>
    </xf>
    <xf numFmtId="0" fontId="0" fillId="0" borderId="27" xfId="0" applyBorder="1" applyAlignment="1">
      <alignment horizontal="center"/>
    </xf>
    <xf numFmtId="173" fontId="0" fillId="0" borderId="0" xfId="0" applyNumberFormat="1" applyAlignment="1">
      <alignment horizontal="right"/>
    </xf>
    <xf numFmtId="0" fontId="0" fillId="0" borderId="27" xfId="0" applyBorder="1"/>
    <xf numFmtId="0" fontId="0" fillId="0" borderId="28" xfId="0" applyBorder="1" applyAlignment="1">
      <alignment horizontal="right"/>
    </xf>
    <xf numFmtId="173" fontId="0" fillId="0" borderId="29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5" fillId="2" borderId="0" xfId="0" applyFont="1" applyFill="1"/>
    <xf numFmtId="0" fontId="16" fillId="2" borderId="0" xfId="0" applyFont="1" applyFill="1"/>
    <xf numFmtId="168" fontId="0" fillId="2" borderId="0" xfId="1" applyFont="1" applyFill="1"/>
    <xf numFmtId="168" fontId="12" fillId="2" borderId="0" xfId="1" applyFont="1" applyFill="1" applyBorder="1" applyAlignment="1" applyProtection="1">
      <alignment horizontal="center"/>
    </xf>
    <xf numFmtId="168" fontId="13" fillId="2" borderId="0" xfId="1" applyFont="1" applyFill="1" applyBorder="1" applyProtection="1">
      <protection locked="0"/>
    </xf>
    <xf numFmtId="49" fontId="2" fillId="0" borderId="0" xfId="0" applyNumberFormat="1" applyFont="1"/>
    <xf numFmtId="49" fontId="0" fillId="0" borderId="0" xfId="0" applyNumberFormat="1"/>
    <xf numFmtId="168" fontId="11" fillId="2" borderId="31" xfId="2" applyNumberFormat="1" applyFont="1" applyFill="1" applyBorder="1" applyAlignment="1">
      <alignment horizontal="left" vertical="center"/>
    </xf>
    <xf numFmtId="49" fontId="30" fillId="0" borderId="0" xfId="0" applyNumberFormat="1" applyFont="1" applyAlignment="1">
      <alignment vertical="center"/>
    </xf>
    <xf numFmtId="173" fontId="0" fillId="0" borderId="0" xfId="0" applyNumberFormat="1" applyAlignment="1">
      <alignment horizontal="left"/>
    </xf>
    <xf numFmtId="0" fontId="2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1" fillId="2" borderId="38" xfId="0" applyFont="1" applyFill="1" applyBorder="1"/>
    <xf numFmtId="0" fontId="31" fillId="2" borderId="10" xfId="0" applyFont="1" applyFill="1" applyBorder="1"/>
    <xf numFmtId="0" fontId="20" fillId="2" borderId="0" xfId="0" applyFont="1" applyFill="1" applyAlignment="1">
      <alignment horizontal="left" vertical="center"/>
    </xf>
    <xf numFmtId="0" fontId="20" fillId="2" borderId="42" xfId="0" applyFont="1" applyFill="1" applyBorder="1" applyAlignment="1">
      <alignment horizontal="left" vertical="center"/>
    </xf>
    <xf numFmtId="0" fontId="31" fillId="2" borderId="35" xfId="0" applyFont="1" applyFill="1" applyBorder="1"/>
    <xf numFmtId="0" fontId="20" fillId="2" borderId="0" xfId="0" applyFont="1" applyFill="1" applyAlignment="1">
      <alignment horizontal="left"/>
    </xf>
    <xf numFmtId="0" fontId="31" fillId="2" borderId="7" xfId="0" applyFont="1" applyFill="1" applyBorder="1"/>
    <xf numFmtId="14" fontId="20" fillId="2" borderId="7" xfId="0" applyNumberFormat="1" applyFont="1" applyFill="1" applyBorder="1" applyAlignment="1">
      <alignment horizontal="center"/>
    </xf>
    <xf numFmtId="177" fontId="20" fillId="2" borderId="7" xfId="0" applyNumberFormat="1" applyFont="1" applyFill="1" applyBorder="1" applyAlignment="1">
      <alignment horizontal="center"/>
    </xf>
    <xf numFmtId="167" fontId="33" fillId="2" borderId="7" xfId="91" applyFont="1" applyFill="1" applyBorder="1" applyAlignment="1">
      <alignment horizontal="center"/>
    </xf>
    <xf numFmtId="49" fontId="20" fillId="2" borderId="7" xfId="1" applyNumberFormat="1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7" xfId="0" applyFont="1" applyFill="1" applyBorder="1"/>
    <xf numFmtId="9" fontId="20" fillId="2" borderId="7" xfId="92" applyFont="1" applyFill="1" applyBorder="1" applyAlignment="1">
      <alignment horizontal="center"/>
    </xf>
    <xf numFmtId="9" fontId="20" fillId="2" borderId="7" xfId="0" applyNumberFormat="1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34" fillId="2" borderId="7" xfId="0" applyFont="1" applyFill="1" applyBorder="1" applyAlignment="1">
      <alignment horizontal="center"/>
    </xf>
    <xf numFmtId="0" fontId="35" fillId="2" borderId="7" xfId="0" applyFont="1" applyFill="1" applyBorder="1"/>
    <xf numFmtId="0" fontId="35" fillId="2" borderId="7" xfId="0" applyFont="1" applyFill="1" applyBorder="1" applyAlignment="1">
      <alignment horizontal="center"/>
    </xf>
    <xf numFmtId="0" fontId="36" fillId="2" borderId="7" xfId="0" applyFont="1" applyFill="1" applyBorder="1" applyAlignment="1">
      <alignment horizontal="center"/>
    </xf>
    <xf numFmtId="0" fontId="20" fillId="2" borderId="10" xfId="0" applyFont="1" applyFill="1" applyBorder="1"/>
    <xf numFmtId="0" fontId="20" fillId="2" borderId="42" xfId="0" applyFont="1" applyFill="1" applyBorder="1"/>
    <xf numFmtId="0" fontId="38" fillId="2" borderId="7" xfId="0" applyFont="1" applyFill="1" applyBorder="1" applyAlignment="1">
      <alignment horizontal="center"/>
    </xf>
    <xf numFmtId="0" fontId="33" fillId="2" borderId="7" xfId="0" applyFont="1" applyFill="1" applyBorder="1"/>
    <xf numFmtId="167" fontId="33" fillId="2" borderId="7" xfId="91" applyFont="1" applyFill="1" applyBorder="1"/>
    <xf numFmtId="0" fontId="33" fillId="2" borderId="0" xfId="0" applyFont="1" applyFill="1"/>
    <xf numFmtId="0" fontId="33" fillId="2" borderId="0" xfId="0" applyFont="1" applyFill="1" applyAlignment="1">
      <alignment horizontal="center"/>
    </xf>
    <xf numFmtId="0" fontId="20" fillId="2" borderId="38" xfId="0" applyFont="1" applyFill="1" applyBorder="1"/>
    <xf numFmtId="0" fontId="20" fillId="2" borderId="39" xfId="0" applyFont="1" applyFill="1" applyBorder="1"/>
    <xf numFmtId="0" fontId="20" fillId="2" borderId="41" xfId="0" applyFont="1" applyFill="1" applyBorder="1"/>
    <xf numFmtId="0" fontId="20" fillId="2" borderId="35" xfId="0" applyFont="1" applyFill="1" applyBorder="1"/>
    <xf numFmtId="0" fontId="20" fillId="2" borderId="34" xfId="0" applyFont="1" applyFill="1" applyBorder="1"/>
    <xf numFmtId="0" fontId="20" fillId="2" borderId="43" xfId="0" applyFont="1" applyFill="1" applyBorder="1"/>
    <xf numFmtId="0" fontId="40" fillId="0" borderId="16" xfId="20" applyFont="1" applyBorder="1" applyAlignment="1">
      <alignment vertical="center"/>
    </xf>
    <xf numFmtId="0" fontId="25" fillId="0" borderId="15" xfId="20" applyFont="1" applyBorder="1" applyAlignment="1">
      <alignment horizontal="center" vertical="center"/>
    </xf>
    <xf numFmtId="0" fontId="25" fillId="0" borderId="37" xfId="20" applyFont="1" applyBorder="1" applyAlignment="1">
      <alignment horizontal="center" vertical="center"/>
    </xf>
    <xf numFmtId="0" fontId="40" fillId="0" borderId="12" xfId="20" applyFont="1" applyBorder="1" applyAlignment="1">
      <alignment vertical="center"/>
    </xf>
    <xf numFmtId="17" fontId="41" fillId="14" borderId="47" xfId="0" applyNumberFormat="1" applyFont="1" applyFill="1" applyBorder="1" applyAlignment="1">
      <alignment horizontal="center" vertical="center"/>
    </xf>
    <xf numFmtId="49" fontId="24" fillId="14" borderId="47" xfId="0" applyNumberFormat="1" applyFont="1" applyFill="1" applyBorder="1"/>
    <xf numFmtId="49" fontId="42" fillId="15" borderId="0" xfId="0" applyNumberFormat="1" applyFont="1" applyFill="1"/>
    <xf numFmtId="49" fontId="43" fillId="2" borderId="0" xfId="0" applyNumberFormat="1" applyFont="1" applyFill="1" applyAlignment="1">
      <alignment horizontal="center" vertical="center"/>
    </xf>
    <xf numFmtId="49" fontId="25" fillId="17" borderId="47" xfId="0" applyNumberFormat="1" applyFont="1" applyFill="1" applyBorder="1" applyAlignment="1">
      <alignment horizontal="center"/>
    </xf>
    <xf numFmtId="172" fontId="12" fillId="2" borderId="1" xfId="1" applyNumberFormat="1" applyFont="1" applyFill="1" applyBorder="1" applyProtection="1">
      <protection locked="0"/>
    </xf>
    <xf numFmtId="172" fontId="0" fillId="2" borderId="0" xfId="1" applyNumberFormat="1" applyFont="1" applyFill="1"/>
    <xf numFmtId="17" fontId="0" fillId="0" borderId="26" xfId="0" applyNumberFormat="1" applyBorder="1" applyAlignment="1">
      <alignment horizontal="center"/>
    </xf>
    <xf numFmtId="168" fontId="0" fillId="0" borderId="0" xfId="1" applyFont="1" applyAlignment="1">
      <alignment horizontal="center"/>
    </xf>
    <xf numFmtId="0" fontId="2" fillId="3" borderId="23" xfId="0" applyFont="1" applyFill="1" applyBorder="1" applyAlignment="1">
      <alignment horizontal="left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 vertical="center"/>
    </xf>
    <xf numFmtId="178" fontId="7" fillId="0" borderId="13" xfId="94" applyNumberFormat="1" applyFont="1" applyFill="1" applyBorder="1" applyAlignment="1">
      <alignment horizontal="center"/>
    </xf>
    <xf numFmtId="178" fontId="7" fillId="0" borderId="15" xfId="94" applyNumberFormat="1" applyFont="1" applyFill="1" applyBorder="1" applyAlignment="1">
      <alignment horizontal="center"/>
    </xf>
    <xf numFmtId="178" fontId="11" fillId="0" borderId="0" xfId="94" applyNumberFormat="1" applyFont="1" applyBorder="1" applyAlignment="1">
      <alignment horizontal="left" vertical="center"/>
    </xf>
    <xf numFmtId="178" fontId="11" fillId="0" borderId="0" xfId="94" applyNumberFormat="1" applyFont="1" applyFill="1" applyBorder="1" applyAlignment="1">
      <alignment horizontal="left" vertical="center"/>
    </xf>
    <xf numFmtId="178" fontId="11" fillId="0" borderId="15" xfId="94" applyNumberFormat="1" applyFont="1" applyFill="1" applyBorder="1" applyAlignment="1">
      <alignment horizontal="center" vertical="center" wrapText="1"/>
    </xf>
    <xf numFmtId="178" fontId="25" fillId="0" borderId="4" xfId="94" applyNumberFormat="1" applyFont="1" applyBorder="1"/>
    <xf numFmtId="9" fontId="7" fillId="0" borderId="0" xfId="78" applyFont="1"/>
    <xf numFmtId="0" fontId="7" fillId="0" borderId="0" xfId="39" applyFont="1"/>
    <xf numFmtId="43" fontId="7" fillId="0" borderId="0" xfId="94" applyFont="1"/>
    <xf numFmtId="178" fontId="7" fillId="0" borderId="0" xfId="39" applyNumberFormat="1" applyFont="1"/>
    <xf numFmtId="178" fontId="11" fillId="0" borderId="13" xfId="94" applyNumberFormat="1" applyFont="1" applyFill="1" applyBorder="1" applyAlignment="1">
      <alignment horizontal="center" vertical="center" wrapText="1"/>
    </xf>
    <xf numFmtId="178" fontId="11" fillId="0" borderId="37" xfId="94" applyNumberFormat="1" applyFont="1" applyFill="1" applyBorder="1" applyAlignment="1">
      <alignment horizontal="center" vertical="center" wrapText="1"/>
    </xf>
    <xf numFmtId="49" fontId="42" fillId="15" borderId="0" xfId="0" applyNumberFormat="1" applyFont="1" applyFill="1" applyAlignment="1">
      <alignment vertical="center"/>
    </xf>
    <xf numFmtId="49" fontId="42" fillId="14" borderId="0" xfId="0" applyNumberFormat="1" applyFont="1" applyFill="1" applyAlignment="1">
      <alignment vertical="center"/>
    </xf>
    <xf numFmtId="49" fontId="25" fillId="17" borderId="47" xfId="0" applyNumberFormat="1" applyFont="1" applyFill="1" applyBorder="1" applyAlignment="1">
      <alignment horizontal="center" vertical="center"/>
    </xf>
    <xf numFmtId="17" fontId="8" fillId="2" borderId="0" xfId="2" applyNumberFormat="1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6" fillId="2" borderId="0" xfId="0" applyFont="1" applyFill="1" applyAlignment="1">
      <alignment vertical="center"/>
    </xf>
    <xf numFmtId="0" fontId="5" fillId="2" borderId="0" xfId="2" applyFont="1" applyFill="1" applyAlignment="1">
      <alignment vertical="center"/>
    </xf>
    <xf numFmtId="168" fontId="9" fillId="2" borderId="0" xfId="2" applyNumberFormat="1" applyFont="1" applyFill="1" applyAlignment="1">
      <alignment horizontal="center" vertical="center"/>
    </xf>
    <xf numFmtId="167" fontId="10" fillId="2" borderId="0" xfId="2" applyNumberFormat="1" applyFont="1" applyFill="1" applyAlignment="1">
      <alignment horizontal="center" vertical="center"/>
    </xf>
    <xf numFmtId="167" fontId="9" fillId="2" borderId="0" xfId="2" applyNumberFormat="1" applyFont="1" applyFill="1" applyAlignment="1">
      <alignment horizontal="center" vertical="center"/>
    </xf>
    <xf numFmtId="167" fontId="12" fillId="2" borderId="0" xfId="4" applyNumberFormat="1" applyFont="1" applyFill="1" applyBorder="1" applyAlignment="1" applyProtection="1">
      <alignment vertical="center"/>
      <protection locked="0"/>
    </xf>
    <xf numFmtId="168" fontId="12" fillId="2" borderId="0" xfId="4" applyNumberFormat="1" applyFont="1" applyFill="1" applyBorder="1" applyAlignment="1" applyProtection="1">
      <alignment vertical="center"/>
      <protection locked="0"/>
    </xf>
    <xf numFmtId="167" fontId="13" fillId="2" borderId="0" xfId="4" applyNumberFormat="1" applyFont="1" applyFill="1" applyBorder="1" applyAlignment="1" applyProtection="1">
      <alignment vertical="center"/>
      <protection locked="0"/>
    </xf>
    <xf numFmtId="167" fontId="12" fillId="2" borderId="0" xfId="4" applyNumberFormat="1" applyFont="1" applyFill="1" applyBorder="1" applyAlignment="1" applyProtection="1">
      <alignment horizontal="center" vertical="center"/>
    </xf>
    <xf numFmtId="168" fontId="8" fillId="2" borderId="0" xfId="2" applyNumberFormat="1" applyFont="1" applyFill="1" applyAlignment="1">
      <alignment horizontal="center" vertical="center" wrapText="1"/>
    </xf>
    <xf numFmtId="167" fontId="0" fillId="2" borderId="0" xfId="0" applyNumberFormat="1" applyFill="1" applyAlignment="1">
      <alignment vertical="center"/>
    </xf>
    <xf numFmtId="17" fontId="8" fillId="4" borderId="1" xfId="2" applyNumberFormat="1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172" fontId="12" fillId="2" borderId="50" xfId="1" applyNumberFormat="1" applyFont="1" applyFill="1" applyBorder="1" applyProtection="1">
      <protection locked="0"/>
    </xf>
    <xf numFmtId="168" fontId="0" fillId="2" borderId="0" xfId="0" applyNumberFormat="1" applyFill="1" applyAlignment="1">
      <alignment vertical="center"/>
    </xf>
    <xf numFmtId="168" fontId="11" fillId="2" borderId="46" xfId="2" applyNumberFormat="1" applyFont="1" applyFill="1" applyBorder="1" applyAlignment="1">
      <alignment horizontal="center" vertical="center"/>
    </xf>
    <xf numFmtId="174" fontId="44" fillId="2" borderId="33" xfId="0" applyNumberFormat="1" applyFont="1" applyFill="1" applyBorder="1" applyAlignment="1">
      <alignment horizontal="center" vertical="center"/>
    </xf>
    <xf numFmtId="0" fontId="45" fillId="2" borderId="32" xfId="0" applyFont="1" applyFill="1" applyBorder="1" applyAlignment="1">
      <alignment horizontal="center" vertical="center"/>
    </xf>
    <xf numFmtId="171" fontId="0" fillId="7" borderId="7" xfId="6" applyNumberFormat="1" applyFont="1" applyFill="1" applyBorder="1"/>
    <xf numFmtId="168" fontId="8" fillId="4" borderId="51" xfId="2" applyNumberFormat="1" applyFont="1" applyFill="1" applyBorder="1" applyAlignment="1">
      <alignment vertical="center" wrapText="1"/>
    </xf>
    <xf numFmtId="168" fontId="11" fillId="2" borderId="52" xfId="2" applyNumberFormat="1" applyFont="1" applyFill="1" applyBorder="1" applyAlignment="1">
      <alignment horizontal="left" vertical="center"/>
    </xf>
    <xf numFmtId="172" fontId="12" fillId="2" borderId="1" xfId="1" applyNumberFormat="1" applyFont="1" applyFill="1" applyBorder="1" applyAlignment="1" applyProtection="1">
      <alignment vertical="center"/>
      <protection locked="0"/>
    </xf>
    <xf numFmtId="168" fontId="8" fillId="4" borderId="53" xfId="2" applyNumberFormat="1" applyFont="1" applyFill="1" applyBorder="1" applyAlignment="1">
      <alignment horizontal="center" wrapText="1"/>
    </xf>
    <xf numFmtId="172" fontId="8" fillId="4" borderId="54" xfId="1" applyNumberFormat="1" applyFont="1" applyFill="1" applyBorder="1" applyAlignment="1">
      <alignment horizontal="center" vertical="center"/>
    </xf>
    <xf numFmtId="17" fontId="0" fillId="7" borderId="3" xfId="0" applyNumberFormat="1" applyFill="1" applyBorder="1" applyAlignment="1">
      <alignment horizontal="center"/>
    </xf>
    <xf numFmtId="0" fontId="0" fillId="5" borderId="55" xfId="0" applyFill="1" applyBorder="1"/>
    <xf numFmtId="168" fontId="46" fillId="2" borderId="52" xfId="2" applyNumberFormat="1" applyFont="1" applyFill="1" applyBorder="1" applyAlignment="1">
      <alignment horizontal="left" vertical="center"/>
    </xf>
    <xf numFmtId="0" fontId="20" fillId="2" borderId="39" xfId="0" applyFont="1" applyFill="1" applyBorder="1" applyAlignment="1">
      <alignment vertical="center"/>
    </xf>
    <xf numFmtId="0" fontId="20" fillId="2" borderId="41" xfId="0" applyFont="1" applyFill="1" applyBorder="1" applyAlignment="1">
      <alignment vertical="center"/>
    </xf>
    <xf numFmtId="0" fontId="45" fillId="2" borderId="0" xfId="0" applyFont="1" applyFill="1" applyAlignment="1">
      <alignment horizontal="center" vertical="center"/>
    </xf>
    <xf numFmtId="174" fontId="44" fillId="2" borderId="0" xfId="0" applyNumberFormat="1" applyFont="1" applyFill="1" applyAlignment="1">
      <alignment horizontal="center" vertical="center"/>
    </xf>
    <xf numFmtId="0" fontId="0" fillId="0" borderId="0" xfId="20" applyFont="1" applyAlignment="1">
      <alignment vertical="center"/>
    </xf>
    <xf numFmtId="168" fontId="1" fillId="0" borderId="0" xfId="20" applyNumberFormat="1" applyAlignment="1">
      <alignment vertical="center"/>
    </xf>
    <xf numFmtId="0" fontId="11" fillId="0" borderId="0" xfId="9" applyFont="1" applyAlignment="1">
      <alignment vertical="center" wrapText="1"/>
    </xf>
    <xf numFmtId="0" fontId="11" fillId="0" borderId="0" xfId="9" applyFont="1" applyAlignment="1">
      <alignment horizontal="center" vertical="center" wrapText="1"/>
    </xf>
    <xf numFmtId="0" fontId="11" fillId="0" borderId="34" xfId="9" applyFont="1" applyBorder="1" applyAlignment="1">
      <alignment horizontal="center" vertical="center" wrapText="1"/>
    </xf>
    <xf numFmtId="0" fontId="8" fillId="0" borderId="5" xfId="9" applyFont="1" applyBorder="1" applyAlignment="1">
      <alignment horizontal="center" vertical="center" wrapText="1"/>
    </xf>
    <xf numFmtId="0" fontId="11" fillId="0" borderId="4" xfId="9" applyFont="1" applyBorder="1" applyAlignment="1">
      <alignment horizontal="center" vertical="center" wrapText="1"/>
    </xf>
    <xf numFmtId="49" fontId="11" fillId="0" borderId="13" xfId="39" applyNumberFormat="1" applyFont="1" applyBorder="1" applyAlignment="1">
      <alignment horizontal="center" vertical="center"/>
    </xf>
    <xf numFmtId="49" fontId="11" fillId="0" borderId="15" xfId="39" applyNumberFormat="1" applyFont="1" applyBorder="1" applyAlignment="1">
      <alignment horizontal="center" vertical="center"/>
    </xf>
    <xf numFmtId="0" fontId="11" fillId="0" borderId="15" xfId="9" applyFont="1" applyBorder="1" applyAlignment="1">
      <alignment horizontal="center" vertical="center" wrapText="1"/>
    </xf>
    <xf numFmtId="49" fontId="11" fillId="0" borderId="37" xfId="39" applyNumberFormat="1" applyFont="1" applyBorder="1" applyAlignment="1">
      <alignment horizontal="center" vertical="center"/>
    </xf>
    <xf numFmtId="49" fontId="11" fillId="0" borderId="13" xfId="15" applyNumberFormat="1" applyFont="1" applyBorder="1" applyAlignment="1">
      <alignment horizontal="center" vertical="center"/>
    </xf>
    <xf numFmtId="0" fontId="11" fillId="0" borderId="13" xfId="9" applyFont="1" applyBorder="1" applyAlignment="1">
      <alignment horizontal="center" vertical="center" wrapText="1"/>
    </xf>
    <xf numFmtId="168" fontId="7" fillId="0" borderId="0" xfId="39" applyNumberFormat="1" applyFont="1"/>
    <xf numFmtId="0" fontId="11" fillId="0" borderId="0" xfId="39" applyFont="1"/>
    <xf numFmtId="9" fontId="7" fillId="0" borderId="0" xfId="78" applyFont="1" applyBorder="1"/>
    <xf numFmtId="0" fontId="11" fillId="0" borderId="13" xfId="101" applyFont="1" applyBorder="1" applyAlignment="1">
      <alignment horizontal="center" vertical="center"/>
    </xf>
    <xf numFmtId="0" fontId="11" fillId="0" borderId="15" xfId="101" applyFont="1" applyBorder="1" applyAlignment="1">
      <alignment horizontal="center" vertical="center"/>
    </xf>
    <xf numFmtId="0" fontId="11" fillId="0" borderId="37" xfId="101" applyFont="1" applyBorder="1" applyAlignment="1">
      <alignment horizontal="center" vertical="center"/>
    </xf>
    <xf numFmtId="0" fontId="11" fillId="0" borderId="37" xfId="9" applyFont="1" applyBorder="1" applyAlignment="1">
      <alignment horizontal="center" vertical="center" wrapText="1"/>
    </xf>
    <xf numFmtId="0" fontId="7" fillId="0" borderId="15" xfId="39" applyFont="1" applyBorder="1" applyAlignment="1">
      <alignment horizontal="center" vertical="center"/>
    </xf>
    <xf numFmtId="178" fontId="26" fillId="0" borderId="4" xfId="94" applyNumberFormat="1" applyFont="1" applyFill="1" applyBorder="1"/>
    <xf numFmtId="0" fontId="2" fillId="7" borderId="0" xfId="0" applyFont="1" applyFill="1" applyAlignment="1">
      <alignment horizontal="center" vertical="center" wrapText="1"/>
    </xf>
    <xf numFmtId="0" fontId="1" fillId="0" borderId="0" xfId="20" applyAlignment="1">
      <alignment horizontal="center" vertical="center"/>
    </xf>
    <xf numFmtId="174" fontId="1" fillId="0" borderId="0" xfId="20" applyNumberFormat="1" applyAlignment="1">
      <alignment horizontal="center" vertical="center"/>
    </xf>
    <xf numFmtId="0" fontId="0" fillId="0" borderId="0" xfId="20" applyFont="1" applyAlignment="1">
      <alignment horizontal="center" vertical="center"/>
    </xf>
    <xf numFmtId="49" fontId="11" fillId="14" borderId="0" xfId="0" applyNumberFormat="1" applyFont="1" applyFill="1" applyAlignment="1">
      <alignment vertical="center"/>
    </xf>
    <xf numFmtId="174" fontId="29" fillId="2" borderId="33" xfId="0" applyNumberFormat="1" applyFont="1" applyFill="1" applyBorder="1" applyAlignment="1">
      <alignment horizontal="center" vertical="center"/>
    </xf>
    <xf numFmtId="168" fontId="11" fillId="2" borderId="58" xfId="2" applyNumberFormat="1" applyFont="1" applyFill="1" applyBorder="1" applyAlignment="1">
      <alignment horizontal="left" vertical="center"/>
    </xf>
    <xf numFmtId="168" fontId="11" fillId="2" borderId="59" xfId="2" applyNumberFormat="1" applyFont="1" applyFill="1" applyBorder="1" applyAlignment="1">
      <alignment horizontal="center" vertical="center"/>
    </xf>
    <xf numFmtId="172" fontId="12" fillId="2" borderId="2" xfId="1" applyNumberFormat="1" applyFont="1" applyFill="1" applyBorder="1" applyAlignment="1" applyProtection="1">
      <alignment vertical="center"/>
      <protection locked="0"/>
    </xf>
    <xf numFmtId="172" fontId="12" fillId="2" borderId="0" xfId="4" applyNumberFormat="1" applyFont="1" applyFill="1" applyBorder="1" applyAlignment="1" applyProtection="1">
      <alignment vertical="center"/>
      <protection locked="0"/>
    </xf>
    <xf numFmtId="172" fontId="8" fillId="2" borderId="0" xfId="2" applyNumberFormat="1" applyFont="1" applyFill="1" applyAlignment="1">
      <alignment horizontal="center" vertical="center"/>
    </xf>
    <xf numFmtId="172" fontId="8" fillId="2" borderId="0" xfId="1" applyNumberFormat="1" applyFont="1" applyFill="1" applyAlignment="1">
      <alignment horizontal="center" vertical="center"/>
    </xf>
    <xf numFmtId="172" fontId="13" fillId="2" borderId="0" xfId="4" applyNumberFormat="1" applyFont="1" applyFill="1" applyBorder="1" applyAlignment="1" applyProtection="1">
      <alignment vertical="center"/>
      <protection locked="0"/>
    </xf>
    <xf numFmtId="172" fontId="12" fillId="2" borderId="0" xfId="4" applyNumberFormat="1" applyFont="1" applyFill="1" applyBorder="1" applyAlignment="1" applyProtection="1">
      <alignment horizontal="center" vertical="center"/>
    </xf>
    <xf numFmtId="172" fontId="0" fillId="2" borderId="0" xfId="0" applyNumberFormat="1" applyFill="1" applyAlignment="1">
      <alignment vertical="center"/>
    </xf>
    <xf numFmtId="172" fontId="8" fillId="0" borderId="2" xfId="1" applyNumberFormat="1" applyFont="1" applyBorder="1" applyAlignment="1">
      <alignment horizontal="center" vertical="center"/>
    </xf>
    <xf numFmtId="172" fontId="12" fillId="2" borderId="0" xfId="1" applyNumberFormat="1" applyFont="1" applyFill="1" applyBorder="1" applyAlignment="1" applyProtection="1">
      <alignment vertical="center"/>
      <protection locked="0"/>
    </xf>
    <xf numFmtId="168" fontId="11" fillId="2" borderId="60" xfId="2" applyNumberFormat="1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171" fontId="0" fillId="0" borderId="22" xfId="0" applyNumberFormat="1" applyBorder="1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168" fontId="1" fillId="2" borderId="0" xfId="1" applyFill="1" applyBorder="1" applyAlignment="1" applyProtection="1">
      <alignment vertical="center"/>
      <protection locked="0"/>
    </xf>
    <xf numFmtId="172" fontId="12" fillId="2" borderId="1" xfId="1" applyNumberFormat="1" applyFont="1" applyFill="1" applyBorder="1" applyAlignment="1" applyProtection="1">
      <alignment vertical="center"/>
    </xf>
    <xf numFmtId="172" fontId="42" fillId="15" borderId="40" xfId="1" applyNumberFormat="1" applyFont="1" applyFill="1" applyBorder="1" applyAlignment="1" applyProtection="1">
      <alignment vertical="center"/>
    </xf>
    <xf numFmtId="172" fontId="42" fillId="14" borderId="0" xfId="1" applyNumberFormat="1" applyFont="1" applyFill="1" applyAlignment="1" applyProtection="1">
      <alignment vertical="center"/>
    </xf>
    <xf numFmtId="172" fontId="42" fillId="15" borderId="0" xfId="1" applyNumberFormat="1" applyFont="1" applyFill="1" applyAlignment="1" applyProtection="1">
      <alignment vertical="center"/>
    </xf>
    <xf numFmtId="172" fontId="11" fillId="15" borderId="0" xfId="1" applyNumberFormat="1" applyFont="1" applyFill="1" applyAlignment="1" applyProtection="1">
      <alignment vertical="center"/>
    </xf>
    <xf numFmtId="172" fontId="11" fillId="14" borderId="0" xfId="1" applyNumberFormat="1" applyFont="1" applyFill="1" applyAlignment="1" applyProtection="1">
      <alignment vertical="center"/>
    </xf>
    <xf numFmtId="172" fontId="11" fillId="14" borderId="0" xfId="1" applyNumberFormat="1" applyFont="1" applyFill="1" applyBorder="1" applyAlignment="1" applyProtection="1">
      <alignment vertical="center"/>
    </xf>
    <xf numFmtId="172" fontId="25" fillId="17" borderId="47" xfId="0" applyNumberFormat="1" applyFont="1" applyFill="1" applyBorder="1" applyAlignment="1">
      <alignment vertical="center"/>
    </xf>
    <xf numFmtId="0" fontId="44" fillId="19" borderId="26" xfId="0" applyFont="1" applyFill="1" applyBorder="1" applyAlignment="1">
      <alignment horizontal="center"/>
    </xf>
    <xf numFmtId="173" fontId="44" fillId="19" borderId="0" xfId="0" applyNumberFormat="1" applyFont="1" applyFill="1" applyAlignment="1">
      <alignment horizontal="center"/>
    </xf>
    <xf numFmtId="14" fontId="44" fillId="19" borderId="0" xfId="0" applyNumberFormat="1" applyFont="1" applyFill="1" applyAlignment="1">
      <alignment horizontal="center"/>
    </xf>
    <xf numFmtId="14" fontId="0" fillId="19" borderId="27" xfId="0" applyNumberFormat="1" applyFill="1" applyBorder="1" applyAlignment="1">
      <alignment horizontal="center"/>
    </xf>
    <xf numFmtId="173" fontId="25" fillId="3" borderId="29" xfId="0" applyNumberFormat="1" applyFont="1" applyFill="1" applyBorder="1" applyAlignment="1">
      <alignment horizontal="right"/>
    </xf>
    <xf numFmtId="173" fontId="50" fillId="3" borderId="30" xfId="0" applyNumberFormat="1" applyFont="1" applyFill="1" applyBorder="1"/>
    <xf numFmtId="17" fontId="8" fillId="14" borderId="0" xfId="2" applyNumberFormat="1" applyFont="1" applyFill="1" applyAlignment="1">
      <alignment horizontal="center" vertical="center"/>
    </xf>
    <xf numFmtId="0" fontId="8" fillId="14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68" fontId="9" fillId="7" borderId="0" xfId="2" applyNumberFormat="1" applyFont="1" applyFill="1" applyAlignment="1">
      <alignment horizontal="center" vertical="center"/>
    </xf>
    <xf numFmtId="168" fontId="8" fillId="7" borderId="49" xfId="2" applyNumberFormat="1" applyFont="1" applyFill="1" applyBorder="1" applyAlignment="1">
      <alignment horizontal="center" vertical="center" wrapText="1"/>
    </xf>
    <xf numFmtId="168" fontId="8" fillId="7" borderId="46" xfId="2" applyNumberFormat="1" applyFont="1" applyFill="1" applyBorder="1" applyAlignment="1">
      <alignment horizontal="center" vertical="center" wrapText="1"/>
    </xf>
    <xf numFmtId="172" fontId="8" fillId="7" borderId="2" xfId="2" applyNumberFormat="1" applyFont="1" applyFill="1" applyBorder="1" applyAlignment="1">
      <alignment horizontal="center" vertical="center"/>
    </xf>
    <xf numFmtId="172" fontId="8" fillId="7" borderId="2" xfId="1" applyNumberFormat="1" applyFont="1" applyFill="1" applyBorder="1" applyAlignment="1">
      <alignment horizontal="center" vertical="center"/>
    </xf>
    <xf numFmtId="168" fontId="8" fillId="14" borderId="0" xfId="2" applyNumberFormat="1" applyFont="1" applyFill="1" applyAlignment="1">
      <alignment horizontal="center" vertical="center" wrapText="1"/>
    </xf>
    <xf numFmtId="172" fontId="8" fillId="14" borderId="2" xfId="1" applyNumberFormat="1" applyFont="1" applyFill="1" applyBorder="1" applyAlignment="1">
      <alignment horizontal="center" vertical="center"/>
    </xf>
    <xf numFmtId="168" fontId="8" fillId="14" borderId="61" xfId="2" applyNumberFormat="1" applyFont="1" applyFill="1" applyBorder="1" applyAlignment="1">
      <alignment horizontal="center" vertical="center" wrapText="1"/>
    </xf>
    <xf numFmtId="168" fontId="8" fillId="14" borderId="62" xfId="2" applyNumberFormat="1" applyFont="1" applyFill="1" applyBorder="1" applyAlignment="1">
      <alignment horizontal="center" vertical="center" wrapText="1"/>
    </xf>
    <xf numFmtId="168" fontId="8" fillId="7" borderId="49" xfId="2" applyNumberFormat="1" applyFont="1" applyFill="1" applyBorder="1" applyAlignment="1">
      <alignment horizontal="center" vertical="center"/>
    </xf>
    <xf numFmtId="168" fontId="8" fillId="7" borderId="46" xfId="2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68" fontId="0" fillId="0" borderId="0" xfId="1" applyFont="1"/>
    <xf numFmtId="17" fontId="57" fillId="0" borderId="0" xfId="0" applyNumberFormat="1" applyFont="1"/>
    <xf numFmtId="168" fontId="57" fillId="0" borderId="0" xfId="1" applyFont="1"/>
    <xf numFmtId="172" fontId="8" fillId="4" borderId="63" xfId="1" applyNumberFormat="1" applyFont="1" applyFill="1" applyBorder="1" applyAlignment="1" applyProtection="1">
      <alignment horizontal="center" vertical="center"/>
    </xf>
    <xf numFmtId="172" fontId="8" fillId="4" borderId="64" xfId="1" applyNumberFormat="1" applyFont="1" applyFill="1" applyBorder="1" applyAlignment="1" applyProtection="1">
      <alignment horizontal="center" vertical="center"/>
    </xf>
    <xf numFmtId="172" fontId="8" fillId="4" borderId="64" xfId="1" applyNumberFormat="1" applyFont="1" applyFill="1" applyBorder="1" applyAlignment="1">
      <alignment horizontal="center" vertical="center"/>
    </xf>
    <xf numFmtId="168" fontId="8" fillId="4" borderId="66" xfId="2" applyNumberFormat="1" applyFont="1" applyFill="1" applyBorder="1" applyAlignment="1">
      <alignment horizontal="center" wrapText="1"/>
    </xf>
    <xf numFmtId="168" fontId="8" fillId="4" borderId="67" xfId="2" applyNumberFormat="1" applyFont="1" applyFill="1" applyBorder="1" applyAlignment="1">
      <alignment horizontal="center" wrapText="1"/>
    </xf>
    <xf numFmtId="172" fontId="8" fillId="4" borderId="1" xfId="1" applyNumberFormat="1" applyFont="1" applyFill="1" applyBorder="1" applyAlignment="1">
      <alignment horizontal="center" vertical="center"/>
    </xf>
    <xf numFmtId="172" fontId="8" fillId="2" borderId="0" xfId="1" applyNumberFormat="1" applyFont="1" applyFill="1" applyBorder="1" applyAlignment="1">
      <alignment horizontal="center" vertical="center"/>
    </xf>
    <xf numFmtId="172" fontId="8" fillId="2" borderId="0" xfId="1" applyNumberFormat="1" applyFont="1" applyFill="1" applyBorder="1" applyAlignment="1" applyProtection="1">
      <alignment horizontal="center" vertical="center"/>
    </xf>
    <xf numFmtId="172" fontId="8" fillId="4" borderId="1" xfId="1" applyNumberFormat="1" applyFont="1" applyFill="1" applyBorder="1" applyAlignment="1" applyProtection="1">
      <alignment horizontal="center" vertical="center"/>
    </xf>
    <xf numFmtId="178" fontId="8" fillId="4" borderId="63" xfId="1" applyNumberFormat="1" applyFont="1" applyFill="1" applyBorder="1" applyAlignment="1">
      <alignment horizontal="center" vertical="center"/>
    </xf>
    <xf numFmtId="178" fontId="8" fillId="4" borderId="68" xfId="1" applyNumberFormat="1" applyFont="1" applyFill="1" applyBorder="1" applyAlignment="1">
      <alignment horizontal="center" vertical="center"/>
    </xf>
    <xf numFmtId="178" fontId="8" fillId="4" borderId="1" xfId="1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vertical="center"/>
      <protection locked="0"/>
    </xf>
    <xf numFmtId="0" fontId="5" fillId="2" borderId="0" xfId="2" applyFont="1" applyFill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9" fontId="12" fillId="2" borderId="56" xfId="92" applyFont="1" applyFill="1" applyBorder="1" applyAlignment="1" applyProtection="1">
      <alignment vertical="center"/>
    </xf>
    <xf numFmtId="168" fontId="8" fillId="4" borderId="53" xfId="2" applyNumberFormat="1" applyFont="1" applyFill="1" applyBorder="1" applyAlignment="1">
      <alignment horizontal="center" vertical="center" wrapText="1"/>
    </xf>
    <xf numFmtId="172" fontId="12" fillId="2" borderId="50" xfId="1" applyNumberFormat="1" applyFont="1" applyFill="1" applyBorder="1" applyAlignment="1" applyProtection="1">
      <alignment vertical="center"/>
    </xf>
    <xf numFmtId="172" fontId="0" fillId="2" borderId="0" xfId="1" applyNumberFormat="1" applyFont="1" applyFill="1" applyAlignment="1" applyProtection="1">
      <alignment vertical="center"/>
    </xf>
    <xf numFmtId="168" fontId="0" fillId="2" borderId="0" xfId="1" applyFont="1" applyFill="1" applyAlignment="1" applyProtection="1">
      <alignment vertical="center"/>
      <protection locked="0"/>
    </xf>
    <xf numFmtId="172" fontId="12" fillId="2" borderId="65" xfId="1" applyNumberFormat="1" applyFont="1" applyFill="1" applyBorder="1" applyAlignment="1" applyProtection="1">
      <alignment vertical="center"/>
    </xf>
    <xf numFmtId="168" fontId="13" fillId="2" borderId="0" xfId="1" applyFont="1" applyFill="1" applyBorder="1" applyAlignment="1" applyProtection="1">
      <alignment vertical="center"/>
    </xf>
    <xf numFmtId="168" fontId="12" fillId="2" borderId="0" xfId="1" applyFont="1" applyFill="1" applyBorder="1" applyAlignment="1" applyProtection="1">
      <alignment horizontal="center" vertical="center"/>
    </xf>
    <xf numFmtId="168" fontId="0" fillId="2" borderId="0" xfId="1" applyFont="1" applyFill="1" applyAlignment="1" applyProtection="1">
      <alignment vertical="center"/>
    </xf>
    <xf numFmtId="0" fontId="29" fillId="4" borderId="1" xfId="2" applyFont="1" applyFill="1" applyBorder="1" applyAlignment="1">
      <alignment horizontal="center" vertical="center" wrapText="1"/>
    </xf>
    <xf numFmtId="172" fontId="25" fillId="17" borderId="47" xfId="0" applyNumberFormat="1" applyFont="1" applyFill="1" applyBorder="1"/>
    <xf numFmtId="178" fontId="12" fillId="2" borderId="1" xfId="1" applyNumberFormat="1" applyFont="1" applyFill="1" applyBorder="1" applyAlignment="1" applyProtection="1">
      <alignment vertical="center"/>
    </xf>
    <xf numFmtId="43" fontId="14" fillId="0" borderId="3" xfId="94" applyFont="1" applyFill="1" applyBorder="1" applyAlignment="1">
      <alignment horizontal="center" vertical="center" wrapText="1"/>
    </xf>
    <xf numFmtId="0" fontId="8" fillId="0" borderId="4" xfId="94" applyNumberFormat="1" applyFont="1" applyBorder="1" applyAlignment="1">
      <alignment vertical="center" wrapText="1"/>
    </xf>
    <xf numFmtId="178" fontId="7" fillId="0" borderId="15" xfId="94" applyNumberFormat="1" applyFont="1" applyBorder="1" applyAlignment="1">
      <alignment horizontal="center" vertical="center"/>
    </xf>
    <xf numFmtId="43" fontId="61" fillId="0" borderId="3" xfId="94" applyFont="1" applyFill="1" applyBorder="1" applyAlignment="1">
      <alignment horizontal="center" vertical="center"/>
    </xf>
    <xf numFmtId="43" fontId="7" fillId="0" borderId="0" xfId="94" applyFont="1" applyFill="1" applyAlignment="1">
      <alignment horizontal="center" vertical="center"/>
    </xf>
    <xf numFmtId="0" fontId="7" fillId="0" borderId="0" xfId="94" applyNumberFormat="1" applyFont="1"/>
    <xf numFmtId="0" fontId="7" fillId="0" borderId="0" xfId="39" applyFont="1" applyAlignment="1">
      <alignment horizontal="center" vertical="center"/>
    </xf>
    <xf numFmtId="178" fontId="11" fillId="0" borderId="0" xfId="94" applyNumberFormat="1" applyFont="1" applyBorder="1" applyAlignment="1">
      <alignment horizontal="center" vertical="center"/>
    </xf>
    <xf numFmtId="178" fontId="7" fillId="0" borderId="0" xfId="94" applyNumberFormat="1" applyFont="1"/>
    <xf numFmtId="178" fontId="11" fillId="0" borderId="0" xfId="94" applyNumberFormat="1" applyFont="1" applyFill="1"/>
    <xf numFmtId="178" fontId="26" fillId="0" borderId="0" xfId="94" applyNumberFormat="1" applyFont="1"/>
    <xf numFmtId="178" fontId="7" fillId="0" borderId="0" xfId="94" applyNumberFormat="1" applyFont="1" applyFill="1"/>
    <xf numFmtId="178" fontId="8" fillId="0" borderId="0" xfId="94" applyNumberFormat="1" applyFont="1" applyFill="1" applyBorder="1" applyAlignment="1">
      <alignment horizontal="center" vertical="center" wrapText="1"/>
    </xf>
    <xf numFmtId="178" fontId="25" fillId="0" borderId="0" xfId="94" applyNumberFormat="1" applyFont="1"/>
    <xf numFmtId="178" fontId="7" fillId="0" borderId="0" xfId="94" applyNumberFormat="1" applyFont="1" applyAlignment="1">
      <alignment horizontal="center" vertical="center"/>
    </xf>
    <xf numFmtId="178" fontId="8" fillId="0" borderId="7" xfId="94" applyNumberFormat="1" applyFont="1" applyBorder="1" applyAlignment="1">
      <alignment horizontal="center" vertical="center" wrapText="1"/>
    </xf>
    <xf numFmtId="43" fontId="8" fillId="18" borderId="7" xfId="94" applyFont="1" applyFill="1" applyBorder="1" applyAlignment="1">
      <alignment horizontal="center" vertical="center" wrapText="1"/>
    </xf>
    <xf numFmtId="43" fontId="11" fillId="0" borderId="0" xfId="94" applyFont="1" applyFill="1" applyAlignment="1">
      <alignment horizontal="center" vertical="center" wrapText="1"/>
    </xf>
    <xf numFmtId="0" fontId="11" fillId="0" borderId="0" xfId="94" applyNumberFormat="1" applyFont="1" applyAlignment="1">
      <alignment vertical="center" wrapText="1"/>
    </xf>
    <xf numFmtId="178" fontId="11" fillId="0" borderId="0" xfId="94" applyNumberFormat="1" applyFont="1" applyFill="1" applyBorder="1" applyAlignment="1">
      <alignment horizontal="center" vertical="center" wrapText="1"/>
    </xf>
    <xf numFmtId="178" fontId="11" fillId="0" borderId="15" xfId="94" applyNumberFormat="1" applyFont="1" applyFill="1" applyBorder="1" applyAlignment="1">
      <alignment horizontal="center"/>
    </xf>
    <xf numFmtId="178" fontId="11" fillId="0" borderId="0" xfId="94" applyNumberFormat="1" applyFont="1" applyBorder="1" applyAlignment="1">
      <alignment horizontal="center" vertical="center" wrapText="1"/>
    </xf>
    <xf numFmtId="178" fontId="26" fillId="0" borderId="0" xfId="94" applyNumberFormat="1" applyFont="1" applyFill="1" applyBorder="1" applyAlignment="1">
      <alignment horizontal="center" vertical="center" wrapText="1"/>
    </xf>
    <xf numFmtId="178" fontId="11" fillId="0" borderId="0" xfId="94" applyNumberFormat="1" applyFont="1" applyFill="1" applyAlignment="1">
      <alignment vertical="center" wrapText="1"/>
    </xf>
    <xf numFmtId="178" fontId="8" fillId="0" borderId="0" xfId="94" applyNumberFormat="1" applyFont="1" applyAlignment="1">
      <alignment vertical="center" wrapText="1"/>
    </xf>
    <xf numFmtId="178" fontId="8" fillId="0" borderId="0" xfId="94" applyNumberFormat="1" applyFont="1" applyAlignment="1">
      <alignment horizontal="center" vertical="center" wrapText="1"/>
    </xf>
    <xf numFmtId="178" fontId="11" fillId="0" borderId="0" xfId="94" applyNumberFormat="1" applyFont="1" applyAlignment="1">
      <alignment vertical="center" wrapText="1"/>
    </xf>
    <xf numFmtId="178" fontId="11" fillId="0" borderId="37" xfId="94" applyNumberFormat="1" applyFont="1" applyFill="1" applyBorder="1" applyAlignment="1">
      <alignment horizontal="center"/>
    </xf>
    <xf numFmtId="178" fontId="11" fillId="0" borderId="0" xfId="94" applyNumberFormat="1" applyFont="1" applyBorder="1" applyAlignment="1">
      <alignment horizontal="center" wrapText="1"/>
    </xf>
    <xf numFmtId="14" fontId="8" fillId="0" borderId="0" xfId="94" applyNumberFormat="1" applyFont="1" applyFill="1" applyBorder="1" applyAlignment="1">
      <alignment horizontal="center" vertical="center" wrapText="1"/>
    </xf>
    <xf numFmtId="0" fontId="8" fillId="0" borderId="0" xfId="94" applyNumberFormat="1" applyFont="1" applyAlignment="1">
      <alignment vertical="center"/>
    </xf>
    <xf numFmtId="178" fontId="8" fillId="0" borderId="3" xfId="94" applyNumberFormat="1" applyFont="1" applyBorder="1" applyAlignment="1">
      <alignment horizontal="center" wrapText="1"/>
    </xf>
    <xf numFmtId="178" fontId="8" fillId="0" borderId="4" xfId="94" applyNumberFormat="1" applyFont="1" applyBorder="1" applyAlignment="1">
      <alignment horizontal="center" wrapText="1"/>
    </xf>
    <xf numFmtId="178" fontId="8" fillId="0" borderId="5" xfId="94" applyNumberFormat="1" applyFont="1" applyBorder="1" applyAlignment="1">
      <alignment horizontal="center" wrapText="1"/>
    </xf>
    <xf numFmtId="178" fontId="26" fillId="0" borderId="0" xfId="94" applyNumberFormat="1" applyFont="1" applyFill="1" applyBorder="1" applyAlignment="1">
      <alignment horizontal="center" wrapText="1"/>
    </xf>
    <xf numFmtId="178" fontId="8" fillId="0" borderId="0" xfId="94" applyNumberFormat="1" applyFont="1" applyBorder="1" applyAlignment="1">
      <alignment horizontal="center" wrapText="1"/>
    </xf>
    <xf numFmtId="43" fontId="7" fillId="5" borderId="0" xfId="94" applyFont="1" applyFill="1"/>
    <xf numFmtId="178" fontId="11" fillId="0" borderId="34" xfId="94" applyNumberFormat="1" applyFont="1" applyFill="1" applyBorder="1" applyAlignment="1">
      <alignment horizontal="center" vertical="center" wrapText="1"/>
    </xf>
    <xf numFmtId="43" fontId="11" fillId="0" borderId="0" xfId="94" applyFont="1" applyAlignment="1">
      <alignment vertical="center" wrapText="1"/>
    </xf>
    <xf numFmtId="178" fontId="8" fillId="0" borderId="0" xfId="94" applyNumberFormat="1" applyFont="1" applyBorder="1" applyAlignment="1">
      <alignment horizontal="center" vertical="center" wrapText="1"/>
    </xf>
    <xf numFmtId="43" fontId="8" fillId="0" borderId="3" xfId="94" applyFont="1" applyFill="1" applyBorder="1" applyAlignment="1">
      <alignment horizontal="center" vertical="center" wrapText="1"/>
    </xf>
    <xf numFmtId="43" fontId="8" fillId="0" borderId="4" xfId="94" applyFont="1" applyFill="1" applyBorder="1" applyAlignment="1">
      <alignment horizontal="center" vertical="center" wrapText="1"/>
    </xf>
    <xf numFmtId="0" fontId="8" fillId="0" borderId="5" xfId="94" applyNumberFormat="1" applyFont="1" applyBorder="1" applyAlignment="1">
      <alignment horizontal="center" vertical="center" wrapText="1"/>
    </xf>
    <xf numFmtId="178" fontId="8" fillId="0" borderId="7" xfId="94" applyNumberFormat="1" applyFont="1" applyFill="1" applyBorder="1" applyAlignment="1">
      <alignment horizontal="center" vertical="center"/>
    </xf>
    <xf numFmtId="178" fontId="8" fillId="0" borderId="5" xfId="94" applyNumberFormat="1" applyFont="1" applyFill="1" applyBorder="1" applyAlignment="1">
      <alignment horizontal="center" vertical="center"/>
    </xf>
    <xf numFmtId="178" fontId="8" fillId="11" borderId="7" xfId="94" applyNumberFormat="1" applyFont="1" applyFill="1" applyBorder="1" applyAlignment="1">
      <alignment horizontal="center" vertical="center"/>
    </xf>
    <xf numFmtId="178" fontId="8" fillId="11" borderId="7" xfId="94" applyNumberFormat="1" applyFont="1" applyFill="1" applyBorder="1" applyAlignment="1">
      <alignment horizontal="center" vertical="center" wrapText="1"/>
    </xf>
    <xf numFmtId="178" fontId="8" fillId="12" borderId="7" xfId="94" applyNumberFormat="1" applyFont="1" applyFill="1" applyBorder="1" applyAlignment="1">
      <alignment horizontal="center" vertical="center"/>
    </xf>
    <xf numFmtId="178" fontId="8" fillId="0" borderId="9" xfId="94" applyNumberFormat="1" applyFont="1" applyFill="1" applyBorder="1" applyAlignment="1">
      <alignment horizontal="center" vertical="center"/>
    </xf>
    <xf numFmtId="178" fontId="25" fillId="0" borderId="0" xfId="94" applyNumberFormat="1" applyFont="1" applyAlignment="1">
      <alignment horizontal="center" vertical="center"/>
    </xf>
    <xf numFmtId="43" fontId="8" fillId="0" borderId="3" xfId="94" applyFont="1" applyFill="1" applyBorder="1" applyAlignment="1">
      <alignment horizontal="center" vertical="center"/>
    </xf>
    <xf numFmtId="43" fontId="8" fillId="0" borderId="4" xfId="94" applyFont="1" applyFill="1" applyBorder="1" applyAlignment="1">
      <alignment horizontal="center" vertical="center"/>
    </xf>
    <xf numFmtId="178" fontId="11" fillId="0" borderId="4" xfId="94" applyNumberFormat="1" applyFont="1" applyFill="1" applyBorder="1" applyAlignment="1">
      <alignment horizontal="center" vertical="center" wrapText="1"/>
    </xf>
    <xf numFmtId="178" fontId="11" fillId="0" borderId="4" xfId="94" applyNumberFormat="1" applyFont="1" applyFill="1" applyBorder="1" applyAlignment="1">
      <alignment vertical="center" wrapText="1"/>
    </xf>
    <xf numFmtId="178" fontId="8" fillId="0" borderId="4" xfId="94" applyNumberFormat="1" applyFont="1" applyFill="1" applyBorder="1" applyAlignment="1">
      <alignment horizontal="center" vertical="center" wrapText="1"/>
    </xf>
    <xf numFmtId="178" fontId="8" fillId="0" borderId="5" xfId="94" applyNumberFormat="1" applyFont="1" applyFill="1" applyBorder="1" applyAlignment="1">
      <alignment horizontal="center" vertical="center" wrapText="1"/>
    </xf>
    <xf numFmtId="43" fontId="7" fillId="0" borderId="13" xfId="94" applyFont="1" applyFill="1" applyBorder="1" applyAlignment="1">
      <alignment horizontal="center" vertical="center"/>
    </xf>
    <xf numFmtId="178" fontId="7" fillId="0" borderId="13" xfId="94" applyNumberFormat="1" applyFont="1" applyFill="1" applyBorder="1" applyAlignment="1">
      <alignment horizontal="center" vertical="center"/>
    </xf>
    <xf numFmtId="0" fontId="11" fillId="0" borderId="13" xfId="94" applyNumberFormat="1" applyFont="1" applyBorder="1" applyAlignment="1">
      <alignment vertical="top" wrapText="1"/>
    </xf>
    <xf numFmtId="178" fontId="11" fillId="11" borderId="13" xfId="94" applyNumberFormat="1" applyFont="1" applyFill="1" applyBorder="1" applyAlignment="1">
      <alignment horizontal="center" vertical="center" wrapText="1"/>
    </xf>
    <xf numFmtId="178" fontId="11" fillId="13" borderId="13" xfId="94" applyNumberFormat="1" applyFont="1" applyFill="1" applyBorder="1" applyAlignment="1">
      <alignment horizontal="center" vertical="center" wrapText="1"/>
    </xf>
    <xf numFmtId="178" fontId="11" fillId="12" borderId="13" xfId="94" applyNumberFormat="1" applyFont="1" applyFill="1" applyBorder="1" applyAlignment="1">
      <alignment horizontal="center" vertical="center" wrapText="1"/>
    </xf>
    <xf numFmtId="178" fontId="8" fillId="0" borderId="9" xfId="94" applyNumberFormat="1" applyFont="1" applyFill="1" applyBorder="1" applyAlignment="1">
      <alignment horizontal="center" vertical="center" wrapText="1"/>
    </xf>
    <xf numFmtId="178" fontId="7" fillId="0" borderId="13" xfId="94" applyNumberFormat="1" applyFont="1" applyBorder="1" applyAlignment="1">
      <alignment horizontal="center" vertical="center"/>
    </xf>
    <xf numFmtId="43" fontId="7" fillId="0" borderId="15" xfId="94" applyFont="1" applyFill="1" applyBorder="1" applyAlignment="1">
      <alignment horizontal="center" vertical="center"/>
    </xf>
    <xf numFmtId="43" fontId="11" fillId="0" borderId="15" xfId="94" applyFont="1" applyFill="1" applyBorder="1" applyAlignment="1">
      <alignment horizontal="center" vertical="center" wrapText="1"/>
    </xf>
    <xf numFmtId="0" fontId="11" fillId="0" borderId="15" xfId="94" applyNumberFormat="1" applyFont="1" applyBorder="1" applyAlignment="1">
      <alignment vertical="top" wrapText="1"/>
    </xf>
    <xf numFmtId="178" fontId="7" fillId="0" borderId="15" xfId="94" applyNumberFormat="1" applyFont="1" applyFill="1" applyBorder="1" applyAlignment="1">
      <alignment horizontal="center" vertical="center"/>
    </xf>
    <xf numFmtId="178" fontId="27" fillId="0" borderId="15" xfId="94" applyNumberFormat="1" applyFont="1" applyFill="1" applyBorder="1" applyAlignment="1">
      <alignment horizontal="center" vertical="center" wrapText="1"/>
    </xf>
    <xf numFmtId="178" fontId="11" fillId="11" borderId="15" xfId="94" applyNumberFormat="1" applyFont="1" applyFill="1" applyBorder="1" applyAlignment="1">
      <alignment horizontal="center" vertical="center" wrapText="1"/>
    </xf>
    <xf numFmtId="178" fontId="11" fillId="13" borderId="15" xfId="94" applyNumberFormat="1" applyFont="1" applyFill="1" applyBorder="1" applyAlignment="1">
      <alignment horizontal="center" vertical="center" wrapText="1"/>
    </xf>
    <xf numFmtId="178" fontId="11" fillId="12" borderId="15" xfId="94" applyNumberFormat="1" applyFont="1" applyFill="1" applyBorder="1" applyAlignment="1">
      <alignment horizontal="center" vertical="center" wrapText="1"/>
    </xf>
    <xf numFmtId="178" fontId="8" fillId="0" borderId="6" xfId="94" applyNumberFormat="1" applyFont="1" applyFill="1" applyBorder="1" applyAlignment="1">
      <alignment horizontal="center" vertical="center" wrapText="1"/>
    </xf>
    <xf numFmtId="178" fontId="27" fillId="0" borderId="15" xfId="94" applyNumberFormat="1" applyFont="1" applyFill="1" applyBorder="1" applyAlignment="1">
      <alignment vertical="center" wrapText="1"/>
    </xf>
    <xf numFmtId="178" fontId="62" fillId="0" borderId="15" xfId="94" applyNumberFormat="1" applyFont="1" applyFill="1" applyBorder="1" applyAlignment="1">
      <alignment horizontal="center" vertical="center" wrapText="1"/>
    </xf>
    <xf numFmtId="43" fontId="11" fillId="0" borderId="15" xfId="94" applyFont="1" applyFill="1" applyBorder="1" applyAlignment="1">
      <alignment horizontal="center" vertical="center"/>
    </xf>
    <xf numFmtId="43" fontId="7" fillId="0" borderId="37" xfId="94" applyFont="1" applyFill="1" applyBorder="1" applyAlignment="1">
      <alignment horizontal="center" vertical="center"/>
    </xf>
    <xf numFmtId="43" fontId="11" fillId="0" borderId="37" xfId="94" applyFont="1" applyFill="1" applyBorder="1" applyAlignment="1">
      <alignment horizontal="center" vertical="center"/>
    </xf>
    <xf numFmtId="0" fontId="11" fillId="0" borderId="37" xfId="94" applyNumberFormat="1" applyFont="1" applyBorder="1" applyAlignment="1">
      <alignment vertical="top" wrapText="1"/>
    </xf>
    <xf numFmtId="178" fontId="7" fillId="0" borderId="37" xfId="94" applyNumberFormat="1" applyFont="1" applyFill="1" applyBorder="1" applyAlignment="1">
      <alignment horizontal="center" vertical="center"/>
    </xf>
    <xf numFmtId="178" fontId="27" fillId="0" borderId="37" xfId="94" applyNumberFormat="1" applyFont="1" applyFill="1" applyBorder="1" applyAlignment="1">
      <alignment vertical="center" wrapText="1"/>
    </xf>
    <xf numFmtId="178" fontId="11" fillId="11" borderId="37" xfId="94" applyNumberFormat="1" applyFont="1" applyFill="1" applyBorder="1" applyAlignment="1">
      <alignment horizontal="center" vertical="center" wrapText="1"/>
    </xf>
    <xf numFmtId="178" fontId="62" fillId="0" borderId="37" xfId="94" applyNumberFormat="1" applyFont="1" applyFill="1" applyBorder="1" applyAlignment="1">
      <alignment horizontal="center" vertical="center" wrapText="1"/>
    </xf>
    <xf numFmtId="178" fontId="27" fillId="0" borderId="37" xfId="94" applyNumberFormat="1" applyFont="1" applyFill="1" applyBorder="1" applyAlignment="1">
      <alignment horizontal="center" vertical="center" wrapText="1"/>
    </xf>
    <xf numFmtId="178" fontId="11" fillId="13" borderId="37" xfId="94" applyNumberFormat="1" applyFont="1" applyFill="1" applyBorder="1" applyAlignment="1">
      <alignment horizontal="center" vertical="center" wrapText="1"/>
    </xf>
    <xf numFmtId="178" fontId="11" fillId="12" borderId="37" xfId="94" applyNumberFormat="1" applyFont="1" applyFill="1" applyBorder="1" applyAlignment="1">
      <alignment horizontal="center" vertical="center" wrapText="1"/>
    </xf>
    <xf numFmtId="0" fontId="11" fillId="0" borderId="19" xfId="94" applyNumberFormat="1" applyFont="1" applyBorder="1" applyAlignment="1">
      <alignment horizontal="left"/>
    </xf>
    <xf numFmtId="49" fontId="11" fillId="0" borderId="15" xfId="15" applyNumberFormat="1" applyFont="1" applyBorder="1" applyAlignment="1">
      <alignment horizontal="center" vertical="center"/>
    </xf>
    <xf numFmtId="178" fontId="11" fillId="0" borderId="15" xfId="94" applyNumberFormat="1" applyFont="1" applyFill="1" applyBorder="1" applyAlignment="1">
      <alignment horizontal="center" vertical="center"/>
    </xf>
    <xf numFmtId="0" fontId="11" fillId="0" borderId="19" xfId="94" applyNumberFormat="1" applyFont="1" applyBorder="1" applyAlignment="1">
      <alignment vertical="top" wrapText="1"/>
    </xf>
    <xf numFmtId="178" fontId="26" fillId="0" borderId="15" xfId="94" applyNumberFormat="1" applyFont="1" applyFill="1" applyBorder="1" applyAlignment="1">
      <alignment horizontal="center" vertical="center" wrapText="1"/>
    </xf>
    <xf numFmtId="9" fontId="11" fillId="0" borderId="4" xfId="40" applyFont="1" applyFill="1" applyBorder="1" applyAlignment="1">
      <alignment horizontal="center" vertical="center" wrapText="1"/>
    </xf>
    <xf numFmtId="0" fontId="7" fillId="0" borderId="15" xfId="94" applyNumberFormat="1" applyFont="1" applyBorder="1" applyAlignment="1">
      <alignment vertical="center" wrapText="1"/>
    </xf>
    <xf numFmtId="178" fontId="62" fillId="0" borderId="15" xfId="94" applyNumberFormat="1" applyFont="1" applyBorder="1"/>
    <xf numFmtId="0" fontId="7" fillId="0" borderId="0" xfId="39" applyFont="1" applyAlignment="1">
      <alignment horizontal="right" vertical="center"/>
    </xf>
    <xf numFmtId="9" fontId="7" fillId="0" borderId="0" xfId="40" applyFont="1"/>
    <xf numFmtId="178" fontId="62" fillId="5" borderId="15" xfId="94" applyNumberFormat="1" applyFont="1" applyFill="1" applyBorder="1" applyAlignment="1">
      <alignment horizontal="center" vertical="center" wrapText="1"/>
    </xf>
    <xf numFmtId="0" fontId="11" fillId="0" borderId="15" xfId="94" applyNumberFormat="1" applyFont="1" applyBorder="1" applyAlignment="1">
      <alignment horizontal="left"/>
    </xf>
    <xf numFmtId="178" fontId="7" fillId="0" borderId="19" xfId="94" applyNumberFormat="1" applyFont="1" applyBorder="1"/>
    <xf numFmtId="178" fontId="11" fillId="0" borderId="45" xfId="94" applyNumberFormat="1" applyFont="1" applyBorder="1"/>
    <xf numFmtId="43" fontId="11" fillId="0" borderId="20" xfId="94" applyFont="1" applyFill="1" applyBorder="1" applyAlignment="1">
      <alignment horizontal="center" vertical="center"/>
    </xf>
    <xf numFmtId="0" fontId="11" fillId="0" borderId="20" xfId="94" applyNumberFormat="1" applyFont="1" applyBorder="1" applyAlignment="1">
      <alignment horizontal="left"/>
    </xf>
    <xf numFmtId="49" fontId="11" fillId="0" borderId="20" xfId="15" applyNumberFormat="1" applyFont="1" applyBorder="1" applyAlignment="1">
      <alignment horizontal="center" vertical="center"/>
    </xf>
    <xf numFmtId="178" fontId="11" fillId="0" borderId="20" xfId="94" applyNumberFormat="1" applyFont="1" applyFill="1" applyBorder="1" applyAlignment="1">
      <alignment horizontal="center" vertical="center"/>
    </xf>
    <xf numFmtId="178" fontId="11" fillId="0" borderId="37" xfId="94" applyNumberFormat="1" applyFont="1" applyFill="1" applyBorder="1" applyAlignment="1">
      <alignment horizontal="center" vertical="center"/>
    </xf>
    <xf numFmtId="43" fontId="11" fillId="0" borderId="13" xfId="94" applyFont="1" applyFill="1" applyBorder="1" applyAlignment="1">
      <alignment horizontal="center" vertical="center"/>
    </xf>
    <xf numFmtId="178" fontId="11" fillId="0" borderId="13" xfId="94" applyNumberFormat="1" applyFont="1" applyFill="1" applyBorder="1" applyAlignment="1">
      <alignment horizontal="center" vertical="center"/>
    </xf>
    <xf numFmtId="178" fontId="47" fillId="0" borderId="13" xfId="94" applyNumberFormat="1" applyFont="1" applyFill="1" applyBorder="1" applyAlignment="1">
      <alignment horizontal="center" vertical="center" wrapText="1"/>
    </xf>
    <xf numFmtId="178" fontId="48" fillId="0" borderId="13" xfId="94" applyNumberFormat="1" applyFont="1" applyFill="1" applyBorder="1" applyAlignment="1">
      <alignment horizontal="center" vertical="center" wrapText="1"/>
    </xf>
    <xf numFmtId="178" fontId="8" fillId="0" borderId="0" xfId="94" applyNumberFormat="1" applyFont="1" applyAlignment="1">
      <alignment horizontal="center" vertical="center"/>
    </xf>
    <xf numFmtId="178" fontId="11" fillId="0" borderId="0" xfId="94" applyNumberFormat="1" applyFont="1"/>
    <xf numFmtId="0" fontId="11" fillId="0" borderId="15" xfId="94" applyNumberFormat="1" applyFont="1" applyBorder="1" applyAlignment="1">
      <alignment vertical="center" wrapText="1"/>
    </xf>
    <xf numFmtId="178" fontId="47" fillId="0" borderId="15" xfId="94" applyNumberFormat="1" applyFont="1" applyFill="1" applyBorder="1" applyAlignment="1">
      <alignment horizontal="center" vertical="center" wrapText="1"/>
    </xf>
    <xf numFmtId="178" fontId="48" fillId="0" borderId="15" xfId="94" applyNumberFormat="1" applyFont="1" applyFill="1" applyBorder="1" applyAlignment="1">
      <alignment horizontal="center" vertical="center" wrapText="1"/>
    </xf>
    <xf numFmtId="178" fontId="7" fillId="0" borderId="16" xfId="94" applyNumberFormat="1" applyFont="1" applyBorder="1" applyAlignment="1">
      <alignment horizontal="center" vertical="center"/>
    </xf>
    <xf numFmtId="178" fontId="47" fillId="5" borderId="15" xfId="94" applyNumberFormat="1" applyFont="1" applyFill="1" applyBorder="1" applyAlignment="1">
      <alignment horizontal="center" vertical="center" wrapText="1"/>
    </xf>
    <xf numFmtId="178" fontId="7" fillId="0" borderId="36" xfId="94" applyNumberFormat="1" applyFont="1" applyBorder="1" applyAlignment="1">
      <alignment horizontal="center" vertical="center"/>
    </xf>
    <xf numFmtId="43" fontId="11" fillId="0" borderId="15" xfId="108" applyFont="1" applyFill="1" applyBorder="1" applyAlignment="1">
      <alignment horizontal="center" vertical="center"/>
    </xf>
    <xf numFmtId="178" fontId="8" fillId="0" borderId="10" xfId="94" applyNumberFormat="1" applyFont="1" applyFill="1" applyBorder="1" applyAlignment="1">
      <alignment horizontal="center" vertical="center" wrapText="1"/>
    </xf>
    <xf numFmtId="43" fontId="7" fillId="0" borderId="0" xfId="108" applyFont="1" applyFill="1"/>
    <xf numFmtId="178" fontId="27" fillId="0" borderId="20" xfId="94" applyNumberFormat="1" applyFont="1" applyFill="1" applyBorder="1" applyAlignment="1">
      <alignment horizontal="center" vertical="center" wrapText="1"/>
    </xf>
    <xf numFmtId="178" fontId="50" fillId="5" borderId="20" xfId="94" applyNumberFormat="1" applyFont="1" applyFill="1" applyBorder="1" applyAlignment="1">
      <alignment horizontal="center" vertical="center" wrapText="1"/>
    </xf>
    <xf numFmtId="178" fontId="47" fillId="0" borderId="20" xfId="94" applyNumberFormat="1" applyFont="1" applyFill="1" applyBorder="1" applyAlignment="1">
      <alignment horizontal="center" vertical="center" wrapText="1"/>
    </xf>
    <xf numFmtId="43" fontId="11" fillId="0" borderId="37" xfId="108" applyFont="1" applyFill="1" applyBorder="1" applyAlignment="1">
      <alignment horizontal="center" vertical="center"/>
    </xf>
    <xf numFmtId="178" fontId="47" fillId="0" borderId="37" xfId="94" applyNumberFormat="1" applyFont="1" applyFill="1" applyBorder="1" applyAlignment="1">
      <alignment horizontal="center" vertical="center" wrapText="1"/>
    </xf>
    <xf numFmtId="0" fontId="11" fillId="2" borderId="13" xfId="94" applyNumberFormat="1" applyFont="1" applyFill="1" applyBorder="1" applyAlignment="1">
      <alignment vertical="top" wrapText="1"/>
    </xf>
    <xf numFmtId="178" fontId="8" fillId="0" borderId="38" xfId="94" applyNumberFormat="1" applyFont="1" applyFill="1" applyBorder="1" applyAlignment="1">
      <alignment horizontal="center" vertical="center" wrapText="1"/>
    </xf>
    <xf numFmtId="0" fontId="11" fillId="2" borderId="15" xfId="94" applyNumberFormat="1" applyFont="1" applyFill="1" applyBorder="1" applyAlignment="1">
      <alignment vertical="top"/>
    </xf>
    <xf numFmtId="0" fontId="11" fillId="0" borderId="15" xfId="94" applyNumberFormat="1" applyFont="1" applyBorder="1" applyAlignment="1">
      <alignment horizontal="left" vertical="top" wrapText="1"/>
    </xf>
    <xf numFmtId="43" fontId="11" fillId="0" borderId="37" xfId="94" applyFont="1" applyFill="1" applyBorder="1" applyAlignment="1">
      <alignment horizontal="center" vertical="center" wrapText="1"/>
    </xf>
    <xf numFmtId="49" fontId="11" fillId="0" borderId="37" xfId="15" applyNumberFormat="1" applyFont="1" applyBorder="1" applyAlignment="1">
      <alignment horizontal="center" vertical="center"/>
    </xf>
    <xf numFmtId="178" fontId="48" fillId="0" borderId="37" xfId="94" applyNumberFormat="1" applyFont="1" applyFill="1" applyBorder="1" applyAlignment="1">
      <alignment horizontal="center" vertical="center" wrapText="1"/>
    </xf>
    <xf numFmtId="178" fontId="27" fillId="0" borderId="13" xfId="94" applyNumberFormat="1" applyFont="1" applyFill="1" applyBorder="1" applyAlignment="1">
      <alignment horizontal="center" vertical="center" wrapText="1"/>
    </xf>
    <xf numFmtId="178" fontId="8" fillId="0" borderId="42" xfId="94" applyNumberFormat="1" applyFont="1" applyFill="1" applyBorder="1" applyAlignment="1">
      <alignment horizontal="center" vertical="center" wrapText="1"/>
    </xf>
    <xf numFmtId="0" fontId="11" fillId="0" borderId="15" xfId="94" applyNumberFormat="1" applyFont="1" applyBorder="1" applyAlignment="1">
      <alignment vertical="top"/>
    </xf>
    <xf numFmtId="178" fontId="50" fillId="0" borderId="15" xfId="94" applyNumberFormat="1" applyFont="1" applyFill="1" applyBorder="1" applyAlignment="1">
      <alignment vertical="center" wrapText="1"/>
    </xf>
    <xf numFmtId="178" fontId="50" fillId="5" borderId="15" xfId="94" applyNumberFormat="1" applyFont="1" applyFill="1" applyBorder="1" applyAlignment="1">
      <alignment horizontal="center" vertical="center" wrapText="1"/>
    </xf>
    <xf numFmtId="0" fontId="11" fillId="0" borderId="13" xfId="39" applyFont="1" applyBorder="1" applyAlignment="1">
      <alignment horizontal="center" vertical="center"/>
    </xf>
    <xf numFmtId="43" fontId="7" fillId="0" borderId="16" xfId="94" applyFont="1" applyFill="1" applyBorder="1" applyAlignment="1">
      <alignment horizontal="center" vertical="center"/>
    </xf>
    <xf numFmtId="43" fontId="11" fillId="0" borderId="16" xfId="94" applyFont="1" applyFill="1" applyBorder="1" applyAlignment="1">
      <alignment horizontal="center" vertical="center"/>
    </xf>
    <xf numFmtId="0" fontId="11" fillId="0" borderId="16" xfId="94" applyNumberFormat="1" applyFont="1" applyBorder="1" applyAlignment="1">
      <alignment vertical="top" wrapText="1"/>
    </xf>
    <xf numFmtId="0" fontId="11" fillId="0" borderId="16" xfId="39" applyFont="1" applyBorder="1" applyAlignment="1">
      <alignment horizontal="center" vertical="center"/>
    </xf>
    <xf numFmtId="178" fontId="11" fillId="0" borderId="16" xfId="94" applyNumberFormat="1" applyFont="1" applyFill="1" applyBorder="1" applyAlignment="1">
      <alignment horizontal="center" vertical="center"/>
    </xf>
    <xf numFmtId="0" fontId="11" fillId="0" borderId="15" xfId="39" applyFont="1" applyBorder="1" applyAlignment="1">
      <alignment horizontal="center" vertical="center"/>
    </xf>
    <xf numFmtId="178" fontId="7" fillId="0" borderId="15" xfId="94" applyNumberFormat="1" applyFont="1" applyBorder="1"/>
    <xf numFmtId="178" fontId="11" fillId="0" borderId="15" xfId="94" applyNumberFormat="1" applyFont="1" applyBorder="1"/>
    <xf numFmtId="0" fontId="11" fillId="0" borderId="37" xfId="94" applyNumberFormat="1" applyFont="1" applyBorder="1" applyAlignment="1">
      <alignment vertical="center" wrapText="1"/>
    </xf>
    <xf numFmtId="43" fontId="11" fillId="0" borderId="13" xfId="94" applyFont="1" applyFill="1" applyBorder="1" applyAlignment="1">
      <alignment horizontal="center" vertical="center" wrapText="1"/>
    </xf>
    <xf numFmtId="0" fontId="7" fillId="0" borderId="13" xfId="39" applyFont="1" applyBorder="1" applyAlignment="1">
      <alignment horizontal="center" vertical="center"/>
    </xf>
    <xf numFmtId="178" fontId="62" fillId="0" borderId="13" xfId="94" applyNumberFormat="1" applyFont="1" applyFill="1" applyBorder="1" applyAlignment="1">
      <alignment horizontal="center" vertical="center" wrapText="1"/>
    </xf>
    <xf numFmtId="178" fontId="26" fillId="0" borderId="13" xfId="94" applyNumberFormat="1" applyFont="1" applyFill="1" applyBorder="1" applyAlignment="1">
      <alignment horizontal="center" vertical="center" wrapText="1"/>
    </xf>
    <xf numFmtId="178" fontId="25" fillId="0" borderId="10" xfId="94" applyNumberFormat="1" applyFont="1" applyBorder="1" applyAlignment="1">
      <alignment horizontal="center" vertical="center"/>
    </xf>
    <xf numFmtId="178" fontId="62" fillId="0" borderId="15" xfId="94" applyNumberFormat="1" applyFont="1" applyFill="1" applyBorder="1" applyAlignment="1">
      <alignment vertical="center" wrapText="1"/>
    </xf>
    <xf numFmtId="0" fontId="11" fillId="0" borderId="37" xfId="39" applyFont="1" applyBorder="1" applyAlignment="1">
      <alignment horizontal="center" vertical="center"/>
    </xf>
    <xf numFmtId="178" fontId="27" fillId="0" borderId="16" xfId="94" applyNumberFormat="1" applyFont="1" applyFill="1" applyBorder="1" applyAlignment="1">
      <alignment horizontal="center" vertical="center" wrapText="1"/>
    </xf>
    <xf numFmtId="0" fontId="11" fillId="0" borderId="16" xfId="94" applyNumberFormat="1" applyFont="1" applyBorder="1" applyAlignment="1">
      <alignment vertical="top"/>
    </xf>
    <xf numFmtId="0" fontId="7" fillId="0" borderId="37" xfId="39" applyFont="1" applyBorder="1" applyAlignment="1">
      <alignment horizontal="center" vertical="center"/>
    </xf>
    <xf numFmtId="178" fontId="7" fillId="0" borderId="37" xfId="94" applyNumberFormat="1" applyFont="1" applyBorder="1" applyAlignment="1">
      <alignment horizontal="center" vertical="center"/>
    </xf>
    <xf numFmtId="178" fontId="50" fillId="0" borderId="15" xfId="94" applyNumberFormat="1" applyFont="1" applyFill="1" applyBorder="1" applyAlignment="1">
      <alignment horizontal="center" vertical="center" wrapText="1"/>
    </xf>
    <xf numFmtId="0" fontId="11" fillId="0" borderId="37" xfId="94" applyNumberFormat="1" applyFont="1" applyBorder="1" applyAlignment="1">
      <alignment vertical="center"/>
    </xf>
    <xf numFmtId="178" fontId="8" fillId="0" borderId="12" xfId="94" applyNumberFormat="1" applyFont="1" applyFill="1" applyBorder="1" applyAlignment="1">
      <alignment horizontal="center" vertical="center" wrapText="1"/>
    </xf>
    <xf numFmtId="0" fontId="8" fillId="0" borderId="4" xfId="94" applyNumberFormat="1" applyFont="1" applyBorder="1" applyAlignment="1">
      <alignment vertical="center"/>
    </xf>
    <xf numFmtId="0" fontId="11" fillId="0" borderId="13" xfId="94" applyNumberFormat="1" applyFont="1" applyBorder="1"/>
    <xf numFmtId="0" fontId="11" fillId="0" borderId="13" xfId="105" applyFont="1" applyBorder="1" applyAlignment="1">
      <alignment horizontal="center" vertical="center"/>
    </xf>
    <xf numFmtId="178" fontId="47" fillId="0" borderId="13" xfId="94" applyNumberFormat="1" applyFont="1" applyBorder="1"/>
    <xf numFmtId="0" fontId="11" fillId="0" borderId="15" xfId="94" applyNumberFormat="1" applyFont="1" applyBorder="1"/>
    <xf numFmtId="0" fontId="11" fillId="0" borderId="15" xfId="105" applyFont="1" applyBorder="1" applyAlignment="1">
      <alignment horizontal="center" vertical="center"/>
    </xf>
    <xf numFmtId="178" fontId="47" fillId="0" borderId="15" xfId="94" applyNumberFormat="1" applyFont="1" applyBorder="1"/>
    <xf numFmtId="178" fontId="47" fillId="5" borderId="37" xfId="94" applyNumberFormat="1" applyFont="1" applyFill="1" applyBorder="1" applyAlignment="1">
      <alignment horizontal="center" vertical="center" wrapText="1"/>
    </xf>
    <xf numFmtId="43" fontId="11" fillId="0" borderId="13" xfId="94" applyFont="1" applyFill="1" applyBorder="1" applyAlignment="1">
      <alignment vertical="center"/>
    </xf>
    <xf numFmtId="0" fontId="11" fillId="0" borderId="13" xfId="94" applyNumberFormat="1" applyFont="1" applyBorder="1" applyAlignment="1">
      <alignment horizontal="left" vertical="center" wrapText="1"/>
    </xf>
    <xf numFmtId="178" fontId="11" fillId="0" borderId="13" xfId="94" applyNumberFormat="1" applyFont="1" applyBorder="1" applyAlignment="1">
      <alignment horizontal="center" vertical="center"/>
    </xf>
    <xf numFmtId="178" fontId="11" fillId="0" borderId="13" xfId="94" applyNumberFormat="1" applyFont="1" applyFill="1" applyBorder="1" applyAlignment="1">
      <alignment vertical="center" wrapText="1"/>
    </xf>
    <xf numFmtId="178" fontId="62" fillId="0" borderId="15" xfId="94" applyNumberFormat="1" applyFont="1" applyFill="1" applyBorder="1"/>
    <xf numFmtId="43" fontId="11" fillId="0" borderId="15" xfId="94" applyFont="1" applyFill="1" applyBorder="1" applyAlignment="1">
      <alignment vertical="center"/>
    </xf>
    <xf numFmtId="0" fontId="11" fillId="0" borderId="15" xfId="94" applyNumberFormat="1" applyFont="1" applyBorder="1" applyAlignment="1">
      <alignment horizontal="left" vertical="center" wrapText="1"/>
    </xf>
    <xf numFmtId="178" fontId="11" fillId="0" borderId="15" xfId="94" applyNumberFormat="1" applyFont="1" applyBorder="1" applyAlignment="1">
      <alignment horizontal="center" vertical="center"/>
    </xf>
    <xf numFmtId="178" fontId="11" fillId="0" borderId="15" xfId="94" applyNumberFormat="1" applyFont="1" applyFill="1" applyBorder="1" applyAlignment="1">
      <alignment vertical="center" wrapText="1"/>
    </xf>
    <xf numFmtId="43" fontId="11" fillId="0" borderId="15" xfId="94" applyFont="1" applyFill="1" applyBorder="1" applyAlignment="1">
      <alignment vertical="center" wrapText="1"/>
    </xf>
    <xf numFmtId="178" fontId="27" fillId="0" borderId="15" xfId="94" applyNumberFormat="1" applyFont="1" applyFill="1" applyBorder="1"/>
    <xf numFmtId="178" fontId="50" fillId="5" borderId="15" xfId="94" applyNumberFormat="1" applyFont="1" applyFill="1" applyBorder="1"/>
    <xf numFmtId="178" fontId="11" fillId="0" borderId="15" xfId="94" applyNumberFormat="1" applyFont="1" applyFill="1" applyBorder="1"/>
    <xf numFmtId="178" fontId="62" fillId="0" borderId="15" xfId="94" applyNumberFormat="1" applyFont="1" applyFill="1" applyBorder="1" applyAlignment="1">
      <alignment horizontal="center" vertical="center"/>
    </xf>
    <xf numFmtId="0" fontId="11" fillId="0" borderId="37" xfId="94" applyNumberFormat="1" applyFont="1" applyFill="1" applyBorder="1" applyAlignment="1">
      <alignment horizontal="left" vertical="center" wrapText="1"/>
    </xf>
    <xf numFmtId="178" fontId="11" fillId="0" borderId="37" xfId="94" applyNumberFormat="1" applyFont="1" applyBorder="1" applyAlignment="1">
      <alignment horizontal="center" vertical="center"/>
    </xf>
    <xf numFmtId="178" fontId="11" fillId="0" borderId="37" xfId="94" applyNumberFormat="1" applyFont="1" applyFill="1" applyBorder="1"/>
    <xf numFmtId="178" fontId="11" fillId="0" borderId="37" xfId="94" applyNumberFormat="1" applyFont="1" applyFill="1" applyBorder="1" applyAlignment="1">
      <alignment vertical="center" wrapText="1"/>
    </xf>
    <xf numFmtId="178" fontId="7" fillId="0" borderId="4" xfId="94" applyNumberFormat="1" applyFont="1" applyBorder="1"/>
    <xf numFmtId="178" fontId="7" fillId="0" borderId="4" xfId="94" applyNumberFormat="1" applyFont="1" applyBorder="1" applyAlignment="1">
      <alignment horizontal="center" vertical="center"/>
    </xf>
    <xf numFmtId="0" fontId="7" fillId="0" borderId="5" xfId="39" applyFont="1" applyBorder="1"/>
    <xf numFmtId="43" fontId="11" fillId="0" borderId="4" xfId="94" applyFont="1" applyFill="1" applyBorder="1" applyAlignment="1">
      <alignment horizontal="center" vertical="center" wrapText="1"/>
    </xf>
    <xf numFmtId="0" fontId="7" fillId="0" borderId="13" xfId="94" applyNumberFormat="1" applyFont="1" applyBorder="1" applyAlignment="1">
      <alignment vertical="center" wrapText="1"/>
    </xf>
    <xf numFmtId="0" fontId="7" fillId="0" borderId="37" xfId="94" applyNumberFormat="1" applyFont="1" applyBorder="1" applyAlignment="1">
      <alignment vertical="center" wrapText="1"/>
    </xf>
    <xf numFmtId="43" fontId="7" fillId="0" borderId="35" xfId="94" applyFont="1" applyFill="1" applyBorder="1" applyAlignment="1">
      <alignment horizontal="center" vertical="center"/>
    </xf>
    <xf numFmtId="43" fontId="11" fillId="0" borderId="34" xfId="94" applyFont="1" applyFill="1" applyBorder="1" applyAlignment="1">
      <alignment horizontal="center" vertical="center"/>
    </xf>
    <xf numFmtId="0" fontId="25" fillId="0" borderId="34" xfId="94" applyNumberFormat="1" applyFont="1" applyBorder="1" applyAlignment="1">
      <alignment vertical="center" wrapText="1"/>
    </xf>
    <xf numFmtId="178" fontId="26" fillId="0" borderId="34" xfId="94" applyNumberFormat="1" applyFont="1" applyFill="1" applyBorder="1" applyAlignment="1">
      <alignment horizontal="center" vertical="center" wrapText="1"/>
    </xf>
    <xf numFmtId="43" fontId="7" fillId="0" borderId="0" xfId="39" applyNumberFormat="1" applyFont="1"/>
    <xf numFmtId="0" fontId="7" fillId="0" borderId="13" xfId="94" applyNumberFormat="1" applyFont="1" applyBorder="1"/>
    <xf numFmtId="0" fontId="7" fillId="0" borderId="15" xfId="94" applyNumberFormat="1" applyFont="1" applyBorder="1"/>
    <xf numFmtId="0" fontId="7" fillId="0" borderId="15" xfId="94" applyNumberFormat="1" applyFont="1" applyBorder="1" applyAlignment="1"/>
    <xf numFmtId="0" fontId="7" fillId="0" borderId="37" xfId="94" applyNumberFormat="1" applyFont="1" applyBorder="1"/>
    <xf numFmtId="43" fontId="11" fillId="0" borderId="4" xfId="94" applyFont="1" applyFill="1" applyBorder="1" applyAlignment="1">
      <alignment vertical="center" wrapText="1"/>
    </xf>
    <xf numFmtId="2" fontId="7" fillId="0" borderId="15" xfId="94" applyNumberFormat="1" applyFont="1" applyFill="1" applyBorder="1" applyAlignment="1">
      <alignment horizontal="center" vertical="center"/>
    </xf>
    <xf numFmtId="2" fontId="11" fillId="0" borderId="15" xfId="94" applyNumberFormat="1" applyFont="1" applyFill="1" applyBorder="1" applyAlignment="1">
      <alignment horizontal="center" vertical="center" wrapText="1"/>
    </xf>
    <xf numFmtId="178" fontId="50" fillId="5" borderId="37" xfId="94" applyNumberFormat="1" applyFont="1" applyFill="1" applyBorder="1" applyAlignment="1">
      <alignment horizontal="center" vertical="center" wrapText="1"/>
    </xf>
    <xf numFmtId="178" fontId="26" fillId="0" borderId="37" xfId="94" applyNumberFormat="1" applyFont="1" applyFill="1" applyBorder="1" applyAlignment="1">
      <alignment horizontal="center" vertical="center" wrapText="1"/>
    </xf>
    <xf numFmtId="43" fontId="11" fillId="0" borderId="16" xfId="94" applyFont="1" applyFill="1" applyBorder="1" applyAlignment="1">
      <alignment horizontal="center" vertical="center" wrapText="1"/>
    </xf>
    <xf numFmtId="0" fontId="7" fillId="0" borderId="16" xfId="39" applyFont="1" applyBorder="1" applyAlignment="1">
      <alignment horizontal="center" vertical="center"/>
    </xf>
    <xf numFmtId="178" fontId="7" fillId="0" borderId="16" xfId="94" applyNumberFormat="1" applyFont="1" applyFill="1" applyBorder="1" applyAlignment="1">
      <alignment horizontal="center" vertical="center"/>
    </xf>
    <xf numFmtId="178" fontId="62" fillId="0" borderId="16" xfId="94" applyNumberFormat="1" applyFont="1" applyFill="1" applyBorder="1" applyAlignment="1">
      <alignment horizontal="center" vertical="center" wrapText="1"/>
    </xf>
    <xf numFmtId="178" fontId="11" fillId="11" borderId="16" xfId="94" applyNumberFormat="1" applyFont="1" applyFill="1" applyBorder="1" applyAlignment="1">
      <alignment horizontal="center" vertical="center" wrapText="1"/>
    </xf>
    <xf numFmtId="178" fontId="26" fillId="0" borderId="16" xfId="94" applyNumberFormat="1" applyFont="1" applyFill="1" applyBorder="1" applyAlignment="1">
      <alignment horizontal="center" vertical="center" wrapText="1"/>
    </xf>
    <xf numFmtId="178" fontId="11" fillId="13" borderId="16" xfId="94" applyNumberFormat="1" applyFont="1" applyFill="1" applyBorder="1" applyAlignment="1">
      <alignment horizontal="center" vertical="center" wrapText="1"/>
    </xf>
    <xf numFmtId="178" fontId="11" fillId="12" borderId="16" xfId="94" applyNumberFormat="1" applyFont="1" applyFill="1" applyBorder="1" applyAlignment="1">
      <alignment horizontal="center" vertical="center" wrapText="1"/>
    </xf>
    <xf numFmtId="43" fontId="11" fillId="0" borderId="7" xfId="94" applyFont="1" applyFill="1" applyBorder="1" applyAlignment="1">
      <alignment horizontal="center" vertical="center"/>
    </xf>
    <xf numFmtId="0" fontId="11" fillId="0" borderId="7" xfId="94" applyNumberFormat="1" applyFont="1" applyBorder="1" applyAlignment="1">
      <alignment vertical="top" wrapText="1"/>
    </xf>
    <xf numFmtId="49" fontId="11" fillId="0" borderId="7" xfId="15" applyNumberFormat="1" applyFont="1" applyBorder="1" applyAlignment="1">
      <alignment horizontal="center" vertical="center"/>
    </xf>
    <xf numFmtId="178" fontId="11" fillId="0" borderId="7" xfId="94" applyNumberFormat="1" applyFont="1" applyFill="1" applyBorder="1" applyAlignment="1">
      <alignment horizontal="center" vertical="center"/>
    </xf>
    <xf numFmtId="178" fontId="47" fillId="0" borderId="7" xfId="94" applyNumberFormat="1" applyFont="1" applyFill="1" applyBorder="1" applyAlignment="1">
      <alignment horizontal="center" vertical="center" wrapText="1"/>
    </xf>
    <xf numFmtId="178" fontId="11" fillId="11" borderId="7" xfId="94" applyNumberFormat="1" applyFont="1" applyFill="1" applyBorder="1" applyAlignment="1">
      <alignment horizontal="center" vertical="center" wrapText="1"/>
    </xf>
    <xf numFmtId="178" fontId="11" fillId="13" borderId="7" xfId="94" applyNumberFormat="1" applyFont="1" applyFill="1" applyBorder="1" applyAlignment="1">
      <alignment horizontal="center" vertical="center" wrapText="1"/>
    </xf>
    <xf numFmtId="178" fontId="11" fillId="12" borderId="7" xfId="94" applyNumberFormat="1" applyFont="1" applyFill="1" applyBorder="1" applyAlignment="1">
      <alignment horizontal="center" vertical="center" wrapText="1"/>
    </xf>
    <xf numFmtId="178" fontId="11" fillId="0" borderId="13" xfId="94" applyNumberFormat="1" applyFont="1" applyBorder="1"/>
    <xf numFmtId="178" fontId="27" fillId="0" borderId="13" xfId="94" applyNumberFormat="1" applyFont="1" applyFill="1" applyBorder="1" applyAlignment="1">
      <alignment horizontal="center" vertical="center"/>
    </xf>
    <xf numFmtId="178" fontId="50" fillId="0" borderId="15" xfId="94" applyNumberFormat="1" applyFont="1" applyFill="1" applyBorder="1" applyAlignment="1">
      <alignment horizontal="center" vertical="center"/>
    </xf>
    <xf numFmtId="178" fontId="62" fillId="0" borderId="37" xfId="94" applyNumberFormat="1" applyFont="1" applyFill="1" applyBorder="1" applyAlignment="1">
      <alignment vertical="center" wrapText="1"/>
    </xf>
    <xf numFmtId="0" fontId="11" fillId="0" borderId="13" xfId="94" applyNumberFormat="1" applyFont="1" applyFill="1" applyBorder="1" applyAlignment="1">
      <alignment horizontal="left" vertical="center"/>
    </xf>
    <xf numFmtId="178" fontId="62" fillId="5" borderId="13" xfId="94" applyNumberFormat="1" applyFont="1" applyFill="1" applyBorder="1" applyAlignment="1">
      <alignment horizontal="center" vertical="center" wrapText="1"/>
    </xf>
    <xf numFmtId="0" fontId="11" fillId="0" borderId="16" xfId="94" applyNumberFormat="1" applyFont="1" applyFill="1" applyBorder="1" applyAlignment="1">
      <alignment horizontal="left" vertical="center"/>
    </xf>
    <xf numFmtId="49" fontId="11" fillId="0" borderId="16" xfId="39" applyNumberFormat="1" applyFont="1" applyBorder="1" applyAlignment="1">
      <alignment horizontal="center" vertical="center"/>
    </xf>
    <xf numFmtId="178" fontId="11" fillId="0" borderId="16" xfId="94" applyNumberFormat="1" applyFont="1" applyFill="1" applyBorder="1" applyAlignment="1">
      <alignment horizontal="center" vertical="center" wrapText="1"/>
    </xf>
    <xf numFmtId="178" fontId="11" fillId="0" borderId="16" xfId="94" applyNumberFormat="1" applyFont="1" applyBorder="1"/>
    <xf numFmtId="178" fontId="62" fillId="5" borderId="16" xfId="94" applyNumberFormat="1" applyFont="1" applyFill="1" applyBorder="1" applyAlignment="1">
      <alignment horizontal="center" vertical="center" wrapText="1"/>
    </xf>
    <xf numFmtId="0" fontId="11" fillId="0" borderId="15" xfId="94" applyNumberFormat="1" applyFont="1" applyBorder="1" applyAlignment="1">
      <alignment horizontal="left" vertical="center"/>
    </xf>
    <xf numFmtId="43" fontId="7" fillId="0" borderId="15" xfId="108" applyFont="1" applyFill="1" applyBorder="1" applyAlignment="1">
      <alignment horizontal="center" vertical="center"/>
    </xf>
    <xf numFmtId="178" fontId="25" fillId="0" borderId="0" xfId="94" applyNumberFormat="1" applyFont="1" applyFill="1" applyAlignment="1">
      <alignment horizontal="center" vertical="center"/>
    </xf>
    <xf numFmtId="178" fontId="50" fillId="5" borderId="15" xfId="94" applyNumberFormat="1" applyFont="1" applyFill="1" applyBorder="1" applyAlignment="1">
      <alignment vertical="center" wrapText="1"/>
    </xf>
    <xf numFmtId="43" fontId="7" fillId="0" borderId="0" xfId="108" applyFont="1"/>
    <xf numFmtId="0" fontId="11" fillId="0" borderId="37" xfId="94" applyNumberFormat="1" applyFont="1" applyBorder="1" applyAlignment="1">
      <alignment horizontal="left" vertical="center"/>
    </xf>
    <xf numFmtId="43" fontId="7" fillId="0" borderId="37" xfId="108" applyFont="1" applyFill="1" applyBorder="1" applyAlignment="1">
      <alignment horizontal="center" vertical="center"/>
    </xf>
    <xf numFmtId="43" fontId="8" fillId="0" borderId="39" xfId="94" applyFont="1" applyFill="1" applyBorder="1" applyAlignment="1">
      <alignment horizontal="center" vertical="center" wrapText="1"/>
    </xf>
    <xf numFmtId="0" fontId="7" fillId="0" borderId="39" xfId="94" applyNumberFormat="1" applyFont="1" applyFill="1" applyBorder="1" applyAlignment="1">
      <alignment vertical="center" wrapText="1"/>
    </xf>
    <xf numFmtId="43" fontId="11" fillId="0" borderId="39" xfId="108" applyFont="1" applyFill="1" applyBorder="1" applyAlignment="1">
      <alignment horizontal="center" vertical="center" wrapText="1"/>
    </xf>
    <xf numFmtId="9" fontId="11" fillId="0" borderId="39" xfId="40" applyFont="1" applyFill="1" applyBorder="1" applyAlignment="1">
      <alignment horizontal="center" vertical="center" wrapText="1"/>
    </xf>
    <xf numFmtId="178" fontId="11" fillId="0" borderId="39" xfId="94" applyNumberFormat="1" applyFont="1" applyFill="1" applyBorder="1" applyAlignment="1">
      <alignment horizontal="center" vertical="center" wrapText="1"/>
    </xf>
    <xf numFmtId="178" fontId="26" fillId="0" borderId="39" xfId="94" applyNumberFormat="1" applyFont="1" applyFill="1" applyBorder="1" applyAlignment="1">
      <alignment horizontal="center" vertical="center" wrapText="1"/>
    </xf>
    <xf numFmtId="178" fontId="8" fillId="0" borderId="39" xfId="94" applyNumberFormat="1" applyFont="1" applyFill="1" applyBorder="1" applyAlignment="1">
      <alignment horizontal="center" vertical="center" wrapText="1"/>
    </xf>
    <xf numFmtId="178" fontId="7" fillId="0" borderId="39" xfId="94" applyNumberFormat="1" applyFont="1" applyBorder="1" applyAlignment="1">
      <alignment horizontal="center" vertical="center"/>
    </xf>
    <xf numFmtId="0" fontId="11" fillId="0" borderId="34" xfId="94" applyNumberFormat="1" applyFont="1" applyBorder="1" applyAlignment="1">
      <alignment horizontal="left" vertical="top" wrapText="1"/>
    </xf>
    <xf numFmtId="0" fontId="7" fillId="0" borderId="34" xfId="39" applyFont="1" applyBorder="1" applyAlignment="1">
      <alignment horizontal="center" vertical="center"/>
    </xf>
    <xf numFmtId="178" fontId="7" fillId="0" borderId="34" xfId="94" applyNumberFormat="1" applyFont="1" applyFill="1" applyBorder="1" applyAlignment="1">
      <alignment horizontal="center" vertical="center"/>
    </xf>
    <xf numFmtId="178" fontId="8" fillId="0" borderId="34" xfId="94" applyNumberFormat="1" applyFont="1" applyFill="1" applyBorder="1" applyAlignment="1">
      <alignment horizontal="center" vertical="center" wrapText="1"/>
    </xf>
    <xf numFmtId="178" fontId="25" fillId="0" borderId="34" xfId="94" applyNumberFormat="1" applyFont="1" applyBorder="1" applyAlignment="1">
      <alignment horizontal="center" vertical="center"/>
    </xf>
    <xf numFmtId="43" fontId="25" fillId="0" borderId="0" xfId="94" applyFont="1"/>
    <xf numFmtId="0" fontId="25" fillId="0" borderId="4" xfId="94" applyNumberFormat="1" applyFont="1" applyBorder="1"/>
    <xf numFmtId="0" fontId="7" fillId="0" borderId="4" xfId="39" applyFont="1" applyBorder="1" applyAlignment="1">
      <alignment horizontal="center" vertical="center"/>
    </xf>
    <xf numFmtId="178" fontId="11" fillId="0" borderId="4" xfId="94" applyNumberFormat="1" applyFont="1" applyBorder="1" applyAlignment="1">
      <alignment horizontal="center" vertical="center"/>
    </xf>
    <xf numFmtId="178" fontId="11" fillId="0" borderId="4" xfId="94" applyNumberFormat="1" applyFont="1" applyBorder="1"/>
    <xf numFmtId="178" fontId="28" fillId="9" borderId="4" xfId="94" applyNumberFormat="1" applyFont="1" applyFill="1" applyBorder="1" applyAlignment="1">
      <alignment horizontal="right"/>
    </xf>
    <xf numFmtId="178" fontId="28" fillId="9" borderId="4" xfId="94" applyNumberFormat="1" applyFont="1" applyFill="1" applyBorder="1"/>
    <xf numFmtId="178" fontId="28" fillId="9" borderId="4" xfId="94" applyNumberFormat="1" applyFont="1" applyFill="1" applyBorder="1" applyAlignment="1">
      <alignment horizontal="center" vertical="center"/>
    </xf>
    <xf numFmtId="178" fontId="25" fillId="0" borderId="5" xfId="94" applyNumberFormat="1" applyFont="1" applyBorder="1" applyAlignment="1">
      <alignment horizontal="center" vertical="center"/>
    </xf>
    <xf numFmtId="43" fontId="8" fillId="0" borderId="0" xfId="94" applyFont="1" applyFill="1" applyBorder="1" applyAlignment="1">
      <alignment horizontal="center" vertical="center" wrapText="1"/>
    </xf>
    <xf numFmtId="0" fontId="25" fillId="0" borderId="0" xfId="94" applyNumberFormat="1" applyFont="1" applyBorder="1"/>
    <xf numFmtId="178" fontId="8" fillId="0" borderId="0" xfId="94" applyNumberFormat="1" applyFont="1" applyBorder="1" applyAlignment="1">
      <alignment horizontal="center" vertical="center"/>
    </xf>
    <xf numFmtId="178" fontId="7" fillId="0" borderId="0" xfId="94" applyNumberFormat="1" applyFont="1" applyBorder="1"/>
    <xf numFmtId="178" fontId="11" fillId="0" borderId="0" xfId="94" applyNumberFormat="1" applyFont="1" applyBorder="1"/>
    <xf numFmtId="178" fontId="26" fillId="0" borderId="0" xfId="94" applyNumberFormat="1" applyFont="1" applyFill="1" applyBorder="1"/>
    <xf numFmtId="178" fontId="7" fillId="0" borderId="0" xfId="94" applyNumberFormat="1" applyFont="1" applyFill="1" applyBorder="1"/>
    <xf numFmtId="178" fontId="28" fillId="0" borderId="0" xfId="94" applyNumberFormat="1" applyFont="1" applyFill="1" applyBorder="1" applyAlignment="1">
      <alignment horizontal="right"/>
    </xf>
    <xf numFmtId="178" fontId="28" fillId="0" borderId="0" xfId="94" applyNumberFormat="1" applyFont="1" applyFill="1" applyBorder="1"/>
    <xf numFmtId="178" fontId="25" fillId="0" borderId="0" xfId="94" applyNumberFormat="1" applyFont="1" applyFill="1" applyBorder="1"/>
    <xf numFmtId="178" fontId="28" fillId="0" borderId="0" xfId="94" applyNumberFormat="1" applyFont="1" applyFill="1" applyBorder="1" applyAlignment="1">
      <alignment horizontal="center" vertical="center"/>
    </xf>
    <xf numFmtId="178" fontId="25" fillId="0" borderId="41" xfId="94" applyNumberFormat="1" applyFont="1" applyFill="1" applyBorder="1" applyAlignment="1">
      <alignment horizontal="center" vertical="center"/>
    </xf>
    <xf numFmtId="0" fontId="25" fillId="0" borderId="4" xfId="94" applyNumberFormat="1" applyFont="1" applyFill="1" applyBorder="1"/>
    <xf numFmtId="178" fontId="8" fillId="0" borderId="4" xfId="94" applyNumberFormat="1" applyFont="1" applyFill="1" applyBorder="1" applyAlignment="1">
      <alignment horizontal="center" vertical="center"/>
    </xf>
    <xf numFmtId="178" fontId="7" fillId="0" borderId="4" xfId="94" applyNumberFormat="1" applyFont="1" applyFill="1" applyBorder="1"/>
    <xf numFmtId="178" fontId="11" fillId="0" borderId="4" xfId="94" applyNumberFormat="1" applyFont="1" applyFill="1" applyBorder="1"/>
    <xf numFmtId="178" fontId="28" fillId="0" borderId="4" xfId="94" applyNumberFormat="1" applyFont="1" applyFill="1" applyBorder="1" applyAlignment="1">
      <alignment horizontal="right"/>
    </xf>
    <xf numFmtId="178" fontId="28" fillId="0" borderId="4" xfId="94" applyNumberFormat="1" applyFont="1" applyFill="1" applyBorder="1"/>
    <xf numFmtId="178" fontId="25" fillId="0" borderId="4" xfId="94" applyNumberFormat="1" applyFont="1" applyFill="1" applyBorder="1"/>
    <xf numFmtId="178" fontId="28" fillId="0" borderId="4" xfId="94" applyNumberFormat="1" applyFont="1" applyFill="1" applyBorder="1" applyAlignment="1">
      <alignment horizontal="center" vertical="center"/>
    </xf>
    <xf numFmtId="43" fontId="8" fillId="0" borderId="13" xfId="94" applyFont="1" applyFill="1" applyBorder="1" applyAlignment="1">
      <alignment horizontal="center" vertical="center" wrapText="1"/>
    </xf>
    <xf numFmtId="178" fontId="7" fillId="0" borderId="13" xfId="94" applyNumberFormat="1" applyFont="1" applyBorder="1"/>
    <xf numFmtId="178" fontId="25" fillId="0" borderId="0" xfId="94" applyNumberFormat="1" applyFont="1" applyBorder="1" applyAlignment="1">
      <alignment horizontal="center" vertical="center"/>
    </xf>
    <xf numFmtId="43" fontId="8" fillId="0" borderId="15" xfId="94" applyFont="1" applyFill="1" applyBorder="1" applyAlignment="1">
      <alignment horizontal="center" vertical="center" wrapText="1"/>
    </xf>
    <xf numFmtId="0" fontId="11" fillId="0" borderId="15" xfId="94" applyNumberFormat="1" applyFont="1" applyFill="1" applyBorder="1" applyAlignment="1">
      <alignment horizontal="left" vertical="center"/>
    </xf>
    <xf numFmtId="43" fontId="11" fillId="0" borderId="15" xfId="94" applyFont="1" applyBorder="1" applyAlignment="1">
      <alignment horizontal="center" vertical="center"/>
    </xf>
    <xf numFmtId="43" fontId="8" fillId="0" borderId="37" xfId="94" applyFont="1" applyFill="1" applyBorder="1" applyAlignment="1">
      <alignment horizontal="center" vertical="center" wrapText="1"/>
    </xf>
    <xf numFmtId="43" fontId="11" fillId="0" borderId="37" xfId="94" applyFont="1" applyBorder="1" applyAlignment="1">
      <alignment horizontal="center" vertical="center"/>
    </xf>
    <xf numFmtId="178" fontId="7" fillId="0" borderId="37" xfId="94" applyNumberFormat="1" applyFont="1" applyBorder="1"/>
    <xf numFmtId="182" fontId="7" fillId="0" borderId="0" xfId="40" applyNumberFormat="1" applyFont="1"/>
    <xf numFmtId="43" fontId="8" fillId="0" borderId="0" xfId="94" applyFont="1" applyFill="1" applyBorder="1" applyAlignment="1">
      <alignment horizontal="center" vertical="center"/>
    </xf>
    <xf numFmtId="0" fontId="8" fillId="0" borderId="0" xfId="94" applyNumberFormat="1" applyFont="1" applyBorder="1" applyAlignment="1">
      <alignment vertical="center" wrapText="1"/>
    </xf>
    <xf numFmtId="178" fontId="11" fillId="0" borderId="0" xfId="94" applyNumberFormat="1" applyFont="1" applyFill="1" applyBorder="1" applyAlignment="1">
      <alignment vertical="center" wrapText="1"/>
    </xf>
    <xf numFmtId="0" fontId="7" fillId="0" borderId="4" xfId="39" applyFont="1" applyBorder="1"/>
    <xf numFmtId="178" fontId="8" fillId="0" borderId="4" xfId="94" applyNumberFormat="1" applyFont="1" applyBorder="1" applyAlignment="1">
      <alignment horizontal="center" vertical="center"/>
    </xf>
    <xf numFmtId="180" fontId="7" fillId="0" borderId="0" xfId="94" applyNumberFormat="1" applyFont="1"/>
    <xf numFmtId="178" fontId="8" fillId="0" borderId="0" xfId="94" applyNumberFormat="1" applyFont="1" applyFill="1" applyBorder="1" applyAlignment="1">
      <alignment horizontal="center" vertical="center"/>
    </xf>
    <xf numFmtId="178" fontId="11" fillId="0" borderId="0" xfId="94" applyNumberFormat="1" applyFont="1" applyFill="1" applyBorder="1"/>
    <xf numFmtId="43" fontId="28" fillId="0" borderId="0" xfId="94" applyFont="1" applyFill="1" applyBorder="1" applyAlignment="1">
      <alignment horizontal="center" vertical="center"/>
    </xf>
    <xf numFmtId="178" fontId="25" fillId="0" borderId="0" xfId="94" applyNumberFormat="1" applyFont="1" applyFill="1" applyBorder="1" applyAlignment="1">
      <alignment horizontal="center" vertical="center"/>
    </xf>
    <xf numFmtId="43" fontId="11" fillId="0" borderId="0" xfId="94" applyFont="1" applyFill="1" applyBorder="1" applyAlignment="1">
      <alignment horizontal="center" vertical="center"/>
    </xf>
    <xf numFmtId="0" fontId="11" fillId="0" borderId="0" xfId="94" applyNumberFormat="1" applyFont="1" applyBorder="1" applyAlignment="1">
      <alignment horizontal="left" vertical="top" wrapText="1"/>
    </xf>
    <xf numFmtId="178" fontId="7" fillId="0" borderId="0" xfId="94" applyNumberFormat="1" applyFont="1" applyFill="1" applyBorder="1" applyAlignment="1">
      <alignment horizontal="center" vertical="center"/>
    </xf>
    <xf numFmtId="43" fontId="7" fillId="0" borderId="0" xfId="94" applyFont="1" applyFill="1" applyBorder="1" applyAlignment="1">
      <alignment horizontal="center" vertical="center"/>
    </xf>
    <xf numFmtId="0" fontId="7" fillId="0" borderId="0" xfId="94" applyNumberFormat="1" applyFont="1" applyBorder="1"/>
    <xf numFmtId="0" fontId="7" fillId="0" borderId="0" xfId="94" applyNumberFormat="1" applyFont="1" applyFill="1" applyBorder="1" applyAlignment="1">
      <alignment vertical="center" wrapText="1"/>
    </xf>
    <xf numFmtId="178" fontId="62" fillId="0" borderId="13" xfId="94" applyNumberFormat="1" applyFont="1" applyBorder="1"/>
    <xf numFmtId="178" fontId="62" fillId="0" borderId="37" xfId="94" applyNumberFormat="1" applyFont="1" applyBorder="1"/>
    <xf numFmtId="178" fontId="7" fillId="5" borderId="15" xfId="94" applyNumberFormat="1" applyFont="1" applyFill="1" applyBorder="1" applyAlignment="1">
      <alignment horizontal="center" vertical="center"/>
    </xf>
    <xf numFmtId="168" fontId="8" fillId="4" borderId="66" xfId="2" applyNumberFormat="1" applyFont="1" applyFill="1" applyBorder="1" applyAlignment="1">
      <alignment horizontal="center" vertical="center" wrapText="1"/>
    </xf>
    <xf numFmtId="168" fontId="8" fillId="4" borderId="67" xfId="2" applyNumberFormat="1" applyFont="1" applyFill="1" applyBorder="1" applyAlignment="1">
      <alignment horizontal="center" vertical="center" wrapText="1"/>
    </xf>
    <xf numFmtId="172" fontId="30" fillId="2" borderId="0" xfId="0" applyNumberFormat="1" applyFont="1" applyFill="1"/>
    <xf numFmtId="49" fontId="25" fillId="0" borderId="0" xfId="0" applyNumberFormat="1" applyFont="1"/>
    <xf numFmtId="49" fontId="25" fillId="0" borderId="0" xfId="0" applyNumberFormat="1" applyFont="1" applyAlignment="1">
      <alignment vertical="center"/>
    </xf>
    <xf numFmtId="17" fontId="8" fillId="4" borderId="1" xfId="2" applyNumberFormat="1" applyFont="1" applyFill="1" applyBorder="1" applyAlignment="1">
      <alignment horizontal="center" vertical="center" wrapText="1"/>
    </xf>
    <xf numFmtId="172" fontId="0" fillId="0" borderId="0" xfId="0" applyNumberFormat="1"/>
    <xf numFmtId="9" fontId="1" fillId="0" borderId="0" xfId="20" applyNumberFormat="1" applyAlignment="1">
      <alignment horizontal="center" vertical="center"/>
    </xf>
    <xf numFmtId="0" fontId="7" fillId="0" borderId="0" xfId="106" applyFont="1" applyAlignment="1">
      <alignment horizontal="center" vertical="center"/>
    </xf>
    <xf numFmtId="43" fontId="7" fillId="0" borderId="0" xfId="94" applyFont="1" applyAlignment="1">
      <alignment horizontal="center" vertical="center"/>
    </xf>
    <xf numFmtId="43" fontId="8" fillId="0" borderId="7" xfId="94" applyFont="1" applyBorder="1" applyAlignment="1">
      <alignment horizontal="center" vertical="center" wrapText="1"/>
    </xf>
    <xf numFmtId="0" fontId="7" fillId="0" borderId="0" xfId="106" applyFont="1"/>
    <xf numFmtId="168" fontId="7" fillId="0" borderId="0" xfId="106" applyNumberFormat="1" applyFont="1"/>
    <xf numFmtId="43" fontId="11" fillId="0" borderId="0" xfId="94" applyFont="1" applyFill="1" applyAlignment="1">
      <alignment horizontal="center" vertical="center"/>
    </xf>
    <xf numFmtId="43" fontId="11" fillId="0" borderId="0" xfId="94" applyFont="1" applyFill="1" applyBorder="1" applyAlignment="1">
      <alignment horizontal="center" vertical="center" wrapText="1"/>
    </xf>
    <xf numFmtId="43" fontId="8" fillId="0" borderId="0" xfId="94" applyFont="1" applyAlignment="1">
      <alignment horizontal="center" vertical="center" wrapText="1"/>
    </xf>
    <xf numFmtId="43" fontId="11" fillId="0" borderId="0" xfId="94" applyFont="1" applyBorder="1" applyAlignment="1">
      <alignment horizontal="center" vertical="center" wrapText="1"/>
    </xf>
    <xf numFmtId="43" fontId="8" fillId="0" borderId="0" xfId="94" applyFont="1" applyBorder="1" applyAlignment="1">
      <alignment horizontal="center" vertical="center" wrapText="1"/>
    </xf>
    <xf numFmtId="43" fontId="8" fillId="0" borderId="9" xfId="94" applyFont="1" applyFill="1" applyBorder="1" applyAlignment="1">
      <alignment horizontal="center" vertical="center"/>
    </xf>
    <xf numFmtId="43" fontId="25" fillId="0" borderId="0" xfId="94" applyFont="1" applyAlignment="1">
      <alignment horizontal="center" vertical="center"/>
    </xf>
    <xf numFmtId="0" fontId="8" fillId="0" borderId="4" xfId="94" applyNumberFormat="1" applyFont="1" applyFill="1" applyBorder="1" applyAlignment="1">
      <alignment vertical="center" wrapText="1"/>
    </xf>
    <xf numFmtId="43" fontId="8" fillId="0" borderId="5" xfId="94" applyFont="1" applyFill="1" applyBorder="1" applyAlignment="1">
      <alignment horizontal="center" vertical="center"/>
    </xf>
    <xf numFmtId="0" fontId="11" fillId="0" borderId="0" xfId="106" applyFont="1"/>
    <xf numFmtId="49" fontId="11" fillId="0" borderId="13" xfId="106" applyNumberFormat="1" applyFont="1" applyBorder="1" applyAlignment="1">
      <alignment horizontal="center" vertical="center"/>
    </xf>
    <xf numFmtId="43" fontId="7" fillId="0" borderId="13" xfId="94" applyFont="1" applyBorder="1" applyAlignment="1">
      <alignment horizontal="center" vertical="center"/>
    </xf>
    <xf numFmtId="49" fontId="11" fillId="0" borderId="15" xfId="106" applyNumberFormat="1" applyFont="1" applyBorder="1" applyAlignment="1">
      <alignment horizontal="center" vertical="center"/>
    </xf>
    <xf numFmtId="43" fontId="7" fillId="0" borderId="15" xfId="94" applyFont="1" applyBorder="1" applyAlignment="1">
      <alignment horizontal="center" vertical="center"/>
    </xf>
    <xf numFmtId="43" fontId="8" fillId="5" borderId="5" xfId="94" applyFont="1" applyFill="1" applyBorder="1" applyAlignment="1">
      <alignment horizontal="center" vertical="center" wrapText="1"/>
    </xf>
    <xf numFmtId="43" fontId="25" fillId="0" borderId="0" xfId="94" applyFont="1" applyFill="1" applyAlignment="1">
      <alignment horizontal="center" vertical="center"/>
    </xf>
    <xf numFmtId="43" fontId="7" fillId="0" borderId="37" xfId="94" applyFont="1" applyBorder="1" applyAlignment="1">
      <alignment horizontal="center" vertical="center"/>
    </xf>
    <xf numFmtId="43" fontId="7" fillId="0" borderId="36" xfId="94" applyFont="1" applyBorder="1" applyAlignment="1">
      <alignment horizontal="center" vertical="center"/>
    </xf>
    <xf numFmtId="43" fontId="7" fillId="0" borderId="16" xfId="94" applyFont="1" applyBorder="1" applyAlignment="1">
      <alignment horizontal="center" vertical="center"/>
    </xf>
    <xf numFmtId="43" fontId="8" fillId="0" borderId="38" xfId="94" applyFont="1" applyFill="1" applyBorder="1" applyAlignment="1">
      <alignment horizontal="center" vertical="center" wrapText="1"/>
    </xf>
    <xf numFmtId="43" fontId="8" fillId="0" borderId="10" xfId="94" applyFont="1" applyFill="1" applyBorder="1" applyAlignment="1">
      <alignment horizontal="center" vertical="center" wrapText="1"/>
    </xf>
    <xf numFmtId="43" fontId="7" fillId="0" borderId="20" xfId="94" applyFont="1" applyFill="1" applyBorder="1" applyAlignment="1">
      <alignment horizontal="center" vertical="center"/>
    </xf>
    <xf numFmtId="0" fontId="11" fillId="0" borderId="69" xfId="94" applyNumberFormat="1" applyFont="1" applyBorder="1" applyAlignment="1">
      <alignment horizontal="left" wrapText="1"/>
    </xf>
    <xf numFmtId="0" fontId="11" fillId="0" borderId="37" xfId="94" applyNumberFormat="1" applyFont="1" applyBorder="1" applyAlignment="1">
      <alignment horizontal="left"/>
    </xf>
    <xf numFmtId="43" fontId="8" fillId="5" borderId="5" xfId="94" applyFont="1" applyFill="1" applyBorder="1" applyAlignment="1">
      <alignment horizontal="center" vertical="center"/>
    </xf>
    <xf numFmtId="178" fontId="11" fillId="0" borderId="15" xfId="94" applyNumberFormat="1" applyFont="1" applyFill="1" applyBorder="1" applyAlignment="1">
      <alignment horizontal="right" vertical="center"/>
    </xf>
    <xf numFmtId="49" fontId="11" fillId="0" borderId="37" xfId="106" applyNumberFormat="1" applyFont="1" applyBorder="1" applyAlignment="1">
      <alignment horizontal="center" vertical="center"/>
    </xf>
    <xf numFmtId="43" fontId="7" fillId="0" borderId="10" xfId="94" applyFont="1" applyFill="1" applyBorder="1" applyAlignment="1">
      <alignment horizontal="center" vertical="center"/>
    </xf>
    <xf numFmtId="0" fontId="11" fillId="0" borderId="34" xfId="94" applyNumberFormat="1" applyFont="1" applyBorder="1" applyAlignment="1">
      <alignment vertical="top" wrapText="1"/>
    </xf>
    <xf numFmtId="178" fontId="11" fillId="0" borderId="34" xfId="94" applyNumberFormat="1" applyFont="1" applyFill="1" applyBorder="1" applyAlignment="1">
      <alignment horizontal="center" vertical="center"/>
    </xf>
    <xf numFmtId="43" fontId="8" fillId="0" borderId="0" xfId="94" applyFont="1" applyAlignment="1">
      <alignment horizontal="center" vertical="center"/>
    </xf>
    <xf numFmtId="178" fontId="11" fillId="0" borderId="37" xfId="94" applyNumberFormat="1" applyFont="1" applyFill="1" applyBorder="1" applyAlignment="1">
      <alignment horizontal="right" vertical="center"/>
    </xf>
    <xf numFmtId="178" fontId="11" fillId="0" borderId="13" xfId="94" applyNumberFormat="1" applyFont="1" applyFill="1" applyBorder="1" applyAlignment="1">
      <alignment horizontal="right" vertical="center"/>
    </xf>
    <xf numFmtId="43" fontId="8" fillId="0" borderId="10" xfId="94" applyFont="1" applyFill="1" applyBorder="1" applyAlignment="1">
      <alignment horizontal="center" vertical="center"/>
    </xf>
    <xf numFmtId="43" fontId="8" fillId="0" borderId="38" xfId="94" applyFont="1" applyFill="1" applyBorder="1" applyAlignment="1">
      <alignment horizontal="center" vertical="center"/>
    </xf>
    <xf numFmtId="43" fontId="11" fillId="20" borderId="13" xfId="94" applyFont="1" applyFill="1" applyBorder="1" applyAlignment="1">
      <alignment horizontal="center" vertical="center"/>
    </xf>
    <xf numFmtId="43" fontId="11" fillId="20" borderId="16" xfId="94" applyFont="1" applyFill="1" applyBorder="1" applyAlignment="1">
      <alignment horizontal="center" vertical="center"/>
    </xf>
    <xf numFmtId="49" fontId="11" fillId="0" borderId="16" xfId="15" applyNumberFormat="1" applyFont="1" applyBorder="1" applyAlignment="1">
      <alignment horizontal="center" vertical="center"/>
    </xf>
    <xf numFmtId="43" fontId="11" fillId="20" borderId="15" xfId="94" applyFont="1" applyFill="1" applyBorder="1" applyAlignment="1">
      <alignment horizontal="center" vertical="center"/>
    </xf>
    <xf numFmtId="0" fontId="11" fillId="0" borderId="13" xfId="106" applyFont="1" applyBorder="1" applyAlignment="1">
      <alignment horizontal="center" vertical="center"/>
    </xf>
    <xf numFmtId="0" fontId="11" fillId="0" borderId="15" xfId="106" applyFont="1" applyBorder="1" applyAlignment="1">
      <alignment horizontal="center" vertical="center"/>
    </xf>
    <xf numFmtId="0" fontId="11" fillId="0" borderId="37" xfId="106" applyFont="1" applyBorder="1" applyAlignment="1">
      <alignment horizontal="center" vertical="center"/>
    </xf>
    <xf numFmtId="0" fontId="7" fillId="0" borderId="15" xfId="106" applyFont="1" applyBorder="1" applyAlignment="1">
      <alignment horizontal="center" vertical="center"/>
    </xf>
    <xf numFmtId="43" fontId="25" fillId="0" borderId="10" xfId="94" applyFont="1" applyBorder="1" applyAlignment="1">
      <alignment horizontal="center" vertical="center"/>
    </xf>
    <xf numFmtId="0" fontId="11" fillId="0" borderId="20" xfId="106" applyFont="1" applyBorder="1" applyAlignment="1">
      <alignment horizontal="center" vertical="center"/>
    </xf>
    <xf numFmtId="0" fontId="11" fillId="0" borderId="16" xfId="106" applyFont="1" applyBorder="1" applyAlignment="1">
      <alignment horizontal="center" vertical="center"/>
    </xf>
    <xf numFmtId="0" fontId="11" fillId="0" borderId="13" xfId="94" applyNumberFormat="1" applyFont="1" applyBorder="1" applyAlignment="1">
      <alignment vertical="top"/>
    </xf>
    <xf numFmtId="0" fontId="7" fillId="0" borderId="13" xfId="106" applyFont="1" applyBorder="1" applyAlignment="1">
      <alignment horizontal="center" vertical="center"/>
    </xf>
    <xf numFmtId="0" fontId="7" fillId="0" borderId="16" xfId="106" applyFont="1" applyBorder="1" applyAlignment="1">
      <alignment horizontal="center" vertical="center"/>
    </xf>
    <xf numFmtId="0" fontId="11" fillId="0" borderId="13" xfId="111" applyFont="1" applyBorder="1" applyAlignment="1">
      <alignment horizontal="center" vertical="center"/>
    </xf>
    <xf numFmtId="0" fontId="11" fillId="0" borderId="15" xfId="111" applyFont="1" applyBorder="1" applyAlignment="1">
      <alignment horizontal="center" vertical="center"/>
    </xf>
    <xf numFmtId="43" fontId="8" fillId="0" borderId="5" xfId="94" applyFont="1" applyFill="1" applyBorder="1" applyAlignment="1">
      <alignment horizontal="center" vertical="center" wrapText="1"/>
    </xf>
    <xf numFmtId="43" fontId="11" fillId="0" borderId="15" xfId="94" applyFont="1" applyFill="1" applyBorder="1" applyAlignment="1">
      <alignment horizontal="left" vertical="center"/>
    </xf>
    <xf numFmtId="0" fontId="7" fillId="0" borderId="37" xfId="106" applyFont="1" applyBorder="1" applyAlignment="1">
      <alignment horizontal="center" vertical="center"/>
    </xf>
    <xf numFmtId="0" fontId="11" fillId="0" borderId="13" xfId="112" applyFont="1" applyBorder="1" applyAlignment="1">
      <alignment horizontal="center" vertical="center"/>
    </xf>
    <xf numFmtId="0" fontId="11" fillId="0" borderId="15" xfId="112" applyFont="1" applyBorder="1" applyAlignment="1">
      <alignment horizontal="center" vertical="center"/>
    </xf>
    <xf numFmtId="0" fontId="11" fillId="0" borderId="37" xfId="112" applyFont="1" applyBorder="1" applyAlignment="1">
      <alignment horizontal="center" vertical="center"/>
    </xf>
    <xf numFmtId="43" fontId="7" fillId="0" borderId="4" xfId="94" applyFont="1" applyBorder="1" applyAlignment="1">
      <alignment horizontal="center" vertical="center"/>
    </xf>
    <xf numFmtId="43" fontId="7" fillId="0" borderId="5" xfId="94" applyFont="1" applyBorder="1"/>
    <xf numFmtId="0" fontId="7" fillId="0" borderId="20" xfId="94" applyNumberFormat="1" applyFont="1" applyBorder="1"/>
    <xf numFmtId="0" fontId="11" fillId="0" borderId="20" xfId="9" applyFont="1" applyBorder="1" applyAlignment="1">
      <alignment horizontal="center" vertical="center" wrapText="1"/>
    </xf>
    <xf numFmtId="178" fontId="11" fillId="0" borderId="20" xfId="94" applyNumberFormat="1" applyFont="1" applyFill="1" applyBorder="1" applyAlignment="1">
      <alignment horizontal="center" vertical="center" wrapText="1"/>
    </xf>
    <xf numFmtId="178" fontId="11" fillId="0" borderId="15" xfId="94" applyNumberFormat="1" applyFont="1" applyFill="1" applyBorder="1" applyAlignment="1">
      <alignment vertical="center"/>
    </xf>
    <xf numFmtId="43" fontId="8" fillId="0" borderId="39" xfId="94" applyFont="1" applyFill="1" applyBorder="1" applyAlignment="1">
      <alignment horizontal="center" vertical="center"/>
    </xf>
    <xf numFmtId="0" fontId="25" fillId="0" borderId="39" xfId="94" applyNumberFormat="1" applyFont="1" applyFill="1" applyBorder="1" applyAlignment="1">
      <alignment vertical="center" wrapText="1"/>
    </xf>
    <xf numFmtId="43" fontId="7" fillId="0" borderId="39" xfId="94" applyFont="1" applyBorder="1" applyAlignment="1">
      <alignment horizontal="center" vertical="center"/>
    </xf>
    <xf numFmtId="0" fontId="7" fillId="0" borderId="34" xfId="106" applyFont="1" applyBorder="1" applyAlignment="1">
      <alignment horizontal="center" vertical="center"/>
    </xf>
    <xf numFmtId="43" fontId="11" fillId="0" borderId="34" xfId="94" applyFont="1" applyFill="1" applyBorder="1" applyAlignment="1">
      <alignment horizontal="center" vertical="center" wrapText="1"/>
    </xf>
    <xf numFmtId="43" fontId="25" fillId="0" borderId="34" xfId="94" applyFont="1" applyBorder="1" applyAlignment="1">
      <alignment horizontal="center" vertical="center"/>
    </xf>
    <xf numFmtId="0" fontId="7" fillId="0" borderId="4" xfId="106" applyFont="1" applyBorder="1" applyAlignment="1">
      <alignment horizontal="center" vertical="center"/>
    </xf>
    <xf numFmtId="43" fontId="28" fillId="9" borderId="4" xfId="94" applyFont="1" applyFill="1" applyBorder="1" applyAlignment="1">
      <alignment horizontal="right"/>
    </xf>
    <xf numFmtId="43" fontId="25" fillId="0" borderId="5" xfId="94" applyFont="1" applyBorder="1" applyAlignment="1">
      <alignment horizontal="center" vertical="center"/>
    </xf>
    <xf numFmtId="43" fontId="28" fillId="0" borderId="39" xfId="94" applyFont="1" applyFill="1" applyBorder="1" applyAlignment="1">
      <alignment horizontal="right"/>
    </xf>
    <xf numFmtId="43" fontId="28" fillId="0" borderId="39" xfId="94" applyFont="1" applyFill="1" applyBorder="1" applyAlignment="1">
      <alignment horizontal="center" vertical="center"/>
    </xf>
    <xf numFmtId="43" fontId="25" fillId="0" borderId="39" xfId="94" applyFont="1" applyFill="1" applyBorder="1" applyAlignment="1">
      <alignment horizontal="center" vertical="center"/>
    </xf>
    <xf numFmtId="0" fontId="7" fillId="0" borderId="0" xfId="90" applyFont="1" applyAlignment="1">
      <alignment horizontal="center" vertical="center"/>
    </xf>
    <xf numFmtId="166" fontId="7" fillId="0" borderId="0" xfId="90" applyNumberFormat="1" applyFont="1"/>
    <xf numFmtId="165" fontId="7" fillId="0" borderId="0" xfId="90" applyNumberFormat="1" applyFont="1"/>
    <xf numFmtId="0" fontId="7" fillId="0" borderId="0" xfId="90" applyFont="1"/>
    <xf numFmtId="166" fontId="11" fillId="0" borderId="0" xfId="9" applyNumberFormat="1" applyFont="1" applyAlignment="1">
      <alignment vertical="center" wrapText="1"/>
    </xf>
    <xf numFmtId="165" fontId="11" fillId="0" borderId="0" xfId="9" applyNumberFormat="1" applyFont="1" applyAlignment="1">
      <alignment vertical="center" wrapText="1"/>
    </xf>
    <xf numFmtId="165" fontId="11" fillId="0" borderId="0" xfId="90" applyNumberFormat="1" applyFont="1"/>
    <xf numFmtId="0" fontId="11" fillId="0" borderId="0" xfId="90" applyFont="1"/>
    <xf numFmtId="49" fontId="11" fillId="0" borderId="13" xfId="90" applyNumberFormat="1" applyFont="1" applyBorder="1" applyAlignment="1">
      <alignment horizontal="center" vertical="center"/>
    </xf>
    <xf numFmtId="49" fontId="11" fillId="0" borderId="15" xfId="90" applyNumberFormat="1" applyFont="1" applyBorder="1" applyAlignment="1">
      <alignment horizontal="center" vertical="center"/>
    </xf>
    <xf numFmtId="43" fontId="7" fillId="0" borderId="15" xfId="89" applyFont="1" applyFill="1" applyBorder="1" applyAlignment="1">
      <alignment horizontal="center" vertical="center"/>
    </xf>
    <xf numFmtId="43" fontId="7" fillId="0" borderId="0" xfId="89" applyFont="1" applyFill="1"/>
    <xf numFmtId="43" fontId="7" fillId="0" borderId="37" xfId="89" applyFont="1" applyFill="1" applyBorder="1" applyAlignment="1">
      <alignment horizontal="center" vertical="center"/>
    </xf>
    <xf numFmtId="43" fontId="7" fillId="0" borderId="0" xfId="89" applyFont="1"/>
    <xf numFmtId="49" fontId="11" fillId="0" borderId="37" xfId="90" applyNumberFormat="1" applyFont="1" applyBorder="1" applyAlignment="1">
      <alignment horizontal="center" vertical="center"/>
    </xf>
    <xf numFmtId="49" fontId="11" fillId="0" borderId="34" xfId="90" applyNumberFormat="1" applyFont="1" applyBorder="1" applyAlignment="1">
      <alignment horizontal="center" vertical="center"/>
    </xf>
    <xf numFmtId="165" fontId="60" fillId="0" borderId="0" xfId="110" applyNumberFormat="1" applyFont="1" applyBorder="1"/>
    <xf numFmtId="43" fontId="11" fillId="0" borderId="15" xfId="89" applyFont="1" applyFill="1" applyBorder="1" applyAlignment="1">
      <alignment horizontal="center" vertical="center"/>
    </xf>
    <xf numFmtId="43" fontId="11" fillId="0" borderId="37" xfId="89" applyFont="1" applyFill="1" applyBorder="1" applyAlignment="1">
      <alignment horizontal="center" vertical="center"/>
    </xf>
    <xf numFmtId="0" fontId="11" fillId="0" borderId="13" xfId="90" applyFont="1" applyBorder="1" applyAlignment="1">
      <alignment horizontal="center" vertical="center"/>
    </xf>
    <xf numFmtId="0" fontId="11" fillId="0" borderId="15" xfId="90" applyFont="1" applyBorder="1" applyAlignment="1">
      <alignment horizontal="center" vertical="center"/>
    </xf>
    <xf numFmtId="0" fontId="11" fillId="0" borderId="37" xfId="90" applyFont="1" applyBorder="1" applyAlignment="1">
      <alignment horizontal="center" vertical="center"/>
    </xf>
    <xf numFmtId="0" fontId="7" fillId="0" borderId="15" xfId="90" applyFont="1" applyBorder="1" applyAlignment="1">
      <alignment horizontal="center" vertical="center"/>
    </xf>
    <xf numFmtId="0" fontId="11" fillId="0" borderId="20" xfId="90" applyFont="1" applyBorder="1" applyAlignment="1">
      <alignment horizontal="center" vertical="center"/>
    </xf>
    <xf numFmtId="0" fontId="11" fillId="0" borderId="16" xfId="90" applyFont="1" applyBorder="1" applyAlignment="1">
      <alignment horizontal="center" vertical="center"/>
    </xf>
    <xf numFmtId="0" fontId="7" fillId="0" borderId="13" xfId="90" applyFont="1" applyBorder="1" applyAlignment="1">
      <alignment horizontal="center" vertical="center"/>
    </xf>
    <xf numFmtId="0" fontId="7" fillId="0" borderId="16" xfId="90" applyFont="1" applyBorder="1" applyAlignment="1">
      <alignment horizontal="center" vertical="center"/>
    </xf>
    <xf numFmtId="0" fontId="11" fillId="0" borderId="13" xfId="114" applyFont="1" applyBorder="1" applyAlignment="1">
      <alignment horizontal="center" vertical="center"/>
    </xf>
    <xf numFmtId="0" fontId="11" fillId="0" borderId="15" xfId="114" applyFont="1" applyBorder="1" applyAlignment="1">
      <alignment horizontal="center" vertical="center"/>
    </xf>
    <xf numFmtId="0" fontId="7" fillId="0" borderId="37" xfId="90" applyFont="1" applyBorder="1" applyAlignment="1">
      <alignment horizontal="center" vertical="center"/>
    </xf>
    <xf numFmtId="43" fontId="11" fillId="0" borderId="35" xfId="94" applyFont="1" applyFill="1" applyBorder="1" applyAlignment="1">
      <alignment horizontal="center" vertical="center"/>
    </xf>
    <xf numFmtId="49" fontId="11" fillId="0" borderId="34" xfId="15" applyNumberFormat="1" applyFont="1" applyBorder="1" applyAlignment="1">
      <alignment horizontal="center" vertical="center"/>
    </xf>
    <xf numFmtId="0" fontId="11" fillId="0" borderId="13" xfId="115" applyFont="1" applyBorder="1" applyAlignment="1">
      <alignment horizontal="center" vertical="center"/>
    </xf>
    <xf numFmtId="0" fontId="11" fillId="0" borderId="15" xfId="115" applyFont="1" applyBorder="1" applyAlignment="1">
      <alignment horizontal="center" vertical="center"/>
    </xf>
    <xf numFmtId="0" fontId="11" fillId="0" borderId="37" xfId="115" applyFont="1" applyBorder="1" applyAlignment="1">
      <alignment horizontal="center" vertical="center"/>
    </xf>
    <xf numFmtId="178" fontId="11" fillId="13" borderId="20" xfId="94" applyNumberFormat="1" applyFont="1" applyFill="1" applyBorder="1" applyAlignment="1">
      <alignment horizontal="center" vertical="center" wrapText="1"/>
    </xf>
    <xf numFmtId="178" fontId="11" fillId="12" borderId="20" xfId="94" applyNumberFormat="1" applyFont="1" applyFill="1" applyBorder="1" applyAlignment="1">
      <alignment horizontal="center" vertical="center" wrapText="1"/>
    </xf>
    <xf numFmtId="43" fontId="11" fillId="0" borderId="39" xfId="89" applyFont="1" applyFill="1" applyBorder="1" applyAlignment="1">
      <alignment horizontal="center" vertical="center" wrapText="1"/>
    </xf>
    <xf numFmtId="0" fontId="7" fillId="0" borderId="34" xfId="90" applyFont="1" applyBorder="1" applyAlignment="1">
      <alignment horizontal="center" vertical="center"/>
    </xf>
    <xf numFmtId="10" fontId="25" fillId="0" borderId="0" xfId="110" applyNumberFormat="1" applyFont="1" applyAlignment="1">
      <alignment horizontal="center" vertical="center"/>
    </xf>
    <xf numFmtId="10" fontId="8" fillId="0" borderId="34" xfId="94" applyNumberFormat="1" applyFont="1" applyFill="1" applyBorder="1" applyAlignment="1">
      <alignment horizontal="center" vertical="center" wrapText="1"/>
    </xf>
    <xf numFmtId="166" fontId="7" fillId="0" borderId="70" xfId="90" applyNumberFormat="1" applyFont="1" applyBorder="1"/>
    <xf numFmtId="0" fontId="7" fillId="0" borderId="4" xfId="90" applyFont="1" applyBorder="1" applyAlignment="1">
      <alignment horizontal="center" vertical="center"/>
    </xf>
    <xf numFmtId="178" fontId="25" fillId="0" borderId="4" xfId="110" applyNumberFormat="1" applyFont="1" applyBorder="1"/>
    <xf numFmtId="183" fontId="28" fillId="9" borderId="4" xfId="94" applyNumberFormat="1" applyFont="1" applyFill="1" applyBorder="1"/>
    <xf numFmtId="176" fontId="59" fillId="0" borderId="0" xfId="113" applyFont="1" applyBorder="1"/>
    <xf numFmtId="178" fontId="7" fillId="0" borderId="0" xfId="90" applyNumberFormat="1" applyFont="1"/>
    <xf numFmtId="9" fontId="60" fillId="0" borderId="0" xfId="110" applyFont="1" applyFill="1"/>
    <xf numFmtId="178" fontId="7" fillId="0" borderId="34" xfId="90" applyNumberFormat="1" applyFont="1" applyBorder="1"/>
    <xf numFmtId="178" fontId="25" fillId="0" borderId="0" xfId="90" applyNumberFormat="1" applyFont="1"/>
    <xf numFmtId="178" fontId="25" fillId="0" borderId="8" xfId="90" applyNumberFormat="1" applyFont="1" applyBorder="1"/>
    <xf numFmtId="166" fontId="25" fillId="0" borderId="55" xfId="90" applyNumberFormat="1" applyFont="1" applyBorder="1"/>
    <xf numFmtId="43" fontId="64" fillId="0" borderId="13" xfId="94" applyFont="1" applyFill="1" applyBorder="1" applyAlignment="1">
      <alignment horizontal="center" vertical="center"/>
    </xf>
    <xf numFmtId="17" fontId="6" fillId="0" borderId="0" xfId="0" applyNumberFormat="1" applyFont="1"/>
    <xf numFmtId="168" fontId="6" fillId="0" borderId="0" xfId="1" applyFont="1"/>
    <xf numFmtId="172" fontId="42" fillId="15" borderId="0" xfId="1" applyNumberFormat="1" applyFont="1" applyFill="1" applyBorder="1" applyAlignment="1" applyProtection="1">
      <alignment vertical="center"/>
    </xf>
    <xf numFmtId="171" fontId="0" fillId="0" borderId="0" xfId="0" applyNumberFormat="1"/>
    <xf numFmtId="3" fontId="11" fillId="0" borderId="0" xfId="9" applyNumberFormat="1" applyFont="1" applyAlignment="1">
      <alignment horizontal="center" vertical="center" wrapText="1"/>
    </xf>
    <xf numFmtId="0" fontId="11" fillId="0" borderId="0" xfId="9" applyFont="1" applyAlignment="1">
      <alignment horizontal="left" vertical="center" wrapText="1"/>
    </xf>
    <xf numFmtId="176" fontId="11" fillId="0" borderId="0" xfId="23" applyFont="1" applyFill="1" applyBorder="1" applyAlignment="1">
      <alignment horizontal="right" vertical="center" wrapText="1"/>
    </xf>
    <xf numFmtId="170" fontId="11" fillId="0" borderId="0" xfId="11" applyFont="1" applyBorder="1" applyAlignment="1">
      <alignment horizontal="center" vertical="center" wrapText="1"/>
    </xf>
    <xf numFmtId="14" fontId="8" fillId="0" borderId="0" xfId="11" applyNumberFormat="1" applyFont="1" applyBorder="1" applyAlignment="1">
      <alignment horizontal="center" wrapText="1"/>
    </xf>
    <xf numFmtId="184" fontId="11" fillId="0" borderId="0" xfId="11" applyNumberFormat="1" applyFont="1" applyBorder="1" applyAlignment="1">
      <alignment horizontal="center" vertical="center" wrapText="1"/>
    </xf>
    <xf numFmtId="184" fontId="8" fillId="0" borderId="0" xfId="11" applyNumberFormat="1" applyFont="1" applyBorder="1" applyAlignment="1">
      <alignment wrapText="1"/>
    </xf>
    <xf numFmtId="170" fontId="8" fillId="0" borderId="0" xfId="11" applyFont="1" applyBorder="1" applyAlignment="1">
      <alignment horizontal="center" vertical="center" wrapText="1"/>
    </xf>
    <xf numFmtId="170" fontId="11" fillId="0" borderId="0" xfId="11" applyFont="1" applyBorder="1" applyAlignment="1">
      <alignment vertical="center" wrapText="1"/>
    </xf>
    <xf numFmtId="170" fontId="11" fillId="0" borderId="0" xfId="11" applyFont="1" applyFill="1" applyBorder="1" applyAlignment="1">
      <alignment horizontal="center" vertical="center" wrapText="1"/>
    </xf>
    <xf numFmtId="14" fontId="8" fillId="0" borderId="0" xfId="11" applyNumberFormat="1" applyFont="1" applyFill="1" applyBorder="1" applyAlignment="1">
      <alignment vertical="center" wrapText="1"/>
    </xf>
    <xf numFmtId="14" fontId="11" fillId="0" borderId="0" xfId="11" applyNumberFormat="1" applyFont="1" applyFill="1" applyBorder="1" applyAlignment="1">
      <alignment vertical="center" wrapText="1"/>
    </xf>
    <xf numFmtId="175" fontId="23" fillId="0" borderId="15" xfId="12" applyNumberFormat="1" applyFont="1" applyBorder="1" applyAlignment="1">
      <alignment vertical="center" wrapText="1"/>
    </xf>
    <xf numFmtId="0" fontId="67" fillId="0" borderId="0" xfId="9" applyFont="1" applyAlignment="1">
      <alignment horizontal="left" vertical="center"/>
    </xf>
    <xf numFmtId="184" fontId="8" fillId="0" borderId="7" xfId="11" applyNumberFormat="1" applyFont="1" applyBorder="1" applyAlignment="1">
      <alignment horizontal="center" vertical="center" wrapText="1"/>
    </xf>
    <xf numFmtId="184" fontId="8" fillId="0" borderId="7" xfId="11" applyNumberFormat="1" applyFont="1" applyBorder="1" applyAlignment="1">
      <alignment horizontal="center" wrapText="1"/>
    </xf>
    <xf numFmtId="170" fontId="8" fillId="0" borderId="0" xfId="11" applyFont="1" applyBorder="1" applyAlignment="1">
      <alignment vertical="center" wrapText="1"/>
    </xf>
    <xf numFmtId="184" fontId="29" fillId="0" borderId="0" xfId="11" applyNumberFormat="1" applyFont="1" applyFill="1" applyBorder="1" applyAlignment="1">
      <alignment horizontal="center" wrapText="1"/>
    </xf>
    <xf numFmtId="184" fontId="11" fillId="0" borderId="0" xfId="11" applyNumberFormat="1" applyFont="1" applyFill="1" applyBorder="1" applyAlignment="1">
      <alignment horizontal="center" vertical="center" wrapText="1"/>
    </xf>
    <xf numFmtId="184" fontId="8" fillId="0" borderId="0" xfId="11" applyNumberFormat="1" applyFont="1" applyFill="1" applyAlignment="1">
      <alignment vertical="center" wrapText="1"/>
    </xf>
    <xf numFmtId="184" fontId="11" fillId="0" borderId="0" xfId="11" applyNumberFormat="1" applyFont="1" applyFill="1" applyBorder="1" applyAlignment="1">
      <alignment vertical="center" wrapText="1"/>
    </xf>
    <xf numFmtId="0" fontId="52" fillId="21" borderId="7" xfId="12" applyFont="1" applyFill="1" applyBorder="1" applyAlignment="1">
      <alignment horizontal="center" vertical="center" wrapText="1"/>
    </xf>
    <xf numFmtId="178" fontId="8" fillId="22" borderId="7" xfId="94" applyNumberFormat="1" applyFont="1" applyFill="1" applyBorder="1" applyAlignment="1">
      <alignment horizontal="center" wrapText="1"/>
    </xf>
    <xf numFmtId="43" fontId="8" fillId="18" borderId="7" xfId="94" applyFont="1" applyFill="1" applyBorder="1" applyAlignment="1">
      <alignment horizontal="center" wrapText="1"/>
    </xf>
    <xf numFmtId="170" fontId="8" fillId="0" borderId="0" xfId="11" applyFont="1" applyBorder="1" applyAlignment="1">
      <alignment horizontal="center" wrapText="1"/>
    </xf>
    <xf numFmtId="184" fontId="8" fillId="0" borderId="0" xfId="11" applyNumberFormat="1" applyFont="1" applyBorder="1" applyAlignment="1">
      <alignment horizontal="center" wrapText="1"/>
    </xf>
    <xf numFmtId="43" fontId="7" fillId="0" borderId="13" xfId="94" applyFont="1" applyBorder="1" applyAlignment="1">
      <alignment horizontal="left" vertical="center"/>
    </xf>
    <xf numFmtId="43" fontId="7" fillId="0" borderId="13" xfId="94" applyFont="1" applyBorder="1"/>
    <xf numFmtId="0" fontId="1" fillId="0" borderId="0" xfId="80"/>
    <xf numFmtId="184" fontId="8" fillId="0" borderId="0" xfId="11" applyNumberFormat="1" applyFont="1" applyBorder="1" applyAlignment="1">
      <alignment horizontal="center" vertical="center" wrapText="1"/>
    </xf>
    <xf numFmtId="170" fontId="8" fillId="0" borderId="0" xfId="11" applyFont="1" applyFill="1" applyBorder="1" applyAlignment="1">
      <alignment wrapText="1"/>
    </xf>
    <xf numFmtId="175" fontId="11" fillId="0" borderId="0" xfId="81" applyFont="1" applyBorder="1" applyAlignment="1">
      <alignment horizontal="left" vertical="center"/>
    </xf>
    <xf numFmtId="43" fontId="1" fillId="0" borderId="0" xfId="94" applyFont="1" applyBorder="1"/>
    <xf numFmtId="0" fontId="11" fillId="0" borderId="0" xfId="12" applyFont="1" applyAlignment="1">
      <alignment vertical="center" wrapText="1"/>
    </xf>
    <xf numFmtId="0" fontId="11" fillId="0" borderId="71" xfId="12" applyFont="1" applyBorder="1" applyAlignment="1">
      <alignment horizontal="center" vertical="center" wrapText="1"/>
    </xf>
    <xf numFmtId="0" fontId="11" fillId="0" borderId="72" xfId="12" applyFont="1" applyBorder="1" applyAlignment="1">
      <alignment horizontal="center" vertical="center" wrapText="1"/>
    </xf>
    <xf numFmtId="0" fontId="1" fillId="0" borderId="0" xfId="80" applyAlignment="1">
      <alignment horizontal="left"/>
    </xf>
    <xf numFmtId="175" fontId="11" fillId="0" borderId="0" xfId="81" applyFont="1"/>
    <xf numFmtId="0" fontId="7" fillId="0" borderId="0" xfId="80" applyFont="1"/>
    <xf numFmtId="43" fontId="7" fillId="0" borderId="15" xfId="94" applyFont="1" applyBorder="1" applyAlignment="1">
      <alignment horizontal="left" vertical="center"/>
    </xf>
    <xf numFmtId="43" fontId="7" fillId="0" borderId="15" xfId="94" applyFont="1" applyBorder="1"/>
    <xf numFmtId="43" fontId="1" fillId="0" borderId="0" xfId="80" applyNumberFormat="1" applyAlignment="1">
      <alignment horizontal="center" vertical="center"/>
    </xf>
    <xf numFmtId="0" fontId="2" fillId="0" borderId="7" xfId="80" applyFont="1" applyBorder="1" applyAlignment="1">
      <alignment horizontal="left"/>
    </xf>
    <xf numFmtId="0" fontId="2" fillId="0" borderId="7" xfId="80" applyFont="1" applyBorder="1" applyAlignment="1">
      <alignment horizontal="center"/>
    </xf>
    <xf numFmtId="175" fontId="8" fillId="0" borderId="7" xfId="81" applyFont="1" applyBorder="1" applyAlignment="1">
      <alignment horizontal="center"/>
    </xf>
    <xf numFmtId="178" fontId="8" fillId="0" borderId="7" xfId="94" applyNumberFormat="1" applyFont="1" applyBorder="1" applyAlignment="1">
      <alignment horizontal="center"/>
    </xf>
    <xf numFmtId="43" fontId="25" fillId="0" borderId="0" xfId="108" applyFont="1"/>
    <xf numFmtId="43" fontId="11" fillId="0" borderId="0" xfId="108" applyFont="1"/>
    <xf numFmtId="43" fontId="11" fillId="0" borderId="15" xfId="94" applyFont="1" applyBorder="1" applyAlignment="1">
      <alignment horizontal="left" vertical="center"/>
    </xf>
    <xf numFmtId="175" fontId="11" fillId="0" borderId="0" xfId="81" applyFont="1" applyAlignment="1">
      <alignment horizontal="center" vertical="center"/>
    </xf>
    <xf numFmtId="0" fontId="1" fillId="0" borderId="16" xfId="80" applyBorder="1" applyAlignment="1">
      <alignment horizontal="left"/>
    </xf>
    <xf numFmtId="0" fontId="1" fillId="0" borderId="16" xfId="80" applyBorder="1"/>
    <xf numFmtId="39" fontId="11" fillId="0" borderId="16" xfId="81" applyNumberFormat="1" applyFont="1" applyBorder="1"/>
    <xf numFmtId="43" fontId="27" fillId="0" borderId="0" xfId="108" applyFont="1"/>
    <xf numFmtId="0" fontId="1" fillId="0" borderId="15" xfId="80" applyBorder="1" applyAlignment="1">
      <alignment horizontal="left"/>
    </xf>
    <xf numFmtId="0" fontId="1" fillId="0" borderId="15" xfId="80" applyBorder="1"/>
    <xf numFmtId="39" fontId="11" fillId="0" borderId="15" xfId="81" applyNumberFormat="1" applyFont="1" applyBorder="1"/>
    <xf numFmtId="0" fontId="25" fillId="0" borderId="3" xfId="35" applyFont="1" applyBorder="1" applyAlignment="1">
      <alignment horizontal="left"/>
    </xf>
    <xf numFmtId="0" fontId="7" fillId="0" borderId="4" xfId="35" applyFont="1" applyBorder="1"/>
    <xf numFmtId="175" fontId="7" fillId="0" borderId="4" xfId="81" applyFont="1" applyBorder="1"/>
    <xf numFmtId="178" fontId="7" fillId="0" borderId="5" xfId="94" applyNumberFormat="1" applyFont="1" applyBorder="1"/>
    <xf numFmtId="43" fontId="8" fillId="0" borderId="0" xfId="108" applyFont="1"/>
    <xf numFmtId="175" fontId="11" fillId="0" borderId="0" xfId="81" applyFont="1" applyBorder="1"/>
    <xf numFmtId="0" fontId="1" fillId="0" borderId="13" xfId="80" applyBorder="1" applyAlignment="1">
      <alignment horizontal="left"/>
    </xf>
    <xf numFmtId="0" fontId="1" fillId="0" borderId="13" xfId="80" applyBorder="1"/>
    <xf numFmtId="39" fontId="11" fillId="0" borderId="13" xfId="81" applyNumberFormat="1" applyFont="1" applyBorder="1"/>
    <xf numFmtId="39" fontId="8" fillId="5" borderId="15" xfId="81" applyNumberFormat="1" applyFont="1" applyFill="1" applyBorder="1"/>
    <xf numFmtId="178" fontId="8" fillId="5" borderId="15" xfId="94" applyNumberFormat="1" applyFont="1" applyFill="1" applyBorder="1"/>
    <xf numFmtId="43" fontId="11" fillId="0" borderId="15" xfId="94" applyFont="1" applyBorder="1"/>
    <xf numFmtId="43" fontId="7" fillId="0" borderId="37" xfId="94" applyFont="1" applyBorder="1" applyAlignment="1">
      <alignment horizontal="left" vertical="center"/>
    </xf>
    <xf numFmtId="43" fontId="11" fillId="0" borderId="37" xfId="94" applyFont="1" applyBorder="1"/>
    <xf numFmtId="43" fontId="25" fillId="0" borderId="7" xfId="94" applyFont="1" applyBorder="1"/>
    <xf numFmtId="39" fontId="11" fillId="0" borderId="15" xfId="81" applyNumberFormat="1" applyFont="1" applyFill="1" applyBorder="1"/>
    <xf numFmtId="0" fontId="2" fillId="0" borderId="3" xfId="80" applyFont="1" applyBorder="1" applyAlignment="1">
      <alignment horizontal="left"/>
    </xf>
    <xf numFmtId="0" fontId="1" fillId="0" borderId="4" xfId="80" applyBorder="1"/>
    <xf numFmtId="39" fontId="11" fillId="0" borderId="4" xfId="81" applyNumberFormat="1" applyFont="1" applyBorder="1"/>
    <xf numFmtId="178" fontId="11" fillId="0" borderId="5" xfId="94" applyNumberFormat="1" applyFont="1" applyBorder="1"/>
    <xf numFmtId="39" fontId="11" fillId="0" borderId="13" xfId="81" applyNumberFormat="1" applyFont="1" applyFill="1" applyBorder="1"/>
    <xf numFmtId="175" fontId="11" fillId="0" borderId="15" xfId="81" applyFont="1" applyBorder="1"/>
    <xf numFmtId="39" fontId="11" fillId="5" borderId="15" xfId="81" applyNumberFormat="1" applyFont="1" applyFill="1" applyBorder="1"/>
    <xf numFmtId="43" fontId="11" fillId="0" borderId="0" xfId="108" applyFont="1" applyFill="1"/>
    <xf numFmtId="175" fontId="8" fillId="0" borderId="0" xfId="81" applyFont="1"/>
    <xf numFmtId="0" fontId="1" fillId="0" borderId="37" xfId="80" applyBorder="1" applyAlignment="1">
      <alignment horizontal="left"/>
    </xf>
    <xf numFmtId="0" fontId="1" fillId="0" borderId="37" xfId="80" applyBorder="1"/>
    <xf numFmtId="39" fontId="11" fillId="0" borderId="37" xfId="81" applyNumberFormat="1" applyFont="1" applyBorder="1"/>
    <xf numFmtId="178" fontId="11" fillId="0" borderId="37" xfId="94" applyNumberFormat="1" applyFont="1" applyBorder="1"/>
    <xf numFmtId="43" fontId="7" fillId="0" borderId="0" xfId="108" applyFont="1" applyFill="1" applyBorder="1"/>
    <xf numFmtId="39" fontId="11" fillId="0" borderId="4" xfId="82" applyNumberFormat="1" applyFont="1" applyBorder="1"/>
    <xf numFmtId="0" fontId="1" fillId="0" borderId="16" xfId="80" applyBorder="1" applyAlignment="1">
      <alignment horizontal="center" vertical="center"/>
    </xf>
    <xf numFmtId="39" fontId="11" fillId="0" borderId="16" xfId="82" applyNumberFormat="1" applyFont="1" applyBorder="1"/>
    <xf numFmtId="0" fontId="1" fillId="0" borderId="15" xfId="80" applyBorder="1" applyAlignment="1">
      <alignment horizontal="center" vertical="center"/>
    </xf>
    <xf numFmtId="39" fontId="11" fillId="0" borderId="15" xfId="82" applyNumberFormat="1" applyFont="1" applyBorder="1"/>
    <xf numFmtId="0" fontId="0" fillId="5" borderId="15" xfId="80" applyFont="1" applyFill="1" applyBorder="1" applyAlignment="1">
      <alignment horizontal="left"/>
    </xf>
    <xf numFmtId="178" fontId="27" fillId="5" borderId="15" xfId="94" applyNumberFormat="1" applyFont="1" applyFill="1" applyBorder="1"/>
    <xf numFmtId="39" fontId="11" fillId="0" borderId="37" xfId="82" applyNumberFormat="1" applyFont="1" applyBorder="1"/>
    <xf numFmtId="39" fontId="11" fillId="0" borderId="0" xfId="82" applyNumberFormat="1" applyFont="1"/>
    <xf numFmtId="168" fontId="25" fillId="0" borderId="0" xfId="35" applyNumberFormat="1" applyFont="1"/>
    <xf numFmtId="0" fontId="7" fillId="0" borderId="0" xfId="35" applyFont="1"/>
    <xf numFmtId="0" fontId="0" fillId="0" borderId="0" xfId="80" applyFont="1" applyAlignment="1">
      <alignment horizontal="left"/>
    </xf>
    <xf numFmtId="39" fontId="11" fillId="0" borderId="0" xfId="82" applyNumberFormat="1" applyFont="1" applyFill="1"/>
    <xf numFmtId="0" fontId="7" fillId="0" borderId="0" xfId="35" applyFont="1" applyAlignment="1">
      <alignment horizontal="center" vertical="center"/>
    </xf>
    <xf numFmtId="175" fontId="7" fillId="0" borderId="0" xfId="83" applyFont="1"/>
    <xf numFmtId="0" fontId="7" fillId="0" borderId="0" xfId="35" applyFont="1" applyAlignment="1">
      <alignment horizontal="left"/>
    </xf>
    <xf numFmtId="39" fontId="7" fillId="0" borderId="0" xfId="82" applyNumberFormat="1" applyFont="1"/>
    <xf numFmtId="43" fontId="28" fillId="0" borderId="0" xfId="117" applyNumberFormat="1" applyFont="1" applyFill="1"/>
    <xf numFmtId="10" fontId="25" fillId="0" borderId="0" xfId="40" applyNumberFormat="1" applyFont="1"/>
    <xf numFmtId="10" fontId="7" fillId="0" borderId="0" xfId="40" applyNumberFormat="1" applyFont="1"/>
    <xf numFmtId="43" fontId="7" fillId="0" borderId="0" xfId="35" applyNumberFormat="1" applyFont="1"/>
    <xf numFmtId="10" fontId="7" fillId="0" borderId="0" xfId="35" applyNumberFormat="1" applyFont="1"/>
    <xf numFmtId="0" fontId="50" fillId="0" borderId="3" xfId="35" applyFont="1" applyBorder="1" applyAlignment="1">
      <alignment horizontal="right"/>
    </xf>
    <xf numFmtId="0" fontId="7" fillId="0" borderId="4" xfId="35" applyFont="1" applyBorder="1" applyAlignment="1">
      <alignment horizontal="left"/>
    </xf>
    <xf numFmtId="43" fontId="25" fillId="0" borderId="4" xfId="97" applyFont="1" applyBorder="1"/>
    <xf numFmtId="43" fontId="28" fillId="0" borderId="5" xfId="117" applyNumberFormat="1" applyFont="1" applyFill="1" applyBorder="1"/>
    <xf numFmtId="0" fontId="50" fillId="0" borderId="0" xfId="35" applyFont="1" applyAlignment="1">
      <alignment horizontal="right"/>
    </xf>
    <xf numFmtId="43" fontId="7" fillId="0" borderId="0" xfId="97" applyFont="1"/>
    <xf numFmtId="43" fontId="7" fillId="0" borderId="0" xfId="97" applyFont="1" applyFill="1"/>
    <xf numFmtId="9" fontId="25" fillId="0" borderId="0" xfId="35" applyNumberFormat="1" applyFont="1"/>
    <xf numFmtId="0" fontId="7" fillId="0" borderId="0" xfId="35" applyFont="1" applyAlignment="1">
      <alignment horizontal="right"/>
    </xf>
    <xf numFmtId="43" fontId="7" fillId="0" borderId="4" xfId="94" applyFont="1" applyBorder="1"/>
    <xf numFmtId="43" fontId="25" fillId="0" borderId="4" xfId="94" applyFont="1" applyBorder="1"/>
    <xf numFmtId="43" fontId="7" fillId="0" borderId="5" xfId="97" applyFont="1" applyFill="1" applyBorder="1"/>
    <xf numFmtId="175" fontId="7" fillId="0" borderId="0" xfId="35" applyNumberFormat="1" applyFont="1"/>
    <xf numFmtId="43" fontId="27" fillId="0" borderId="0" xfId="94" applyFont="1"/>
    <xf numFmtId="43" fontId="68" fillId="0" borderId="0" xfId="97" applyFont="1" applyFill="1"/>
    <xf numFmtId="172" fontId="7" fillId="0" borderId="0" xfId="108" applyNumberFormat="1" applyFont="1" applyAlignment="1">
      <alignment horizontal="right"/>
    </xf>
    <xf numFmtId="43" fontId="11" fillId="0" borderId="0" xfId="97" applyFont="1" applyFill="1"/>
    <xf numFmtId="180" fontId="11" fillId="0" borderId="0" xfId="94" applyNumberFormat="1" applyFont="1" applyFill="1"/>
    <xf numFmtId="43" fontId="11" fillId="0" borderId="0" xfId="117" applyNumberFormat="1" applyFont="1" applyFill="1"/>
    <xf numFmtId="0" fontId="25" fillId="0" borderId="0" xfId="35" applyFont="1"/>
    <xf numFmtId="175" fontId="11" fillId="0" borderId="0" xfId="81" applyFont="1" applyFill="1"/>
    <xf numFmtId="175" fontId="11" fillId="0" borderId="0" xfId="81" applyFont="1" applyFill="1" applyAlignment="1">
      <alignment horizontal="right"/>
    </xf>
    <xf numFmtId="172" fontId="7" fillId="0" borderId="0" xfId="108" applyNumberFormat="1" applyFont="1" applyFill="1" applyAlignment="1">
      <alignment horizontal="right"/>
    </xf>
    <xf numFmtId="172" fontId="11" fillId="0" borderId="0" xfId="108" applyNumberFormat="1" applyFont="1" applyFill="1" applyAlignment="1">
      <alignment horizontal="right"/>
    </xf>
    <xf numFmtId="172" fontId="11" fillId="0" borderId="0" xfId="108" applyNumberFormat="1" applyFont="1" applyAlignment="1">
      <alignment horizontal="right"/>
    </xf>
    <xf numFmtId="43" fontId="11" fillId="0" borderId="0" xfId="108" applyFont="1" applyFill="1" applyAlignment="1">
      <alignment horizontal="right"/>
    </xf>
    <xf numFmtId="175" fontId="11" fillId="0" borderId="0" xfId="81" applyFont="1" applyFill="1" applyAlignment="1">
      <alignment horizontal="left"/>
    </xf>
    <xf numFmtId="43" fontId="8" fillId="0" borderId="0" xfId="108" applyFont="1" applyFill="1"/>
    <xf numFmtId="175" fontId="8" fillId="0" borderId="0" xfId="81" applyFont="1" applyFill="1"/>
    <xf numFmtId="43" fontId="11" fillId="0" borderId="0" xfId="81" applyNumberFormat="1" applyFont="1"/>
    <xf numFmtId="43" fontId="7" fillId="0" borderId="0" xfId="80" applyNumberFormat="1" applyFont="1"/>
    <xf numFmtId="181" fontId="57" fillId="0" borderId="0" xfId="92" applyNumberFormat="1" applyFont="1" applyAlignment="1">
      <alignment horizontal="center"/>
    </xf>
    <xf numFmtId="168" fontId="8" fillId="4" borderId="61" xfId="2" applyNumberFormat="1" applyFont="1" applyFill="1" applyBorder="1" applyAlignment="1">
      <alignment horizontal="center" vertical="center" wrapText="1"/>
    </xf>
    <xf numFmtId="168" fontId="8" fillId="4" borderId="73" xfId="2" applyNumberFormat="1" applyFont="1" applyFill="1" applyBorder="1" applyAlignment="1">
      <alignment horizontal="center" vertical="center" wrapText="1"/>
    </xf>
    <xf numFmtId="168" fontId="0" fillId="0" borderId="0" xfId="1" applyFont="1" applyAlignment="1">
      <alignment horizontal="right"/>
    </xf>
    <xf numFmtId="43" fontId="69" fillId="0" borderId="0" xfId="94" applyFont="1" applyFill="1" applyAlignment="1">
      <alignment horizontal="center" vertical="center"/>
    </xf>
    <xf numFmtId="0" fontId="69" fillId="0" borderId="0" xfId="94" applyNumberFormat="1" applyFont="1"/>
    <xf numFmtId="0" fontId="69" fillId="0" borderId="0" xfId="106" applyFont="1" applyAlignment="1">
      <alignment horizontal="center" vertical="center"/>
    </xf>
    <xf numFmtId="178" fontId="12" fillId="0" borderId="0" xfId="94" applyNumberFormat="1" applyFont="1" applyBorder="1" applyAlignment="1">
      <alignment horizontal="center" vertical="center"/>
    </xf>
    <xf numFmtId="178" fontId="69" fillId="0" borderId="0" xfId="94" applyNumberFormat="1" applyFont="1" applyAlignment="1">
      <alignment horizontal="center" vertical="center"/>
    </xf>
    <xf numFmtId="178" fontId="14" fillId="0" borderId="7" xfId="94" applyNumberFormat="1" applyFont="1" applyBorder="1" applyAlignment="1">
      <alignment horizontal="center" vertical="center" wrapText="1"/>
    </xf>
    <xf numFmtId="0" fontId="69" fillId="0" borderId="0" xfId="106" applyFont="1"/>
    <xf numFmtId="168" fontId="69" fillId="0" borderId="0" xfId="106" applyNumberFormat="1" applyFont="1"/>
    <xf numFmtId="178" fontId="14" fillId="18" borderId="7" xfId="94" applyNumberFormat="1" applyFont="1" applyFill="1" applyBorder="1" applyAlignment="1">
      <alignment horizontal="center" vertical="center" wrapText="1"/>
    </xf>
    <xf numFmtId="43" fontId="12" fillId="0" borderId="0" xfId="94" applyFont="1" applyFill="1" applyAlignment="1">
      <alignment horizontal="center" vertical="center"/>
    </xf>
    <xf numFmtId="0" fontId="12" fillId="0" borderId="0" xfId="94" applyNumberFormat="1" applyFont="1" applyAlignment="1">
      <alignment vertical="center" wrapText="1"/>
    </xf>
    <xf numFmtId="0" fontId="12" fillId="0" borderId="0" xfId="9" applyFont="1" applyAlignment="1">
      <alignment horizontal="center" vertical="center" wrapText="1"/>
    </xf>
    <xf numFmtId="178" fontId="12" fillId="0" borderId="0" xfId="94" applyNumberFormat="1" applyFont="1" applyFill="1" applyBorder="1" applyAlignment="1">
      <alignment horizontal="center" vertical="center" wrapText="1"/>
    </xf>
    <xf numFmtId="178" fontId="14" fillId="0" borderId="0" xfId="94" applyNumberFormat="1" applyFont="1" applyAlignment="1">
      <alignment horizontal="center" vertical="center" wrapText="1"/>
    </xf>
    <xf numFmtId="0" fontId="12" fillId="0" borderId="0" xfId="9" applyFont="1" applyAlignment="1">
      <alignment vertical="center" wrapText="1"/>
    </xf>
    <xf numFmtId="168" fontId="12" fillId="0" borderId="0" xfId="9" applyNumberFormat="1" applyFont="1" applyAlignment="1">
      <alignment vertical="center" wrapText="1"/>
    </xf>
    <xf numFmtId="14" fontId="14" fillId="0" borderId="0" xfId="94" applyNumberFormat="1" applyFont="1" applyFill="1" applyBorder="1" applyAlignment="1">
      <alignment horizontal="center" vertical="center" wrapText="1"/>
    </xf>
    <xf numFmtId="185" fontId="70" fillId="0" borderId="34" xfId="94" applyNumberFormat="1" applyFont="1" applyBorder="1" applyAlignment="1">
      <alignment horizontal="left"/>
    </xf>
    <xf numFmtId="172" fontId="70" fillId="0" borderId="34" xfId="94" applyNumberFormat="1" applyFont="1" applyFill="1" applyBorder="1" applyAlignment="1">
      <alignment horizontal="center"/>
    </xf>
    <xf numFmtId="185" fontId="69" fillId="0" borderId="0" xfId="94" applyNumberFormat="1" applyFont="1"/>
    <xf numFmtId="43" fontId="69" fillId="0" borderId="0" xfId="94" applyFont="1"/>
    <xf numFmtId="43" fontId="70" fillId="0" borderId="0" xfId="94" applyFont="1" applyAlignment="1">
      <alignment horizontal="right"/>
    </xf>
    <xf numFmtId="14" fontId="70" fillId="0" borderId="0" xfId="94" applyNumberFormat="1" applyFont="1" applyFill="1" applyAlignment="1">
      <alignment horizontal="right"/>
    </xf>
    <xf numFmtId="0" fontId="14" fillId="0" borderId="0" xfId="94" applyNumberFormat="1" applyFont="1" applyAlignment="1">
      <alignment vertical="center"/>
    </xf>
    <xf numFmtId="178" fontId="12" fillId="0" borderId="0" xfId="94" applyNumberFormat="1" applyFont="1" applyBorder="1" applyAlignment="1">
      <alignment horizontal="center" vertical="center" wrapText="1"/>
    </xf>
    <xf numFmtId="185" fontId="12" fillId="0" borderId="0" xfId="94" applyNumberFormat="1" applyFont="1" applyAlignment="1">
      <alignment vertical="center" wrapText="1"/>
    </xf>
    <xf numFmtId="185" fontId="12" fillId="0" borderId="0" xfId="94" applyNumberFormat="1" applyFont="1" applyAlignment="1">
      <alignment horizontal="center" vertical="center" wrapText="1"/>
    </xf>
    <xf numFmtId="43" fontId="12" fillId="0" borderId="0" xfId="94" applyFont="1" applyAlignment="1">
      <alignment vertical="center" wrapText="1"/>
    </xf>
    <xf numFmtId="0" fontId="12" fillId="0" borderId="34" xfId="9" applyFont="1" applyBorder="1" applyAlignment="1">
      <alignment horizontal="center" vertical="center" wrapText="1"/>
    </xf>
    <xf numFmtId="178" fontId="12" fillId="0" borderId="34" xfId="94" applyNumberFormat="1" applyFont="1" applyFill="1" applyBorder="1" applyAlignment="1">
      <alignment horizontal="center" vertical="center" wrapText="1"/>
    </xf>
    <xf numFmtId="178" fontId="14" fillId="0" borderId="0" xfId="94" applyNumberFormat="1" applyFont="1" applyBorder="1" applyAlignment="1">
      <alignment horizontal="center" vertical="center" wrapText="1"/>
    </xf>
    <xf numFmtId="185" fontId="70" fillId="0" borderId="7" xfId="94" applyNumberFormat="1" applyFont="1" applyBorder="1" applyAlignment="1">
      <alignment horizontal="center" vertical="center"/>
    </xf>
    <xf numFmtId="43" fontId="70" fillId="0" borderId="7" xfId="94" applyFont="1" applyBorder="1" applyAlignment="1">
      <alignment horizontal="center" vertical="center"/>
    </xf>
    <xf numFmtId="43" fontId="14" fillId="0" borderId="3" xfId="94" applyFont="1" applyFill="1" applyBorder="1" applyAlignment="1">
      <alignment horizontal="center" vertical="center"/>
    </xf>
    <xf numFmtId="0" fontId="14" fillId="0" borderId="5" xfId="94" applyNumberFormat="1" applyFont="1" applyBorder="1" applyAlignment="1">
      <alignment horizontal="center" vertical="center" wrapText="1"/>
    </xf>
    <xf numFmtId="0" fontId="14" fillId="0" borderId="5" xfId="9" applyFont="1" applyBorder="1" applyAlignment="1">
      <alignment horizontal="center" vertical="center" wrapText="1"/>
    </xf>
    <xf numFmtId="178" fontId="14" fillId="0" borderId="7" xfId="94" applyNumberFormat="1" applyFont="1" applyFill="1" applyBorder="1" applyAlignment="1">
      <alignment horizontal="center" vertical="center"/>
    </xf>
    <xf numFmtId="178" fontId="14" fillId="0" borderId="9" xfId="94" applyNumberFormat="1" applyFont="1" applyFill="1" applyBorder="1" applyAlignment="1">
      <alignment horizontal="center" vertical="center"/>
    </xf>
    <xf numFmtId="178" fontId="70" fillId="0" borderId="0" xfId="94" applyNumberFormat="1" applyFont="1" applyAlignment="1">
      <alignment horizontal="center" vertical="center"/>
    </xf>
    <xf numFmtId="0" fontId="14" fillId="0" borderId="4" xfId="94" applyNumberFormat="1" applyFont="1" applyFill="1" applyBorder="1" applyAlignment="1">
      <alignment vertical="center" wrapText="1"/>
    </xf>
    <xf numFmtId="0" fontId="12" fillId="0" borderId="4" xfId="9" applyFont="1" applyBorder="1" applyAlignment="1">
      <alignment horizontal="center" vertical="center" wrapText="1"/>
    </xf>
    <xf numFmtId="178" fontId="12" fillId="0" borderId="4" xfId="94" applyNumberFormat="1" applyFont="1" applyFill="1" applyBorder="1" applyAlignment="1">
      <alignment horizontal="center" vertical="center" wrapText="1"/>
    </xf>
    <xf numFmtId="178" fontId="14" fillId="0" borderId="5" xfId="94" applyNumberFormat="1" applyFont="1" applyFill="1" applyBorder="1" applyAlignment="1">
      <alignment horizontal="center" vertical="center"/>
    </xf>
    <xf numFmtId="9" fontId="69" fillId="0" borderId="0" xfId="107" applyFont="1" applyFill="1"/>
    <xf numFmtId="0" fontId="69" fillId="0" borderId="3" xfId="39" applyFont="1" applyBorder="1" applyAlignment="1">
      <alignment horizontal="center" vertical="center"/>
    </xf>
    <xf numFmtId="0" fontId="69" fillId="0" borderId="4" xfId="39" applyFont="1" applyBorder="1" applyAlignment="1">
      <alignment horizontal="center" vertical="center"/>
    </xf>
    <xf numFmtId="0" fontId="69" fillId="0" borderId="4" xfId="39" applyFont="1" applyBorder="1"/>
    <xf numFmtId="0" fontId="69" fillId="0" borderId="5" xfId="39" applyFont="1" applyBorder="1"/>
    <xf numFmtId="0" fontId="12" fillId="0" borderId="0" xfId="106" applyFont="1"/>
    <xf numFmtId="43" fontId="69" fillId="0" borderId="13" xfId="94" applyFont="1" applyFill="1" applyBorder="1" applyAlignment="1">
      <alignment horizontal="center" vertical="center"/>
    </xf>
    <xf numFmtId="0" fontId="12" fillId="0" borderId="13" xfId="94" applyNumberFormat="1" applyFont="1" applyBorder="1" applyAlignment="1">
      <alignment vertical="top" wrapText="1"/>
    </xf>
    <xf numFmtId="49" fontId="12" fillId="0" borderId="13" xfId="106" applyNumberFormat="1" applyFont="1" applyBorder="1" applyAlignment="1">
      <alignment horizontal="center" vertical="center"/>
    </xf>
    <xf numFmtId="178" fontId="69" fillId="0" borderId="13" xfId="94" applyNumberFormat="1" applyFont="1" applyFill="1" applyBorder="1" applyAlignment="1">
      <alignment horizontal="center" vertical="center"/>
    </xf>
    <xf numFmtId="178" fontId="69" fillId="0" borderId="13" xfId="94" applyNumberFormat="1" applyFont="1" applyBorder="1" applyAlignment="1">
      <alignment horizontal="center" vertical="center"/>
    </xf>
    <xf numFmtId="9" fontId="69" fillId="0" borderId="0" xfId="107" applyFont="1"/>
    <xf numFmtId="9" fontId="69" fillId="0" borderId="13" xfId="110" applyFont="1" applyBorder="1" applyAlignment="1">
      <alignment horizontal="center" vertical="center"/>
    </xf>
    <xf numFmtId="9" fontId="12" fillId="0" borderId="13" xfId="70" applyFont="1" applyFill="1" applyBorder="1" applyAlignment="1">
      <alignment horizontal="center" vertical="center" wrapText="1"/>
    </xf>
    <xf numFmtId="178" fontId="69" fillId="0" borderId="16" xfId="99" applyNumberFormat="1" applyFont="1" applyBorder="1" applyAlignment="1">
      <alignment vertical="center"/>
    </xf>
    <xf numFmtId="43" fontId="69" fillId="0" borderId="15" xfId="94" applyFont="1" applyFill="1" applyBorder="1" applyAlignment="1">
      <alignment horizontal="center" vertical="center"/>
    </xf>
    <xf numFmtId="0" fontId="12" fillId="0" borderId="15" xfId="94" applyNumberFormat="1" applyFont="1" applyBorder="1" applyAlignment="1">
      <alignment vertical="top" wrapText="1"/>
    </xf>
    <xf numFmtId="49" fontId="12" fillId="0" borderId="15" xfId="106" applyNumberFormat="1" applyFont="1" applyBorder="1" applyAlignment="1">
      <alignment horizontal="center" vertical="center"/>
    </xf>
    <xf numFmtId="178" fontId="69" fillId="0" borderId="15" xfId="94" applyNumberFormat="1" applyFont="1" applyFill="1" applyBorder="1" applyAlignment="1">
      <alignment horizontal="center" vertical="center"/>
    </xf>
    <xf numFmtId="178" fontId="69" fillId="0" borderId="15" xfId="94" applyNumberFormat="1" applyFont="1" applyBorder="1" applyAlignment="1">
      <alignment horizontal="center" vertical="center"/>
    </xf>
    <xf numFmtId="9" fontId="69" fillId="0" borderId="15" xfId="110" applyFont="1" applyBorder="1" applyAlignment="1">
      <alignment horizontal="center" vertical="center"/>
    </xf>
    <xf numFmtId="9" fontId="12" fillId="0" borderId="15" xfId="70" applyFont="1" applyFill="1" applyBorder="1" applyAlignment="1">
      <alignment horizontal="center" vertical="center" wrapText="1"/>
    </xf>
    <xf numFmtId="0" fontId="12" fillId="0" borderId="15" xfId="9" applyFont="1" applyBorder="1" applyAlignment="1">
      <alignment horizontal="center" vertical="center" wrapText="1"/>
    </xf>
    <xf numFmtId="178" fontId="12" fillId="0" borderId="15" xfId="94" applyNumberFormat="1" applyFont="1" applyFill="1" applyBorder="1" applyAlignment="1">
      <alignment horizontal="center" vertical="center" wrapText="1"/>
    </xf>
    <xf numFmtId="9" fontId="69" fillId="0" borderId="15" xfId="110" applyFont="1" applyFill="1" applyBorder="1" applyAlignment="1">
      <alignment horizontal="center" vertical="center"/>
    </xf>
    <xf numFmtId="0" fontId="12" fillId="0" borderId="19" xfId="94" applyNumberFormat="1" applyFont="1" applyBorder="1" applyAlignment="1">
      <alignment horizontal="left"/>
    </xf>
    <xf numFmtId="49" fontId="12" fillId="0" borderId="15" xfId="15" applyNumberFormat="1" applyFont="1" applyBorder="1" applyAlignment="1">
      <alignment horizontal="center" vertical="center"/>
    </xf>
    <xf numFmtId="178" fontId="12" fillId="0" borderId="15" xfId="94" applyNumberFormat="1" applyFont="1" applyFill="1" applyBorder="1" applyAlignment="1">
      <alignment horizontal="center" vertical="center"/>
    </xf>
    <xf numFmtId="178" fontId="69" fillId="0" borderId="13" xfId="99" applyNumberFormat="1" applyFont="1" applyBorder="1" applyAlignment="1">
      <alignment vertical="center"/>
    </xf>
    <xf numFmtId="178" fontId="69" fillId="0" borderId="15" xfId="99" applyNumberFormat="1" applyFont="1" applyBorder="1" applyAlignment="1">
      <alignment vertical="center"/>
    </xf>
    <xf numFmtId="43" fontId="69" fillId="0" borderId="20" xfId="94" applyFont="1" applyFill="1" applyBorder="1" applyAlignment="1">
      <alignment horizontal="center" vertical="center"/>
    </xf>
    <xf numFmtId="0" fontId="12" fillId="0" borderId="69" xfId="94" applyNumberFormat="1" applyFont="1" applyBorder="1" applyAlignment="1">
      <alignment horizontal="left" vertical="center" wrapText="1"/>
    </xf>
    <xf numFmtId="49" fontId="12" fillId="0" borderId="20" xfId="15" applyNumberFormat="1" applyFont="1" applyBorder="1" applyAlignment="1">
      <alignment horizontal="center" vertical="center"/>
    </xf>
    <xf numFmtId="178" fontId="12" fillId="0" borderId="20" xfId="94" applyNumberFormat="1" applyFont="1" applyFill="1" applyBorder="1" applyAlignment="1">
      <alignment horizontal="center" vertical="center"/>
    </xf>
    <xf numFmtId="43" fontId="69" fillId="0" borderId="37" xfId="94" applyFont="1" applyFill="1" applyBorder="1" applyAlignment="1">
      <alignment horizontal="center" vertical="center"/>
    </xf>
    <xf numFmtId="0" fontId="12" fillId="0" borderId="37" xfId="94" applyNumberFormat="1" applyFont="1" applyBorder="1" applyAlignment="1">
      <alignment horizontal="left"/>
    </xf>
    <xf numFmtId="49" fontId="12" fillId="0" borderId="37" xfId="15" applyNumberFormat="1" applyFont="1" applyBorder="1" applyAlignment="1">
      <alignment horizontal="center" vertical="center"/>
    </xf>
    <xf numFmtId="178" fontId="12" fillId="0" borderId="37" xfId="94" applyNumberFormat="1" applyFont="1" applyFill="1" applyBorder="1" applyAlignment="1">
      <alignment horizontal="center" vertical="center"/>
    </xf>
    <xf numFmtId="9" fontId="69" fillId="0" borderId="37" xfId="110" applyFont="1" applyBorder="1" applyAlignment="1">
      <alignment horizontal="center" vertical="center"/>
    </xf>
    <xf numFmtId="0" fontId="69" fillId="0" borderId="15" xfId="94" applyNumberFormat="1" applyFont="1" applyBorder="1" applyAlignment="1">
      <alignment vertical="center" wrapText="1"/>
    </xf>
    <xf numFmtId="0" fontId="12" fillId="0" borderId="15" xfId="94" applyNumberFormat="1" applyFont="1" applyBorder="1" applyAlignment="1">
      <alignment horizontal="left"/>
    </xf>
    <xf numFmtId="178" fontId="12" fillId="0" borderId="15" xfId="94" applyNumberFormat="1" applyFont="1" applyFill="1" applyBorder="1" applyAlignment="1">
      <alignment horizontal="right" vertical="center"/>
    </xf>
    <xf numFmtId="0" fontId="12" fillId="0" borderId="20" xfId="94" applyNumberFormat="1" applyFont="1" applyBorder="1" applyAlignment="1">
      <alignment horizontal="left"/>
    </xf>
    <xf numFmtId="0" fontId="12" fillId="0" borderId="37" xfId="94" applyNumberFormat="1" applyFont="1" applyBorder="1" applyAlignment="1">
      <alignment vertical="top" wrapText="1"/>
    </xf>
    <xf numFmtId="49" fontId="12" fillId="0" borderId="37" xfId="106" applyNumberFormat="1" applyFont="1" applyBorder="1" applyAlignment="1">
      <alignment horizontal="center" vertical="center"/>
    </xf>
    <xf numFmtId="0" fontId="14" fillId="0" borderId="4" xfId="94" applyNumberFormat="1" applyFont="1" applyBorder="1" applyAlignment="1">
      <alignment vertical="center" wrapText="1"/>
    </xf>
    <xf numFmtId="178" fontId="14" fillId="0" borderId="4" xfId="94" applyNumberFormat="1" applyFont="1" applyFill="1" applyBorder="1" applyAlignment="1">
      <alignment horizontal="center" vertical="center" wrapText="1"/>
    </xf>
    <xf numFmtId="178" fontId="14" fillId="0" borderId="5" xfId="94" applyNumberFormat="1" applyFont="1" applyFill="1" applyBorder="1" applyAlignment="1">
      <alignment horizontal="center" vertical="center" wrapText="1"/>
    </xf>
    <xf numFmtId="178" fontId="70" fillId="0" borderId="3" xfId="94" applyNumberFormat="1" applyFont="1" applyBorder="1"/>
    <xf numFmtId="178" fontId="70" fillId="0" borderId="4" xfId="94" applyNumberFormat="1" applyFont="1" applyBorder="1"/>
    <xf numFmtId="178" fontId="70" fillId="0" borderId="5" xfId="94" applyNumberFormat="1" applyFont="1" applyBorder="1"/>
    <xf numFmtId="43" fontId="69" fillId="0" borderId="0" xfId="108" applyFont="1" applyFill="1"/>
    <xf numFmtId="43" fontId="14" fillId="0" borderId="39" xfId="94" applyFont="1" applyFill="1" applyBorder="1" applyAlignment="1">
      <alignment horizontal="center" vertical="center"/>
    </xf>
    <xf numFmtId="0" fontId="70" fillId="0" borderId="39" xfId="94" applyNumberFormat="1" applyFont="1" applyFill="1" applyBorder="1" applyAlignment="1">
      <alignment vertical="center" wrapText="1"/>
    </xf>
    <xf numFmtId="43" fontId="12" fillId="0" borderId="39" xfId="108" applyFont="1" applyFill="1" applyBorder="1" applyAlignment="1">
      <alignment horizontal="center" vertical="center" wrapText="1"/>
    </xf>
    <xf numFmtId="178" fontId="12" fillId="0" borderId="39" xfId="94" applyNumberFormat="1" applyFont="1" applyFill="1" applyBorder="1" applyAlignment="1">
      <alignment horizontal="center" vertical="center" wrapText="1"/>
    </xf>
    <xf numFmtId="178" fontId="69" fillId="0" borderId="39" xfId="94" applyNumberFormat="1" applyFont="1" applyBorder="1" applyAlignment="1">
      <alignment horizontal="center" vertical="center"/>
    </xf>
    <xf numFmtId="178" fontId="14" fillId="0" borderId="39" xfId="94" applyNumberFormat="1" applyFont="1" applyFill="1" applyBorder="1" applyAlignment="1">
      <alignment horizontal="center" vertical="center" wrapText="1"/>
    </xf>
    <xf numFmtId="9" fontId="69" fillId="0" borderId="0" xfId="110" applyFont="1" applyFill="1" applyBorder="1" applyAlignment="1">
      <alignment horizontal="center" vertical="center"/>
    </xf>
    <xf numFmtId="178" fontId="69" fillId="0" borderId="0" xfId="99" applyNumberFormat="1" applyFont="1" applyFill="1" applyBorder="1" applyAlignment="1">
      <alignment vertical="center"/>
    </xf>
    <xf numFmtId="43" fontId="14" fillId="0" borderId="0" xfId="94" applyFont="1" applyFill="1" applyBorder="1" applyAlignment="1">
      <alignment horizontal="center" vertical="center"/>
    </xf>
    <xf numFmtId="0" fontId="70" fillId="0" borderId="0" xfId="94" applyNumberFormat="1" applyFont="1" applyFill="1" applyBorder="1" applyAlignment="1">
      <alignment vertical="center" wrapText="1"/>
    </xf>
    <xf numFmtId="43" fontId="12" fillId="0" borderId="0" xfId="108" applyFont="1" applyFill="1" applyBorder="1" applyAlignment="1">
      <alignment horizontal="center" vertical="center" wrapText="1"/>
    </xf>
    <xf numFmtId="178" fontId="69" fillId="0" borderId="0" xfId="94" applyNumberFormat="1" applyFont="1" applyBorder="1" applyAlignment="1">
      <alignment horizontal="center" vertical="center"/>
    </xf>
    <xf numFmtId="178" fontId="14" fillId="0" borderId="0" xfId="94" applyNumberFormat="1" applyFont="1" applyFill="1" applyBorder="1" applyAlignment="1">
      <alignment horizontal="center" vertical="center" wrapText="1"/>
    </xf>
    <xf numFmtId="43" fontId="12" fillId="0" borderId="0" xfId="94" applyFont="1" applyFill="1" applyBorder="1" applyAlignment="1">
      <alignment horizontal="center" vertical="center"/>
    </xf>
    <xf numFmtId="0" fontId="12" fillId="0" borderId="0" xfId="94" applyNumberFormat="1" applyFont="1" applyBorder="1" applyAlignment="1">
      <alignment horizontal="left" vertical="top" wrapText="1"/>
    </xf>
    <xf numFmtId="178" fontId="69" fillId="0" borderId="0" xfId="94" applyNumberFormat="1" applyFont="1" applyFill="1" applyBorder="1" applyAlignment="1">
      <alignment horizontal="center" vertical="center"/>
    </xf>
    <xf numFmtId="178" fontId="70" fillId="0" borderId="0" xfId="94" applyNumberFormat="1" applyFont="1" applyBorder="1" applyAlignment="1">
      <alignment horizontal="center" vertical="center"/>
    </xf>
    <xf numFmtId="43" fontId="69" fillId="0" borderId="3" xfId="94" applyFont="1" applyFill="1" applyBorder="1" applyAlignment="1">
      <alignment horizontal="center"/>
    </xf>
    <xf numFmtId="43" fontId="70" fillId="0" borderId="4" xfId="94" applyFont="1" applyBorder="1"/>
    <xf numFmtId="43" fontId="69" fillId="0" borderId="4" xfId="94" applyFont="1" applyBorder="1" applyAlignment="1">
      <alignment horizontal="center" vertical="center"/>
    </xf>
    <xf numFmtId="43" fontId="12" fillId="0" borderId="4" xfId="94" applyFont="1" applyBorder="1"/>
    <xf numFmtId="178" fontId="12" fillId="0" borderId="4" xfId="94" applyNumberFormat="1" applyFont="1" applyBorder="1"/>
    <xf numFmtId="178" fontId="69" fillId="0" borderId="4" xfId="94" applyNumberFormat="1" applyFont="1" applyBorder="1"/>
    <xf numFmtId="43" fontId="70" fillId="0" borderId="4" xfId="94" applyFont="1" applyBorder="1" applyAlignment="1">
      <alignment horizontal="center" vertical="center"/>
    </xf>
    <xf numFmtId="14" fontId="70" fillId="0" borderId="5" xfId="94" applyNumberFormat="1" applyFont="1" applyBorder="1" applyAlignment="1">
      <alignment horizontal="center" vertical="center"/>
    </xf>
    <xf numFmtId="43" fontId="70" fillId="0" borderId="3" xfId="94" applyFont="1" applyFill="1" applyBorder="1" applyAlignment="1">
      <alignment horizontal="center"/>
    </xf>
    <xf numFmtId="43" fontId="14" fillId="0" borderId="4" xfId="94" applyFont="1" applyBorder="1"/>
    <xf numFmtId="178" fontId="14" fillId="0" borderId="4" xfId="94" applyNumberFormat="1" applyFont="1" applyBorder="1"/>
    <xf numFmtId="43" fontId="69" fillId="19" borderId="44" xfId="94" applyFont="1" applyFill="1" applyBorder="1" applyAlignment="1">
      <alignment horizontal="center" vertical="center"/>
    </xf>
    <xf numFmtId="43" fontId="69" fillId="19" borderId="14" xfId="94" applyFont="1" applyFill="1" applyBorder="1"/>
    <xf numFmtId="43" fontId="12" fillId="19" borderId="44" xfId="94" applyFont="1" applyFill="1" applyBorder="1"/>
    <xf numFmtId="178" fontId="12" fillId="19" borderId="44" xfId="94" applyNumberFormat="1" applyFont="1" applyFill="1" applyBorder="1"/>
    <xf numFmtId="178" fontId="69" fillId="19" borderId="44" xfId="94" applyNumberFormat="1" applyFont="1" applyFill="1" applyBorder="1"/>
    <xf numFmtId="178" fontId="70" fillId="19" borderId="44" xfId="94" applyNumberFormat="1" applyFont="1" applyFill="1" applyBorder="1"/>
    <xf numFmtId="178" fontId="69" fillId="19" borderId="74" xfId="94" applyNumberFormat="1" applyFont="1" applyFill="1" applyBorder="1"/>
    <xf numFmtId="43" fontId="69" fillId="0" borderId="15" xfId="94" applyFont="1" applyFill="1" applyBorder="1" applyAlignment="1">
      <alignment horizontal="center"/>
    </xf>
    <xf numFmtId="43" fontId="69" fillId="0" borderId="19" xfId="94" applyFont="1" applyBorder="1"/>
    <xf numFmtId="43" fontId="69" fillId="0" borderId="45" xfId="94" applyFont="1" applyBorder="1" applyAlignment="1">
      <alignment horizontal="center" vertical="center"/>
    </xf>
    <xf numFmtId="43" fontId="12" fillId="0" borderId="45" xfId="94" applyFont="1" applyBorder="1"/>
    <xf numFmtId="178" fontId="12" fillId="0" borderId="45" xfId="94" applyNumberFormat="1" applyFont="1" applyBorder="1"/>
    <xf numFmtId="178" fontId="69" fillId="0" borderId="45" xfId="94" applyNumberFormat="1" applyFont="1" applyBorder="1"/>
    <xf numFmtId="178" fontId="70" fillId="0" borderId="45" xfId="94" applyNumberFormat="1" applyFont="1" applyBorder="1"/>
    <xf numFmtId="172" fontId="69" fillId="19" borderId="45" xfId="94" applyNumberFormat="1" applyFont="1" applyFill="1" applyBorder="1" applyAlignment="1">
      <alignment horizontal="center" vertical="center"/>
    </xf>
    <xf numFmtId="43" fontId="69" fillId="19" borderId="19" xfId="94" applyFont="1" applyFill="1" applyBorder="1"/>
    <xf numFmtId="43" fontId="69" fillId="19" borderId="45" xfId="94" applyFont="1" applyFill="1" applyBorder="1" applyAlignment="1">
      <alignment horizontal="center" vertical="center"/>
    </xf>
    <xf numFmtId="43" fontId="12" fillId="19" borderId="45" xfId="94" applyFont="1" applyFill="1" applyBorder="1"/>
    <xf numFmtId="178" fontId="12" fillId="19" borderId="45" xfId="94" applyNumberFormat="1" applyFont="1" applyFill="1" applyBorder="1"/>
    <xf numFmtId="178" fontId="69" fillId="19" borderId="45" xfId="94" applyNumberFormat="1" applyFont="1" applyFill="1" applyBorder="1"/>
    <xf numFmtId="178" fontId="70" fillId="19" borderId="45" xfId="94" applyNumberFormat="1" applyFont="1" applyFill="1" applyBorder="1"/>
    <xf numFmtId="172" fontId="70" fillId="19" borderId="45" xfId="94" applyNumberFormat="1" applyFont="1" applyFill="1" applyBorder="1" applyAlignment="1">
      <alignment horizontal="center" vertical="center"/>
    </xf>
    <xf numFmtId="43" fontId="70" fillId="19" borderId="19" xfId="94" applyFont="1" applyFill="1" applyBorder="1"/>
    <xf numFmtId="43" fontId="70" fillId="19" borderId="45" xfId="94" applyFont="1" applyFill="1" applyBorder="1" applyAlignment="1">
      <alignment horizontal="center" vertical="center"/>
    </xf>
    <xf numFmtId="43" fontId="14" fillId="19" borderId="45" xfId="94" applyFont="1" applyFill="1" applyBorder="1"/>
    <xf numFmtId="178" fontId="14" fillId="19" borderId="45" xfId="94" applyNumberFormat="1" applyFont="1" applyFill="1" applyBorder="1"/>
    <xf numFmtId="168" fontId="69" fillId="0" borderId="37" xfId="118" applyFont="1" applyFill="1" applyBorder="1" applyAlignment="1">
      <alignment horizontal="center"/>
    </xf>
    <xf numFmtId="168" fontId="69" fillId="0" borderId="75" xfId="118" applyFont="1" applyBorder="1"/>
    <xf numFmtId="168" fontId="69" fillId="0" borderId="57" xfId="118" applyFont="1" applyBorder="1" applyAlignment="1">
      <alignment horizontal="center" vertical="center"/>
    </xf>
    <xf numFmtId="168" fontId="12" fillId="0" borderId="57" xfId="118" applyFont="1" applyBorder="1"/>
    <xf numFmtId="178" fontId="12" fillId="0" borderId="57" xfId="118" applyNumberFormat="1" applyFont="1" applyBorder="1"/>
    <xf numFmtId="178" fontId="70" fillId="0" borderId="57" xfId="118" applyNumberFormat="1" applyFont="1" applyBorder="1"/>
    <xf numFmtId="178" fontId="69" fillId="0" borderId="57" xfId="118" applyNumberFormat="1" applyFont="1" applyBorder="1"/>
    <xf numFmtId="43" fontId="69" fillId="0" borderId="57" xfId="94" applyFont="1" applyBorder="1"/>
    <xf numFmtId="172" fontId="70" fillId="19" borderId="4" xfId="118" applyNumberFormat="1" applyFont="1" applyFill="1" applyBorder="1" applyAlignment="1">
      <alignment horizontal="center" vertical="center"/>
    </xf>
    <xf numFmtId="168" fontId="70" fillId="19" borderId="3" xfId="118" applyFont="1" applyFill="1" applyBorder="1"/>
    <xf numFmtId="168" fontId="70" fillId="19" borderId="4" xfId="118" applyFont="1" applyFill="1" applyBorder="1" applyAlignment="1">
      <alignment horizontal="center" vertical="center"/>
    </xf>
    <xf numFmtId="168" fontId="14" fillId="19" borderId="4" xfId="118" applyFont="1" applyFill="1" applyBorder="1"/>
    <xf numFmtId="178" fontId="14" fillId="19" borderId="4" xfId="118" applyNumberFormat="1" applyFont="1" applyFill="1" applyBorder="1"/>
    <xf numFmtId="178" fontId="70" fillId="19" borderId="4" xfId="118" applyNumberFormat="1" applyFont="1" applyFill="1" applyBorder="1"/>
    <xf numFmtId="0" fontId="69" fillId="0" borderId="0" xfId="39" applyFont="1" applyAlignment="1">
      <alignment horizontal="center" vertical="center"/>
    </xf>
    <xf numFmtId="9" fontId="69" fillId="0" borderId="0" xfId="92" applyFont="1" applyFill="1" applyBorder="1" applyAlignment="1">
      <alignment vertical="center"/>
    </xf>
    <xf numFmtId="178" fontId="69" fillId="0" borderId="0" xfId="106" applyNumberFormat="1" applyFont="1"/>
    <xf numFmtId="178" fontId="12" fillId="0" borderId="0" xfId="9" applyNumberFormat="1" applyFont="1" applyAlignment="1">
      <alignment vertical="center" wrapText="1"/>
    </xf>
    <xf numFmtId="0" fontId="14" fillId="0" borderId="0" xfId="94" applyNumberFormat="1" applyFont="1" applyBorder="1" applyAlignment="1">
      <alignment vertical="center"/>
    </xf>
    <xf numFmtId="178" fontId="70" fillId="0" borderId="34" xfId="94" applyNumberFormat="1" applyFont="1" applyBorder="1" applyAlignment="1">
      <alignment horizontal="left"/>
    </xf>
    <xf numFmtId="178" fontId="70" fillId="0" borderId="34" xfId="94" applyNumberFormat="1" applyFont="1" applyFill="1" applyBorder="1" applyAlignment="1">
      <alignment horizontal="center"/>
    </xf>
    <xf numFmtId="178" fontId="69" fillId="0" borderId="0" xfId="94" applyNumberFormat="1" applyFont="1"/>
    <xf numFmtId="178" fontId="70" fillId="0" borderId="0" xfId="94" applyNumberFormat="1" applyFont="1" applyAlignment="1">
      <alignment horizontal="right"/>
    </xf>
    <xf numFmtId="0" fontId="14" fillId="0" borderId="34" xfId="94" applyNumberFormat="1" applyFont="1" applyBorder="1" applyAlignment="1">
      <alignment vertical="center"/>
    </xf>
    <xf numFmtId="178" fontId="14" fillId="0" borderId="34" xfId="94" applyNumberFormat="1" applyFont="1" applyBorder="1" applyAlignment="1">
      <alignment horizontal="center" vertical="center" wrapText="1"/>
    </xf>
    <xf numFmtId="178" fontId="70" fillId="0" borderId="7" xfId="94" applyNumberFormat="1" applyFont="1" applyBorder="1" applyAlignment="1">
      <alignment horizontal="center" vertical="center"/>
    </xf>
    <xf numFmtId="9" fontId="69" fillId="0" borderId="0" xfId="40" applyFont="1"/>
    <xf numFmtId="9" fontId="69" fillId="0" borderId="3" xfId="40" applyFont="1" applyBorder="1"/>
    <xf numFmtId="9" fontId="69" fillId="0" borderId="4" xfId="40" applyFont="1" applyBorder="1"/>
    <xf numFmtId="178" fontId="69" fillId="0" borderId="4" xfId="106" applyNumberFormat="1" applyFont="1" applyBorder="1"/>
    <xf numFmtId="178" fontId="69" fillId="0" borderId="5" xfId="106" applyNumberFormat="1" applyFont="1" applyBorder="1"/>
    <xf numFmtId="49" fontId="12" fillId="0" borderId="13" xfId="15" applyNumberFormat="1" applyFont="1" applyBorder="1" applyAlignment="1">
      <alignment horizontal="center" vertical="center"/>
    </xf>
    <xf numFmtId="178" fontId="12" fillId="0" borderId="13" xfId="94" applyNumberFormat="1" applyFont="1" applyFill="1" applyBorder="1" applyAlignment="1">
      <alignment horizontal="center" vertical="center"/>
    </xf>
    <xf numFmtId="178" fontId="14" fillId="0" borderId="0" xfId="94" applyNumberFormat="1" applyFont="1" applyAlignment="1">
      <alignment horizontal="center" vertical="center"/>
    </xf>
    <xf numFmtId="9" fontId="69" fillId="0" borderId="16" xfId="40" applyFont="1" applyBorder="1" applyAlignment="1">
      <alignment horizontal="center" vertical="center"/>
    </xf>
    <xf numFmtId="9" fontId="12" fillId="0" borderId="16" xfId="40" applyFont="1" applyFill="1" applyBorder="1" applyAlignment="1">
      <alignment horizontal="center" vertical="center" wrapText="1"/>
    </xf>
    <xf numFmtId="0" fontId="12" fillId="0" borderId="15" xfId="94" applyNumberFormat="1" applyFont="1" applyBorder="1" applyAlignment="1">
      <alignment vertical="center" wrapText="1"/>
    </xf>
    <xf numFmtId="178" fontId="69" fillId="0" borderId="16" xfId="94" applyNumberFormat="1" applyFont="1" applyBorder="1" applyAlignment="1">
      <alignment horizontal="center" vertical="center"/>
    </xf>
    <xf numFmtId="9" fontId="69" fillId="0" borderId="15" xfId="40" applyFont="1" applyBorder="1" applyAlignment="1">
      <alignment horizontal="center" vertical="center"/>
    </xf>
    <xf numFmtId="9" fontId="12" fillId="0" borderId="15" xfId="40" applyFont="1" applyFill="1" applyBorder="1" applyAlignment="1">
      <alignment horizontal="center" vertical="center" wrapText="1"/>
    </xf>
    <xf numFmtId="178" fontId="12" fillId="0" borderId="37" xfId="94" applyNumberFormat="1" applyFont="1" applyFill="1" applyBorder="1" applyAlignment="1">
      <alignment horizontal="right" vertical="center"/>
    </xf>
    <xf numFmtId="178" fontId="12" fillId="0" borderId="13" xfId="94" applyNumberFormat="1" applyFont="1" applyFill="1" applyBorder="1" applyAlignment="1">
      <alignment horizontal="right" vertical="center"/>
    </xf>
    <xf numFmtId="0" fontId="12" fillId="0" borderId="15" xfId="94" applyNumberFormat="1" applyFont="1" applyBorder="1" applyAlignment="1">
      <alignment horizontal="left" vertical="center" wrapText="1"/>
    </xf>
    <xf numFmtId="178" fontId="69" fillId="0" borderId="36" xfId="94" applyNumberFormat="1" applyFont="1" applyBorder="1" applyAlignment="1">
      <alignment horizontal="center" vertical="center"/>
    </xf>
    <xf numFmtId="43" fontId="12" fillId="0" borderId="15" xfId="108" applyFont="1" applyFill="1" applyBorder="1" applyAlignment="1">
      <alignment horizontal="center" vertical="center"/>
    </xf>
    <xf numFmtId="178" fontId="14" fillId="0" borderId="10" xfId="94" applyNumberFormat="1" applyFont="1" applyFill="1" applyBorder="1" applyAlignment="1">
      <alignment horizontal="center" vertical="center"/>
    </xf>
    <xf numFmtId="178" fontId="14" fillId="0" borderId="0" xfId="94" applyNumberFormat="1" applyFont="1" applyFill="1" applyBorder="1" applyAlignment="1">
      <alignment horizontal="center" vertical="center"/>
    </xf>
    <xf numFmtId="43" fontId="12" fillId="0" borderId="15" xfId="94" applyFont="1" applyFill="1" applyBorder="1" applyAlignment="1">
      <alignment horizontal="center" vertical="center"/>
    </xf>
    <xf numFmtId="43" fontId="12" fillId="0" borderId="37" xfId="108" applyFont="1" applyFill="1" applyBorder="1" applyAlignment="1">
      <alignment horizontal="center" vertical="center"/>
    </xf>
    <xf numFmtId="178" fontId="69" fillId="0" borderId="37" xfId="94" applyNumberFormat="1" applyFont="1" applyFill="1" applyBorder="1" applyAlignment="1">
      <alignment horizontal="center" vertical="center"/>
    </xf>
    <xf numFmtId="0" fontId="12" fillId="2" borderId="13" xfId="94" applyNumberFormat="1" applyFont="1" applyFill="1" applyBorder="1" applyAlignment="1">
      <alignment vertical="top" wrapText="1"/>
    </xf>
    <xf numFmtId="178" fontId="14" fillId="0" borderId="38" xfId="94" applyNumberFormat="1" applyFont="1" applyFill="1" applyBorder="1" applyAlignment="1">
      <alignment horizontal="center" vertical="center"/>
    </xf>
    <xf numFmtId="0" fontId="12" fillId="2" borderId="15" xfId="94" applyNumberFormat="1" applyFont="1" applyFill="1" applyBorder="1" applyAlignment="1">
      <alignment vertical="top"/>
    </xf>
    <xf numFmtId="0" fontId="12" fillId="0" borderId="15" xfId="94" applyNumberFormat="1" applyFont="1" applyBorder="1" applyAlignment="1">
      <alignment horizontal="left" vertical="top" wrapText="1"/>
    </xf>
    <xf numFmtId="43" fontId="69" fillId="0" borderId="16" xfId="94" applyFont="1" applyFill="1" applyBorder="1" applyAlignment="1">
      <alignment horizontal="center" vertical="center"/>
    </xf>
    <xf numFmtId="0" fontId="12" fillId="0" borderId="16" xfId="94" applyNumberFormat="1" applyFont="1" applyBorder="1" applyAlignment="1">
      <alignment vertical="top" wrapText="1"/>
    </xf>
    <xf numFmtId="49" fontId="12" fillId="0" borderId="16" xfId="15" applyNumberFormat="1" applyFont="1" applyBorder="1" applyAlignment="1">
      <alignment horizontal="center" vertical="center"/>
    </xf>
    <xf numFmtId="0" fontId="12" fillId="0" borderId="13" xfId="106" applyFont="1" applyBorder="1" applyAlignment="1">
      <alignment horizontal="center" vertical="center"/>
    </xf>
    <xf numFmtId="0" fontId="12" fillId="0" borderId="15" xfId="106" applyFont="1" applyBorder="1" applyAlignment="1">
      <alignment horizontal="center" vertical="center"/>
    </xf>
    <xf numFmtId="9" fontId="69" fillId="0" borderId="0" xfId="40" applyFont="1" applyBorder="1"/>
    <xf numFmtId="0" fontId="12" fillId="0" borderId="37" xfId="106" applyFont="1" applyBorder="1" applyAlignment="1">
      <alignment horizontal="center" vertical="center"/>
    </xf>
    <xf numFmtId="0" fontId="69" fillId="0" borderId="15" xfId="106" applyFont="1" applyBorder="1" applyAlignment="1">
      <alignment horizontal="center" vertical="center"/>
    </xf>
    <xf numFmtId="178" fontId="70" fillId="0" borderId="10" xfId="94" applyNumberFormat="1" applyFont="1" applyBorder="1" applyAlignment="1">
      <alignment horizontal="center" vertical="center"/>
    </xf>
    <xf numFmtId="0" fontId="12" fillId="0" borderId="20" xfId="106" applyFont="1" applyBorder="1" applyAlignment="1">
      <alignment horizontal="center" vertical="center"/>
    </xf>
    <xf numFmtId="0" fontId="12" fillId="0" borderId="16" xfId="106" applyFont="1" applyBorder="1" applyAlignment="1">
      <alignment horizontal="center" vertical="center"/>
    </xf>
    <xf numFmtId="43" fontId="12" fillId="0" borderId="13" xfId="94" applyFont="1" applyFill="1" applyBorder="1" applyAlignment="1">
      <alignment horizontal="center" vertical="center"/>
    </xf>
    <xf numFmtId="0" fontId="12" fillId="0" borderId="13" xfId="94" applyNumberFormat="1" applyFont="1" applyBorder="1" applyAlignment="1">
      <alignment vertical="top"/>
    </xf>
    <xf numFmtId="0" fontId="69" fillId="0" borderId="13" xfId="106" applyFont="1" applyBorder="1" applyAlignment="1">
      <alignment horizontal="center" vertical="center"/>
    </xf>
    <xf numFmtId="43" fontId="12" fillId="0" borderId="16" xfId="94" applyFont="1" applyFill="1" applyBorder="1" applyAlignment="1">
      <alignment horizontal="center" vertical="center"/>
    </xf>
    <xf numFmtId="0" fontId="12" fillId="0" borderId="16" xfId="94" applyNumberFormat="1" applyFont="1" applyBorder="1" applyAlignment="1">
      <alignment vertical="top"/>
    </xf>
    <xf numFmtId="0" fontId="69" fillId="0" borderId="16" xfId="106" applyFont="1" applyBorder="1" applyAlignment="1">
      <alignment horizontal="center" vertical="center"/>
    </xf>
    <xf numFmtId="178" fontId="69" fillId="0" borderId="16" xfId="94" applyNumberFormat="1" applyFont="1" applyFill="1" applyBorder="1" applyAlignment="1">
      <alignment horizontal="center" vertical="center"/>
    </xf>
    <xf numFmtId="0" fontId="12" fillId="0" borderId="13" xfId="9" applyFont="1" applyBorder="1" applyAlignment="1">
      <alignment horizontal="center" vertical="center" wrapText="1"/>
    </xf>
    <xf numFmtId="178" fontId="12" fillId="0" borderId="13" xfId="94" applyNumberFormat="1" applyFont="1" applyFill="1" applyBorder="1" applyAlignment="1">
      <alignment horizontal="center" vertical="center" wrapText="1"/>
    </xf>
    <xf numFmtId="9" fontId="69" fillId="0" borderId="0" xfId="40" applyFont="1" applyFill="1"/>
    <xf numFmtId="0" fontId="12" fillId="0" borderId="37" xfId="94" applyNumberFormat="1" applyFont="1" applyBorder="1" applyAlignment="1">
      <alignment vertical="center"/>
    </xf>
    <xf numFmtId="0" fontId="14" fillId="0" borderId="4" xfId="94" applyNumberFormat="1" applyFont="1" applyBorder="1" applyAlignment="1">
      <alignment vertical="center"/>
    </xf>
    <xf numFmtId="0" fontId="12" fillId="0" borderId="13" xfId="94" applyNumberFormat="1" applyFont="1" applyBorder="1"/>
    <xf numFmtId="0" fontId="12" fillId="0" borderId="13" xfId="114" applyFont="1" applyBorder="1" applyAlignment="1">
      <alignment horizontal="center" vertical="center"/>
    </xf>
    <xf numFmtId="0" fontId="12" fillId="0" borderId="15" xfId="94" applyNumberFormat="1" applyFont="1" applyBorder="1"/>
    <xf numFmtId="0" fontId="12" fillId="0" borderId="15" xfId="114" applyFont="1" applyBorder="1" applyAlignment="1">
      <alignment horizontal="center" vertical="center"/>
    </xf>
    <xf numFmtId="43" fontId="12" fillId="0" borderId="37" xfId="94" applyFont="1" applyFill="1" applyBorder="1" applyAlignment="1">
      <alignment horizontal="center" vertical="center"/>
    </xf>
    <xf numFmtId="178" fontId="69" fillId="0" borderId="37" xfId="94" applyNumberFormat="1" applyFont="1" applyBorder="1" applyAlignment="1">
      <alignment horizontal="center" vertical="center"/>
    </xf>
    <xf numFmtId="0" fontId="12" fillId="0" borderId="13" xfId="94" applyNumberFormat="1" applyFont="1" applyBorder="1" applyAlignment="1">
      <alignment horizontal="left" vertical="center" wrapText="1"/>
    </xf>
    <xf numFmtId="0" fontId="12" fillId="0" borderId="13" xfId="112" applyFont="1" applyBorder="1" applyAlignment="1">
      <alignment horizontal="center" vertical="center"/>
    </xf>
    <xf numFmtId="0" fontId="12" fillId="0" borderId="15" xfId="112" applyFont="1" applyBorder="1" applyAlignment="1">
      <alignment horizontal="center" vertical="center"/>
    </xf>
    <xf numFmtId="0" fontId="12" fillId="0" borderId="37" xfId="94" applyNumberFormat="1" applyFont="1" applyFill="1" applyBorder="1" applyAlignment="1">
      <alignment horizontal="left" vertical="center" wrapText="1"/>
    </xf>
    <xf numFmtId="0" fontId="12" fillId="0" borderId="37" xfId="112" applyFont="1" applyBorder="1" applyAlignment="1">
      <alignment horizontal="center" vertical="center"/>
    </xf>
    <xf numFmtId="178" fontId="69" fillId="0" borderId="4" xfId="94" applyNumberFormat="1" applyFont="1" applyBorder="1" applyAlignment="1">
      <alignment horizontal="center" vertical="center"/>
    </xf>
    <xf numFmtId="178" fontId="69" fillId="0" borderId="5" xfId="94" applyNumberFormat="1" applyFont="1" applyBorder="1"/>
    <xf numFmtId="0" fontId="69" fillId="0" borderId="13" xfId="94" applyNumberFormat="1" applyFont="1" applyBorder="1" applyAlignment="1">
      <alignment vertical="center" wrapText="1"/>
    </xf>
    <xf numFmtId="0" fontId="69" fillId="0" borderId="37" xfId="94" applyNumberFormat="1" applyFont="1" applyBorder="1" applyAlignment="1">
      <alignment vertical="center" wrapText="1"/>
    </xf>
    <xf numFmtId="0" fontId="12" fillId="0" borderId="37" xfId="9" applyFont="1" applyBorder="1" applyAlignment="1">
      <alignment horizontal="center" vertical="center" wrapText="1"/>
    </xf>
    <xf numFmtId="178" fontId="12" fillId="0" borderId="37" xfId="94" applyNumberFormat="1" applyFont="1" applyFill="1" applyBorder="1" applyAlignment="1">
      <alignment horizontal="center" vertical="center" wrapText="1"/>
    </xf>
    <xf numFmtId="43" fontId="69" fillId="0" borderId="35" xfId="94" applyFont="1" applyFill="1" applyBorder="1" applyAlignment="1">
      <alignment horizontal="center" vertical="center"/>
    </xf>
    <xf numFmtId="0" fontId="70" fillId="0" borderId="34" xfId="94" applyNumberFormat="1" applyFont="1" applyBorder="1" applyAlignment="1">
      <alignment vertical="center" wrapText="1"/>
    </xf>
    <xf numFmtId="0" fontId="69" fillId="0" borderId="13" xfId="94" applyNumberFormat="1" applyFont="1" applyBorder="1"/>
    <xf numFmtId="0" fontId="69" fillId="0" borderId="15" xfId="94" applyNumberFormat="1" applyFont="1" applyBorder="1"/>
    <xf numFmtId="0" fontId="69" fillId="0" borderId="15" xfId="94" applyNumberFormat="1" applyFont="1" applyBorder="1" applyAlignment="1"/>
    <xf numFmtId="0" fontId="69" fillId="0" borderId="37" xfId="94" applyNumberFormat="1" applyFont="1" applyBorder="1"/>
    <xf numFmtId="0" fontId="69" fillId="0" borderId="20" xfId="94" applyNumberFormat="1" applyFont="1" applyBorder="1"/>
    <xf numFmtId="0" fontId="12" fillId="0" borderId="20" xfId="9" applyFont="1" applyBorder="1" applyAlignment="1">
      <alignment horizontal="center" vertical="center" wrapText="1"/>
    </xf>
    <xf numFmtId="178" fontId="12" fillId="0" borderId="20" xfId="94" applyNumberFormat="1" applyFont="1" applyFill="1" applyBorder="1" applyAlignment="1">
      <alignment horizontal="center" vertical="center" wrapText="1"/>
    </xf>
    <xf numFmtId="43" fontId="12" fillId="0" borderId="7" xfId="94" applyFont="1" applyFill="1" applyBorder="1" applyAlignment="1">
      <alignment horizontal="center" vertical="center"/>
    </xf>
    <xf numFmtId="0" fontId="12" fillId="0" borderId="7" xfId="94" applyNumberFormat="1" applyFont="1" applyBorder="1" applyAlignment="1">
      <alignment vertical="top" wrapText="1"/>
    </xf>
    <xf numFmtId="49" fontId="12" fillId="0" borderId="7" xfId="15" applyNumberFormat="1" applyFont="1" applyBorder="1" applyAlignment="1">
      <alignment horizontal="center" vertical="center"/>
    </xf>
    <xf numFmtId="178" fontId="12" fillId="0" borderId="7" xfId="94" applyNumberFormat="1" applyFont="1" applyFill="1" applyBorder="1" applyAlignment="1">
      <alignment horizontal="center" vertical="center"/>
    </xf>
    <xf numFmtId="178" fontId="12" fillId="0" borderId="15" xfId="94" applyNumberFormat="1" applyFont="1" applyFill="1" applyBorder="1" applyAlignment="1">
      <alignment vertical="center"/>
    </xf>
    <xf numFmtId="43" fontId="12" fillId="0" borderId="15" xfId="94" applyFont="1" applyFill="1" applyBorder="1" applyAlignment="1">
      <alignment horizontal="left" vertical="center"/>
    </xf>
    <xf numFmtId="0" fontId="69" fillId="0" borderId="37" xfId="106" applyFont="1" applyBorder="1" applyAlignment="1">
      <alignment horizontal="center" vertical="center"/>
    </xf>
    <xf numFmtId="178" fontId="14" fillId="5" borderId="5" xfId="94" applyNumberFormat="1" applyFont="1" applyFill="1" applyBorder="1" applyAlignment="1">
      <alignment horizontal="center" vertical="center" wrapText="1"/>
    </xf>
    <xf numFmtId="0" fontId="12" fillId="0" borderId="13" xfId="94" applyNumberFormat="1" applyFont="1" applyFill="1" applyBorder="1" applyAlignment="1">
      <alignment horizontal="left" vertical="center"/>
    </xf>
    <xf numFmtId="0" fontId="12" fillId="0" borderId="15" xfId="94" applyNumberFormat="1" applyFont="1" applyFill="1" applyBorder="1" applyAlignment="1">
      <alignment horizontal="left" vertical="center"/>
    </xf>
    <xf numFmtId="0" fontId="12" fillId="0" borderId="15" xfId="94" applyNumberFormat="1" applyFont="1" applyBorder="1" applyAlignment="1">
      <alignment horizontal="left" vertical="center"/>
    </xf>
    <xf numFmtId="43" fontId="69" fillId="0" borderId="15" xfId="108" applyFont="1" applyFill="1" applyBorder="1" applyAlignment="1">
      <alignment horizontal="center" vertical="center"/>
    </xf>
    <xf numFmtId="178" fontId="70" fillId="0" borderId="0" xfId="94" applyNumberFormat="1" applyFont="1" applyFill="1" applyAlignment="1">
      <alignment horizontal="center" vertical="center"/>
    </xf>
    <xf numFmtId="0" fontId="12" fillId="0" borderId="37" xfId="94" applyNumberFormat="1" applyFont="1" applyBorder="1" applyAlignment="1">
      <alignment horizontal="left" vertical="center"/>
    </xf>
    <xf numFmtId="43" fontId="69" fillId="0" borderId="37" xfId="108" applyFont="1" applyFill="1" applyBorder="1" applyAlignment="1">
      <alignment horizontal="center" vertical="center"/>
    </xf>
    <xf numFmtId="178" fontId="14" fillId="0" borderId="38" xfId="94" applyNumberFormat="1" applyFont="1" applyFill="1" applyBorder="1" applyAlignment="1">
      <alignment horizontal="center" vertical="center" wrapText="1"/>
    </xf>
    <xf numFmtId="178" fontId="14" fillId="0" borderId="10" xfId="94" applyNumberFormat="1" applyFont="1" applyFill="1" applyBorder="1" applyAlignment="1">
      <alignment horizontal="center" vertical="center" wrapText="1"/>
    </xf>
    <xf numFmtId="9" fontId="69" fillId="0" borderId="20" xfId="40" applyFont="1" applyBorder="1" applyAlignment="1">
      <alignment horizontal="center" vertical="center"/>
    </xf>
    <xf numFmtId="9" fontId="70" fillId="0" borderId="3" xfId="40" applyFont="1" applyBorder="1"/>
    <xf numFmtId="9" fontId="70" fillId="0" borderId="4" xfId="40" applyFont="1" applyBorder="1"/>
    <xf numFmtId="178" fontId="70" fillId="0" borderId="4" xfId="106" applyNumberFormat="1" applyFont="1" applyBorder="1"/>
    <xf numFmtId="178" fontId="70" fillId="0" borderId="5" xfId="106" applyNumberFormat="1" applyFont="1" applyBorder="1"/>
    <xf numFmtId="178" fontId="69" fillId="0" borderId="0" xfId="107" applyNumberFormat="1" applyFont="1"/>
    <xf numFmtId="178" fontId="69" fillId="0" borderId="0" xfId="110" applyNumberFormat="1" applyFont="1" applyFill="1" applyBorder="1" applyAlignment="1">
      <alignment horizontal="center" vertical="center"/>
    </xf>
    <xf numFmtId="9" fontId="69" fillId="0" borderId="0" xfId="40" applyFont="1" applyFill="1" applyBorder="1" applyAlignment="1">
      <alignment vertical="center"/>
    </xf>
    <xf numFmtId="178" fontId="70" fillId="0" borderId="4" xfId="94" applyNumberFormat="1" applyFont="1" applyBorder="1" applyAlignment="1">
      <alignment horizontal="right" vertical="center"/>
    </xf>
    <xf numFmtId="178" fontId="70" fillId="0" borderId="4" xfId="94" applyNumberFormat="1" applyFont="1" applyBorder="1" applyAlignment="1">
      <alignment horizontal="left" vertical="center"/>
    </xf>
    <xf numFmtId="178" fontId="70" fillId="0" borderId="4" xfId="94" applyNumberFormat="1" applyFont="1" applyBorder="1" applyAlignment="1">
      <alignment horizontal="center" vertical="center"/>
    </xf>
    <xf numFmtId="178" fontId="70" fillId="0" borderId="5" xfId="94" applyNumberFormat="1" applyFont="1" applyBorder="1" applyAlignment="1">
      <alignment horizontal="center" vertical="center"/>
    </xf>
    <xf numFmtId="178" fontId="69" fillId="19" borderId="44" xfId="94" applyNumberFormat="1" applyFont="1" applyFill="1" applyBorder="1" applyAlignment="1">
      <alignment horizontal="center" vertical="center"/>
    </xf>
    <xf numFmtId="178" fontId="69" fillId="0" borderId="45" xfId="94" applyNumberFormat="1" applyFont="1" applyBorder="1" applyAlignment="1">
      <alignment horizontal="center" vertical="center"/>
    </xf>
    <xf numFmtId="9" fontId="69" fillId="5" borderId="45" xfId="40" applyFont="1" applyFill="1" applyBorder="1"/>
    <xf numFmtId="178" fontId="69" fillId="0" borderId="21" xfId="94" applyNumberFormat="1" applyFont="1" applyBorder="1"/>
    <xf numFmtId="178" fontId="69" fillId="19" borderId="45" xfId="94" applyNumberFormat="1" applyFont="1" applyFill="1" applyBorder="1" applyAlignment="1">
      <alignment horizontal="center" vertical="center"/>
    </xf>
    <xf numFmtId="9" fontId="69" fillId="19" borderId="45" xfId="40" applyFont="1" applyFill="1" applyBorder="1"/>
    <xf numFmtId="178" fontId="69" fillId="19" borderId="21" xfId="94" applyNumberFormat="1" applyFont="1" applyFill="1" applyBorder="1"/>
    <xf numFmtId="9" fontId="69" fillId="0" borderId="45" xfId="40" applyFont="1" applyBorder="1"/>
    <xf numFmtId="43" fontId="69" fillId="0" borderId="21" xfId="94" applyFont="1" applyBorder="1"/>
    <xf numFmtId="178" fontId="70" fillId="19" borderId="45" xfId="94" applyNumberFormat="1" applyFont="1" applyFill="1" applyBorder="1" applyAlignment="1">
      <alignment horizontal="right" vertical="center"/>
    </xf>
    <xf numFmtId="9" fontId="70" fillId="19" borderId="45" xfId="40" applyFont="1" applyFill="1" applyBorder="1"/>
    <xf numFmtId="43" fontId="70" fillId="19" borderId="21" xfId="94" applyFont="1" applyFill="1" applyBorder="1"/>
    <xf numFmtId="178" fontId="69" fillId="0" borderId="57" xfId="94" applyNumberFormat="1" applyFont="1" applyBorder="1"/>
    <xf numFmtId="9" fontId="69" fillId="0" borderId="57" xfId="40" applyFont="1" applyBorder="1"/>
    <xf numFmtId="43" fontId="69" fillId="0" borderId="76" xfId="94" applyFont="1" applyBorder="1"/>
    <xf numFmtId="178" fontId="70" fillId="19" borderId="4" xfId="118" applyNumberFormat="1" applyFont="1" applyFill="1" applyBorder="1" applyAlignment="1">
      <alignment horizontal="center" vertical="center"/>
    </xf>
    <xf numFmtId="43" fontId="70" fillId="19" borderId="5" xfId="94" applyFont="1" applyFill="1" applyBorder="1"/>
    <xf numFmtId="178" fontId="69" fillId="0" borderId="0" xfId="39" applyNumberFormat="1" applyFont="1"/>
    <xf numFmtId="43" fontId="72" fillId="0" borderId="13" xfId="94" applyFont="1" applyFill="1" applyBorder="1" applyAlignment="1">
      <alignment horizontal="center" vertical="center"/>
    </xf>
    <xf numFmtId="43" fontId="72" fillId="0" borderId="15" xfId="94" applyFont="1" applyFill="1" applyBorder="1" applyAlignment="1">
      <alignment horizontal="center" vertical="center"/>
    </xf>
    <xf numFmtId="0" fontId="73" fillId="0" borderId="16" xfId="119" applyFont="1" applyBorder="1" applyAlignment="1">
      <alignment horizontal="center" vertical="center"/>
    </xf>
    <xf numFmtId="0" fontId="52" fillId="4" borderId="1" xfId="2" applyFont="1" applyFill="1" applyBorder="1" applyAlignment="1">
      <alignment horizontal="center" vertical="center" wrapText="1"/>
    </xf>
    <xf numFmtId="9" fontId="12" fillId="2" borderId="1" xfId="92" applyFont="1" applyFill="1" applyBorder="1" applyAlignment="1" applyProtection="1">
      <alignment vertical="center"/>
    </xf>
    <xf numFmtId="9" fontId="12" fillId="2" borderId="1" xfId="92" applyFont="1" applyFill="1" applyBorder="1" applyProtection="1">
      <protection locked="0"/>
    </xf>
    <xf numFmtId="172" fontId="8" fillId="0" borderId="65" xfId="1" applyNumberFormat="1" applyFont="1" applyFill="1" applyBorder="1" applyAlignment="1" applyProtection="1">
      <alignment horizontal="center" vertical="center"/>
    </xf>
    <xf numFmtId="172" fontId="8" fillId="0" borderId="78" xfId="1" applyNumberFormat="1" applyFont="1" applyFill="1" applyBorder="1" applyAlignment="1" applyProtection="1">
      <alignment horizontal="center" vertical="center"/>
    </xf>
    <xf numFmtId="0" fontId="30" fillId="0" borderId="0" xfId="20" applyFont="1" applyAlignment="1">
      <alignment horizontal="center" vertical="center"/>
    </xf>
    <xf numFmtId="172" fontId="8" fillId="4" borderId="77" xfId="1" applyNumberFormat="1" applyFont="1" applyFill="1" applyBorder="1" applyAlignment="1" applyProtection="1">
      <alignment horizontal="center" vertical="center"/>
    </xf>
    <xf numFmtId="168" fontId="30" fillId="17" borderId="0" xfId="1" applyFont="1" applyFill="1" applyAlignment="1">
      <alignment vertical="center"/>
    </xf>
    <xf numFmtId="9" fontId="30" fillId="17" borderId="0" xfId="20" applyNumberFormat="1" applyFont="1" applyFill="1" applyAlignment="1">
      <alignment vertical="center"/>
    </xf>
    <xf numFmtId="168" fontId="0" fillId="0" borderId="0" xfId="1" applyFont="1" applyFill="1" applyAlignment="1">
      <alignment horizontal="center"/>
    </xf>
    <xf numFmtId="0" fontId="2" fillId="23" borderId="23" xfId="0" applyFont="1" applyFill="1" applyBorder="1" applyAlignment="1">
      <alignment horizontal="left"/>
    </xf>
    <xf numFmtId="0" fontId="2" fillId="23" borderId="24" xfId="0" applyFont="1" applyFill="1" applyBorder="1" applyAlignment="1">
      <alignment horizontal="center"/>
    </xf>
    <xf numFmtId="0" fontId="2" fillId="23" borderId="25" xfId="0" applyFont="1" applyFill="1" applyBorder="1" applyAlignment="1">
      <alignment horizontal="center" vertical="center"/>
    </xf>
    <xf numFmtId="173" fontId="25" fillId="23" borderId="29" xfId="0" applyNumberFormat="1" applyFont="1" applyFill="1" applyBorder="1" applyAlignment="1">
      <alignment horizontal="right"/>
    </xf>
    <xf numFmtId="173" fontId="50" fillId="23" borderId="30" xfId="0" applyNumberFormat="1" applyFont="1" applyFill="1" applyBorder="1"/>
    <xf numFmtId="172" fontId="27" fillId="15" borderId="0" xfId="1" applyNumberFormat="1" applyFont="1" applyFill="1" applyAlignment="1" applyProtection="1">
      <alignment vertical="center"/>
    </xf>
    <xf numFmtId="49" fontId="24" fillId="14" borderId="47" xfId="0" applyNumberFormat="1" applyFont="1" applyFill="1" applyBorder="1" applyAlignment="1">
      <alignment vertical="center"/>
    </xf>
    <xf numFmtId="172" fontId="0" fillId="2" borderId="0" xfId="0" applyNumberFormat="1" applyFill="1"/>
    <xf numFmtId="172" fontId="0" fillId="0" borderId="0" xfId="0" applyNumberFormat="1" applyProtection="1">
      <protection locked="0"/>
    </xf>
    <xf numFmtId="43" fontId="72" fillId="0" borderId="20" xfId="94" applyFont="1" applyFill="1" applyBorder="1" applyAlignment="1">
      <alignment horizontal="center" vertical="center"/>
    </xf>
    <xf numFmtId="43" fontId="72" fillId="0" borderId="16" xfId="94" applyFont="1" applyFill="1" applyBorder="1" applyAlignment="1">
      <alignment horizontal="center" vertical="center"/>
    </xf>
    <xf numFmtId="0" fontId="12" fillId="0" borderId="5" xfId="106" applyFont="1" applyBorder="1"/>
    <xf numFmtId="43" fontId="72" fillId="0" borderId="6" xfId="94" applyFont="1" applyFill="1" applyBorder="1" applyAlignment="1">
      <alignment horizontal="center" vertical="center"/>
    </xf>
    <xf numFmtId="0" fontId="69" fillId="0" borderId="7" xfId="106" applyFont="1" applyBorder="1"/>
    <xf numFmtId="0" fontId="2" fillId="14" borderId="23" xfId="20" applyFont="1" applyFill="1" applyBorder="1" applyAlignment="1">
      <alignment vertical="center"/>
    </xf>
    <xf numFmtId="0" fontId="2" fillId="14" borderId="79" xfId="20" applyFont="1" applyFill="1" applyBorder="1" applyAlignment="1">
      <alignment horizontal="center" vertical="center"/>
    </xf>
    <xf numFmtId="0" fontId="2" fillId="14" borderId="13" xfId="20" applyFont="1" applyFill="1" applyBorder="1" applyAlignment="1">
      <alignment horizontal="center" vertical="center"/>
    </xf>
    <xf numFmtId="0" fontId="2" fillId="14" borderId="80" xfId="20" applyFont="1" applyFill="1" applyBorder="1" applyAlignment="1">
      <alignment horizontal="center" vertical="center"/>
    </xf>
    <xf numFmtId="166" fontId="25" fillId="0" borderId="0" xfId="90" applyNumberFormat="1" applyFont="1"/>
    <xf numFmtId="172" fontId="5" fillId="2" borderId="0" xfId="2" applyNumberFormat="1" applyFont="1" applyFill="1"/>
    <xf numFmtId="168" fontId="1" fillId="0" borderId="0" xfId="1" applyAlignment="1">
      <alignment vertical="center"/>
    </xf>
    <xf numFmtId="0" fontId="39" fillId="0" borderId="0" xfId="20" applyFont="1" applyAlignment="1">
      <alignment vertical="center"/>
    </xf>
    <xf numFmtId="0" fontId="1" fillId="0" borderId="0" xfId="20" applyAlignment="1">
      <alignment vertical="center"/>
    </xf>
    <xf numFmtId="0" fontId="1" fillId="14" borderId="24" xfId="20" applyFill="1" applyBorder="1" applyAlignment="1">
      <alignment vertical="center"/>
    </xf>
    <xf numFmtId="0" fontId="1" fillId="14" borderId="25" xfId="20" applyFill="1" applyBorder="1" applyAlignment="1">
      <alignment vertical="center"/>
    </xf>
    <xf numFmtId="0" fontId="16" fillId="0" borderId="0" xfId="20" applyFont="1" applyAlignment="1">
      <alignment vertical="center"/>
    </xf>
    <xf numFmtId="0" fontId="2" fillId="7" borderId="0" xfId="20" applyFont="1" applyFill="1" applyAlignment="1">
      <alignment horizontal="center" vertical="center"/>
    </xf>
    <xf numFmtId="17" fontId="1" fillId="14" borderId="81" xfId="20" applyNumberFormat="1" applyFill="1" applyBorder="1" applyAlignment="1">
      <alignment vertical="center"/>
    </xf>
    <xf numFmtId="0" fontId="1" fillId="14" borderId="15" xfId="20" applyFill="1" applyBorder="1" applyAlignment="1">
      <alignment vertical="center"/>
    </xf>
    <xf numFmtId="172" fontId="1" fillId="14" borderId="15" xfId="1" applyNumberFormat="1" applyFill="1" applyBorder="1" applyAlignment="1">
      <alignment vertical="center"/>
    </xf>
    <xf numFmtId="172" fontId="1" fillId="14" borderId="82" xfId="20" applyNumberFormat="1" applyFill="1" applyBorder="1" applyAlignment="1">
      <alignment vertical="center"/>
    </xf>
    <xf numFmtId="172" fontId="1" fillId="14" borderId="82" xfId="1" applyNumberFormat="1" applyFill="1" applyBorder="1" applyAlignment="1">
      <alignment vertical="center"/>
    </xf>
    <xf numFmtId="0" fontId="58" fillId="0" borderId="0" xfId="20" applyFont="1" applyAlignment="1">
      <alignment horizontal="center" vertical="center"/>
    </xf>
    <xf numFmtId="0" fontId="0" fillId="0" borderId="44" xfId="20" applyFont="1" applyBorder="1" applyAlignment="1">
      <alignment horizontal="center" vertical="center"/>
    </xf>
    <xf numFmtId="0" fontId="25" fillId="0" borderId="44" xfId="20" applyFont="1" applyBorder="1" applyAlignment="1">
      <alignment vertical="center"/>
    </xf>
    <xf numFmtId="172" fontId="2" fillId="0" borderId="44" xfId="21" applyNumberFormat="1" applyFont="1" applyFill="1" applyBorder="1" applyAlignment="1">
      <alignment vertical="center"/>
    </xf>
    <xf numFmtId="172" fontId="2" fillId="0" borderId="44" xfId="20" applyNumberFormat="1" applyFont="1" applyBorder="1" applyAlignment="1">
      <alignment vertical="center"/>
    </xf>
    <xf numFmtId="0" fontId="52" fillId="0" borderId="0" xfId="20" applyFont="1" applyAlignment="1">
      <alignment horizontal="center" vertical="center"/>
    </xf>
    <xf numFmtId="168" fontId="30" fillId="0" borderId="0" xfId="20" applyNumberFormat="1" applyFont="1" applyAlignment="1">
      <alignment vertical="center"/>
    </xf>
    <xf numFmtId="14" fontId="1" fillId="14" borderId="81" xfId="20" applyNumberFormat="1" applyFill="1" applyBorder="1" applyAlignment="1">
      <alignment vertical="center"/>
    </xf>
    <xf numFmtId="9" fontId="1" fillId="0" borderId="0" xfId="20" applyNumberFormat="1" applyAlignment="1">
      <alignment vertical="center"/>
    </xf>
    <xf numFmtId="0" fontId="0" fillId="0" borderId="45" xfId="20" applyFont="1" applyBorder="1" applyAlignment="1">
      <alignment horizontal="center" vertical="center"/>
    </xf>
    <xf numFmtId="0" fontId="25" fillId="0" borderId="45" xfId="20" applyFont="1" applyBorder="1" applyAlignment="1">
      <alignment vertical="center"/>
    </xf>
    <xf numFmtId="172" fontId="2" fillId="0" borderId="45" xfId="21" applyNumberFormat="1" applyFont="1" applyFill="1" applyBorder="1" applyAlignment="1">
      <alignment vertical="center"/>
    </xf>
    <xf numFmtId="172" fontId="6" fillId="0" borderId="45" xfId="20" applyNumberFormat="1" applyFont="1" applyBorder="1" applyAlignment="1">
      <alignment vertical="center"/>
    </xf>
    <xf numFmtId="172" fontId="6" fillId="0" borderId="45" xfId="21" applyNumberFormat="1" applyFont="1" applyFill="1" applyBorder="1" applyAlignment="1">
      <alignment vertical="center"/>
    </xf>
    <xf numFmtId="14" fontId="1" fillId="0" borderId="0" xfId="20" applyNumberFormat="1" applyAlignment="1">
      <alignment vertical="center"/>
    </xf>
    <xf numFmtId="0" fontId="0" fillId="0" borderId="57" xfId="20" applyFont="1" applyBorder="1" applyAlignment="1">
      <alignment horizontal="center" vertical="center"/>
    </xf>
    <xf numFmtId="0" fontId="2" fillId="0" borderId="57" xfId="20" applyFont="1" applyBorder="1" applyAlignment="1">
      <alignment vertical="center"/>
    </xf>
    <xf numFmtId="172" fontId="2" fillId="0" borderId="57" xfId="21" applyNumberFormat="1" applyFont="1" applyBorder="1" applyAlignment="1">
      <alignment vertical="center"/>
    </xf>
    <xf numFmtId="172" fontId="6" fillId="0" borderId="57" xfId="20" applyNumberFormat="1" applyFont="1" applyBorder="1" applyAlignment="1">
      <alignment vertical="center"/>
    </xf>
    <xf numFmtId="172" fontId="2" fillId="0" borderId="57" xfId="20" applyNumberFormat="1" applyFont="1" applyBorder="1" applyAlignment="1">
      <alignment vertical="center"/>
    </xf>
    <xf numFmtId="0" fontId="57" fillId="0" borderId="0" xfId="20" applyFont="1" applyAlignment="1">
      <alignment vertical="center"/>
    </xf>
    <xf numFmtId="0" fontId="0" fillId="7" borderId="39" xfId="20" applyFont="1" applyFill="1" applyBorder="1" applyAlignment="1">
      <alignment horizontal="center" vertical="center"/>
    </xf>
    <xf numFmtId="0" fontId="2" fillId="7" borderId="39" xfId="20" applyFont="1" applyFill="1" applyBorder="1" applyAlignment="1">
      <alignment vertical="center"/>
    </xf>
    <xf numFmtId="172" fontId="2" fillId="7" borderId="39" xfId="21" applyNumberFormat="1" applyFont="1" applyFill="1" applyBorder="1" applyAlignment="1">
      <alignment vertical="center"/>
    </xf>
    <xf numFmtId="0" fontId="2" fillId="0" borderId="0" xfId="20" applyFont="1" applyAlignment="1">
      <alignment horizontal="center" vertical="center"/>
    </xf>
    <xf numFmtId="0" fontId="2" fillId="0" borderId="0" xfId="20" applyFont="1" applyAlignment="1">
      <alignment vertical="center"/>
    </xf>
    <xf numFmtId="168" fontId="2" fillId="0" borderId="0" xfId="21" applyFont="1" applyBorder="1" applyAlignment="1">
      <alignment vertical="center"/>
    </xf>
    <xf numFmtId="168" fontId="2" fillId="0" borderId="0" xfId="20" applyNumberFormat="1" applyFont="1" applyAlignment="1">
      <alignment vertical="center"/>
    </xf>
    <xf numFmtId="0" fontId="1" fillId="14" borderId="81" xfId="20" applyFill="1" applyBorder="1" applyAlignment="1">
      <alignment vertical="center"/>
    </xf>
    <xf numFmtId="0" fontId="0" fillId="0" borderId="0" xfId="20" applyFont="1" applyAlignment="1">
      <alignment horizontal="left" vertical="center"/>
    </xf>
    <xf numFmtId="168" fontId="1" fillId="0" borderId="0" xfId="20" applyNumberFormat="1" applyAlignment="1">
      <alignment horizontal="center" vertical="center"/>
    </xf>
    <xf numFmtId="174" fontId="1" fillId="5" borderId="0" xfId="20" applyNumberFormat="1" applyFill="1" applyAlignment="1">
      <alignment horizontal="center" vertical="center"/>
    </xf>
    <xf numFmtId="170" fontId="1" fillId="5" borderId="0" xfId="11" applyFont="1" applyFill="1" applyAlignment="1">
      <alignment horizontal="center" vertical="center"/>
    </xf>
    <xf numFmtId="0" fontId="1" fillId="14" borderId="83" xfId="20" applyFill="1" applyBorder="1" applyAlignment="1">
      <alignment vertical="center"/>
    </xf>
    <xf numFmtId="0" fontId="1" fillId="14" borderId="84" xfId="20" applyFill="1" applyBorder="1" applyAlignment="1">
      <alignment vertical="center"/>
    </xf>
    <xf numFmtId="172" fontId="1" fillId="14" borderId="84" xfId="1" applyNumberFormat="1" applyFill="1" applyBorder="1" applyAlignment="1">
      <alignment vertical="center"/>
    </xf>
    <xf numFmtId="172" fontId="1" fillId="14" borderId="85" xfId="1" applyNumberFormat="1" applyFill="1" applyBorder="1" applyAlignment="1">
      <alignment vertical="center"/>
    </xf>
    <xf numFmtId="168" fontId="1" fillId="5" borderId="0" xfId="1" applyFill="1" applyAlignment="1">
      <alignment horizontal="center" vertical="center"/>
    </xf>
    <xf numFmtId="172" fontId="1" fillId="0" borderId="0" xfId="20" applyNumberFormat="1" applyAlignment="1">
      <alignment vertical="center"/>
    </xf>
    <xf numFmtId="174" fontId="0" fillId="5" borderId="0" xfId="20" applyNumberFormat="1" applyFont="1" applyFill="1" applyAlignment="1">
      <alignment horizontal="center" vertical="center"/>
    </xf>
    <xf numFmtId="170" fontId="4" fillId="0" borderId="0" xfId="14" applyFont="1" applyBorder="1" applyAlignment="1">
      <alignment vertical="center"/>
    </xf>
    <xf numFmtId="0" fontId="74" fillId="0" borderId="0" xfId="20" applyFont="1" applyAlignment="1">
      <alignment vertical="center"/>
    </xf>
    <xf numFmtId="168" fontId="74" fillId="0" borderId="0" xfId="20" applyNumberFormat="1" applyFont="1" applyAlignment="1">
      <alignment vertical="center"/>
    </xf>
    <xf numFmtId="17" fontId="1" fillId="0" borderId="0" xfId="20" applyNumberFormat="1" applyAlignment="1">
      <alignment vertical="center"/>
    </xf>
    <xf numFmtId="0" fontId="1" fillId="7" borderId="0" xfId="20" applyFill="1" applyAlignment="1">
      <alignment vertical="center"/>
    </xf>
    <xf numFmtId="0" fontId="2" fillId="7" borderId="0" xfId="20" applyFont="1" applyFill="1" applyAlignment="1">
      <alignment vertical="center"/>
    </xf>
    <xf numFmtId="168" fontId="2" fillId="7" borderId="0" xfId="20" applyNumberFormat="1" applyFont="1" applyFill="1" applyAlignment="1">
      <alignment vertical="center"/>
    </xf>
    <xf numFmtId="170" fontId="2" fillId="7" borderId="0" xfId="20" applyNumberFormat="1" applyFont="1" applyFill="1" applyAlignment="1">
      <alignment vertical="center"/>
    </xf>
    <xf numFmtId="0" fontId="2" fillId="6" borderId="0" xfId="20" applyFont="1" applyFill="1" applyAlignment="1">
      <alignment horizontal="center" vertical="center"/>
    </xf>
    <xf numFmtId="168" fontId="2" fillId="6" borderId="0" xfId="1" applyFont="1" applyFill="1" applyAlignment="1">
      <alignment horizontal="center" vertical="center"/>
    </xf>
    <xf numFmtId="0" fontId="2" fillId="0" borderId="7" xfId="20" applyFont="1" applyBorder="1" applyAlignment="1">
      <alignment vertical="center"/>
    </xf>
    <xf numFmtId="172" fontId="2" fillId="0" borderId="7" xfId="20" applyNumberFormat="1" applyFont="1" applyBorder="1" applyAlignment="1">
      <alignment vertical="center"/>
    </xf>
    <xf numFmtId="0" fontId="2" fillId="16" borderId="0" xfId="20" applyFont="1" applyFill="1" applyAlignment="1">
      <alignment vertical="center"/>
    </xf>
    <xf numFmtId="172" fontId="2" fillId="16" borderId="0" xfId="20" applyNumberFormat="1" applyFont="1" applyFill="1" applyAlignment="1">
      <alignment vertical="center"/>
    </xf>
    <xf numFmtId="0" fontId="2" fillId="7" borderId="9" xfId="20" applyFont="1" applyFill="1" applyBorder="1" applyAlignment="1">
      <alignment horizontal="center" vertical="center"/>
    </xf>
    <xf numFmtId="0" fontId="2" fillId="7" borderId="7" xfId="20" applyFont="1" applyFill="1" applyBorder="1" applyAlignment="1">
      <alignment horizontal="center" vertical="center"/>
    </xf>
    <xf numFmtId="0" fontId="0" fillId="0" borderId="13" xfId="20" applyFont="1" applyBorder="1" applyAlignment="1">
      <alignment horizontal="center" vertical="center"/>
    </xf>
    <xf numFmtId="172" fontId="1" fillId="0" borderId="16" xfId="21" applyNumberFormat="1" applyFont="1" applyBorder="1" applyAlignment="1">
      <alignment vertical="center"/>
    </xf>
    <xf numFmtId="172" fontId="1" fillId="0" borderId="16" xfId="21" applyNumberFormat="1" applyFont="1" applyFill="1" applyBorder="1" applyAlignment="1">
      <alignment vertical="center"/>
    </xf>
    <xf numFmtId="0" fontId="0" fillId="0" borderId="15" xfId="20" applyFont="1" applyBorder="1" applyAlignment="1">
      <alignment horizontal="center" vertical="center"/>
    </xf>
    <xf numFmtId="0" fontId="0" fillId="0" borderId="19" xfId="20" applyFont="1" applyBorder="1" applyAlignment="1">
      <alignment horizontal="center" vertical="center"/>
    </xf>
    <xf numFmtId="0" fontId="25" fillId="0" borderId="15" xfId="20" applyFont="1" applyBorder="1" applyAlignment="1">
      <alignment vertical="center"/>
    </xf>
    <xf numFmtId="172" fontId="1" fillId="0" borderId="37" xfId="21" applyNumberFormat="1" applyFont="1" applyBorder="1" applyAlignment="1">
      <alignment vertical="center"/>
    </xf>
    <xf numFmtId="0" fontId="30" fillId="0" borderId="0" xfId="20" applyFont="1" applyAlignment="1">
      <alignment horizontal="right" vertical="center"/>
    </xf>
    <xf numFmtId="17" fontId="30" fillId="0" borderId="0" xfId="20" applyNumberFormat="1" applyFont="1" applyAlignment="1">
      <alignment vertical="center"/>
    </xf>
    <xf numFmtId="168" fontId="30" fillId="0" borderId="0" xfId="1" applyFont="1" applyAlignment="1">
      <alignment vertical="center"/>
    </xf>
    <xf numFmtId="0" fontId="30" fillId="0" borderId="0" xfId="20" applyFont="1" applyAlignment="1">
      <alignment vertical="center"/>
    </xf>
    <xf numFmtId="9" fontId="1" fillId="0" borderId="0" xfId="92" applyAlignment="1">
      <alignment vertical="center"/>
    </xf>
    <xf numFmtId="0" fontId="1" fillId="23" borderId="0" xfId="20" applyFill="1" applyAlignment="1">
      <alignment vertical="center"/>
    </xf>
    <xf numFmtId="168" fontId="2" fillId="23" borderId="0" xfId="1" applyFont="1" applyFill="1" applyAlignment="1">
      <alignment vertical="center"/>
    </xf>
    <xf numFmtId="0" fontId="52" fillId="23" borderId="0" xfId="20" applyFont="1" applyFill="1" applyAlignment="1">
      <alignment horizontal="center" vertical="center"/>
    </xf>
    <xf numFmtId="168" fontId="1" fillId="23" borderId="0" xfId="1" applyFill="1" applyAlignment="1">
      <alignment vertical="center"/>
    </xf>
    <xf numFmtId="170" fontId="4" fillId="23" borderId="0" xfId="14" applyFont="1" applyFill="1" applyBorder="1" applyAlignment="1">
      <alignment vertical="center"/>
    </xf>
    <xf numFmtId="0" fontId="2" fillId="23" borderId="0" xfId="20" applyFont="1" applyFill="1" applyAlignment="1">
      <alignment horizontal="center" vertical="center"/>
    </xf>
    <xf numFmtId="0" fontId="44" fillId="0" borderId="0" xfId="20" applyFont="1" applyAlignment="1">
      <alignment horizontal="center" vertical="center"/>
    </xf>
    <xf numFmtId="9" fontId="7" fillId="0" borderId="0" xfId="78" applyFont="1" applyFill="1"/>
    <xf numFmtId="178" fontId="50" fillId="0" borderId="20" xfId="94" applyNumberFormat="1" applyFont="1" applyFill="1" applyBorder="1" applyAlignment="1">
      <alignment horizontal="center" vertical="center" wrapText="1"/>
    </xf>
    <xf numFmtId="178" fontId="62" fillId="0" borderId="20" xfId="94" applyNumberFormat="1" applyFont="1" applyFill="1" applyBorder="1" applyAlignment="1">
      <alignment horizontal="center" vertical="center" wrapText="1"/>
    </xf>
    <xf numFmtId="43" fontId="11" fillId="0" borderId="0" xfId="94" applyFont="1"/>
    <xf numFmtId="178" fontId="11" fillId="0" borderId="0" xfId="39" applyNumberFormat="1" applyFont="1"/>
    <xf numFmtId="178" fontId="27" fillId="5" borderId="15" xfId="94" applyNumberFormat="1" applyFont="1" applyFill="1" applyBorder="1" applyAlignment="1">
      <alignment horizontal="center" vertical="center" wrapText="1"/>
    </xf>
    <xf numFmtId="0" fontId="11" fillId="0" borderId="20" xfId="39" applyFont="1" applyBorder="1" applyAlignment="1">
      <alignment horizontal="center" vertical="center"/>
    </xf>
    <xf numFmtId="0" fontId="11" fillId="0" borderId="13" xfId="120" applyFont="1" applyBorder="1" applyAlignment="1">
      <alignment horizontal="center" vertical="center"/>
    </xf>
    <xf numFmtId="0" fontId="11" fillId="0" borderId="15" xfId="120" applyFont="1" applyBorder="1" applyAlignment="1">
      <alignment horizontal="center" vertical="center"/>
    </xf>
    <xf numFmtId="178" fontId="7" fillId="0" borderId="15" xfId="94" applyNumberFormat="1" applyFont="1" applyFill="1" applyBorder="1"/>
    <xf numFmtId="17" fontId="7" fillId="0" borderId="0" xfId="39" applyNumberFormat="1" applyFont="1"/>
    <xf numFmtId="0" fontId="7" fillId="0" borderId="0" xfId="39" applyFont="1" applyAlignment="1">
      <alignment horizontal="center"/>
    </xf>
    <xf numFmtId="178" fontId="11" fillId="11" borderId="20" xfId="94" applyNumberFormat="1" applyFont="1" applyFill="1" applyBorder="1" applyAlignment="1">
      <alignment horizontal="center" vertical="center" wrapText="1"/>
    </xf>
    <xf numFmtId="178" fontId="27" fillId="0" borderId="6" xfId="94" applyNumberFormat="1" applyFont="1" applyFill="1" applyBorder="1" applyAlignment="1">
      <alignment horizontal="center" vertical="center" wrapText="1"/>
    </xf>
    <xf numFmtId="43" fontId="7" fillId="0" borderId="0" xfId="94" applyFont="1" applyFill="1"/>
    <xf numFmtId="178" fontId="50" fillId="5" borderId="37" xfId="94" applyNumberFormat="1" applyFont="1" applyFill="1" applyBorder="1" applyAlignment="1">
      <alignment vertical="center" wrapText="1"/>
    </xf>
    <xf numFmtId="10" fontId="25" fillId="0" borderId="0" xfId="40" applyNumberFormat="1" applyFont="1" applyAlignment="1">
      <alignment horizontal="center" vertical="center"/>
    </xf>
    <xf numFmtId="9" fontId="25" fillId="0" borderId="4" xfId="40" applyFont="1" applyBorder="1"/>
    <xf numFmtId="178" fontId="25" fillId="0" borderId="39" xfId="94" applyNumberFormat="1" applyFont="1" applyFill="1" applyBorder="1"/>
    <xf numFmtId="14" fontId="7" fillId="0" borderId="0" xfId="94" applyNumberFormat="1" applyFont="1"/>
    <xf numFmtId="178" fontId="12" fillId="0" borderId="16" xfId="94" applyNumberFormat="1" applyFont="1" applyFill="1" applyBorder="1" applyAlignment="1">
      <alignment horizontal="center" vertical="center"/>
    </xf>
    <xf numFmtId="178" fontId="12" fillId="0" borderId="16" xfId="94" applyNumberFormat="1" applyFont="1" applyFill="1" applyBorder="1" applyAlignment="1">
      <alignment horizontal="right" vertical="center"/>
    </xf>
    <xf numFmtId="178" fontId="12" fillId="0" borderId="6" xfId="94" applyNumberFormat="1" applyFont="1" applyFill="1" applyBorder="1" applyAlignment="1">
      <alignment horizontal="right" vertical="center"/>
    </xf>
    <xf numFmtId="178" fontId="12" fillId="0" borderId="36" xfId="94" applyNumberFormat="1" applyFont="1" applyFill="1" applyBorder="1" applyAlignment="1">
      <alignment horizontal="center" vertical="center"/>
    </xf>
    <xf numFmtId="178" fontId="12" fillId="0" borderId="6" xfId="94" applyNumberFormat="1" applyFont="1" applyFill="1" applyBorder="1" applyAlignment="1">
      <alignment horizontal="center" vertical="center"/>
    </xf>
    <xf numFmtId="178" fontId="12" fillId="0" borderId="16" xfId="94" applyNumberFormat="1" applyFont="1" applyFill="1" applyBorder="1" applyAlignment="1">
      <alignment horizontal="center" vertical="center" wrapText="1"/>
    </xf>
    <xf numFmtId="178" fontId="12" fillId="0" borderId="42" xfId="94" applyNumberFormat="1" applyFont="1" applyFill="1" applyBorder="1" applyAlignment="1">
      <alignment horizontal="center" vertical="center"/>
    </xf>
    <xf numFmtId="178" fontId="12" fillId="0" borderId="36" xfId="94" applyNumberFormat="1" applyFont="1" applyFill="1" applyBorder="1" applyAlignment="1">
      <alignment vertical="center"/>
    </xf>
    <xf numFmtId="168" fontId="2" fillId="0" borderId="0" xfId="1" applyFont="1" applyAlignment="1">
      <alignment vertical="center"/>
    </xf>
    <xf numFmtId="178" fontId="2" fillId="0" borderId="0" xfId="1" applyNumberFormat="1" applyFont="1" applyAlignment="1">
      <alignment vertical="center"/>
    </xf>
    <xf numFmtId="0" fontId="2" fillId="0" borderId="0" xfId="20" applyFont="1" applyAlignment="1">
      <alignment horizontal="left" vertical="center"/>
    </xf>
    <xf numFmtId="174" fontId="2" fillId="0" borderId="0" xfId="20" applyNumberFormat="1" applyFont="1" applyAlignment="1">
      <alignment horizontal="center" vertical="center"/>
    </xf>
    <xf numFmtId="0" fontId="2" fillId="0" borderId="39" xfId="20" applyFont="1" applyBorder="1" applyAlignment="1">
      <alignment vertical="center"/>
    </xf>
    <xf numFmtId="172" fontId="2" fillId="0" borderId="39" xfId="21" applyNumberFormat="1" applyFont="1" applyFill="1" applyBorder="1" applyAlignment="1">
      <alignment vertical="center"/>
    </xf>
    <xf numFmtId="43" fontId="2" fillId="7" borderId="0" xfId="20" applyNumberFormat="1" applyFont="1" applyFill="1" applyAlignment="1">
      <alignment vertical="center"/>
    </xf>
    <xf numFmtId="0" fontId="12" fillId="0" borderId="4" xfId="106" applyFont="1" applyBorder="1"/>
    <xf numFmtId="43" fontId="14" fillId="0" borderId="4" xfId="94" applyFont="1" applyFill="1" applyBorder="1" applyAlignment="1">
      <alignment horizontal="center" vertical="center"/>
    </xf>
    <xf numFmtId="172" fontId="27" fillId="14" borderId="0" xfId="1" applyNumberFormat="1" applyFont="1" applyFill="1" applyBorder="1" applyAlignment="1" applyProtection="1">
      <alignment vertical="center"/>
    </xf>
    <xf numFmtId="49" fontId="11" fillId="15" borderId="0" xfId="0" applyNumberFormat="1" applyFont="1" applyFill="1"/>
    <xf numFmtId="168" fontId="0" fillId="5" borderId="0" xfId="1" applyFont="1" applyFill="1" applyAlignment="1">
      <alignment horizontal="center" vertical="center"/>
    </xf>
    <xf numFmtId="0" fontId="2" fillId="16" borderId="23" xfId="0" applyFont="1" applyFill="1" applyBorder="1" applyAlignment="1">
      <alignment horizontal="left"/>
    </xf>
    <xf numFmtId="0" fontId="2" fillId="16" borderId="24" xfId="0" applyFont="1" applyFill="1" applyBorder="1" applyAlignment="1">
      <alignment horizontal="center"/>
    </xf>
    <xf numFmtId="0" fontId="2" fillId="16" borderId="25" xfId="0" applyFont="1" applyFill="1" applyBorder="1" applyAlignment="1">
      <alignment horizontal="center" vertical="center"/>
    </xf>
    <xf numFmtId="173" fontId="25" fillId="16" borderId="29" xfId="0" applyNumberFormat="1" applyFont="1" applyFill="1" applyBorder="1" applyAlignment="1">
      <alignment horizontal="right"/>
    </xf>
    <xf numFmtId="173" fontId="50" fillId="16" borderId="30" xfId="0" applyNumberFormat="1" applyFont="1" applyFill="1" applyBorder="1"/>
    <xf numFmtId="168" fontId="0" fillId="0" borderId="0" xfId="0" applyNumberFormat="1"/>
    <xf numFmtId="9" fontId="0" fillId="0" borderId="0" xfId="92" applyFont="1" applyAlignment="1">
      <alignment horizontal="center"/>
    </xf>
    <xf numFmtId="168" fontId="74" fillId="24" borderId="0" xfId="1" applyFont="1" applyFill="1" applyAlignment="1">
      <alignment vertical="center"/>
    </xf>
    <xf numFmtId="0" fontId="74" fillId="24" borderId="0" xfId="20" applyFont="1" applyFill="1" applyAlignment="1">
      <alignment vertical="center"/>
    </xf>
    <xf numFmtId="171" fontId="0" fillId="7" borderId="9" xfId="6" applyNumberFormat="1" applyFont="1" applyFill="1" applyBorder="1"/>
    <xf numFmtId="17" fontId="0" fillId="7" borderId="38" xfId="0" applyNumberFormat="1" applyFill="1" applyBorder="1" applyAlignment="1">
      <alignment horizontal="center"/>
    </xf>
    <xf numFmtId="168" fontId="76" fillId="0" borderId="0" xfId="1" applyFont="1"/>
    <xf numFmtId="10" fontId="1" fillId="0" borderId="0" xfId="92" applyNumberFormat="1" applyAlignment="1">
      <alignment vertical="center"/>
    </xf>
    <xf numFmtId="186" fontId="1" fillId="0" borderId="0" xfId="92" applyNumberFormat="1" applyAlignment="1">
      <alignment vertical="center"/>
    </xf>
    <xf numFmtId="2" fontId="1" fillId="0" borderId="0" xfId="20" applyNumberFormat="1" applyAlignment="1">
      <alignment vertical="center"/>
    </xf>
    <xf numFmtId="172" fontId="1" fillId="0" borderId="0" xfId="1" applyNumberFormat="1" applyAlignment="1">
      <alignment vertical="center"/>
    </xf>
    <xf numFmtId="172" fontId="74" fillId="0" borderId="7" xfId="20" applyNumberFormat="1" applyFont="1" applyBorder="1" applyAlignment="1">
      <alignment vertical="center"/>
    </xf>
    <xf numFmtId="0" fontId="74" fillId="7" borderId="7" xfId="20" applyFont="1" applyFill="1" applyBorder="1" applyAlignment="1">
      <alignment horizontal="center" vertical="center"/>
    </xf>
    <xf numFmtId="0" fontId="74" fillId="7" borderId="0" xfId="20" applyFont="1" applyFill="1" applyAlignment="1">
      <alignment vertical="center"/>
    </xf>
    <xf numFmtId="172" fontId="74" fillId="7" borderId="0" xfId="20" applyNumberFormat="1" applyFont="1" applyFill="1" applyAlignment="1">
      <alignment vertical="center"/>
    </xf>
    <xf numFmtId="168" fontId="1" fillId="0" borderId="0" xfId="1" applyFill="1" applyAlignment="1">
      <alignment vertical="center"/>
    </xf>
    <xf numFmtId="43" fontId="2" fillId="6" borderId="0" xfId="1" applyNumberFormat="1" applyFont="1" applyFill="1" applyAlignment="1">
      <alignment horizontal="center" vertical="center"/>
    </xf>
    <xf numFmtId="174" fontId="2" fillId="25" borderId="0" xfId="1" applyNumberFormat="1" applyFont="1" applyFill="1" applyAlignment="1">
      <alignment vertical="center"/>
    </xf>
    <xf numFmtId="168" fontId="2" fillId="25" borderId="0" xfId="1" applyFont="1" applyFill="1" applyAlignment="1">
      <alignment vertical="center"/>
    </xf>
    <xf numFmtId="174" fontId="1" fillId="25" borderId="0" xfId="20" applyNumberFormat="1" applyFill="1" applyAlignment="1">
      <alignment vertical="center"/>
    </xf>
    <xf numFmtId="168" fontId="1" fillId="25" borderId="0" xfId="1" applyFill="1" applyAlignment="1">
      <alignment vertical="center"/>
    </xf>
    <xf numFmtId="0" fontId="25" fillId="0" borderId="13" xfId="20" applyFont="1" applyBorder="1" applyAlignment="1">
      <alignment vertical="center"/>
    </xf>
    <xf numFmtId="0" fontId="0" fillId="0" borderId="86" xfId="20" applyFont="1" applyBorder="1" applyAlignment="1">
      <alignment horizontal="center" vertical="center"/>
    </xf>
    <xf numFmtId="0" fontId="1" fillId="0" borderId="45" xfId="20" applyBorder="1" applyAlignment="1">
      <alignment horizontal="center" vertical="center"/>
    </xf>
    <xf numFmtId="164" fontId="1" fillId="0" borderId="0" xfId="20" applyNumberFormat="1" applyAlignment="1">
      <alignment vertical="center"/>
    </xf>
    <xf numFmtId="17" fontId="2" fillId="0" borderId="6" xfId="0" applyNumberFormat="1" applyFont="1" applyBorder="1" applyAlignment="1">
      <alignment horizontal="center"/>
    </xf>
    <xf numFmtId="0" fontId="0" fillId="0" borderId="34" xfId="0" applyBorder="1"/>
    <xf numFmtId="0" fontId="2" fillId="8" borderId="12" xfId="0" applyFont="1" applyFill="1" applyBorder="1" applyAlignment="1">
      <alignment horizontal="center" vertical="center"/>
    </xf>
    <xf numFmtId="172" fontId="0" fillId="0" borderId="16" xfId="0" applyNumberFormat="1" applyBorder="1"/>
    <xf numFmtId="0" fontId="0" fillId="5" borderId="87" xfId="0" applyFill="1" applyBorder="1"/>
    <xf numFmtId="0" fontId="2" fillId="8" borderId="12" xfId="0" applyFont="1" applyFill="1" applyBorder="1" applyAlignment="1">
      <alignment horizontal="center"/>
    </xf>
    <xf numFmtId="164" fontId="0" fillId="0" borderId="0" xfId="0" applyNumberFormat="1"/>
    <xf numFmtId="178" fontId="8" fillId="4" borderId="1" xfId="1" applyNumberFormat="1" applyFont="1" applyFill="1" applyBorder="1" applyAlignment="1" applyProtection="1">
      <alignment horizontal="center" vertical="center"/>
    </xf>
    <xf numFmtId="172" fontId="77" fillId="14" borderId="0" xfId="1" applyNumberFormat="1" applyFont="1" applyFill="1" applyBorder="1" applyAlignment="1" applyProtection="1">
      <alignment vertical="center"/>
    </xf>
    <xf numFmtId="186" fontId="69" fillId="0" borderId="0" xfId="92" applyNumberFormat="1" applyFont="1" applyFill="1" applyBorder="1" applyAlignment="1">
      <alignment vertical="center"/>
    </xf>
    <xf numFmtId="10" fontId="69" fillId="0" borderId="15" xfId="110" applyNumberFormat="1" applyFont="1" applyBorder="1" applyAlignment="1">
      <alignment horizontal="center" vertical="center"/>
    </xf>
    <xf numFmtId="187" fontId="2" fillId="0" borderId="0" xfId="92" applyNumberFormat="1" applyFont="1" applyBorder="1" applyAlignment="1">
      <alignment vertical="center"/>
    </xf>
    <xf numFmtId="17" fontId="0" fillId="0" borderId="0" xfId="0" applyNumberFormat="1"/>
    <xf numFmtId="17" fontId="0" fillId="7" borderId="88" xfId="0" applyNumberFormat="1" applyFill="1" applyBorder="1" applyAlignment="1">
      <alignment horizontal="center"/>
    </xf>
    <xf numFmtId="0" fontId="2" fillId="21" borderId="23" xfId="0" applyFont="1" applyFill="1" applyBorder="1" applyAlignment="1">
      <alignment horizontal="left"/>
    </xf>
    <xf numFmtId="0" fontId="2" fillId="21" borderId="24" xfId="0" applyFont="1" applyFill="1" applyBorder="1" applyAlignment="1">
      <alignment horizontal="center"/>
    </xf>
    <xf numFmtId="0" fontId="2" fillId="21" borderId="25" xfId="0" applyFont="1" applyFill="1" applyBorder="1" applyAlignment="1">
      <alignment horizontal="center" vertical="center"/>
    </xf>
    <xf numFmtId="173" fontId="0" fillId="0" borderId="0" xfId="0" applyNumberFormat="1"/>
    <xf numFmtId="174" fontId="76" fillId="0" borderId="0" xfId="20" applyNumberFormat="1" applyFont="1" applyAlignment="1">
      <alignment horizontal="center" vertical="center"/>
    </xf>
    <xf numFmtId="0" fontId="76" fillId="0" borderId="0" xfId="20" applyFont="1" applyAlignment="1">
      <alignment horizontal="center" vertical="center"/>
    </xf>
    <xf numFmtId="0" fontId="78" fillId="0" borderId="0" xfId="20" applyFont="1" applyAlignment="1">
      <alignment horizontal="center" vertical="center"/>
    </xf>
    <xf numFmtId="0" fontId="76" fillId="0" borderId="0" xfId="20" applyFont="1" applyAlignment="1">
      <alignment horizontal="left" vertical="center"/>
    </xf>
    <xf numFmtId="168" fontId="76" fillId="0" borderId="0" xfId="20" applyNumberFormat="1" applyFont="1" applyAlignment="1">
      <alignment horizontal="center" vertical="center"/>
    </xf>
    <xf numFmtId="168" fontId="76" fillId="0" borderId="0" xfId="20" applyNumberFormat="1" applyFont="1" applyAlignment="1">
      <alignment vertical="center"/>
    </xf>
    <xf numFmtId="188" fontId="0" fillId="0" borderId="0" xfId="0" applyNumberFormat="1"/>
    <xf numFmtId="171" fontId="0" fillId="7" borderId="7" xfId="6" applyNumberFormat="1" applyFont="1" applyFill="1" applyBorder="1" applyAlignment="1">
      <alignment vertical="center"/>
    </xf>
    <xf numFmtId="17" fontId="0" fillId="7" borderId="3" xfId="0" applyNumberFormat="1" applyFill="1" applyBorder="1" applyAlignment="1">
      <alignment horizontal="center" vertical="center"/>
    </xf>
    <xf numFmtId="17" fontId="79" fillId="0" borderId="0" xfId="0" applyNumberFormat="1" applyFont="1"/>
    <xf numFmtId="168" fontId="79" fillId="0" borderId="0" xfId="1" applyFont="1"/>
    <xf numFmtId="10" fontId="69" fillId="0" borderId="4" xfId="40" applyNumberFormat="1" applyFont="1" applyBorder="1"/>
    <xf numFmtId="10" fontId="12" fillId="0" borderId="15" xfId="40" applyNumberFormat="1" applyFont="1" applyFill="1" applyBorder="1" applyAlignment="1">
      <alignment horizontal="center" vertical="center" wrapText="1"/>
    </xf>
    <xf numFmtId="10" fontId="70" fillId="0" borderId="4" xfId="40" applyNumberFormat="1" applyFont="1" applyBorder="1"/>
    <xf numFmtId="10" fontId="69" fillId="0" borderId="0" xfId="40" applyNumberFormat="1" applyFont="1" applyFill="1" applyBorder="1" applyAlignment="1">
      <alignment horizontal="center" vertical="center"/>
    </xf>
    <xf numFmtId="10" fontId="69" fillId="0" borderId="0" xfId="40" applyNumberFormat="1" applyFont="1" applyFill="1" applyBorder="1" applyAlignment="1">
      <alignment vertical="center"/>
    </xf>
    <xf numFmtId="178" fontId="12" fillId="0" borderId="0" xfId="106" applyNumberFormat="1" applyFont="1"/>
    <xf numFmtId="178" fontId="69" fillId="0" borderId="15" xfId="94" applyNumberFormat="1" applyFont="1" applyBorder="1" applyAlignment="1">
      <alignment vertical="center" wrapText="1"/>
    </xf>
    <xf numFmtId="3" fontId="69" fillId="0" borderId="0" xfId="106" applyNumberFormat="1" applyFont="1"/>
    <xf numFmtId="0" fontId="69" fillId="0" borderId="13" xfId="94" applyNumberFormat="1" applyFont="1" applyFill="1" applyBorder="1" applyAlignment="1">
      <alignment vertical="center" wrapText="1"/>
    </xf>
    <xf numFmtId="0" fontId="69" fillId="0" borderId="37" xfId="94" applyNumberFormat="1" applyFont="1" applyFill="1" applyBorder="1" applyAlignment="1">
      <alignment vertical="center" wrapText="1"/>
    </xf>
    <xf numFmtId="0" fontId="12" fillId="0" borderId="37" xfId="94" applyNumberFormat="1" applyFont="1" applyBorder="1" applyAlignment="1">
      <alignment horizontal="left" vertical="center" wrapText="1"/>
    </xf>
    <xf numFmtId="43" fontId="14" fillId="0" borderId="0" xfId="108" applyFont="1" applyFill="1" applyBorder="1" applyAlignment="1">
      <alignment horizontal="center" vertical="center" wrapText="1"/>
    </xf>
    <xf numFmtId="43" fontId="14" fillId="0" borderId="4" xfId="108" applyFont="1" applyFill="1" applyBorder="1" applyAlignment="1">
      <alignment horizontal="center" vertical="center" wrapText="1"/>
    </xf>
    <xf numFmtId="43" fontId="12" fillId="0" borderId="13" xfId="108" applyFont="1" applyFill="1" applyBorder="1" applyAlignment="1">
      <alignment horizontal="center" vertical="center" wrapText="1"/>
    </xf>
    <xf numFmtId="43" fontId="12" fillId="0" borderId="37" xfId="108" applyFont="1" applyFill="1" applyBorder="1" applyAlignment="1">
      <alignment horizontal="center" vertical="center" wrapText="1"/>
    </xf>
    <xf numFmtId="9" fontId="12" fillId="2" borderId="0" xfId="92" applyFont="1" applyFill="1" applyBorder="1" applyAlignment="1" applyProtection="1">
      <alignment horizontal="center"/>
    </xf>
    <xf numFmtId="0" fontId="81" fillId="0" borderId="0" xfId="0" applyFont="1"/>
    <xf numFmtId="0" fontId="82" fillId="0" borderId="0" xfId="0" applyFont="1" applyAlignment="1">
      <alignment horizontal="left" vertical="center" wrapText="1"/>
    </xf>
    <xf numFmtId="0" fontId="82" fillId="0" borderId="0" xfId="0" applyFont="1" applyAlignment="1">
      <alignment horizontal="right" vertical="center" wrapText="1"/>
    </xf>
    <xf numFmtId="14" fontId="0" fillId="0" borderId="0" xfId="0" applyNumberFormat="1" applyAlignment="1">
      <alignment horizontal="left" vertical="center" wrapText="1"/>
    </xf>
    <xf numFmtId="168" fontId="0" fillId="0" borderId="0" xfId="1" applyFont="1" applyAlignment="1">
      <alignment horizontal="right" vertical="center" wrapText="1"/>
    </xf>
    <xf numFmtId="168" fontId="81" fillId="0" borderId="0" xfId="1" applyFont="1"/>
    <xf numFmtId="0" fontId="83" fillId="0" borderId="0" xfId="0" applyFont="1"/>
    <xf numFmtId="178" fontId="12" fillId="23" borderId="0" xfId="94" applyNumberFormat="1" applyFont="1" applyFill="1" applyBorder="1" applyAlignment="1">
      <alignment horizontal="center" vertical="center" wrapText="1"/>
    </xf>
    <xf numFmtId="178" fontId="12" fillId="27" borderId="0" xfId="9" applyNumberFormat="1" applyFont="1" applyFill="1" applyAlignment="1">
      <alignment vertical="center" wrapText="1"/>
    </xf>
    <xf numFmtId="0" fontId="12" fillId="6" borderId="0" xfId="9" applyFont="1" applyFill="1" applyAlignment="1">
      <alignment vertical="center" wrapText="1"/>
    </xf>
    <xf numFmtId="0" fontId="37" fillId="2" borderId="3" xfId="93" applyFill="1" applyBorder="1" applyAlignment="1" applyProtection="1">
      <alignment horizontal="left"/>
    </xf>
    <xf numFmtId="0" fontId="37" fillId="2" borderId="5" xfId="93" applyFill="1" applyBorder="1" applyAlignment="1" applyProtection="1">
      <alignment horizontal="left"/>
    </xf>
    <xf numFmtId="0" fontId="20" fillId="2" borderId="7" xfId="0" applyFont="1" applyFill="1" applyBorder="1" applyAlignment="1">
      <alignment horizontal="left"/>
    </xf>
    <xf numFmtId="0" fontId="20" fillId="2" borderId="7" xfId="0" applyFont="1" applyFill="1" applyBorder="1" applyAlignment="1">
      <alignment horizontal="left" vertical="center" wrapText="1"/>
    </xf>
    <xf numFmtId="0" fontId="34" fillId="2" borderId="3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38" fillId="2" borderId="3" xfId="0" applyFont="1" applyFill="1" applyBorder="1" applyAlignment="1">
      <alignment horizontal="center"/>
    </xf>
    <xf numFmtId="0" fontId="38" fillId="2" borderId="5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185" fontId="70" fillId="0" borderId="7" xfId="94" applyNumberFormat="1" applyFont="1" applyBorder="1" applyAlignment="1">
      <alignment horizontal="center" vertical="center"/>
    </xf>
    <xf numFmtId="43" fontId="70" fillId="0" borderId="7" xfId="94" applyFont="1" applyBorder="1" applyAlignment="1">
      <alignment horizontal="center" vertical="center"/>
    </xf>
    <xf numFmtId="43" fontId="70" fillId="0" borderId="3" xfId="94" applyFont="1" applyBorder="1" applyAlignment="1">
      <alignment horizontal="center" vertical="center"/>
    </xf>
    <xf numFmtId="43" fontId="70" fillId="0" borderId="5" xfId="94" applyFont="1" applyBorder="1" applyAlignment="1">
      <alignment horizontal="center" vertical="center"/>
    </xf>
    <xf numFmtId="178" fontId="70" fillId="0" borderId="7" xfId="94" applyNumberFormat="1" applyFont="1" applyBorder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8" fontId="8" fillId="0" borderId="3" xfId="94" applyNumberFormat="1" applyFont="1" applyBorder="1" applyAlignment="1">
      <alignment horizontal="center" wrapText="1"/>
    </xf>
    <xf numFmtId="178" fontId="8" fillId="0" borderId="5" xfId="94" applyNumberFormat="1" applyFont="1" applyBorder="1" applyAlignment="1">
      <alignment horizontal="center" wrapText="1"/>
    </xf>
    <xf numFmtId="178" fontId="8" fillId="0" borderId="4" xfId="94" applyNumberFormat="1" applyFont="1" applyBorder="1" applyAlignment="1">
      <alignment horizontal="center" wrapText="1"/>
    </xf>
    <xf numFmtId="0" fontId="2" fillId="14" borderId="3" xfId="20" applyFont="1" applyFill="1" applyBorder="1" applyAlignment="1">
      <alignment horizontal="center" vertical="center"/>
    </xf>
    <xf numFmtId="0" fontId="2" fillId="14" borderId="4" xfId="20" applyFont="1" applyFill="1" applyBorder="1" applyAlignment="1">
      <alignment horizontal="center" vertical="center"/>
    </xf>
    <xf numFmtId="0" fontId="2" fillId="14" borderId="5" xfId="20" applyFont="1" applyFill="1" applyBorder="1" applyAlignment="1">
      <alignment horizontal="center" vertical="center"/>
    </xf>
    <xf numFmtId="14" fontId="80" fillId="26" borderId="0" xfId="0" applyNumberFormat="1" applyFont="1" applyFill="1" applyAlignment="1">
      <alignment horizontal="center" vertical="center" wrapText="1"/>
    </xf>
    <xf numFmtId="190" fontId="84" fillId="0" borderId="0" xfId="0" applyNumberFormat="1" applyFont="1"/>
    <xf numFmtId="190" fontId="2" fillId="0" borderId="0" xfId="0" applyNumberFormat="1" applyFont="1"/>
    <xf numFmtId="43" fontId="0" fillId="0" borderId="0" xfId="0" applyNumberFormat="1"/>
    <xf numFmtId="0" fontId="85" fillId="2" borderId="0" xfId="0" applyFont="1" applyFill="1"/>
  </cellXfs>
  <cellStyles count="121">
    <cellStyle name="Bueno 2" xfId="74" xr:uid="{577BCF60-1712-4E40-8F17-520606B8CF72}"/>
    <cellStyle name="Comma" xfId="1" builtinId="3"/>
    <cellStyle name="Currency" xfId="91" builtinId="4"/>
    <cellStyle name="Good" xfId="117" builtinId="26"/>
    <cellStyle name="Hyperlink" xfId="93" builtinId="8"/>
    <cellStyle name="Incorrecto 2" xfId="75" xr:uid="{0CAE9E9B-BD14-4B90-8EFB-545F0281EFDC}"/>
    <cellStyle name="Millares 10" xfId="76" xr:uid="{B13BA9D7-43F8-410F-BED7-F0BE464BFE8D}"/>
    <cellStyle name="Millares 10 2" xfId="79" xr:uid="{B5ECE4E2-CD49-4D45-B0AD-AA491C3A0526}"/>
    <cellStyle name="Millares 10 2 2" xfId="108" xr:uid="{E84EE6FB-0096-4B61-A20F-B9BA0F04C1D7}"/>
    <cellStyle name="Millares 10 3" xfId="89" xr:uid="{F7227C7A-043E-40AA-81E8-990DEF7B1123}"/>
    <cellStyle name="Millares 11" xfId="13" xr:uid="{00D04A0E-3854-42DE-8357-08822DCFC828}"/>
    <cellStyle name="Millares 11 2" xfId="82" xr:uid="{99EFC5A5-3A31-4A61-99DF-30357754C61B}"/>
    <cellStyle name="Millares 12" xfId="85" xr:uid="{B1D11165-875A-46F2-ABDD-C75D3C6CFD43}"/>
    <cellStyle name="Millares 12 2" xfId="68" xr:uid="{4157062C-0D11-433E-8AAC-A642D831B521}"/>
    <cellStyle name="Millares 12 2 2" xfId="94" xr:uid="{D6FA3C6C-C161-4E26-8139-BD3D2E3BF286}"/>
    <cellStyle name="Millares 12 2 2 2" xfId="118" xr:uid="{B2EDF905-C4FF-4BE6-91C6-DA520054C4B6}"/>
    <cellStyle name="Millares 13" xfId="86" xr:uid="{BD919DA0-89BB-41F7-8135-46557812E101}"/>
    <cellStyle name="Millares 14" xfId="14" xr:uid="{175956F0-E951-4B39-A6B5-C18AC6CA6BDF}"/>
    <cellStyle name="Millares 14 2" xfId="51" xr:uid="{54E2A938-DAB6-4E6B-8123-3BA901338164}"/>
    <cellStyle name="Millares 14 2 2" xfId="67" xr:uid="{DC330FCD-F7C4-4E56-BFB0-180913FE7086}"/>
    <cellStyle name="Millares 15" xfId="17" xr:uid="{5FA5AFE0-8C0F-4EE2-A8EE-0559B9BF2989}"/>
    <cellStyle name="Millares 16" xfId="87" xr:uid="{97FCBD2A-94FC-40DC-B205-B41CD67087C3}"/>
    <cellStyle name="Millares 17" xfId="98" xr:uid="{243C12A1-DA9E-4AAA-8A5B-C5BD0E8FCCA3}"/>
    <cellStyle name="Millares 18" xfId="16" xr:uid="{F5AACC3B-78B8-4AFC-BA41-6BD8AE25B28A}"/>
    <cellStyle name="Millares 18 2" xfId="53" xr:uid="{F1610134-B3D6-48C3-912E-149A4451E9AF}"/>
    <cellStyle name="Millares 2" xfId="26" xr:uid="{57466A0F-122F-4A7C-BA93-2A7195285BED}"/>
    <cellStyle name="Millares 2 2" xfId="11" xr:uid="{0F240901-DCF3-4A82-9A56-0E6C8B081AB2}"/>
    <cellStyle name="Millares 2 2 2" xfId="18" xr:uid="{5FDA6851-8566-4E53-8DFF-A089157F564D}"/>
    <cellStyle name="Millares 2 3" xfId="27" xr:uid="{A973229E-5A9B-4CD8-AF52-3554A9AE7EA3}"/>
    <cellStyle name="Millares 2 3 2" xfId="56" xr:uid="{017F5436-FEEA-4646-B737-BF056F8CF7A2}"/>
    <cellStyle name="Millares 2 4" xfId="54" xr:uid="{C2D3107E-70CA-463C-ACD9-C0C095FC03D8}"/>
    <cellStyle name="Millares 2 5" xfId="38" xr:uid="{F795BD6F-DCD3-45F8-BC44-866BAE58B0A4}"/>
    <cellStyle name="Millares 2 6" xfId="99" xr:uid="{13B447D5-6671-40B3-AC41-589F7B6D1100}"/>
    <cellStyle name="Millares 20" xfId="42" xr:uid="{49F3B388-9D3D-4E5E-9C78-21AB3E003525}"/>
    <cellStyle name="Millares 23" xfId="21" xr:uid="{B9B0B51A-6D97-4172-B116-8AF71035AA6E}"/>
    <cellStyle name="Millares 3" xfId="5" xr:uid="{8850437A-D74B-4A39-9244-A1E343A7FA6A}"/>
    <cellStyle name="Millares 3 2" xfId="6" xr:uid="{52365670-1784-404D-90A3-863F60CDE431}"/>
    <cellStyle name="Millares 3 2 2" xfId="103" xr:uid="{C4E3454C-21FD-4F6D-911E-6AB72FAF7B37}"/>
    <cellStyle name="Millares 3 2 2 2" xfId="109" xr:uid="{C9149F43-34EC-4F02-ACD4-CDC70A2B886A}"/>
    <cellStyle name="Millares 3 2 3" xfId="113" xr:uid="{1F64718A-6BC8-42E4-868A-EA73D21AEDA0}"/>
    <cellStyle name="Millares 3 3" xfId="10" xr:uid="{F61369B4-8D49-4062-A15F-822D9345D224}"/>
    <cellStyle name="Millares 3 5" xfId="64" xr:uid="{AABCFC9E-6EAA-47BD-B24E-7798E4F0D8DD}"/>
    <cellStyle name="Millares 3 5 2" xfId="7" xr:uid="{5E1340F8-DB2B-4815-A866-2801650C7C12}"/>
    <cellStyle name="Millares 3 5 2 2" xfId="83" xr:uid="{A2C7AC1F-C554-4BF3-8C20-0CAE68409737}"/>
    <cellStyle name="Millares 3 5 3" xfId="52" xr:uid="{BCDAEF21-1A5B-40AE-9055-552554747954}"/>
    <cellStyle name="Millares 3 5 4" xfId="24" xr:uid="{0E9209F9-A59F-46D0-9DD8-99D03AAFEB31}"/>
    <cellStyle name="Millares 3 5 4 2" xfId="81" xr:uid="{9C083F50-BA71-4132-9FA2-C39E1E9223E6}"/>
    <cellStyle name="Millares 4" xfId="28" xr:uid="{EAF4AAB2-F98A-4DF8-9AA2-7F10AA4A4755}"/>
    <cellStyle name="Millares 4 2" xfId="66" xr:uid="{C9D30947-6BC4-4A18-8D86-23D9B76BD183}"/>
    <cellStyle name="Millares 4 2 2" xfId="102" xr:uid="{F4B17A63-D26C-4657-BE93-1D64E7DB0246}"/>
    <cellStyle name="Millares 4 3" xfId="41" xr:uid="{F1D267B5-A781-4633-AA5D-5B10AAC5E8FC}"/>
    <cellStyle name="Millares 5" xfId="29" xr:uid="{D2036962-28AC-46CD-B679-975C52CAC0C7}"/>
    <cellStyle name="Millares 5 2" xfId="50" xr:uid="{F4BC1675-05CA-4404-BF98-532DB08536EE}"/>
    <cellStyle name="Millares 5 3" xfId="36" xr:uid="{7C0C0AD1-23A7-4170-A2F6-B278EB32A7EF}"/>
    <cellStyle name="Millares 5 3 2" xfId="58" xr:uid="{444B6FE1-E39B-465F-AB2A-7C7B30C0488D}"/>
    <cellStyle name="Millares 5 3 3" xfId="84" xr:uid="{5A567F30-D1F1-4C42-83F6-FE4A23B8012A}"/>
    <cellStyle name="Millares 5 3 4" xfId="97" xr:uid="{0B8D18F3-8AE2-4402-B547-D7AAF4B32944}"/>
    <cellStyle name="Millares 6" xfId="31" xr:uid="{48B8DEB1-4B82-49EA-A50D-D7BE34B07637}"/>
    <cellStyle name="Millares 6 2" xfId="23" xr:uid="{87996EA8-EBD4-4BCE-93FE-0BA8225AEBDB}"/>
    <cellStyle name="Millares 6 3" xfId="60" xr:uid="{E373BBCF-341E-43DA-8D0F-6B32EDDB9C61}"/>
    <cellStyle name="Millares 6 4" xfId="46" xr:uid="{0C0208CE-1CD9-4514-AB62-E9467FC9646E}"/>
    <cellStyle name="Millares 7" xfId="32" xr:uid="{C97F06EB-F7E6-4E2E-896A-9F10A7263715}"/>
    <cellStyle name="Millares 7 2" xfId="55" xr:uid="{B49C59D6-44D3-472B-8B0E-98BEF9605291}"/>
    <cellStyle name="Millares 7 3" xfId="77" xr:uid="{19D68DD2-6B8F-458C-AEF6-FC2FDBC740DA}"/>
    <cellStyle name="Millares 7 4" xfId="88" xr:uid="{CBC08DE4-55DE-4BB2-B7C9-054B66A999BC}"/>
    <cellStyle name="Millares 8" xfId="34" xr:uid="{09169054-70F5-44B1-9339-8B4B40285B2D}"/>
    <cellStyle name="Millares 8 2" xfId="62" xr:uid="{39692FB1-80A2-4CFD-A220-F0112113D800}"/>
    <cellStyle name="Millares 9" xfId="37" xr:uid="{16276F50-C216-4B28-827B-7848FC43E583}"/>
    <cellStyle name="Moneda 2" xfId="44" xr:uid="{E650F00D-7F84-42A2-BA11-D2E5B41BA0FE}"/>
    <cellStyle name="Moneda 2 2" xfId="49" xr:uid="{74598D5A-49A4-4896-9D5F-38DB7FAA9FC7}"/>
    <cellStyle name="Moneda 2 3" xfId="8" xr:uid="{C30BC6ED-64EB-41C2-9EAD-7E63DEAB5CDF}"/>
    <cellStyle name="Moneda 2 3 2" xfId="59" xr:uid="{92939BD7-E0F8-4B9D-8CF4-7243A585D337}"/>
    <cellStyle name="Moneda 3" xfId="57" xr:uid="{08101E7A-1578-4C34-BAFD-7C92C38416EE}"/>
    <cellStyle name="Moneda 4" xfId="65" xr:uid="{7D1C00F5-45F5-411F-807A-17303E8C1421}"/>
    <cellStyle name="Moneda 5" xfId="69" xr:uid="{37FA349C-BB4E-4F8F-A427-8518C23F5A53}"/>
    <cellStyle name="Moneda 6" xfId="72" xr:uid="{0D356E48-D2DB-41A5-9860-489437966F28}"/>
    <cellStyle name="Moneda 6 2" xfId="4" xr:uid="{9D0A0B14-E619-49EC-A56E-C906A9F451DD}"/>
    <cellStyle name="Moneda 7" xfId="30" xr:uid="{531B3270-1C9D-4025-87E6-073D44CDB48B}"/>
    <cellStyle name="Normal" xfId="0" builtinId="0"/>
    <cellStyle name="Normal 10" xfId="111" xr:uid="{ADBE8B47-E08E-4426-8459-F50B9C32C9DE}"/>
    <cellStyle name="Normal 11" xfId="120" xr:uid="{F0D8BDEA-5A23-4157-B04E-449799EDE81C}"/>
    <cellStyle name="Normal 12" xfId="15" xr:uid="{B07A7859-BB1B-44FD-9610-DBC314AF7F84}"/>
    <cellStyle name="Normal 18" xfId="48" xr:uid="{11595D00-205F-4630-9F9E-BB4A1916F8EF}"/>
    <cellStyle name="Normal 2" xfId="39" xr:uid="{54C477DF-F332-4ACE-A5A0-96AF1A7CE945}"/>
    <cellStyle name="Normal 2 2" xfId="9" xr:uid="{21BBC7AC-625F-4D27-94B4-F3C139070E1D}"/>
    <cellStyle name="Normal 2 3" xfId="33" xr:uid="{8E109FC4-2579-4454-BC57-6139E198B97E}"/>
    <cellStyle name="Normal 2 3 2" xfId="106" xr:uid="{2AE43D63-E10A-49FC-8CC4-AB5112E752F6}"/>
    <cellStyle name="Normal 2 4 2" xfId="90" xr:uid="{F0A3824A-4E55-4B78-82E1-9CA591C16F22}"/>
    <cellStyle name="Normal 2 5" xfId="101" xr:uid="{8DB2C447-B6CF-4551-80EC-85ABD59F507F}"/>
    <cellStyle name="Normal 2 5 2" xfId="112" xr:uid="{4C0B19A7-CC98-4264-AC21-2B0F4F56E39B}"/>
    <cellStyle name="Normal 2 5 3" xfId="115" xr:uid="{EA811220-7BD9-4664-948F-A402E9C127A1}"/>
    <cellStyle name="Normal 23" xfId="3" xr:uid="{24665948-1804-4630-B272-D5A07400C453}"/>
    <cellStyle name="Normal 25" xfId="20" xr:uid="{061EF23F-3370-436E-BD21-304CBC244411}"/>
    <cellStyle name="Normal 3" xfId="22" xr:uid="{5FC9C882-69F2-4A8B-81FD-7C483B8F9DAA}"/>
    <cellStyle name="Normal 3 2" xfId="63" xr:uid="{94D5F5CF-AEE9-4FA2-8E9B-668F02BE2A24}"/>
    <cellStyle name="Normal 3 3" xfId="12" xr:uid="{7D68B769-AB25-42BB-BE83-3565FC2C851B}"/>
    <cellStyle name="Normal 3 4" xfId="100" xr:uid="{D95AE06A-6E60-45B3-9DE8-7B41FA205ED9}"/>
    <cellStyle name="Normal 3 5" xfId="114" xr:uid="{2E00D7A1-5054-4486-9B2C-98BF01EC2ED7}"/>
    <cellStyle name="Normal 32" xfId="119" xr:uid="{0801A260-878F-4718-932F-EB6DD4E10E6A}"/>
    <cellStyle name="Normal 4" xfId="45" xr:uid="{D71D908D-A92A-45D8-A69B-5076D3035D60}"/>
    <cellStyle name="Normal 4 2" xfId="35" xr:uid="{6A98E2FA-9957-4A02-AC73-349607FD852C}"/>
    <cellStyle name="Normal 4 2 2" xfId="116" xr:uid="{C08CBC19-11DD-49EF-9D70-454D70DC9DFE}"/>
    <cellStyle name="Normal 4 3" xfId="105" xr:uid="{369A556B-2F0E-4B15-99A2-B429C29A008C}"/>
    <cellStyle name="Normal 5" xfId="47" xr:uid="{6F69F164-E1B3-4386-873C-63761A904BEA}"/>
    <cellStyle name="Normal 5 2" xfId="25" xr:uid="{E3DAC37E-15CE-4A42-9B0F-6F321CC47883}"/>
    <cellStyle name="Normal 5 2 2" xfId="80" xr:uid="{1996EEB1-9C67-4EB5-85AE-FC296ED9442E}"/>
    <cellStyle name="Normal 5 3" xfId="61" xr:uid="{AEDDAFBB-E65C-4244-974B-5F123693F59B}"/>
    <cellStyle name="Normal 6" xfId="19" xr:uid="{F9B71AA2-6398-4349-9E1A-D7E07FEEAEC8}"/>
    <cellStyle name="Normal 7" xfId="71" xr:uid="{9D89C0BD-9281-4904-B90C-DEFB31408AB5}"/>
    <cellStyle name="Normal 7 2" xfId="2" xr:uid="{10FF77AB-B9C0-4D13-9BBA-E5E98A7138AB}"/>
    <cellStyle name="Normal 8" xfId="73" xr:uid="{143100E8-717F-462B-A9CD-4E2AA2CAFE7D}"/>
    <cellStyle name="Normal 9" xfId="96" xr:uid="{02BBA7E5-4597-4133-BEE2-75A418EFD5BC}"/>
    <cellStyle name="Percent" xfId="92" builtinId="5"/>
    <cellStyle name="Porcentaje 2" xfId="40" xr:uid="{C6362948-9312-4494-B6F3-2C3AF9724879}"/>
    <cellStyle name="Porcentaje 2 2" xfId="95" xr:uid="{9CB41B2F-4350-41CF-9CCA-7801BBC43E42}"/>
    <cellStyle name="Porcentaje 2 2 2" xfId="104" xr:uid="{3B49A131-438B-4127-91B1-D960CC677DDC}"/>
    <cellStyle name="Porcentaje 2 2 2 2" xfId="110" xr:uid="{DEB4D042-F112-4AF6-9519-F9A1C0D0FCD4}"/>
    <cellStyle name="Porcentaje 3" xfId="43" xr:uid="{67BDED4B-0778-4D49-86F4-2003FDF04E20}"/>
    <cellStyle name="Porcentaje 5" xfId="78" xr:uid="{76C53F08-03C4-4501-9D3F-68E88E3DDBCE}"/>
    <cellStyle name="Porcentaje 5 2" xfId="107" xr:uid="{46B72C2F-6E02-40EB-B41C-19888C9FF3A5}"/>
    <cellStyle name="Porcentual 2" xfId="70" xr:uid="{08210532-5C3E-46D0-B758-E9815E7F3BBC}"/>
  </cellStyles>
  <dxfs count="146"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rgb="FFFFFF99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* #,##0.00_-;\-* #,##0.00_-;_-* &quot;-&quot;??_-;_-@_-"/>
      <alignment horizontal="right" vertical="center" textRotation="0" wrapText="1" indent="0" justifyLastLine="0" shrinkToFit="0" readingOrder="0"/>
    </dxf>
    <dxf>
      <numFmt numFmtId="189" formatCode="dd/mm/yy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9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</font>
    </dxf>
    <dxf>
      <numFmt numFmtId="188" formatCode="0.0000"/>
    </dxf>
    <dxf>
      <numFmt numFmtId="22" formatCode="mmm\-yy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DD17FA6-08EF-4743-B920-A74B57A91FD8}"/>
  </tableStyles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de Inversion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'P. Costo'!#REF!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BD1-BDE1-69950D8659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8662912"/>
        <c:axId val="1088660032"/>
      </c:lineChart>
      <c:catAx>
        <c:axId val="108866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88660032"/>
        <c:crosses val="autoZero"/>
        <c:auto val="1"/>
        <c:lblAlgn val="ctr"/>
        <c:lblOffset val="100"/>
        <c:noMultiLvlLbl val="0"/>
      </c:catAx>
      <c:valAx>
        <c:axId val="108866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8866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85726</xdr:rowOff>
    </xdr:from>
    <xdr:to>
      <xdr:col>1</xdr:col>
      <xdr:colOff>266701</xdr:colOff>
      <xdr:row>2</xdr:row>
      <xdr:rowOff>150356</xdr:rowOff>
    </xdr:to>
    <xdr:pic>
      <xdr:nvPicPr>
        <xdr:cNvPr id="2" name="4 Imagen" descr="Logo ArqIng Encabezado.png">
          <a:extLst>
            <a:ext uri="{FF2B5EF4-FFF2-40B4-BE49-F238E27FC236}">
              <a16:creationId xmlns:a16="http://schemas.microsoft.com/office/drawing/2014/main" id="{81E9C086-1303-4D7E-B886-6C415D3C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1" y="85726"/>
          <a:ext cx="2095500" cy="483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28576</xdr:rowOff>
    </xdr:from>
    <xdr:to>
      <xdr:col>1</xdr:col>
      <xdr:colOff>1621155</xdr:colOff>
      <xdr:row>1</xdr:row>
      <xdr:rowOff>59579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E1EEDA58-1C4F-4E25-BFD3-41E11286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8576"/>
          <a:ext cx="1628775" cy="3186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38100</xdr:rowOff>
    </xdr:from>
    <xdr:to>
      <xdr:col>1</xdr:col>
      <xdr:colOff>1668224</xdr:colOff>
      <xdr:row>2</xdr:row>
      <xdr:rowOff>1905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5F27B6B8-3770-4079-92A8-39D748A6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1" y="38100"/>
          <a:ext cx="1665048" cy="3257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38100</xdr:rowOff>
    </xdr:from>
    <xdr:to>
      <xdr:col>1</xdr:col>
      <xdr:colOff>1665049</xdr:colOff>
      <xdr:row>2</xdr:row>
      <xdr:rowOff>1905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A0CAF462-AE93-4748-BBF0-FC28E6C44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1" y="38100"/>
          <a:ext cx="1665048" cy="3257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85725</xdr:rowOff>
    </xdr:from>
    <xdr:to>
      <xdr:col>2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F390D235-752B-469C-A463-03D5D0E2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5" y="85725"/>
          <a:ext cx="2403804" cy="5143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85725</xdr:rowOff>
    </xdr:from>
    <xdr:to>
      <xdr:col>2</xdr:col>
      <xdr:colOff>2426029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33F20538-7247-4578-9F7F-647C7E415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85725"/>
          <a:ext cx="2403804" cy="5143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3</xdr:col>
      <xdr:colOff>486527</xdr:colOff>
      <xdr:row>2</xdr:row>
      <xdr:rowOff>171450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334AB94F-9843-4D8D-A1F0-CC1E3A0B2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66675"/>
          <a:ext cx="2486777" cy="4857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85725</xdr:rowOff>
    </xdr:from>
    <xdr:to>
      <xdr:col>2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F1F40276-AED7-44BA-8FD3-A8E109594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" y="85725"/>
          <a:ext cx="2403804" cy="5143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85725</xdr:rowOff>
    </xdr:from>
    <xdr:to>
      <xdr:col>3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5C5FCE05-80FA-4453-9561-049856A2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" y="85725"/>
          <a:ext cx="2399994" cy="51435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251</xdr:row>
      <xdr:rowOff>22860</xdr:rowOff>
    </xdr:from>
    <xdr:to>
      <xdr:col>14</xdr:col>
      <xdr:colOff>30480</xdr:colOff>
      <xdr:row>289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4DCDB9-8890-4FCF-99A1-EFAFDF8C9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2</xdr:col>
      <xdr:colOff>2377440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488AC147-9A28-4247-9C59-D3F7DB87A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12670" cy="445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</xdr:colOff>
      <xdr:row>0</xdr:row>
      <xdr:rowOff>83820</xdr:rowOff>
    </xdr:from>
    <xdr:to>
      <xdr:col>1</xdr:col>
      <xdr:colOff>2473642</xdr:colOff>
      <xdr:row>2</xdr:row>
      <xdr:rowOff>173381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4116A237-7284-4975-BAC2-2962DD587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83820"/>
          <a:ext cx="2448877" cy="4419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85725</xdr:rowOff>
    </xdr:from>
    <xdr:to>
      <xdr:col>2</xdr:col>
      <xdr:colOff>2419044</xdr:colOff>
      <xdr:row>3</xdr:row>
      <xdr:rowOff>95250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7CFD52EA-5FD6-4FB1-A9F9-D2C0F4319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85725"/>
          <a:ext cx="2399994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RQUINERING%20SRL\Oficina%20Tecnica%20-%20Documentos\1.%20Obras%20en%20Curso\5.%20Mansilla%202920\00.%20Administraci&#243;n\01%20-%20Resumen%20de%20Obra\Mansilla%202920%20-%20Resumen%20de%20Obra.xlsx" TargetMode="External"/><Relationship Id="rId1" Type="http://schemas.openxmlformats.org/officeDocument/2006/relationships/externalLinkPath" Target="file:///Z:\ARQUINERING%20SRL\Oficina%20Tecnica%20-%20Documentos\1.%20Obras%20en%20Curso\5.%20Mansilla%202920\00.%20Administraci&#243;n\01%20-%20Resumen%20de%20Obra\Mansilla%202920%20-%20Resumen%20de%20Obr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RQUINERING%20SRL\Proyectos%20-%20Documentos\1.%20Obras%20en%20Curso\11.%20GDR%203760\1.%20Presupuesto\GDR_Prev.%2003.xlsx" TargetMode="External"/><Relationship Id="rId1" Type="http://schemas.openxmlformats.org/officeDocument/2006/relationships/externalLinkPath" Target="https://arquineringms.sharepoint.com/ARQUINERING%20SRL/Proyectos%20-%20Documentos/1.%20Obras%20en%20Curso/11.%20GDR%203760/1.%20Presupuesto/GDR_Prev.%20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DE OBRA"/>
      <sheetName val="Resumen Gral"/>
      <sheetName val="Res. Pto #1 - #2"/>
      <sheetName val="Res. Pto #3"/>
      <sheetName val="Res. Pto #4"/>
      <sheetName val="Res. Pto #5"/>
      <sheetName val="Res. Prov"/>
      <sheetName val="Facturacion"/>
      <sheetName val="Cash Flow"/>
      <sheetName val="PRES. APROB. ACT DIC 23"/>
      <sheetName val="PLOMM.O. "/>
      <sheetName val="ElectM.O."/>
      <sheetName val="PINTOR"/>
      <sheetName val="M.O."/>
      <sheetName val="Contratistas"/>
      <sheetName val="C. Gestión Pto #1 - #2"/>
      <sheetName val="C. Gestión Pto #3"/>
      <sheetName val="C. Gestión Pto 4"/>
      <sheetName val="C. Gestión Pto #5"/>
      <sheetName val="C. Gestión Pto Prov"/>
      <sheetName val="Pto Vta c descuent"/>
      <sheetName val="Pto Costos"/>
      <sheetName val="Pto Prov"/>
      <sheetName val="Adic"/>
      <sheetName val="ADIC 3"/>
      <sheetName val="GGBB"/>
      <sheetName val="Indice CAC"/>
      <sheetName val="Certif. Pto 1 - 2"/>
      <sheetName val="Certif. Pto 3"/>
      <sheetName val="Certif. Pto 4"/>
      <sheetName val="Certif. Pto 5"/>
      <sheetName val="Cert. Provisiones"/>
      <sheetName val="ADICIONALES"/>
      <sheetName val="ADICIONALES (2)"/>
      <sheetName val="Facturacion 01-2026"/>
      <sheetName val="TC USD MEP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ING - GDR3760 01"/>
      <sheetName val="INFO."/>
      <sheetName val="01"/>
      <sheetName val="Tareas"/>
      <sheetName val="GGBB"/>
      <sheetName val="Locales"/>
      <sheetName val="Aberturas"/>
      <sheetName val="CLOACAL"/>
      <sheetName val="AF.AC"/>
      <sheetName val="INCEND"/>
      <sheetName val="CALEFA"/>
      <sheetName val="GAS"/>
      <sheetName val="Computo"/>
      <sheetName val="ELECT"/>
      <sheetName val="Cotizaciones"/>
      <sheetName val="SUBCONTRATOS"/>
      <sheetName val="APU 12.24"/>
      <sheetName val="P.MO 12.24"/>
      <sheetName val="H°A° "/>
      <sheetName val="Excavacion"/>
      <sheetName val="MO HA AING"/>
      <sheetName val="ENCOFRADO "/>
      <sheetName val="Mampostería"/>
      <sheetName val="Revoques"/>
      <sheetName val="Zocalos"/>
      <sheetName val="Cielorraso"/>
      <sheetName val="Pintura"/>
    </sheetNames>
    <sheetDataSet>
      <sheetData sheetId="0"/>
      <sheetData sheetId="1">
        <row r="6">
          <cell r="C6">
            <v>1150.8790000000001</v>
          </cell>
        </row>
      </sheetData>
      <sheetData sheetId="2"/>
      <sheetData sheetId="3">
        <row r="8">
          <cell r="H8">
            <v>0</v>
          </cell>
          <cell r="I8">
            <v>25000</v>
          </cell>
          <cell r="Q8">
            <v>198736.84463636365</v>
          </cell>
          <cell r="R8">
            <v>60860.580776571966</v>
          </cell>
        </row>
        <row r="12">
          <cell r="H12">
            <v>88330.702809917348</v>
          </cell>
          <cell r="I12">
            <v>0</v>
          </cell>
          <cell r="Q12">
            <v>0</v>
          </cell>
          <cell r="R12">
            <v>101654.36605985794</v>
          </cell>
        </row>
        <row r="22">
          <cell r="H22">
            <v>1878824.6995041324</v>
          </cell>
          <cell r="I22">
            <v>200000</v>
          </cell>
          <cell r="Q22">
            <v>750000</v>
          </cell>
          <cell r="R22">
            <v>4424962.8553190343</v>
          </cell>
        </row>
        <row r="46">
          <cell r="H46">
            <v>1040000</v>
          </cell>
          <cell r="I46">
            <v>50000</v>
          </cell>
          <cell r="Q46">
            <v>0</v>
          </cell>
          <cell r="R46">
            <v>601395.6746925757</v>
          </cell>
        </row>
        <row r="53">
          <cell r="H53">
            <v>685200</v>
          </cell>
          <cell r="I53">
            <v>0</v>
          </cell>
          <cell r="Q53">
            <v>0</v>
          </cell>
          <cell r="R53">
            <v>651528.70745257568</v>
          </cell>
        </row>
        <row r="64">
          <cell r="H64">
            <v>0</v>
          </cell>
          <cell r="I64">
            <v>0</v>
          </cell>
          <cell r="Q64">
            <v>362691.08508372854</v>
          </cell>
          <cell r="R64">
            <v>0</v>
          </cell>
        </row>
        <row r="69">
          <cell r="Q69">
            <v>33000</v>
          </cell>
          <cell r="R69">
            <v>6520.776511775568</v>
          </cell>
        </row>
        <row r="72">
          <cell r="H72">
            <v>105000</v>
          </cell>
          <cell r="I72">
            <v>0</v>
          </cell>
          <cell r="Q72">
            <v>455000</v>
          </cell>
          <cell r="R72">
            <v>8033596.6625074996</v>
          </cell>
        </row>
        <row r="76">
          <cell r="H76">
            <v>115100</v>
          </cell>
          <cell r="I76">
            <v>0</v>
          </cell>
          <cell r="Q76">
            <v>0</v>
          </cell>
          <cell r="R76">
            <v>101603.58188318765</v>
          </cell>
        </row>
        <row r="81">
          <cell r="H81">
            <v>90570.796344000002</v>
          </cell>
          <cell r="I81">
            <v>0</v>
          </cell>
          <cell r="Q81">
            <v>250000</v>
          </cell>
          <cell r="R81">
            <v>0</v>
          </cell>
        </row>
        <row r="87">
          <cell r="H87">
            <v>5128.2051282051279</v>
          </cell>
          <cell r="I87">
            <v>1923.0769230769231</v>
          </cell>
          <cell r="Q87">
            <v>0</v>
          </cell>
          <cell r="R87">
            <v>17829.919087410399</v>
          </cell>
        </row>
        <row r="92">
          <cell r="H92">
            <v>0</v>
          </cell>
          <cell r="I92">
            <v>16817.940685714286</v>
          </cell>
          <cell r="Q92">
            <v>0</v>
          </cell>
          <cell r="R92">
            <v>10484.834138081709</v>
          </cell>
        </row>
        <row r="98">
          <cell r="H98">
            <v>7702.0017868852465</v>
          </cell>
          <cell r="I98">
            <v>1391.9845000000003</v>
          </cell>
          <cell r="Q98">
            <v>0</v>
          </cell>
          <cell r="R98">
            <v>12031.776879765897</v>
          </cell>
        </row>
        <row r="105">
          <cell r="H105">
            <v>0</v>
          </cell>
          <cell r="I105">
            <v>60811.031153400014</v>
          </cell>
          <cell r="Q105">
            <v>0</v>
          </cell>
          <cell r="R105">
            <v>146787.67793314395</v>
          </cell>
        </row>
        <row r="110">
          <cell r="H110">
            <v>0</v>
          </cell>
          <cell r="I110">
            <v>151935.62173020007</v>
          </cell>
          <cell r="Q110">
            <v>0</v>
          </cell>
          <cell r="R110">
            <v>440363.03379943187</v>
          </cell>
        </row>
        <row r="115">
          <cell r="H115">
            <v>0</v>
          </cell>
          <cell r="I115">
            <v>128742.89499999999</v>
          </cell>
          <cell r="Q115">
            <v>0</v>
          </cell>
          <cell r="R115">
            <v>259536.82203628783</v>
          </cell>
        </row>
        <row r="120">
          <cell r="H120">
            <v>121487.60330578515</v>
          </cell>
          <cell r="I120">
            <v>0</v>
          </cell>
          <cell r="Q120">
            <v>0</v>
          </cell>
          <cell r="R120">
            <v>54294.058954381304</v>
          </cell>
        </row>
        <row r="124">
          <cell r="H124">
            <v>36748.8825</v>
          </cell>
          <cell r="I124">
            <v>0</v>
          </cell>
          <cell r="Q124">
            <v>0</v>
          </cell>
          <cell r="R124">
            <v>35716.756336364582</v>
          </cell>
        </row>
        <row r="132">
          <cell r="H132">
            <v>7500</v>
          </cell>
          <cell r="I132">
            <v>16446.262090863162</v>
          </cell>
          <cell r="Q132">
            <v>0</v>
          </cell>
          <cell r="R132">
            <v>107385.37009485794</v>
          </cell>
        </row>
        <row r="139">
          <cell r="H139">
            <v>14897.520661157025</v>
          </cell>
          <cell r="I139">
            <v>0</v>
          </cell>
          <cell r="Q139">
            <v>0</v>
          </cell>
          <cell r="R139">
            <v>8259.2819341714894</v>
          </cell>
        </row>
        <row r="145">
          <cell r="H145">
            <v>0</v>
          </cell>
          <cell r="I145">
            <v>5324.1714662960394</v>
          </cell>
          <cell r="Q145">
            <v>11651.218312085946</v>
          </cell>
          <cell r="R145">
            <v>0</v>
          </cell>
        </row>
        <row r="150">
          <cell r="H150">
            <v>0</v>
          </cell>
          <cell r="I150">
            <v>0</v>
          </cell>
          <cell r="Q150">
            <v>12499.473157106691</v>
          </cell>
          <cell r="R150">
            <v>0</v>
          </cell>
        </row>
        <row r="152">
          <cell r="H152">
            <v>0</v>
          </cell>
          <cell r="I152">
            <v>1167.2735606060608</v>
          </cell>
          <cell r="Q152">
            <v>13162.324006347197</v>
          </cell>
          <cell r="R152">
            <v>0</v>
          </cell>
        </row>
        <row r="155">
          <cell r="H155">
            <v>0</v>
          </cell>
          <cell r="I155">
            <v>30940.006841121492</v>
          </cell>
          <cell r="Q155">
            <v>0</v>
          </cell>
          <cell r="R155">
            <v>12364.893372256442</v>
          </cell>
        </row>
        <row r="163">
          <cell r="H163">
            <v>22041.277519379844</v>
          </cell>
          <cell r="I163">
            <v>0</v>
          </cell>
          <cell r="Q163">
            <v>891.47286821705427</v>
          </cell>
          <cell r="R163">
            <v>5697.0204215681515</v>
          </cell>
        </row>
        <row r="172">
          <cell r="H172">
            <v>24169.45</v>
          </cell>
          <cell r="I172">
            <v>300</v>
          </cell>
          <cell r="Q172">
            <v>0</v>
          </cell>
          <cell r="R172">
            <v>5362.3939312257571</v>
          </cell>
        </row>
        <row r="178">
          <cell r="H178">
            <v>0</v>
          </cell>
          <cell r="I178">
            <v>8233.9594805194811</v>
          </cell>
          <cell r="Q178">
            <v>0</v>
          </cell>
          <cell r="R178">
            <v>15063.226619458379</v>
          </cell>
        </row>
        <row r="185">
          <cell r="H185">
            <v>6718.9009337769667</v>
          </cell>
          <cell r="I185">
            <v>671.89009337769676</v>
          </cell>
          <cell r="Q185">
            <v>0</v>
          </cell>
          <cell r="R185">
            <v>7159.2550900334509</v>
          </cell>
        </row>
        <row r="191">
          <cell r="H191">
            <v>0</v>
          </cell>
          <cell r="I191">
            <v>181154.98207620005</v>
          </cell>
          <cell r="Q191">
            <v>0</v>
          </cell>
          <cell r="R191">
            <v>1378156.6048314394</v>
          </cell>
        </row>
        <row r="194">
          <cell r="H194">
            <v>2592.9773492500767</v>
          </cell>
          <cell r="I194">
            <v>0</v>
          </cell>
          <cell r="Q194">
            <v>0</v>
          </cell>
          <cell r="R194">
            <v>18121.93554730172</v>
          </cell>
        </row>
        <row r="199">
          <cell r="H199">
            <v>0</v>
          </cell>
          <cell r="I199">
            <v>609.94943460000002</v>
          </cell>
          <cell r="Q199">
            <v>0</v>
          </cell>
          <cell r="R199">
            <v>7003.3937018385614</v>
          </cell>
        </row>
        <row r="203">
          <cell r="H203">
            <v>200000</v>
          </cell>
          <cell r="I203">
            <v>0</v>
          </cell>
          <cell r="Q203">
            <v>0</v>
          </cell>
          <cell r="R203">
            <v>1163573.8754485797</v>
          </cell>
        </row>
        <row r="207">
          <cell r="H207">
            <v>200000</v>
          </cell>
          <cell r="I207">
            <v>0</v>
          </cell>
          <cell r="Q207">
            <v>0</v>
          </cell>
          <cell r="R207">
            <v>698144.32526914775</v>
          </cell>
        </row>
        <row r="211">
          <cell r="H211">
            <v>50000</v>
          </cell>
          <cell r="I211">
            <v>0</v>
          </cell>
          <cell r="Q211">
            <v>0</v>
          </cell>
          <cell r="R211">
            <v>349072.16263457388</v>
          </cell>
        </row>
        <row r="215">
          <cell r="H215">
            <v>20000</v>
          </cell>
          <cell r="I215">
            <v>0</v>
          </cell>
          <cell r="Q215">
            <v>0</v>
          </cell>
          <cell r="R215">
            <v>23271.477508971591</v>
          </cell>
        </row>
        <row r="230">
          <cell r="H230">
            <v>0</v>
          </cell>
          <cell r="I230">
            <v>1303.4390229885059</v>
          </cell>
          <cell r="Q230">
            <v>1609.1954022988505</v>
          </cell>
          <cell r="R230">
            <v>11254.144468231618</v>
          </cell>
        </row>
        <row r="237">
          <cell r="H237">
            <v>0</v>
          </cell>
          <cell r="I237">
            <v>2773.0080000000003</v>
          </cell>
          <cell r="Q237">
            <v>0</v>
          </cell>
          <cell r="R237">
            <v>7607.5725970714957</v>
          </cell>
        </row>
        <row r="241">
          <cell r="H241">
            <v>0</v>
          </cell>
          <cell r="I241">
            <v>7701.794891999999</v>
          </cell>
          <cell r="Q241">
            <v>0</v>
          </cell>
          <cell r="R241">
            <v>11983.970476795124</v>
          </cell>
        </row>
        <row r="251">
          <cell r="H251">
            <v>3500</v>
          </cell>
          <cell r="I251">
            <v>0</v>
          </cell>
          <cell r="Q251">
            <v>0</v>
          </cell>
          <cell r="R251">
            <v>3196.2173680045858</v>
          </cell>
        </row>
        <row r="256">
          <cell r="H256">
            <v>3318.9360000000001</v>
          </cell>
          <cell r="I256">
            <v>33189.360000000001</v>
          </cell>
          <cell r="Q256">
            <v>0</v>
          </cell>
          <cell r="R256">
            <v>32215.611028457381</v>
          </cell>
        </row>
        <row r="261">
          <cell r="H261">
            <v>0</v>
          </cell>
          <cell r="I261">
            <v>5812.2328695652177</v>
          </cell>
          <cell r="Q261">
            <v>11651.218312085946</v>
          </cell>
          <cell r="R261">
            <v>0</v>
          </cell>
        </row>
        <row r="265">
          <cell r="H265">
            <v>533.04904051172707</v>
          </cell>
          <cell r="I265">
            <v>533.04904051172707</v>
          </cell>
          <cell r="Q265">
            <v>0</v>
          </cell>
          <cell r="R265">
            <v>2877.8543317977683</v>
          </cell>
        </row>
        <row r="270">
          <cell r="H270">
            <v>7633.5877862595416</v>
          </cell>
          <cell r="I270">
            <v>0</v>
          </cell>
          <cell r="Q270">
            <v>5047.3389597714659</v>
          </cell>
          <cell r="R270">
            <v>0</v>
          </cell>
        </row>
        <row r="273">
          <cell r="H273">
            <v>200000</v>
          </cell>
          <cell r="I273">
            <v>0</v>
          </cell>
          <cell r="Q273">
            <v>0</v>
          </cell>
          <cell r="R273">
            <v>454260.50637943193</v>
          </cell>
        </row>
        <row r="278">
          <cell r="H278">
            <v>11746.023927199829</v>
          </cell>
          <cell r="I278">
            <v>0</v>
          </cell>
          <cell r="Q278">
            <v>49896.797173282022</v>
          </cell>
          <cell r="R278">
            <v>0</v>
          </cell>
        </row>
        <row r="280">
          <cell r="H280">
            <v>392180.13300765597</v>
          </cell>
          <cell r="I280">
            <v>0</v>
          </cell>
          <cell r="Q280">
            <v>2776617.953637863</v>
          </cell>
          <cell r="R280">
            <v>0</v>
          </cell>
        </row>
        <row r="283">
          <cell r="H283">
            <v>3200954.2587479339</v>
          </cell>
          <cell r="I283">
            <v>0</v>
          </cell>
          <cell r="Q283">
            <v>0</v>
          </cell>
          <cell r="R283">
            <v>1514201.6879314398</v>
          </cell>
        </row>
        <row r="287">
          <cell r="H287">
            <v>496467.83559999999</v>
          </cell>
          <cell r="I287">
            <v>0</v>
          </cell>
          <cell r="Q287">
            <v>0</v>
          </cell>
          <cell r="R287">
            <v>757100.8439657198</v>
          </cell>
        </row>
        <row r="291">
          <cell r="H291">
            <v>496467.83559999999</v>
          </cell>
          <cell r="I291">
            <v>0</v>
          </cell>
          <cell r="Q291">
            <v>0</v>
          </cell>
          <cell r="R291">
            <v>757100.8439657198</v>
          </cell>
        </row>
        <row r="295">
          <cell r="H295">
            <v>3075822.2460000007</v>
          </cell>
          <cell r="I295">
            <v>0</v>
          </cell>
          <cell r="Q295">
            <v>1002579.2</v>
          </cell>
          <cell r="R295">
            <v>0</v>
          </cell>
        </row>
        <row r="301">
          <cell r="H301">
            <v>570057.95256198349</v>
          </cell>
          <cell r="I301">
            <v>0</v>
          </cell>
        </row>
        <row r="305">
          <cell r="H305">
            <v>28696.806510416664</v>
          </cell>
          <cell r="I305">
            <v>25000</v>
          </cell>
          <cell r="Q305">
            <v>0</v>
          </cell>
          <cell r="R305">
            <v>137815.66048314393</v>
          </cell>
        </row>
        <row r="313">
          <cell r="H313">
            <v>0</v>
          </cell>
          <cell r="I313">
            <v>50000</v>
          </cell>
          <cell r="Q313">
            <v>0</v>
          </cell>
          <cell r="R313">
            <v>536926.85047428962</v>
          </cell>
        </row>
        <row r="318">
          <cell r="H318">
            <v>7692.3076923076924</v>
          </cell>
          <cell r="I318">
            <v>0</v>
          </cell>
          <cell r="Q318">
            <v>0</v>
          </cell>
          <cell r="R318">
            <v>12322.977031263839</v>
          </cell>
        </row>
        <row r="324">
          <cell r="H324">
            <v>2304593.0853333334</v>
          </cell>
          <cell r="I324">
            <v>0</v>
          </cell>
          <cell r="Q324">
            <v>0</v>
          </cell>
          <cell r="R324">
            <v>2341204.7030503028</v>
          </cell>
        </row>
        <row r="331">
          <cell r="H331">
            <v>0</v>
          </cell>
          <cell r="I331">
            <v>50000</v>
          </cell>
          <cell r="Q331">
            <v>0</v>
          </cell>
          <cell r="R331">
            <v>596028.72377914772</v>
          </cell>
        </row>
        <row r="335">
          <cell r="H335">
            <v>0</v>
          </cell>
          <cell r="I335">
            <v>25000</v>
          </cell>
          <cell r="Q335">
            <v>0</v>
          </cell>
          <cell r="R335">
            <v>401679.83312537492</v>
          </cell>
        </row>
        <row r="338">
          <cell r="H338">
            <v>250000</v>
          </cell>
          <cell r="I338">
            <v>0</v>
          </cell>
          <cell r="Q338">
            <v>0</v>
          </cell>
          <cell r="R338">
            <v>3651634.8465943178</v>
          </cell>
        </row>
      </sheetData>
      <sheetData sheetId="4">
        <row r="4">
          <cell r="F4">
            <v>17</v>
          </cell>
          <cell r="G4">
            <v>1066.5</v>
          </cell>
          <cell r="H4">
            <v>1170</v>
          </cell>
        </row>
        <row r="5">
          <cell r="Q5">
            <v>4</v>
          </cell>
        </row>
        <row r="12">
          <cell r="J12">
            <v>1504670.291</v>
          </cell>
          <cell r="R12">
            <v>3</v>
          </cell>
        </row>
        <row r="13">
          <cell r="J13">
            <v>150000</v>
          </cell>
        </row>
        <row r="22">
          <cell r="J22">
            <v>4372210.5820000004</v>
          </cell>
        </row>
        <row r="28">
          <cell r="J28">
            <v>500000</v>
          </cell>
        </row>
        <row r="30">
          <cell r="J30">
            <v>730326.96931886359</v>
          </cell>
        </row>
        <row r="67">
          <cell r="F67">
            <v>1.3327274271410152</v>
          </cell>
        </row>
      </sheetData>
      <sheetData sheetId="5">
        <row r="121">
          <cell r="N121">
            <v>107</v>
          </cell>
          <cell r="O121">
            <v>258</v>
          </cell>
          <cell r="P121">
            <v>425</v>
          </cell>
          <cell r="Q121">
            <v>200</v>
          </cell>
          <cell r="R121">
            <v>77</v>
          </cell>
          <cell r="S121">
            <v>77</v>
          </cell>
          <cell r="T121">
            <v>442</v>
          </cell>
          <cell r="U121">
            <v>360</v>
          </cell>
          <cell r="AE121">
            <v>77</v>
          </cell>
          <cell r="AG121">
            <v>107</v>
          </cell>
          <cell r="AH121">
            <v>186</v>
          </cell>
          <cell r="AI121">
            <v>390</v>
          </cell>
          <cell r="BO121">
            <v>0</v>
          </cell>
          <cell r="BP121">
            <v>39</v>
          </cell>
          <cell r="BQ121">
            <v>48</v>
          </cell>
          <cell r="BR121">
            <v>106</v>
          </cell>
          <cell r="BS121">
            <v>562</v>
          </cell>
          <cell r="BT121">
            <v>73</v>
          </cell>
          <cell r="BU121">
            <v>143</v>
          </cell>
          <cell r="BW121">
            <v>8</v>
          </cell>
          <cell r="BX121">
            <v>174</v>
          </cell>
          <cell r="BY121">
            <v>92</v>
          </cell>
          <cell r="BZ121">
            <v>46</v>
          </cell>
          <cell r="CG121">
            <v>413</v>
          </cell>
          <cell r="CH121">
            <v>18</v>
          </cell>
          <cell r="CQ121">
            <v>24</v>
          </cell>
          <cell r="CR121">
            <v>109</v>
          </cell>
          <cell r="CS121">
            <v>16</v>
          </cell>
          <cell r="CT121">
            <v>12</v>
          </cell>
          <cell r="CU121">
            <v>260</v>
          </cell>
          <cell r="CV121">
            <v>62</v>
          </cell>
          <cell r="DC121">
            <v>32</v>
          </cell>
          <cell r="DD121">
            <v>9</v>
          </cell>
          <cell r="DM121">
            <v>1</v>
          </cell>
          <cell r="DN121">
            <v>8</v>
          </cell>
          <cell r="DO121">
            <v>9</v>
          </cell>
          <cell r="DP121">
            <v>27</v>
          </cell>
          <cell r="DQ121">
            <v>26</v>
          </cell>
          <cell r="DR121">
            <v>29</v>
          </cell>
          <cell r="DS121">
            <v>8</v>
          </cell>
          <cell r="DT121">
            <v>3</v>
          </cell>
        </row>
        <row r="123">
          <cell r="CY123">
            <v>140</v>
          </cell>
          <cell r="DB123">
            <v>226</v>
          </cell>
        </row>
      </sheetData>
      <sheetData sheetId="6">
        <row r="67">
          <cell r="Q67">
            <v>6</v>
          </cell>
        </row>
        <row r="69">
          <cell r="E69">
            <v>11</v>
          </cell>
          <cell r="H69">
            <v>57</v>
          </cell>
          <cell r="AD69">
            <v>65</v>
          </cell>
        </row>
      </sheetData>
      <sheetData sheetId="7">
        <row r="8">
          <cell r="X8">
            <v>2201631.50655</v>
          </cell>
          <cell r="AA8">
            <v>2820732.3578660213</v>
          </cell>
        </row>
        <row r="9">
          <cell r="X9">
            <v>2830669.0798500003</v>
          </cell>
          <cell r="AA9">
            <v>4231098.5367990322</v>
          </cell>
        </row>
        <row r="10">
          <cell r="X10">
            <v>1258075.1466000003</v>
          </cell>
          <cell r="AA10">
            <v>2350610.2982216845</v>
          </cell>
        </row>
        <row r="12">
          <cell r="X12">
            <v>733877.16885000002</v>
          </cell>
          <cell r="AA12">
            <v>1096951.4725034526</v>
          </cell>
        </row>
        <row r="13">
          <cell r="X13">
            <v>1048395.9555000002</v>
          </cell>
          <cell r="AA13">
            <v>1567073.5321477896</v>
          </cell>
        </row>
        <row r="14">
          <cell r="X14">
            <v>314518.78665000002</v>
          </cell>
          <cell r="AA14">
            <v>470122.05964433687</v>
          </cell>
        </row>
      </sheetData>
      <sheetData sheetId="8">
        <row r="6">
          <cell r="X6">
            <v>892886.95565999974</v>
          </cell>
          <cell r="AA6">
            <v>1519457.5765793482</v>
          </cell>
        </row>
        <row r="7">
          <cell r="X7">
            <v>1190515.9408799997</v>
          </cell>
          <cell r="AA7">
            <v>1519457.5765793482</v>
          </cell>
        </row>
        <row r="8">
          <cell r="X8">
            <v>892886.95565999974</v>
          </cell>
          <cell r="AA8">
            <v>1519457.5765793482</v>
          </cell>
        </row>
        <row r="9">
          <cell r="X9">
            <v>2976289.8521999991</v>
          </cell>
          <cell r="AA9">
            <v>10636203.036055434</v>
          </cell>
        </row>
        <row r="10">
          <cell r="X10">
            <v>2023467.3600000003</v>
          </cell>
          <cell r="AA10">
            <v>2577248.8822765904</v>
          </cell>
        </row>
      </sheetData>
      <sheetData sheetId="9">
        <row r="5">
          <cell r="H5">
            <v>2943433.7760000001</v>
          </cell>
        </row>
      </sheetData>
      <sheetData sheetId="10">
        <row r="11">
          <cell r="G11">
            <v>6864779.654000001</v>
          </cell>
        </row>
        <row r="26">
          <cell r="F26">
            <v>601141.68000000005</v>
          </cell>
        </row>
      </sheetData>
      <sheetData sheetId="11">
        <row r="29">
          <cell r="G29">
            <v>5213745.5347999996</v>
          </cell>
        </row>
      </sheetData>
      <sheetData sheetId="12">
        <row r="33">
          <cell r="E33">
            <v>78</v>
          </cell>
        </row>
        <row r="44">
          <cell r="C44">
            <v>73</v>
          </cell>
        </row>
        <row r="142">
          <cell r="C142">
            <v>81</v>
          </cell>
        </row>
        <row r="278">
          <cell r="C278">
            <v>40</v>
          </cell>
        </row>
        <row r="285">
          <cell r="C285">
            <v>136</v>
          </cell>
        </row>
        <row r="294">
          <cell r="E294">
            <v>61</v>
          </cell>
        </row>
        <row r="329">
          <cell r="H329">
            <v>132</v>
          </cell>
        </row>
        <row r="330">
          <cell r="F330">
            <v>347</v>
          </cell>
        </row>
        <row r="353">
          <cell r="H353">
            <v>262</v>
          </cell>
        </row>
        <row r="362">
          <cell r="G362">
            <v>20</v>
          </cell>
        </row>
      </sheetData>
      <sheetData sheetId="13">
        <row r="5">
          <cell r="H5">
            <v>1310987.0203636363</v>
          </cell>
        </row>
        <row r="24">
          <cell r="H24">
            <v>592217.14204958675</v>
          </cell>
        </row>
        <row r="41">
          <cell r="H41">
            <v>159726.77404958676</v>
          </cell>
        </row>
        <row r="51">
          <cell r="H51">
            <v>207344.83200000002</v>
          </cell>
        </row>
      </sheetData>
      <sheetData sheetId="14">
        <row r="47">
          <cell r="D47">
            <v>79748.530293941207</v>
          </cell>
        </row>
        <row r="48">
          <cell r="D48">
            <v>13291.421715656868</v>
          </cell>
        </row>
        <row r="50">
          <cell r="D50">
            <v>3625.4</v>
          </cell>
        </row>
      </sheetData>
      <sheetData sheetId="15">
        <row r="15">
          <cell r="D15">
            <v>107023.5988771658</v>
          </cell>
        </row>
        <row r="24">
          <cell r="D24">
            <v>21411.111111111109</v>
          </cell>
        </row>
        <row r="30">
          <cell r="D30">
            <v>12499.473157106691</v>
          </cell>
        </row>
        <row r="35">
          <cell r="D35">
            <v>9614.9793516205318</v>
          </cell>
        </row>
        <row r="36">
          <cell r="D36">
            <v>13460.971092268743</v>
          </cell>
        </row>
        <row r="42">
          <cell r="D42">
            <v>24807.3</v>
          </cell>
        </row>
        <row r="44">
          <cell r="D44">
            <v>35416.5</v>
          </cell>
        </row>
        <row r="46">
          <cell r="D46">
            <v>7699.9999999999991</v>
          </cell>
        </row>
        <row r="47">
          <cell r="D47">
            <v>11816</v>
          </cell>
        </row>
        <row r="48">
          <cell r="D48">
            <v>68810</v>
          </cell>
        </row>
        <row r="50">
          <cell r="D50">
            <v>18760</v>
          </cell>
        </row>
        <row r="51">
          <cell r="D51">
            <v>232812.45</v>
          </cell>
        </row>
        <row r="52">
          <cell r="D52">
            <v>349202.7</v>
          </cell>
        </row>
        <row r="63">
          <cell r="D63">
            <v>19750412.024770182</v>
          </cell>
        </row>
        <row r="64">
          <cell r="D64">
            <v>2194490.2249744646</v>
          </cell>
        </row>
        <row r="74">
          <cell r="D74">
            <v>1829911.588442879</v>
          </cell>
        </row>
      </sheetData>
      <sheetData sheetId="16">
        <row r="12">
          <cell r="E12">
            <v>12909.380278326502</v>
          </cell>
          <cell r="H12">
            <v>20969.668276163422</v>
          </cell>
          <cell r="K12">
            <v>504.28266953387617</v>
          </cell>
        </row>
        <row r="13">
          <cell r="E13">
            <v>6590.9962250622011</v>
          </cell>
          <cell r="H13">
            <v>9785.84519554293</v>
          </cell>
          <cell r="K13">
            <v>235.33191244914221</v>
          </cell>
        </row>
        <row r="14">
          <cell r="E14">
            <v>8314.4980560000004</v>
          </cell>
          <cell r="H14">
            <v>9785.84519554293</v>
          </cell>
          <cell r="K14">
            <v>235.33191244914221</v>
          </cell>
        </row>
        <row r="15">
          <cell r="E15">
            <v>11492.440370891401</v>
          </cell>
          <cell r="H15">
            <v>9785.84519554293</v>
          </cell>
          <cell r="K15">
            <v>235.33191244914221</v>
          </cell>
        </row>
        <row r="17">
          <cell r="E17">
            <v>11547.8937354768</v>
          </cell>
          <cell r="H17">
            <v>9785.84519554293</v>
          </cell>
          <cell r="K17">
            <v>235.33191244914221</v>
          </cell>
        </row>
        <row r="18">
          <cell r="E18">
            <v>4066.3295639999997</v>
          </cell>
          <cell r="H18">
            <v>55045.379224928984</v>
          </cell>
          <cell r="K18">
            <v>405.54861765584405</v>
          </cell>
        </row>
        <row r="19">
          <cell r="E19">
            <v>1487.9069540999999</v>
          </cell>
          <cell r="H19">
            <v>36696.919483285987</v>
          </cell>
          <cell r="K19">
            <v>202.77430882792203</v>
          </cell>
        </row>
        <row r="21">
          <cell r="E21">
            <v>809.61503400000015</v>
          </cell>
          <cell r="H21">
            <v>3938.2617666857413</v>
          </cell>
          <cell r="K21">
            <v>126.07066738346904</v>
          </cell>
        </row>
        <row r="23">
          <cell r="E23">
            <v>4009.2266140000002</v>
          </cell>
          <cell r="H23">
            <v>10647.256141088275</v>
          </cell>
          <cell r="K23">
            <v>306.95466841192462</v>
          </cell>
        </row>
        <row r="24">
          <cell r="E24">
            <v>4009.2266140000002</v>
          </cell>
          <cell r="H24">
            <v>15305.430702814396</v>
          </cell>
          <cell r="K24">
            <v>769.31526348917725</v>
          </cell>
        </row>
        <row r="27">
          <cell r="E27">
            <v>6968.0306291446286</v>
          </cell>
          <cell r="H27">
            <v>10126.741046938852</v>
          </cell>
          <cell r="K27">
            <v>120.04691821133424</v>
          </cell>
        </row>
        <row r="29">
          <cell r="E29">
            <v>4066.3295640000006</v>
          </cell>
          <cell r="H29">
            <v>10118.033699552867</v>
          </cell>
          <cell r="K29">
            <v>282.12077749971758</v>
          </cell>
        </row>
        <row r="30">
          <cell r="E30">
            <v>2923.7665455000006</v>
          </cell>
          <cell r="H30">
            <v>7626.9743955584972</v>
          </cell>
          <cell r="K30">
            <v>174.89809445631428</v>
          </cell>
        </row>
        <row r="31">
          <cell r="E31">
            <v>2923.7665455000006</v>
          </cell>
          <cell r="H31">
            <v>8652.5810738939417</v>
          </cell>
          <cell r="K31">
            <v>241.06768511742465</v>
          </cell>
        </row>
        <row r="33">
          <cell r="E33">
            <v>1824.9262730000003</v>
          </cell>
          <cell r="H33">
            <v>14504.129532884901</v>
          </cell>
          <cell r="K33">
            <v>234.44230749381219</v>
          </cell>
        </row>
        <row r="36">
          <cell r="E36">
            <v>7156.2986004793383</v>
          </cell>
          <cell r="H36">
            <v>11647.705291780305</v>
          </cell>
          <cell r="K36">
            <v>225.81274523621107</v>
          </cell>
        </row>
        <row r="37">
          <cell r="E37">
            <v>7156.2986004793383</v>
          </cell>
          <cell r="H37">
            <v>15142.016879314397</v>
          </cell>
          <cell r="K37">
            <v>293.55656880707437</v>
          </cell>
        </row>
        <row r="38">
          <cell r="E38">
            <v>1066.3432439999999</v>
          </cell>
          <cell r="H38">
            <v>5047.3389597714659</v>
          </cell>
          <cell r="K38">
            <v>97.852189602358123</v>
          </cell>
        </row>
        <row r="40">
          <cell r="E40">
            <v>10671.936802390735</v>
          </cell>
          <cell r="H40">
            <v>15938.965136120418</v>
          </cell>
          <cell r="K40">
            <v>263.73013064992216</v>
          </cell>
        </row>
        <row r="41">
          <cell r="E41">
            <v>14660.054765467659</v>
          </cell>
          <cell r="H41">
            <v>15938.965136120418</v>
          </cell>
          <cell r="K41">
            <v>263.73013064992216</v>
          </cell>
        </row>
        <row r="45">
          <cell r="E45">
            <v>16385.364651327334</v>
          </cell>
          <cell r="H45">
            <v>21631.452684734853</v>
          </cell>
          <cell r="K45">
            <v>347.9053135538723</v>
          </cell>
        </row>
        <row r="50">
          <cell r="E50">
            <v>9769.1537790679558</v>
          </cell>
          <cell r="H50">
            <v>5871.5071173257575</v>
          </cell>
          <cell r="K50">
            <v>32.180227486448004</v>
          </cell>
        </row>
        <row r="56">
          <cell r="E56">
            <v>1256.6125285555554</v>
          </cell>
          <cell r="H56">
            <v>1834.8459741642994</v>
          </cell>
          <cell r="K56">
            <v>10.056321089515</v>
          </cell>
        </row>
        <row r="60">
          <cell r="E60">
            <v>1062.8718108264463</v>
          </cell>
          <cell r="H60">
            <v>5728.4731437714654</v>
          </cell>
          <cell r="K60">
            <v>167.0290827449507</v>
          </cell>
        </row>
        <row r="63">
          <cell r="E63">
            <v>17867.355495</v>
          </cell>
          <cell r="K63">
            <v>1667.3180256186997</v>
          </cell>
        </row>
        <row r="64">
          <cell r="E64">
            <v>14804.6642249</v>
          </cell>
          <cell r="K64">
            <v>1667.3180256186997</v>
          </cell>
        </row>
        <row r="79">
          <cell r="E79">
            <v>2717.5178580000002</v>
          </cell>
          <cell r="H79">
            <v>7814.7833452434052</v>
          </cell>
          <cell r="K79">
            <v>223.75096146529327</v>
          </cell>
        </row>
        <row r="80">
          <cell r="E80">
            <v>2272.0787045000002</v>
          </cell>
          <cell r="H80">
            <v>4296.3548578285991</v>
          </cell>
          <cell r="K80">
            <v>96.19395195097286</v>
          </cell>
        </row>
        <row r="89">
          <cell r="E89">
            <v>2141.6929605000005</v>
          </cell>
          <cell r="H89">
            <v>3437.0838862628793</v>
          </cell>
          <cell r="K89">
            <v>76.955161560778294</v>
          </cell>
        </row>
        <row r="90">
          <cell r="E90">
            <v>20340.180885000002</v>
          </cell>
          <cell r="K90">
            <v>1667.3180256186997</v>
          </cell>
        </row>
        <row r="91">
          <cell r="E91">
            <v>34429.494880000006</v>
          </cell>
          <cell r="K91">
            <v>1667.3180256186997</v>
          </cell>
        </row>
        <row r="92">
          <cell r="E92">
            <v>12087.90438625</v>
          </cell>
          <cell r="K92">
            <v>1083.7567166521549</v>
          </cell>
        </row>
      </sheetData>
      <sheetData sheetId="17">
        <row r="5">
          <cell r="B5">
            <v>76955.079706571953</v>
          </cell>
        </row>
        <row r="7">
          <cell r="B7">
            <v>60860.580776571966</v>
          </cell>
        </row>
      </sheetData>
      <sheetData sheetId="18">
        <row r="4">
          <cell r="K4">
            <v>51</v>
          </cell>
          <cell r="V4">
            <v>12</v>
          </cell>
        </row>
        <row r="5">
          <cell r="K5">
            <v>7</v>
          </cell>
        </row>
        <row r="7">
          <cell r="K7">
            <v>38</v>
          </cell>
        </row>
        <row r="8">
          <cell r="V8">
            <v>7</v>
          </cell>
        </row>
        <row r="9">
          <cell r="K9">
            <v>90</v>
          </cell>
        </row>
        <row r="10">
          <cell r="K10">
            <v>32</v>
          </cell>
        </row>
        <row r="11">
          <cell r="K11">
            <v>46</v>
          </cell>
        </row>
        <row r="12">
          <cell r="K12">
            <v>31</v>
          </cell>
        </row>
        <row r="13">
          <cell r="K13">
            <v>24</v>
          </cell>
        </row>
        <row r="14">
          <cell r="K14">
            <v>39</v>
          </cell>
        </row>
        <row r="15">
          <cell r="K15">
            <v>4</v>
          </cell>
        </row>
        <row r="16">
          <cell r="K16">
            <v>16</v>
          </cell>
        </row>
        <row r="17">
          <cell r="K17">
            <v>10</v>
          </cell>
        </row>
        <row r="18">
          <cell r="K18">
            <v>6</v>
          </cell>
        </row>
        <row r="39">
          <cell r="O39">
            <v>15</v>
          </cell>
        </row>
        <row r="40">
          <cell r="O40">
            <v>228712</v>
          </cell>
        </row>
        <row r="47">
          <cell r="F47">
            <v>275042.3782903782</v>
          </cell>
        </row>
        <row r="48">
          <cell r="F48">
            <v>635192.71722614043</v>
          </cell>
        </row>
        <row r="49">
          <cell r="F49">
            <v>428196.58025620243</v>
          </cell>
        </row>
        <row r="50">
          <cell r="F50">
            <v>402072.54172518163</v>
          </cell>
        </row>
        <row r="52">
          <cell r="F52">
            <v>528753.37025620253</v>
          </cell>
        </row>
        <row r="53">
          <cell r="F53">
            <v>333700.5057903782</v>
          </cell>
        </row>
        <row r="54">
          <cell r="F54">
            <v>372584.32994905504</v>
          </cell>
        </row>
        <row r="55">
          <cell r="F55">
            <v>379758.83388002339</v>
          </cell>
        </row>
        <row r="56">
          <cell r="F56">
            <v>567913.50664448494</v>
          </cell>
        </row>
        <row r="57">
          <cell r="F57">
            <v>565756.86506570573</v>
          </cell>
        </row>
        <row r="58">
          <cell r="F58">
            <v>410452.27422518161</v>
          </cell>
        </row>
        <row r="60">
          <cell r="F60">
            <v>534635.9272261404</v>
          </cell>
        </row>
        <row r="61">
          <cell r="F61">
            <v>543657.96059143287</v>
          </cell>
        </row>
        <row r="63">
          <cell r="F63">
            <v>416173.60204176838</v>
          </cell>
        </row>
      </sheetData>
      <sheetData sheetId="19">
        <row r="4">
          <cell r="M4">
            <v>308</v>
          </cell>
          <cell r="O4">
            <v>13</v>
          </cell>
        </row>
        <row r="25">
          <cell r="M25">
            <v>15</v>
          </cell>
        </row>
      </sheetData>
      <sheetData sheetId="20">
        <row r="5">
          <cell r="C5">
            <v>194327.43390101619</v>
          </cell>
        </row>
        <row r="6">
          <cell r="C6">
            <v>281633.96217538579</v>
          </cell>
        </row>
        <row r="47">
          <cell r="D47">
            <v>317914.04751247447</v>
          </cell>
        </row>
        <row r="72">
          <cell r="D72">
            <v>357640.89987449948</v>
          </cell>
        </row>
        <row r="99">
          <cell r="D99">
            <v>537036.8067412331</v>
          </cell>
        </row>
        <row r="123">
          <cell r="D123">
            <v>221790.79493264115</v>
          </cell>
        </row>
        <row r="148">
          <cell r="D148">
            <v>324424.43495983491</v>
          </cell>
        </row>
      </sheetData>
      <sheetData sheetId="21">
        <row r="148">
          <cell r="G148">
            <v>8458556.625</v>
          </cell>
        </row>
      </sheetData>
      <sheetData sheetId="22">
        <row r="301">
          <cell r="L301">
            <v>621</v>
          </cell>
          <cell r="M301">
            <v>780</v>
          </cell>
          <cell r="O301">
            <v>56</v>
          </cell>
          <cell r="P301">
            <v>42</v>
          </cell>
          <cell r="Q301">
            <v>70</v>
          </cell>
          <cell r="R301">
            <v>5</v>
          </cell>
          <cell r="S301">
            <v>193</v>
          </cell>
          <cell r="V301">
            <v>231</v>
          </cell>
        </row>
        <row r="303">
          <cell r="V303">
            <v>462</v>
          </cell>
        </row>
      </sheetData>
      <sheetData sheetId="23">
        <row r="244">
          <cell r="L244">
            <v>879</v>
          </cell>
          <cell r="M244">
            <v>1439</v>
          </cell>
          <cell r="N244">
            <v>710</v>
          </cell>
          <cell r="O244">
            <v>716</v>
          </cell>
        </row>
      </sheetData>
      <sheetData sheetId="24">
        <row r="43">
          <cell r="J43">
            <v>19</v>
          </cell>
          <cell r="K43">
            <v>46</v>
          </cell>
          <cell r="L43">
            <v>626</v>
          </cell>
          <cell r="M43">
            <v>386</v>
          </cell>
        </row>
      </sheetData>
      <sheetData sheetId="25">
        <row r="75">
          <cell r="M75">
            <v>460</v>
          </cell>
          <cell r="N75">
            <v>434</v>
          </cell>
          <cell r="O75">
            <v>115</v>
          </cell>
          <cell r="P75">
            <v>89</v>
          </cell>
          <cell r="Q75">
            <v>530</v>
          </cell>
          <cell r="R75">
            <v>56</v>
          </cell>
          <cell r="S75">
            <v>469</v>
          </cell>
        </row>
        <row r="77">
          <cell r="M77">
            <v>204</v>
          </cell>
        </row>
        <row r="78">
          <cell r="M78">
            <v>460</v>
          </cell>
        </row>
        <row r="79">
          <cell r="M79">
            <v>144</v>
          </cell>
        </row>
      </sheetData>
      <sheetData sheetId="26">
        <row r="173">
          <cell r="L173">
            <v>756</v>
          </cell>
          <cell r="M173">
            <v>56</v>
          </cell>
          <cell r="P173">
            <v>739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ía Jesús Vallega" id="{7009ACC4-3005-4948-8F97-D6C4C6028D25}" userId="S::maria.vallega@arquinering.com::75ec7bfa-677d-4be9-b163-39a25a7fb5cf" providerId="AD"/>
  <person displayName="Matías Castarataro" id="{9877FB95-8BD6-43D6-8463-A23F6D80CE44}" userId="S::matias.castarataro@arquinering.com::f13938ae-405c-413a-8a11-5bb41d9db49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6DCD2-49F8-4B06-9110-06B870EA247D}" name="ProyeCAC" displayName="ProyeCAC" ref="A1:D20" totalsRowShown="0" headerRowDxfId="145">
  <autoFilter ref="A1:D20" xr:uid="{A1F4C0C0-F70C-4DFC-95DE-DC769CD54EAF}">
    <filterColumn colId="0" hiddenButton="1"/>
    <filterColumn colId="1" hiddenButton="1"/>
    <filterColumn colId="2" hiddenButton="1"/>
    <filterColumn colId="3" hiddenButton="1"/>
  </autoFilter>
  <tableColumns count="4">
    <tableColumn id="1" xr3:uid="{C53DC71C-DDFA-4B27-A5C5-4AD16C513C69}" name="Escala de tiempo" dataDxfId="144"/>
    <tableColumn id="2" xr3:uid="{CECD4CE9-B3E4-4F9B-9147-A71CC92F1B90}" name="Valores"/>
    <tableColumn id="3" xr3:uid="{19581AB1-4E00-46C8-85EC-24819E629528}" name="Previsión">
      <calculatedColumnFormula>_xlfn.FORECAST.ETS(A2,$B$2:$B$12,$A$2:$A$12,1,1)</calculatedColumnFormula>
    </tableColumn>
    <tableColumn id="6" xr3:uid="{B7EA4AC4-782E-434D-B8F6-F0BF6FAC7FFE}" name="Indice" dataDxfId="143">
      <calculatedColumnFormula>$B$8/B2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704C0-F944-45AD-8054-B5702F81B704}" name="Tabla1" displayName="Tabla1" ref="B5:C1811" headerRowDxfId="142" dataDxfId="141">
  <autoFilter ref="B5:C1811" xr:uid="{66D41966-1E50-4B3D-B502-9977FF4BE0D5}"/>
  <tableColumns count="2">
    <tableColumn id="1" xr3:uid="{62F3F488-F7AE-4D7B-94C0-8F00371494DC}" name="Fecha" dataDxfId="140" totalsRowDxfId="139"/>
    <tableColumn id="2" xr3:uid="{556C01E7-2CA2-49D5-9D78-59E9FC6897D9}" name="Referencia" dataDxfId="138" totalsRowDxfId="13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5" dT="2024-04-09T01:07:31.07" personId="{9877FB95-8BD6-43D6-8463-A23F6D80CE44}" id="{55DADAF3-A165-40EE-A4C3-16AB9160DA41}">
    <text>Estimo a la mitad de la pared a realizar de nuevo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3" dT="2025-01-16T17:32:13.23" personId="{7009ACC4-3005-4948-8F97-D6C4C6028D25}" id="{385C540D-91B9-474D-9959-59167E466139}">
    <text>Estimo que reparo y completo ¼ de toda la superficie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92C5-7835-4527-B290-F65271895F7C}">
  <sheetPr codeName="Hoja1"/>
  <dimension ref="A1:E55"/>
  <sheetViews>
    <sheetView workbookViewId="0">
      <selection activeCell="D1" sqref="D1"/>
    </sheetView>
  </sheetViews>
  <sheetFormatPr defaultColWidth="11.453125" defaultRowHeight="14" x14ac:dyDescent="0.3"/>
  <cols>
    <col min="1" max="1" width="28" style="69" customWidth="1"/>
    <col min="2" max="2" width="16.81640625" style="69" customWidth="1"/>
    <col min="3" max="3" width="15.7265625" style="69" customWidth="1"/>
    <col min="4" max="4" width="23" style="69" customWidth="1"/>
    <col min="5" max="5" width="17.453125" style="69" customWidth="1"/>
    <col min="6" max="16384" width="11.453125" style="69"/>
  </cols>
  <sheetData>
    <row r="1" spans="1:5" x14ac:dyDescent="0.3">
      <c r="D1" s="1451" t="s">
        <v>0</v>
      </c>
    </row>
    <row r="2" spans="1:5" ht="18" x14ac:dyDescent="0.4">
      <c r="D2" s="71"/>
    </row>
    <row r="3" spans="1:5" ht="18" x14ac:dyDescent="0.4">
      <c r="D3" s="71"/>
    </row>
    <row r="6" spans="1:5" ht="15" customHeight="1" x14ac:dyDescent="0.3">
      <c r="A6" s="72" t="s">
        <v>1</v>
      </c>
      <c r="B6" s="167"/>
      <c r="C6" s="167"/>
      <c r="D6" s="167"/>
      <c r="E6" s="168"/>
    </row>
    <row r="7" spans="1:5" ht="15" customHeight="1" x14ac:dyDescent="0.3">
      <c r="A7" s="73" t="s">
        <v>2</v>
      </c>
      <c r="B7" s="74"/>
      <c r="C7" s="74"/>
      <c r="D7" s="74"/>
      <c r="E7" s="75"/>
    </row>
    <row r="8" spans="1:5" ht="15" customHeight="1" x14ac:dyDescent="0.3">
      <c r="A8" s="76" t="s">
        <v>3</v>
      </c>
      <c r="B8" s="103"/>
      <c r="C8" s="103"/>
      <c r="D8" s="103"/>
      <c r="E8" s="104"/>
    </row>
    <row r="9" spans="1:5" ht="15" customHeight="1" x14ac:dyDescent="0.3">
      <c r="A9" s="77"/>
      <c r="B9" s="77"/>
      <c r="C9" s="77"/>
      <c r="D9" s="77"/>
      <c r="E9" s="77"/>
    </row>
    <row r="11" spans="1:5" x14ac:dyDescent="0.3">
      <c r="A11" s="78" t="s">
        <v>4</v>
      </c>
      <c r="B11" s="79"/>
      <c r="D11" s="78" t="s">
        <v>5</v>
      </c>
      <c r="E11" s="80" t="s">
        <v>6</v>
      </c>
    </row>
    <row r="13" spans="1:5" x14ac:dyDescent="0.3">
      <c r="A13" s="78" t="s">
        <v>7</v>
      </c>
      <c r="B13" s="81"/>
      <c r="D13" s="78" t="s">
        <v>8</v>
      </c>
      <c r="E13" s="79"/>
    </row>
    <row r="14" spans="1:5" x14ac:dyDescent="0.3">
      <c r="A14" s="78" t="s">
        <v>9</v>
      </c>
      <c r="B14" s="82"/>
      <c r="D14" s="78" t="s">
        <v>10</v>
      </c>
      <c r="E14" s="83"/>
    </row>
    <row r="16" spans="1:5" x14ac:dyDescent="0.3">
      <c r="A16" s="84" t="s">
        <v>11</v>
      </c>
      <c r="B16" s="85"/>
      <c r="D16" s="84" t="s">
        <v>12</v>
      </c>
      <c r="E16" s="83"/>
    </row>
    <row r="17" spans="1:5" x14ac:dyDescent="0.3">
      <c r="A17" s="84" t="s">
        <v>13</v>
      </c>
      <c r="B17" s="86"/>
      <c r="D17" s="84" t="s">
        <v>14</v>
      </c>
      <c r="E17" s="83"/>
    </row>
    <row r="18" spans="1:5" x14ac:dyDescent="0.3">
      <c r="A18" s="84" t="s">
        <v>15</v>
      </c>
      <c r="B18" s="83"/>
      <c r="D18" s="87"/>
      <c r="E18" s="87"/>
    </row>
    <row r="20" spans="1:5" x14ac:dyDescent="0.3">
      <c r="A20" s="70" t="s">
        <v>16</v>
      </c>
    </row>
    <row r="21" spans="1:5" x14ac:dyDescent="0.3">
      <c r="A21" s="84" t="s">
        <v>17</v>
      </c>
      <c r="B21" s="1422"/>
      <c r="C21" s="1422"/>
      <c r="D21" s="1422"/>
      <c r="E21" s="1422"/>
    </row>
    <row r="22" spans="1:5" x14ac:dyDescent="0.3">
      <c r="A22" s="84" t="s">
        <v>18</v>
      </c>
      <c r="B22" s="1422"/>
      <c r="C22" s="1422"/>
      <c r="D22" s="1422"/>
      <c r="E22" s="1422"/>
    </row>
    <row r="23" spans="1:5" x14ac:dyDescent="0.3">
      <c r="A23" s="84" t="s">
        <v>19</v>
      </c>
      <c r="B23" s="1422"/>
      <c r="C23" s="1422"/>
      <c r="D23" s="1422"/>
      <c r="E23" s="1422"/>
    </row>
    <row r="25" spans="1:5" x14ac:dyDescent="0.3">
      <c r="A25" s="84" t="s">
        <v>20</v>
      </c>
      <c r="B25" s="1422"/>
      <c r="C25" s="1422"/>
      <c r="D25" s="1422"/>
      <c r="E25" s="1422"/>
    </row>
    <row r="26" spans="1:5" x14ac:dyDescent="0.3">
      <c r="A26" s="84" t="s">
        <v>21</v>
      </c>
      <c r="B26" s="1422"/>
      <c r="C26" s="1422"/>
      <c r="D26" s="1422"/>
      <c r="E26" s="1422"/>
    </row>
    <row r="28" spans="1:5" x14ac:dyDescent="0.3">
      <c r="A28" s="70" t="s">
        <v>22</v>
      </c>
    </row>
    <row r="29" spans="1:5" x14ac:dyDescent="0.3">
      <c r="A29" s="1423"/>
      <c r="B29" s="1423"/>
      <c r="C29" s="1423"/>
      <c r="D29" s="1423"/>
      <c r="E29" s="1423"/>
    </row>
    <row r="30" spans="1:5" x14ac:dyDescent="0.3">
      <c r="A30" s="1423"/>
      <c r="B30" s="1423"/>
      <c r="C30" s="1423"/>
      <c r="D30" s="1423"/>
      <c r="E30" s="1423"/>
    </row>
    <row r="31" spans="1:5" x14ac:dyDescent="0.3">
      <c r="A31" s="1423"/>
      <c r="B31" s="1423"/>
      <c r="C31" s="1423"/>
      <c r="D31" s="1423"/>
      <c r="E31" s="1423"/>
    </row>
    <row r="33" spans="1:5" x14ac:dyDescent="0.3">
      <c r="A33" s="70" t="s">
        <v>23</v>
      </c>
    </row>
    <row r="34" spans="1:5" x14ac:dyDescent="0.3">
      <c r="A34" s="88" t="s">
        <v>24</v>
      </c>
      <c r="B34" s="88" t="s">
        <v>25</v>
      </c>
      <c r="C34" s="88" t="s">
        <v>26</v>
      </c>
      <c r="D34" s="1424" t="s">
        <v>27</v>
      </c>
      <c r="E34" s="1425"/>
    </row>
    <row r="35" spans="1:5" ht="14.5" x14ac:dyDescent="0.35">
      <c r="A35" s="89"/>
      <c r="B35" s="90"/>
      <c r="C35" s="91"/>
      <c r="D35" s="1420"/>
      <c r="E35" s="1421"/>
    </row>
    <row r="36" spans="1:5" ht="14.5" x14ac:dyDescent="0.35">
      <c r="A36" s="89"/>
      <c r="B36" s="90"/>
      <c r="C36" s="91"/>
      <c r="D36" s="1420"/>
      <c r="E36" s="1421"/>
    </row>
    <row r="37" spans="1:5" ht="14.5" x14ac:dyDescent="0.35">
      <c r="A37" s="89"/>
      <c r="B37" s="90"/>
      <c r="C37" s="90"/>
      <c r="D37" s="1420"/>
      <c r="E37" s="1421"/>
    </row>
    <row r="38" spans="1:5" x14ac:dyDescent="0.3">
      <c r="A38" s="92"/>
      <c r="E38" s="93"/>
    </row>
    <row r="39" spans="1:5" x14ac:dyDescent="0.3">
      <c r="A39" s="94" t="s">
        <v>28</v>
      </c>
      <c r="B39" s="94" t="s">
        <v>26</v>
      </c>
      <c r="C39" s="94" t="s">
        <v>29</v>
      </c>
      <c r="D39" s="88" t="s">
        <v>30</v>
      </c>
      <c r="E39" s="88" t="s">
        <v>31</v>
      </c>
    </row>
    <row r="40" spans="1:5" x14ac:dyDescent="0.3">
      <c r="A40" s="95"/>
      <c r="B40" s="95"/>
      <c r="C40" s="95"/>
      <c r="D40" s="96"/>
      <c r="E40" s="96"/>
    </row>
    <row r="41" spans="1:5" x14ac:dyDescent="0.3">
      <c r="A41" s="95"/>
      <c r="B41" s="95"/>
      <c r="C41" s="95"/>
      <c r="D41" s="96"/>
      <c r="E41" s="96"/>
    </row>
    <row r="42" spans="1:5" x14ac:dyDescent="0.3">
      <c r="A42" s="95"/>
      <c r="B42" s="95"/>
      <c r="C42" s="95"/>
      <c r="D42" s="96"/>
      <c r="E42" s="96"/>
    </row>
    <row r="44" spans="1:5" x14ac:dyDescent="0.3">
      <c r="A44" s="94" t="s">
        <v>32</v>
      </c>
      <c r="B44" s="1426" t="s">
        <v>33</v>
      </c>
      <c r="C44" s="1427"/>
      <c r="D44" s="1426" t="s">
        <v>34</v>
      </c>
      <c r="E44" s="1427"/>
    </row>
    <row r="45" spans="1:5" x14ac:dyDescent="0.3">
      <c r="A45" s="95"/>
      <c r="B45" s="1428"/>
      <c r="C45" s="1429"/>
      <c r="D45" s="1428"/>
      <c r="E45" s="1429"/>
    </row>
    <row r="46" spans="1:5" x14ac:dyDescent="0.3">
      <c r="A46" s="95"/>
      <c r="B46" s="1428"/>
      <c r="C46" s="1429"/>
      <c r="D46" s="1428"/>
      <c r="E46" s="1429"/>
    </row>
    <row r="47" spans="1:5" x14ac:dyDescent="0.3">
      <c r="A47" s="95"/>
      <c r="B47" s="1428"/>
      <c r="C47" s="1429"/>
      <c r="D47" s="1428"/>
      <c r="E47" s="1429"/>
    </row>
    <row r="48" spans="1:5" x14ac:dyDescent="0.3">
      <c r="A48" s="95"/>
      <c r="B48" s="1428"/>
      <c r="C48" s="1429"/>
      <c r="D48" s="1428"/>
      <c r="E48" s="1429"/>
    </row>
    <row r="49" spans="1:5" x14ac:dyDescent="0.3">
      <c r="A49" s="95"/>
      <c r="B49" s="1428"/>
      <c r="C49" s="1429"/>
      <c r="D49" s="1428"/>
      <c r="E49" s="1429"/>
    </row>
    <row r="50" spans="1:5" x14ac:dyDescent="0.3">
      <c r="A50" s="95"/>
      <c r="B50" s="1428"/>
      <c r="C50" s="1429"/>
      <c r="D50" s="1428"/>
      <c r="E50" s="1429"/>
    </row>
    <row r="51" spans="1:5" x14ac:dyDescent="0.3">
      <c r="A51" s="97"/>
      <c r="B51" s="98"/>
      <c r="C51" s="98"/>
      <c r="D51" s="98"/>
      <c r="E51" s="98"/>
    </row>
    <row r="52" spans="1:5" x14ac:dyDescent="0.3">
      <c r="A52" s="70" t="s">
        <v>35</v>
      </c>
    </row>
    <row r="53" spans="1:5" x14ac:dyDescent="0.3">
      <c r="A53" s="99"/>
      <c r="B53" s="100"/>
      <c r="C53" s="100"/>
      <c r="D53" s="100"/>
      <c r="E53" s="101"/>
    </row>
    <row r="54" spans="1:5" x14ac:dyDescent="0.3">
      <c r="A54" s="92"/>
      <c r="E54" s="93"/>
    </row>
    <row r="55" spans="1:5" x14ac:dyDescent="0.3">
      <c r="A55" s="102"/>
      <c r="B55" s="103"/>
      <c r="C55" s="103"/>
      <c r="D55" s="103"/>
      <c r="E55" s="104"/>
    </row>
  </sheetData>
  <mergeCells count="24">
    <mergeCell ref="B50:C50"/>
    <mergeCell ref="D50:E50"/>
    <mergeCell ref="B47:C47"/>
    <mergeCell ref="D47:E47"/>
    <mergeCell ref="B48:C48"/>
    <mergeCell ref="D48:E48"/>
    <mergeCell ref="B49:C49"/>
    <mergeCell ref="D49:E49"/>
    <mergeCell ref="B44:C44"/>
    <mergeCell ref="D44:E44"/>
    <mergeCell ref="B45:C45"/>
    <mergeCell ref="D45:E45"/>
    <mergeCell ref="B46:C46"/>
    <mergeCell ref="D46:E46"/>
    <mergeCell ref="D37:E37"/>
    <mergeCell ref="B21:E21"/>
    <mergeCell ref="B22:E22"/>
    <mergeCell ref="B23:E23"/>
    <mergeCell ref="B25:E25"/>
    <mergeCell ref="B26:E26"/>
    <mergeCell ref="A29:E31"/>
    <mergeCell ref="D34:E34"/>
    <mergeCell ref="D35:E35"/>
    <mergeCell ref="D36:E36"/>
  </mergeCells>
  <pageMargins left="0.39370078740157483" right="0.39370078740157483" top="0.74803149606299213" bottom="0.74803149606299213" header="0.31496062992125984" footer="0.31496062992125984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CB2A-0326-45EA-ABCE-C97A15A7140F}">
  <sheetPr codeName="Hoja2">
    <tabColor theme="9" tint="-0.249977111117893"/>
  </sheetPr>
  <dimension ref="B1:AI67"/>
  <sheetViews>
    <sheetView zoomScaleNormal="100" workbookViewId="0">
      <pane xSplit="3" ySplit="5" topLeftCell="L36" activePane="bottomRight" state="frozen"/>
      <selection pane="topRight" activeCell="D1" sqref="D1"/>
      <selection pane="bottomLeft" activeCell="A6" sqref="A6"/>
      <selection pane="bottomRight" activeCell="S38" sqref="S38"/>
    </sheetView>
  </sheetViews>
  <sheetFormatPr defaultColWidth="11.453125" defaultRowHeight="14.5" outlineLevelCol="1" x14ac:dyDescent="0.35"/>
  <cols>
    <col min="1" max="1" width="2.81640625" style="4" customWidth="1"/>
    <col min="2" max="2" width="25.453125" style="4" customWidth="1"/>
    <col min="3" max="3" width="5.7265625" style="4" bestFit="1" customWidth="1"/>
    <col min="4" max="7" width="12" style="4" customWidth="1" outlineLevel="1"/>
    <col min="8" max="10" width="12.54296875" style="4" customWidth="1" outlineLevel="1"/>
    <col min="11" max="20" width="12.54296875" style="4" customWidth="1"/>
    <col min="21" max="21" width="1" style="4" customWidth="1"/>
    <col min="22" max="22" width="12.54296875" style="4" customWidth="1"/>
    <col min="23" max="23" width="1.26953125" style="4" customWidth="1"/>
    <col min="24" max="25" width="11.81640625" style="4" customWidth="1" outlineLevel="1"/>
    <col min="26" max="26" width="13.453125" style="4" bestFit="1" customWidth="1"/>
    <col min="27" max="27" width="5.7265625" style="4" bestFit="1" customWidth="1"/>
    <col min="28" max="28" width="12.26953125" style="4" customWidth="1"/>
    <col min="29" max="29" width="8.26953125" style="4" customWidth="1"/>
    <col min="30" max="30" width="11.54296875" style="4" customWidth="1"/>
    <col min="31" max="31" width="9.7265625" style="4" bestFit="1" customWidth="1"/>
    <col min="32" max="32" width="7.26953125" style="4" bestFit="1" customWidth="1"/>
    <col min="33" max="33" width="14.1796875" style="4" bestFit="1" customWidth="1"/>
    <col min="34" max="16384" width="11.453125" style="4"/>
  </cols>
  <sheetData>
    <row r="1" spans="2:35" ht="21.5" thickBot="1" x14ac:dyDescent="0.55000000000000004">
      <c r="B1" s="59"/>
      <c r="C1" s="59"/>
      <c r="I1" s="61"/>
      <c r="AE1" s="157" t="s">
        <v>36</v>
      </c>
      <c r="AF1" s="156">
        <v>46133</v>
      </c>
    </row>
    <row r="2" spans="2:35" ht="7.15" customHeight="1" x14ac:dyDescent="0.5">
      <c r="B2" s="59"/>
      <c r="C2" s="59"/>
      <c r="AD2" s="169"/>
    </row>
    <row r="3" spans="2:35" x14ac:dyDescent="0.35">
      <c r="B3" s="60" t="s">
        <v>37</v>
      </c>
      <c r="C3" s="60"/>
    </row>
    <row r="4" spans="2:35" ht="13.9" customHeight="1" x14ac:dyDescent="0.35">
      <c r="B4" s="60" t="s">
        <v>38</v>
      </c>
      <c r="C4" s="6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</row>
    <row r="5" spans="2:35" ht="25.15" customHeight="1" x14ac:dyDescent="0.35">
      <c r="B5" s="1"/>
      <c r="C5" s="1"/>
      <c r="D5" s="592">
        <v>45627</v>
      </c>
      <c r="E5" s="592">
        <v>45658</v>
      </c>
      <c r="F5" s="592">
        <v>45689</v>
      </c>
      <c r="G5" s="592">
        <v>45717</v>
      </c>
      <c r="H5" s="592">
        <v>45748</v>
      </c>
      <c r="I5" s="592">
        <v>45778</v>
      </c>
      <c r="J5" s="592">
        <v>45809</v>
      </c>
      <c r="K5" s="592">
        <v>45839</v>
      </c>
      <c r="L5" s="592">
        <v>45870</v>
      </c>
      <c r="M5" s="592">
        <v>45901</v>
      </c>
      <c r="N5" s="592">
        <v>45931</v>
      </c>
      <c r="O5" s="592">
        <v>45962</v>
      </c>
      <c r="P5" s="592">
        <v>45992</v>
      </c>
      <c r="Q5" s="592">
        <v>46023</v>
      </c>
      <c r="R5" s="592">
        <v>46054</v>
      </c>
      <c r="S5" s="592">
        <v>46082</v>
      </c>
      <c r="T5" s="592">
        <v>46113</v>
      </c>
      <c r="U5" s="2"/>
      <c r="V5" s="151" t="s">
        <v>39</v>
      </c>
      <c r="X5" s="592" t="s">
        <v>40</v>
      </c>
      <c r="Y5" s="592" t="s">
        <v>41</v>
      </c>
      <c r="Z5" s="152" t="s">
        <v>42</v>
      </c>
      <c r="AA5" s="1178" t="s">
        <v>43</v>
      </c>
      <c r="AB5" s="151" t="s">
        <v>44</v>
      </c>
      <c r="AC5" s="1178" t="s">
        <v>45</v>
      </c>
      <c r="AD5" s="151" t="s">
        <v>46</v>
      </c>
      <c r="AE5" s="2"/>
      <c r="AF5" s="2"/>
      <c r="AG5" s="2"/>
      <c r="AH5" s="2"/>
      <c r="AI5" s="3"/>
    </row>
    <row r="6" spans="2:35" ht="17.5" customHeight="1" x14ac:dyDescent="0.35">
      <c r="B6" s="159" t="s">
        <v>47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</row>
    <row r="7" spans="2:35" ht="17.5" customHeight="1" x14ac:dyDescent="0.35">
      <c r="B7" s="66" t="s">
        <v>48</v>
      </c>
      <c r="C7" s="160"/>
      <c r="D7" s="161">
        <f>SUM(VLOOKUP($B7,'Resumen Pto #1'!$B$5:$U$10,MATCH('Resumen General'!D$5,'Resumen Pto #1'!$B$5:$U$5,0),0),VLOOKUP($B7,'Resumen Pto #2'!$B$5:$U$10,MATCH('Resumen General'!D$5,'Resumen Pto #2'!$B$5:$U$5,0),0))</f>
        <v>0</v>
      </c>
      <c r="E7" s="161">
        <f>SUM(VLOOKUP($B7,'Resumen Pto #1'!$B$5:$U$10,MATCH('Resumen General'!E$5,'Resumen Pto #1'!$B$5:$U$5,0),0),VLOOKUP($B7,'Resumen Pto #2'!$B$5:$U$10,MATCH('Resumen General'!E$5,'Resumen Pto #2'!$B$5:$U$5,0),0))</f>
        <v>0</v>
      </c>
      <c r="F7" s="161">
        <f>SUM(VLOOKUP($B7,'Resumen Pto #1'!$B$5:$U$10,MATCH('Resumen General'!F$5,'Resumen Pto #1'!$B$5:$U$5,0),0),VLOOKUP($B7,'Resumen Pto #2'!$B$5:$U$10,MATCH('Resumen General'!F$5,'Resumen Pto #2'!$B$5:$U$5,0),0))</f>
        <v>284847612.79999995</v>
      </c>
      <c r="G7" s="161">
        <f>SUM(VLOOKUP($B7,'Resumen Pto #1'!$B$5:$U$10,MATCH('Resumen General'!G$5,'Resumen Pto #1'!$B$5:$U$5,0),0),VLOOKUP($B7,'Resumen Pto #2'!$B$5:$U$10,MATCH('Resumen General'!G$5,'Resumen Pto #2'!$B$5:$U$5,0),0))</f>
        <v>27616485</v>
      </c>
      <c r="H7" s="161">
        <f>SUM(VLOOKUP($B7,'Resumen Pto #1'!$B$5:$U$10,MATCH('Resumen General'!H$5,'Resumen Pto #1'!$B$5:$U$5,0),0),VLOOKUP($B7,'Resumen Pto #2'!$B$5:$U$10,MATCH('Resumen General'!H$5,'Resumen Pto #2'!$B$5:$U$5,0),0))</f>
        <v>24319183</v>
      </c>
      <c r="I7" s="161">
        <f>SUM(VLOOKUP($B7,'Resumen Pto #1'!$B$5:$U$10,MATCH('Resumen General'!I$5,'Resumen Pto #1'!$B$5:$U$5,0),0),VLOOKUP($B7,'Resumen Pto #2'!$B$5:$U$10,MATCH('Resumen General'!I$5,'Resumen Pto #2'!$B$5:$U$5,0),0))</f>
        <v>47861818</v>
      </c>
      <c r="J7" s="161">
        <f>SUM(VLOOKUP($B7,'Resumen Pto #1'!$B$5:$U$10,MATCH('Resumen General'!J$5,'Resumen Pto #1'!$B$5:$U$5,0),0),VLOOKUP($B7,'Resumen Pto #2'!$B$5:$U$10,MATCH('Resumen General'!J$5,'Resumen Pto #2'!$B$5:$U$5,0),0))</f>
        <v>29875785.023999996</v>
      </c>
      <c r="K7" s="161">
        <f>SUM(VLOOKUP($B7,'Resumen Pto #1'!$B$5:$U$10,MATCH('Resumen General'!K$5,'Resumen Pto #1'!$B$5:$U$5,0),0),VLOOKUP($B7,'Resumen Pto #2'!$B$5:$U$10,MATCH('Resumen General'!K$5,'Resumen Pto #2'!$B$5:$U$5,0),0))</f>
        <v>67092674.43</v>
      </c>
      <c r="L7" s="161">
        <f>SUM(VLOOKUP($B7,'Resumen Pto #1'!$B$5:$U$10,MATCH('Resumen General'!L$5,'Resumen Pto #1'!$B$5:$U$5,0),0),VLOOKUP($B7,'Resumen Pto #2'!$B$5:$U$10,MATCH('Resumen General'!L$5,'Resumen Pto #2'!$B$5:$U$5,0),0))</f>
        <v>43742543.945</v>
      </c>
      <c r="M7" s="161">
        <f>SUM(VLOOKUP($B7,'Resumen Pto #1'!$B$5:$U$10,MATCH('Resumen General'!M$5,'Resumen Pto #1'!$B$5:$U$5,0),0),VLOOKUP($B7,'Resumen Pto #2'!$B$5:$U$10,MATCH('Resumen General'!M$5,'Resumen Pto #2'!$B$5:$U$5,0),0))</f>
        <v>32991549.559999999</v>
      </c>
      <c r="N7" s="161">
        <f>SUM(VLOOKUP($B7,'Resumen Pto #1'!$B$5:$U$10,MATCH('Resumen General'!N$5,'Resumen Pto #1'!$B$5:$U$5,0),0),VLOOKUP($B7,'Resumen Pto #2'!$B$5:$U$10,MATCH('Resumen General'!N$5,'Resumen Pto #2'!$B$5:$U$5,0),0))</f>
        <v>26215860</v>
      </c>
      <c r="O7" s="161">
        <f>SUM(VLOOKUP($B7,'Resumen Pto #1'!$B$5:$U$10,MATCH('Resumen General'!O$5,'Resumen Pto #1'!$B$5:$U$5,0),0),VLOOKUP($B7,'Resumen Pto #2'!$B$5:$U$10,MATCH('Resumen General'!O$5,'Resumen Pto #2'!$B$5:$U$5,0),0))</f>
        <v>8088566.6849600002</v>
      </c>
      <c r="P7" s="161">
        <f>SUM(VLOOKUP($B7,'Resumen Pto #1'!$B$5:$U$10,MATCH('Resumen General'!P$5,'Resumen Pto #1'!$B$5:$U$5,0),0),VLOOKUP($B7,'Resumen Pto #2'!$B$5:$U$10,MATCH('Resumen General'!P$5,'Resumen Pto #2'!$B$5:$U$5,0),0))</f>
        <v>32994657.300000001</v>
      </c>
      <c r="Q7" s="161">
        <f>SUM(VLOOKUP($B7,'Resumen Pto #1'!$B$5:$U$10,MATCH('Resumen General'!Q$5,'Resumen Pto #1'!$B$5:$U$5,0),0),VLOOKUP($B7,'Resumen Pto #2'!$B$5:$U$10,MATCH('Resumen General'!Q$5,'Resumen Pto #2'!$B$5:$U$5,0),0))</f>
        <v>37677411.899999999</v>
      </c>
      <c r="R7" s="161">
        <f>SUM(VLOOKUP($B7,'Resumen Pto #1'!$B$5:$U$10,MATCH('Resumen General'!R$5,'Resumen Pto #1'!$B$5:$U$5,0),0),VLOOKUP($B7,'Resumen Pto #2'!$B$5:$U$10,MATCH('Resumen General'!R$5,'Resumen Pto #2'!$B$5:$U$5,0),0))</f>
        <v>25158565.469999999</v>
      </c>
      <c r="S7" s="161">
        <f>SUM(VLOOKUP($B7,'Resumen Pto #1'!$B$5:$U$10,MATCH('Resumen General'!S$5,'Resumen Pto #1'!$B$5:$U$5,0),0),VLOOKUP($B7,'Resumen Pto #2'!$B$5:$U$10,MATCH('Resumen General'!S$5,'Resumen Pto #2'!$B$5:$U$5,0),0))</f>
        <v>57396789.378000006</v>
      </c>
      <c r="T7" s="161">
        <f>SUM(VLOOKUP($B7,'Resumen Pto #1'!$B$5:$U$10,MATCH('Resumen General'!T$5,'Resumen Pto #1'!$B$5:$U$5,0),0),VLOOKUP($B7,'Resumen Pto #2'!$B$5:$U$10,MATCH('Resumen General'!T$5,'Resumen Pto #2'!$B$5:$U$5,0),0))</f>
        <v>0</v>
      </c>
      <c r="U7" s="2"/>
      <c r="V7" s="216">
        <f>SUM(D7:U7)</f>
        <v>745879502.49195993</v>
      </c>
      <c r="W7" s="2"/>
      <c r="X7" s="114">
        <f>'Resumen Pto #1'!X7</f>
        <v>500907720</v>
      </c>
      <c r="Y7" s="114">
        <f>'Resumen Pto #2'!X7</f>
        <v>844845247.99999988</v>
      </c>
      <c r="Z7" s="114">
        <f>SUM(X7:Y7)</f>
        <v>1345752968</v>
      </c>
      <c r="AA7" s="1180">
        <f>SUM('Cert. Pto. 01'!V46,'Cert. Pto. 02'!V195)/SUM('Cert. Pto. 02'!L195+'Cert. Pto. 01'!L46)</f>
        <v>0.577226827473733</v>
      </c>
      <c r="AB7" s="274">
        <f>IF(AA7=100%,0,IF(OR(V7&lt;&gt;0,Z7),Z7-V7))</f>
        <v>599873465.50804007</v>
      </c>
      <c r="AC7" s="263">
        <f>IF(OR(AB7&lt;0,Z7),AB7/Z7,0%)</f>
        <v>0.44575303177636394</v>
      </c>
      <c r="AD7" s="274">
        <f>IF(AA7=100%,IF(OR(U7&lt;&gt;0,Z7),Z7-U7),0)</f>
        <v>0</v>
      </c>
      <c r="AE7" s="2"/>
      <c r="AF7" s="2"/>
      <c r="AG7" s="2"/>
      <c r="AH7" s="2"/>
      <c r="AI7" s="3"/>
    </row>
    <row r="8" spans="2:35" ht="17.5" customHeight="1" x14ac:dyDescent="0.35">
      <c r="B8" s="162" t="s">
        <v>49</v>
      </c>
      <c r="C8" s="162"/>
      <c r="D8" s="163">
        <f>SUM(D7)</f>
        <v>0</v>
      </c>
      <c r="E8" s="163">
        <f t="shared" ref="E8:K8" si="0">SUM(E7)</f>
        <v>0</v>
      </c>
      <c r="F8" s="163">
        <f t="shared" si="0"/>
        <v>284847612.79999995</v>
      </c>
      <c r="G8" s="163">
        <f t="shared" si="0"/>
        <v>27616485</v>
      </c>
      <c r="H8" s="163">
        <f t="shared" si="0"/>
        <v>24319183</v>
      </c>
      <c r="I8" s="163">
        <f t="shared" si="0"/>
        <v>47861818</v>
      </c>
      <c r="J8" s="163">
        <f t="shared" si="0"/>
        <v>29875785.023999996</v>
      </c>
      <c r="K8" s="163">
        <f t="shared" si="0"/>
        <v>67092674.43</v>
      </c>
      <c r="L8" s="163">
        <f t="shared" ref="L8:M8" si="1">SUM(L7)</f>
        <v>43742543.945</v>
      </c>
      <c r="M8" s="163">
        <f t="shared" si="1"/>
        <v>32991549.559999999</v>
      </c>
      <c r="N8" s="163">
        <f t="shared" ref="N8:O8" si="2">SUM(N7)</f>
        <v>26215860</v>
      </c>
      <c r="O8" s="163">
        <f t="shared" si="2"/>
        <v>8088566.6849600002</v>
      </c>
      <c r="P8" s="163">
        <f t="shared" ref="P8:Q8" si="3">SUM(P7)</f>
        <v>32994657.300000001</v>
      </c>
      <c r="Q8" s="163">
        <f t="shared" si="3"/>
        <v>37677411.899999999</v>
      </c>
      <c r="R8" s="163">
        <f t="shared" ref="R8:S8" si="4">SUM(R7)</f>
        <v>25158565.469999999</v>
      </c>
      <c r="S8" s="163">
        <f t="shared" si="4"/>
        <v>57396789.378000006</v>
      </c>
      <c r="T8" s="163">
        <f t="shared" ref="T8" si="5">SUM(T7)</f>
        <v>0</v>
      </c>
      <c r="U8" s="2"/>
      <c r="V8" s="248">
        <f>SUM(V7)</f>
        <v>745879502.49195993</v>
      </c>
      <c r="W8" s="2"/>
      <c r="X8" s="253">
        <f>SUM(X7)</f>
        <v>500907720</v>
      </c>
      <c r="Y8" s="253">
        <f t="shared" ref="Y8:Z8" si="6">SUM(Y7)</f>
        <v>844845247.99999988</v>
      </c>
      <c r="Z8" s="253">
        <f t="shared" si="6"/>
        <v>1345752968</v>
      </c>
      <c r="AA8" s="2"/>
      <c r="AB8" s="253">
        <f>SUM(AB7)</f>
        <v>599873465.50804007</v>
      </c>
      <c r="AC8" s="263">
        <f t="shared" ref="AC8" si="7">IF(OR(AB8&lt;0,Z8),AB8/Z8,0%)</f>
        <v>0.44575303177636394</v>
      </c>
      <c r="AD8" s="253">
        <f>SUM(AD7)</f>
        <v>0</v>
      </c>
      <c r="AE8" s="2"/>
      <c r="AF8" s="2"/>
      <c r="AG8" s="2"/>
      <c r="AH8" s="2"/>
      <c r="AI8" s="3"/>
    </row>
    <row r="9" spans="2:35" x14ac:dyDescent="0.35">
      <c r="B9" s="66" t="s">
        <v>50</v>
      </c>
      <c r="C9" s="160"/>
      <c r="D9" s="161">
        <f>SUM(VLOOKUP($B9,'Resumen Pto #1'!$B$5:$U$10,MATCH('Resumen General'!D$5,'Resumen Pto #1'!$B$5:$U$5,0),0),VLOOKUP($B9,'Resumen Pto #2'!$B$5:$U$10,MATCH('Resumen General'!D$5,'Resumen Pto #2'!$B$5:$U$5,0),0))</f>
        <v>0</v>
      </c>
      <c r="E9" s="161">
        <f>SUM(VLOOKUP($B9,'Resumen Pto #1'!$B$5:$U$10,MATCH('Resumen General'!E$5,'Resumen Pto #1'!$B$5:$U$5,0),0),VLOOKUP($B9,'Resumen Pto #2'!$B$5:$U$10,MATCH('Resumen General'!E$5,'Resumen Pto #2'!$B$5:$U$5,0),0))</f>
        <v>0</v>
      </c>
      <c r="F9" s="161">
        <f>SUM(VLOOKUP($B9,'Resumen Pto #1'!$B$5:$U$10,MATCH('Resumen General'!F$5,'Resumen Pto #1'!$B$5:$U$5,0),0),VLOOKUP($B9,'Resumen Pto #2'!$B$5:$U$10,MATCH('Resumen General'!F$5,'Resumen Pto #2'!$B$5:$U$5,0),0))</f>
        <v>9200360.497824993</v>
      </c>
      <c r="G9" s="161">
        <f>SUM(VLOOKUP($B9,'Resumen Pto #1'!$B$5:$U$10,MATCH('Resumen General'!G$5,'Resumen Pto #1'!$B$5:$U$5,0),0),VLOOKUP($B9,'Resumen Pto #2'!$B$5:$U$10,MATCH('Resumen General'!G$5,'Resumen Pto #2'!$B$5:$U$5,0),0))</f>
        <v>891991.3698085472</v>
      </c>
      <c r="H9" s="161">
        <f>SUM(VLOOKUP($B9,'Resumen Pto #1'!$B$5:$U$10,MATCH('Resumen General'!H$5,'Resumen Pto #1'!$B$5:$U$5,0),0),VLOOKUP($B9,'Resumen Pto #2'!$B$5:$U$10,MATCH('Resumen General'!H$5,'Resumen Pto #2'!$B$5:$U$5,0),0))</f>
        <v>1011953.2209664384</v>
      </c>
      <c r="I9" s="161">
        <f>SUM(VLOOKUP($B9,'Resumen Pto #1'!$B$5:$U$10,MATCH('Resumen General'!I$5,'Resumen Pto #1'!$B$5:$U$5,0),0),VLOOKUP($B9,'Resumen Pto #2'!$B$5:$U$10,MATCH('Resumen General'!I$5,'Resumen Pto #2'!$B$5:$U$5,0),0))</f>
        <v>2796022.3375786883</v>
      </c>
      <c r="J9" s="161">
        <f>SUM(VLOOKUP($B9,'Resumen Pto #1'!$B$5:$U$10,MATCH('Resumen General'!J$5,'Resumen Pto #1'!$B$5:$U$5,0),0),VLOOKUP($B9,'Resumen Pto #2'!$B$5:$U$10,MATCH('Resumen General'!J$5,'Resumen Pto #2'!$B$5:$U$5,0),0))</f>
        <v>2266306.0319999997</v>
      </c>
      <c r="K9" s="161">
        <f>SUM(VLOOKUP($B9,'Resumen Pto #1'!$B$5:$U$10,MATCH('Resumen General'!K$5,'Resumen Pto #1'!$B$5:$U$5,0),0),VLOOKUP($B9,'Resumen Pto #2'!$B$5:$U$10,MATCH('Resumen General'!K$5,'Resumen Pto #2'!$B$5:$U$5,0),0))</f>
        <v>5622949.4399999995</v>
      </c>
      <c r="L9" s="161">
        <f>SUM(VLOOKUP($B9,'Resumen Pto #1'!$B$5:$U$10,MATCH('Resumen General'!L$5,'Resumen Pto #1'!$B$5:$U$5,0),0),VLOOKUP($B9,'Resumen Pto #2'!$B$5:$U$10,MATCH('Resumen General'!L$5,'Resumen Pto #2'!$B$5:$U$5,0),0))</f>
        <v>4509443.7039999999</v>
      </c>
      <c r="M9" s="161">
        <f>SUM(VLOOKUP($B9,'Resumen Pto #1'!$B$5:$U$10,MATCH('Resumen General'!M$5,'Resumen Pto #1'!$B$5:$U$5,0),0),VLOOKUP($B9,'Resumen Pto #2'!$B$5:$U$10,MATCH('Resumen General'!M$5,'Resumen Pto #2'!$B$5:$U$5,0),0))</f>
        <v>3934133.36</v>
      </c>
      <c r="N9" s="161">
        <f>SUM(VLOOKUP($B9,'Resumen Pto #1'!$B$5:$U$10,MATCH('Resumen General'!N$5,'Resumen Pto #1'!$B$5:$U$5,0),0),VLOOKUP($B9,'Resumen Pto #2'!$B$5:$U$10,MATCH('Resumen General'!N$5,'Resumen Pto #2'!$B$5:$U$5,0),0))</f>
        <v>4107260</v>
      </c>
      <c r="O9" s="161">
        <f>SUM(VLOOKUP($B9,'Resumen Pto #1'!$B$5:$U$10,MATCH('Resumen General'!O$5,'Resumen Pto #1'!$B$5:$U$5,0),0),VLOOKUP($B9,'Resumen Pto #2'!$B$5:$U$10,MATCH('Resumen General'!O$5,'Resumen Pto #2'!$B$5:$U$5,0),0))</f>
        <v>7934785.8670000006</v>
      </c>
      <c r="P9" s="161">
        <f>SUM(VLOOKUP($B9,'Resumen Pto #1'!$B$5:$U$10,MATCH('Resumen General'!P$5,'Resumen Pto #1'!$B$5:$U$5,0),0),VLOOKUP($B9,'Resumen Pto #2'!$B$5:$U$10,MATCH('Resumen General'!P$5,'Resumen Pto #2'!$B$5:$U$5,0),0))</f>
        <v>6829303.6299999999</v>
      </c>
      <c r="Q9" s="161">
        <f>SUM(VLOOKUP($B9,'Resumen Pto #1'!$B$5:$U$10,MATCH('Resumen General'!Q$5,'Resumen Pto #1'!$B$5:$U$5,0),0),VLOOKUP($B9,'Resumen Pto #2'!$B$5:$U$10,MATCH('Resumen General'!Q$5,'Resumen Pto #2'!$B$5:$U$5,0),0))</f>
        <v>8391323.2599999998</v>
      </c>
      <c r="R9" s="161">
        <f>SUM(VLOOKUP($B9,'Resumen Pto #1'!$B$5:$U$10,MATCH('Resumen General'!R$5,'Resumen Pto #1'!$B$5:$U$5,0),0),VLOOKUP($B9,'Resumen Pto #2'!$B$5:$U$10,MATCH('Resumen General'!R$5,'Resumen Pto #2'!$B$5:$U$5,0),0))</f>
        <v>6312414</v>
      </c>
      <c r="S9" s="161">
        <f>SUM(VLOOKUP($B9,'Resumen Pto #1'!$B$5:$U$10,MATCH('Resumen General'!S$5,'Resumen Pto #1'!$B$5:$U$5,0),0),VLOOKUP($B9,'Resumen Pto #2'!$B$5:$U$10,MATCH('Resumen General'!S$5,'Resumen Pto #2'!$B$5:$U$5,0),0))</f>
        <v>15311641.228</v>
      </c>
      <c r="T9" s="161">
        <f>SUM(VLOOKUP($B9,'Resumen Pto #1'!$B$5:$U$10,MATCH('Resumen General'!T$5,'Resumen Pto #1'!$B$5:$U$5,0),0),VLOOKUP($B9,'Resumen Pto #2'!$B$5:$U$10,MATCH('Resumen General'!T$5,'Resumen Pto #2'!$B$5:$U$5,0),0))</f>
        <v>0</v>
      </c>
      <c r="U9" s="2"/>
      <c r="V9" s="216">
        <f t="shared" ref="V9" si="8">SUM(D9:U9)</f>
        <v>79119887.947178662</v>
      </c>
      <c r="W9" s="2"/>
      <c r="X9" s="114">
        <f>'Resumen Pto #1'!X9</f>
        <v>0</v>
      </c>
      <c r="Y9" s="114">
        <f>'Resumen Pto #2'!X9</f>
        <v>0</v>
      </c>
      <c r="Z9" s="114">
        <f>SUM(X9:Y9)</f>
        <v>0</v>
      </c>
      <c r="AA9" s="114"/>
      <c r="AB9" s="274">
        <f>IF(AA9=100%,0,IF(Z9=0,Z9,Z9-V9))</f>
        <v>0</v>
      </c>
      <c r="AC9" s="263">
        <f t="shared" ref="AC9:AC10" si="9">IF(OR(AB9&lt;0,Z9),AB9/Z9,0%)</f>
        <v>0</v>
      </c>
      <c r="AD9" s="274">
        <f t="shared" ref="AD9" si="10">IF(AA9=100%,IF(OR(U9&lt;&gt;0,Z9),Z9-U9),0)</f>
        <v>0</v>
      </c>
      <c r="AE9" s="2"/>
      <c r="AF9" s="2"/>
      <c r="AG9" s="2"/>
      <c r="AH9" s="2"/>
      <c r="AI9" s="3"/>
    </row>
    <row r="10" spans="2:35" ht="17.5" customHeight="1" x14ac:dyDescent="0.35">
      <c r="B10" s="162" t="s">
        <v>49</v>
      </c>
      <c r="C10" s="162"/>
      <c r="D10" s="163">
        <f>SUM(D9)</f>
        <v>0</v>
      </c>
      <c r="E10" s="163">
        <f t="shared" ref="E10:K10" si="11">SUM(E9)</f>
        <v>0</v>
      </c>
      <c r="F10" s="163">
        <f t="shared" si="11"/>
        <v>9200360.497824993</v>
      </c>
      <c r="G10" s="163">
        <f t="shared" si="11"/>
        <v>891991.3698085472</v>
      </c>
      <c r="H10" s="163">
        <f t="shared" si="11"/>
        <v>1011953.2209664384</v>
      </c>
      <c r="I10" s="163">
        <f t="shared" si="11"/>
        <v>2796022.3375786883</v>
      </c>
      <c r="J10" s="163">
        <f t="shared" si="11"/>
        <v>2266306.0319999997</v>
      </c>
      <c r="K10" s="163">
        <f t="shared" si="11"/>
        <v>5622949.4399999995</v>
      </c>
      <c r="L10" s="163">
        <f t="shared" ref="L10:M10" si="12">SUM(L9)</f>
        <v>4509443.7039999999</v>
      </c>
      <c r="M10" s="163">
        <f t="shared" si="12"/>
        <v>3934133.36</v>
      </c>
      <c r="N10" s="163">
        <f t="shared" ref="N10:O10" si="13">SUM(N9)</f>
        <v>4107260</v>
      </c>
      <c r="O10" s="163">
        <f t="shared" si="13"/>
        <v>7934785.8670000006</v>
      </c>
      <c r="P10" s="163">
        <f t="shared" ref="P10:Q10" si="14">SUM(P9)</f>
        <v>6829303.6299999999</v>
      </c>
      <c r="Q10" s="163">
        <f t="shared" si="14"/>
        <v>8391323.2599999998</v>
      </c>
      <c r="R10" s="163">
        <f t="shared" ref="R10:S10" si="15">SUM(R9)</f>
        <v>6312414</v>
      </c>
      <c r="S10" s="163">
        <f t="shared" si="15"/>
        <v>15311641.228</v>
      </c>
      <c r="T10" s="163">
        <f t="shared" ref="T10" si="16">SUM(T9)</f>
        <v>0</v>
      </c>
      <c r="U10" s="2"/>
      <c r="V10" s="248">
        <f>SUM(V9)</f>
        <v>79119887.947178662</v>
      </c>
      <c r="W10" s="2"/>
      <c r="X10" s="253">
        <f>SUM(X9)</f>
        <v>0</v>
      </c>
      <c r="Y10" s="253">
        <f t="shared" ref="Y10:Z10" si="17">SUM(Y9)</f>
        <v>0</v>
      </c>
      <c r="Z10" s="253">
        <f t="shared" si="17"/>
        <v>0</v>
      </c>
      <c r="AA10" s="2"/>
      <c r="AB10" s="253">
        <f>SUM(AB9)</f>
        <v>0</v>
      </c>
      <c r="AC10" s="263">
        <f t="shared" si="9"/>
        <v>0</v>
      </c>
      <c r="AD10" s="253">
        <f>SUM(AD9)</f>
        <v>0</v>
      </c>
      <c r="AE10" s="2"/>
      <c r="AF10" s="2"/>
      <c r="AG10" s="2"/>
      <c r="AH10" s="2"/>
      <c r="AI10" s="3"/>
    </row>
    <row r="11" spans="2:35" ht="17.5" customHeight="1" x14ac:dyDescent="0.35">
      <c r="B11" s="1"/>
      <c r="C11" s="1"/>
      <c r="D11" s="1207"/>
      <c r="E11" s="1207"/>
      <c r="F11" s="1207"/>
      <c r="G11" s="1207"/>
      <c r="H11" s="1207"/>
      <c r="I11" s="1207"/>
      <c r="J11" s="1207"/>
      <c r="K11" s="1207"/>
      <c r="L11" s="1207"/>
      <c r="M11" s="1207"/>
      <c r="N11" s="1207"/>
      <c r="O11" s="1207"/>
      <c r="P11" s="1207"/>
      <c r="Q11" s="1207"/>
      <c r="R11" s="1207"/>
      <c r="S11" s="1207"/>
      <c r="T11" s="1207"/>
      <c r="U11" s="2"/>
      <c r="V11" s="1207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3"/>
    </row>
    <row r="12" spans="2:35" x14ac:dyDescent="0.35">
      <c r="B12" s="159" t="s">
        <v>51</v>
      </c>
      <c r="AE12" s="4" t="s">
        <v>52</v>
      </c>
    </row>
    <row r="13" spans="2:35" x14ac:dyDescent="0.35">
      <c r="B13" s="66" t="s">
        <v>53</v>
      </c>
      <c r="C13" s="160"/>
      <c r="D13" s="161">
        <f>'Resumen Pto #2'!D14</f>
        <v>0</v>
      </c>
      <c r="E13" s="161">
        <f>'Resumen Pto #2'!E14</f>
        <v>0</v>
      </c>
      <c r="F13" s="161">
        <f>'Resumen Pto #2'!F14</f>
        <v>240000</v>
      </c>
      <c r="G13" s="161">
        <f>'Resumen Pto #2'!G14</f>
        <v>1706000</v>
      </c>
      <c r="H13" s="161">
        <f>'Resumen Pto #2'!H14</f>
        <v>446700</v>
      </c>
      <c r="I13" s="161">
        <f>'Resumen Pto #2'!I14</f>
        <v>1707000</v>
      </c>
      <c r="J13" s="161">
        <f>'Resumen Pto #2'!J14</f>
        <v>3102500</v>
      </c>
      <c r="K13" s="161">
        <f>'Resumen Pto #2'!K14</f>
        <v>535650</v>
      </c>
      <c r="L13" s="161">
        <f>'Resumen Pto #2'!L14</f>
        <v>867350</v>
      </c>
      <c r="M13" s="161">
        <f>'Resumen Pto #2'!M14</f>
        <v>563846</v>
      </c>
      <c r="N13" s="161">
        <f>'Resumen Pto #2'!N14</f>
        <v>597500</v>
      </c>
      <c r="O13" s="161">
        <f>'Resumen Pto #2'!O14</f>
        <v>611500</v>
      </c>
      <c r="P13" s="161">
        <f>'Resumen Pto #2'!P14</f>
        <v>510175</v>
      </c>
      <c r="Q13" s="161">
        <f>'Resumen Pto #2'!Q14</f>
        <v>902278</v>
      </c>
      <c r="R13" s="161">
        <f>'Resumen Pto #2'!R14</f>
        <v>537124</v>
      </c>
      <c r="S13" s="161">
        <f>'Resumen Pto #2'!S14</f>
        <v>1685000</v>
      </c>
      <c r="T13" s="161">
        <f>'Resumen Pto #2'!T14</f>
        <v>790000</v>
      </c>
      <c r="U13" s="153"/>
      <c r="V13" s="216" cm="1">
        <f t="array" ref="V13">SUMPRODUCT($D13:$U13,TRANSPOSE('Indice CAC'!$D$2:$D$19))</f>
        <v>13132520.009952081</v>
      </c>
      <c r="W13" s="115"/>
      <c r="X13" s="114">
        <v>0</v>
      </c>
      <c r="Y13" s="114">
        <f>'Resumen Pto #2'!X14</f>
        <v>8568681.1640000008</v>
      </c>
      <c r="Z13" s="114">
        <f t="shared" ref="Z13:Z34" si="18">SUM(X13:Y13)</f>
        <v>8568681.1640000008</v>
      </c>
      <c r="AA13" s="1179">
        <f>IF($C13="MAT",SUMIF('Cert. Pto. 02'!$A$10:$A$194,$B13,'Cert. Pto. 02'!$T$10:$T$194),IF($C13="MO",SUMIF('Cert. Pto. 02'!$A$10:$A$194,$B13,'Cert. Pto. 02'!$U$10:$U$194),SUMIF('Cert. Pto. 02'!$A$10:$A$194,$B13,'Cert. Pto. 02'!$V$10:$V$194)))/IF($C13="MAT",SUMIF('Cert. Pto. 02'!$A$10:$A$194,$B13,'Cert. Pto. 02'!$I$10:$I$194),IF('Resumen Pto #2'!$C13="MO",SUMIF('Cert. Pto. 02'!$A$10:$A$194,$B13,'Cert. Pto. 02'!$J$10:$J$194),SUMIF('Cert. Pto. 02'!$A$10:$A$194,$B13,'Cert. Pto. 02'!$K$10:$K$194)))</f>
        <v>0.89584131294126468</v>
      </c>
      <c r="AB13" s="274">
        <f>IF(AA13=100%,0,IF(OR(V13&lt;&gt;0,Z13),Z13-V13))</f>
        <v>-4563838.8459520806</v>
      </c>
      <c r="AC13" s="263">
        <f>IF(OR(AB13&lt;0,Z13),AB13/Z13,0%)</f>
        <v>-0.532618586058068</v>
      </c>
      <c r="AD13" s="274">
        <f>IF(AA13=100%,IF(OR(V13&lt;&gt;0,Z13),Z13-V13),0)</f>
        <v>0</v>
      </c>
    </row>
    <row r="14" spans="2:35" x14ac:dyDescent="0.35">
      <c r="B14" s="66" t="s">
        <v>54</v>
      </c>
      <c r="C14" s="160"/>
      <c r="D14" s="161">
        <f>'Resumen Pto #2'!D13</f>
        <v>2128206</v>
      </c>
      <c r="E14" s="161">
        <f>'Resumen Pto #2'!E13</f>
        <v>2503867.5980000002</v>
      </c>
      <c r="F14" s="161">
        <f>'Resumen Pto #2'!F13</f>
        <v>2666306.88</v>
      </c>
      <c r="G14" s="161">
        <f>'Resumen Pto #2'!G13</f>
        <v>2632626</v>
      </c>
      <c r="H14" s="161">
        <f>'Resumen Pto #2'!H13</f>
        <v>2612626</v>
      </c>
      <c r="I14" s="161">
        <f>'Resumen Pto #2'!I13</f>
        <v>2612626</v>
      </c>
      <c r="J14" s="161">
        <f>'Resumen Pto #2'!J13</f>
        <v>2770864.0034000003</v>
      </c>
      <c r="K14" s="161">
        <f>'Resumen Pto #2'!K13</f>
        <v>2921847.5164000001</v>
      </c>
      <c r="L14" s="161">
        <f>'Resumen Pto #2'!L13</f>
        <v>3148425.5</v>
      </c>
      <c r="M14" s="161">
        <f>'Resumen Pto #2'!M13</f>
        <v>3147165.5</v>
      </c>
      <c r="N14" s="161">
        <f>'Resumen Pto #2'!N13</f>
        <v>3507994.3699999996</v>
      </c>
      <c r="O14" s="161">
        <f>'Resumen Pto #2'!O13</f>
        <v>3077451.2699999996</v>
      </c>
      <c r="P14" s="161">
        <f>'Resumen Pto #2'!P13</f>
        <v>4621659.1609999985</v>
      </c>
      <c r="Q14" s="161">
        <f>'Resumen Pto #2'!Q13</f>
        <v>3186153.0840799995</v>
      </c>
      <c r="R14" s="161">
        <f>'Resumen Pto #2'!R13</f>
        <v>3241244.866753439</v>
      </c>
      <c r="S14" s="161">
        <f>'Resumen Pto #2'!S13</f>
        <v>3115790.406753439</v>
      </c>
      <c r="T14" s="161">
        <f>'Resumen Pto #2'!T13</f>
        <v>0</v>
      </c>
      <c r="U14" s="153"/>
      <c r="V14" s="216" cm="1">
        <f t="array" ref="V14">SUMPRODUCT($D14:$U14,TRANSPOSE('Indice CAC'!$D$2:$D$19))</f>
        <v>42358437.777394392</v>
      </c>
      <c r="W14" s="115"/>
      <c r="X14" s="114">
        <v>0</v>
      </c>
      <c r="Y14" s="114">
        <f>'Resumen Pto #2'!X13</f>
        <v>74327579.894000009</v>
      </c>
      <c r="Z14" s="114">
        <f t="shared" si="18"/>
        <v>74327579.894000009</v>
      </c>
      <c r="AA14" s="1179">
        <f>IF($C14="MAT",SUMIF('Cert. Pto. 02'!$A$10:$A$194,$B14,'Cert. Pto. 02'!$T$10:$T$194),IF($C14="MO",SUMIF('Cert. Pto. 02'!$A$10:$A$194,$B14,'Cert. Pto. 02'!$U$10:$U$194),SUMIF('Cert. Pto. 02'!$A$10:$A$194,$B14,'Cert. Pto. 02'!$V$10:$V$194)))/IF($C14="MAT",SUMIF('Cert. Pto. 02'!$A$10:$A$194,$B14,'Cert. Pto. 02'!$I$10:$I$194),IF('Resumen Pto #2'!$C14="MO",SUMIF('Cert. Pto. 02'!$A$10:$A$194,$B14,'Cert. Pto. 02'!$J$10:$J$194),SUMIF('Cert. Pto. 02'!$A$10:$A$194,$B14,'Cert. Pto. 02'!$K$10:$K$194)))</f>
        <v>0.65</v>
      </c>
      <c r="AB14" s="274">
        <f t="shared" ref="AB14:AB35" si="19">IF(AA14=100%,0,IF(OR(V14&lt;&gt;0,Z14),Z14-V14))</f>
        <v>31969142.116605617</v>
      </c>
      <c r="AC14" s="263">
        <f t="shared" ref="AC14:AC35" si="20">IF(OR(AB14&lt;0,Z14),AB14/Z14,0%)</f>
        <v>0.43011143591917594</v>
      </c>
      <c r="AD14" s="274">
        <f t="shared" ref="AD14:AD34" si="21">IF(AA14=100%,IF(OR(V14&lt;&gt;0,Z14),Z14-V14),0)</f>
        <v>0</v>
      </c>
    </row>
    <row r="15" spans="2:35" x14ac:dyDescent="0.35">
      <c r="B15" s="66" t="s">
        <v>55</v>
      </c>
      <c r="C15" s="160"/>
      <c r="D15" s="161">
        <f>'Resumen Pto #2'!D15</f>
        <v>0</v>
      </c>
      <c r="E15" s="161">
        <f>'Resumen Pto #2'!E15</f>
        <v>320000</v>
      </c>
      <c r="F15" s="161">
        <f>'Resumen Pto #2'!F15</f>
        <v>14684.619999999999</v>
      </c>
      <c r="G15" s="161">
        <f>'Resumen Pto #2'!G15</f>
        <v>181198.83</v>
      </c>
      <c r="H15" s="161">
        <f>'Resumen Pto #2'!H15</f>
        <v>217418.9</v>
      </c>
      <c r="I15" s="161">
        <f>'Resumen Pto #2'!I15</f>
        <v>263908.64999999997</v>
      </c>
      <c r="J15" s="161">
        <f>'Resumen Pto #2'!J15</f>
        <v>162641.49</v>
      </c>
      <c r="K15" s="161">
        <f>'Resumen Pto #2'!K15</f>
        <v>614099.15000000014</v>
      </c>
      <c r="L15" s="161">
        <f>'Resumen Pto #2'!L15</f>
        <v>409160.22</v>
      </c>
      <c r="M15" s="161">
        <f>'Resumen Pto #2'!M15</f>
        <v>639151.32999999996</v>
      </c>
      <c r="N15" s="161">
        <f>'Resumen Pto #2'!N15</f>
        <v>589301.63</v>
      </c>
      <c r="O15" s="161">
        <f>'Resumen Pto #2'!O15</f>
        <v>917395.4800000001</v>
      </c>
      <c r="P15" s="161">
        <f>'Resumen Pto #2'!P15</f>
        <v>1084990.74</v>
      </c>
      <c r="Q15" s="161">
        <f>'Resumen Pto #2'!Q15</f>
        <v>1932601.61</v>
      </c>
      <c r="R15" s="161">
        <f>'Resumen Pto #2'!R15</f>
        <v>579958.7699999999</v>
      </c>
      <c r="S15" s="161">
        <f>'Resumen Pto #2'!S15</f>
        <v>621749.04</v>
      </c>
      <c r="T15" s="161">
        <f>'Resumen Pto #2'!T15</f>
        <v>432348.33999999997</v>
      </c>
      <c r="U15" s="153"/>
      <c r="V15" s="216" cm="1">
        <f t="array" ref="V15">SUMPRODUCT($D15:$U15,TRANSPOSE('Indice CAC'!$D$2:$D$19))</f>
        <v>7606944.0273742117</v>
      </c>
      <c r="W15" s="115"/>
      <c r="X15" s="114">
        <v>0</v>
      </c>
      <c r="Y15" s="114">
        <f>'Resumen Pto #2'!X15</f>
        <v>13600000</v>
      </c>
      <c r="Z15" s="114">
        <f t="shared" si="18"/>
        <v>13600000</v>
      </c>
      <c r="AA15" s="1179">
        <f>IF($C15="MAT",SUMIF('Cert. Pto. 02'!$A$10:$A$194,$B15,'Cert. Pto. 02'!$T$10:$T$194),IF($C15="MO",SUMIF('Cert. Pto. 02'!$A$10:$A$194,$B15,'Cert. Pto. 02'!$U$10:$U$194),SUMIF('Cert. Pto. 02'!$A$10:$A$194,$B15,'Cert. Pto. 02'!$V$10:$V$194)))/IF($C15="MAT",SUMIF('Cert. Pto. 02'!$A$10:$A$194,$B15,'Cert. Pto. 02'!$I$10:$I$194),IF('Resumen Pto #2'!$C15="MO",SUMIF('Cert. Pto. 02'!$A$10:$A$194,$B15,'Cert. Pto. 02'!$J$10:$J$194),SUMIF('Cert. Pto. 02'!$A$10:$A$194,$B15,'Cert. Pto. 02'!$K$10:$K$194)))</f>
        <v>0.65</v>
      </c>
      <c r="AB15" s="274">
        <f t="shared" si="19"/>
        <v>5993055.9726257883</v>
      </c>
      <c r="AC15" s="263">
        <f t="shared" si="20"/>
        <v>0.44066588034013149</v>
      </c>
      <c r="AD15" s="274">
        <f t="shared" si="21"/>
        <v>0</v>
      </c>
    </row>
    <row r="16" spans="2:35" x14ac:dyDescent="0.35">
      <c r="B16" s="66" t="s">
        <v>56</v>
      </c>
      <c r="C16" s="160"/>
      <c r="D16" s="161">
        <f>'Resumen Pto #1'!D13</f>
        <v>0</v>
      </c>
      <c r="E16" s="161">
        <f>'Resumen Pto #1'!E13</f>
        <v>0</v>
      </c>
      <c r="F16" s="161">
        <f>'Resumen Pto #1'!F13</f>
        <v>6949796.9299999997</v>
      </c>
      <c r="G16" s="161">
        <f>'Resumen Pto #1'!G13</f>
        <v>4182183.8</v>
      </c>
      <c r="H16" s="161">
        <f>'Resumen Pto #1'!H13</f>
        <v>163926.84999999998</v>
      </c>
      <c r="I16" s="161">
        <f>'Resumen Pto #1'!I13</f>
        <v>459869.25</v>
      </c>
      <c r="J16" s="161">
        <f>'Resumen Pto #1'!J13</f>
        <v>92816.22</v>
      </c>
      <c r="K16" s="161">
        <f>'Resumen Pto #1'!K13</f>
        <v>14628.44</v>
      </c>
      <c r="L16" s="161">
        <f>'Resumen Pto #1'!L13</f>
        <v>49173.56</v>
      </c>
      <c r="M16" s="161">
        <f>'Resumen Pto #1'!M13</f>
        <v>0</v>
      </c>
      <c r="N16" s="161">
        <f>'Resumen Pto #1'!N13</f>
        <v>1465670.09</v>
      </c>
      <c r="O16" s="161">
        <f>'Resumen Pto #1'!O13</f>
        <v>202741.82</v>
      </c>
      <c r="P16" s="161">
        <f>'Resumen Pto #1'!P13</f>
        <v>0</v>
      </c>
      <c r="Q16" s="161">
        <f>'Resumen Pto #1'!Q13</f>
        <v>0</v>
      </c>
      <c r="R16" s="161">
        <f>'Resumen Pto #1'!R13</f>
        <v>0</v>
      </c>
      <c r="S16" s="161">
        <f>'Resumen Pto #1'!S13</f>
        <v>0</v>
      </c>
      <c r="T16" s="161">
        <f>'Resumen Pto #1'!T13</f>
        <v>0</v>
      </c>
      <c r="U16" s="153"/>
      <c r="V16" s="216" cm="1">
        <f t="array" ref="V16">SUMPRODUCT($D16:$U16,TRANSPOSE('Indice CAC'!$D$2:$D$19))</f>
        <v>12879111.556544015</v>
      </c>
      <c r="W16" s="115"/>
      <c r="X16" s="114">
        <f>'Resumen Pto #1'!X13</f>
        <v>12544453.710749799</v>
      </c>
      <c r="Y16" s="114">
        <v>0</v>
      </c>
      <c r="Z16" s="114">
        <f t="shared" si="18"/>
        <v>12544453.710749799</v>
      </c>
      <c r="AA16" s="1179">
        <f>IF($C16="MAT",SUMIF('Cert. Pto. 01'!$A$9:$A$45,$B16,'Cert. Pto. 01'!$T$9:$T$45),IF($C16="MO",SUMIF('Cert. Pto. 01'!$A$9:$A$45,$B16,'Cert. Pto. 01'!$U$9:$U$45),SUMIF('Cert. Pto. 01'!$A$9:$A$45,$B16,'Cert. Pto. 01'!$V$9:$V$45)))/IF($C16="MAT",SUMIF('Cert. Pto. 01'!$A$9:$A$45,$B16,'Cert. Pto. 01'!$I$9:$I$45),IF($C16="MO",SUMIF('Cert. Pto. 01'!$A$9:$A$45,$B16,'Cert. Pto. 01'!$J$9:$J$45),SUMIF('Cert. Pto. 01'!$A$9:$A$45,$B16,'Cert. Pto. 01'!$K$9:$K$45)))</f>
        <v>1</v>
      </c>
      <c r="AB16" s="274">
        <f t="shared" si="19"/>
        <v>0</v>
      </c>
      <c r="AC16" s="263">
        <f t="shared" si="20"/>
        <v>0</v>
      </c>
      <c r="AD16" s="274">
        <f t="shared" si="21"/>
        <v>-334657.8457942158</v>
      </c>
    </row>
    <row r="17" spans="2:33" x14ac:dyDescent="0.35">
      <c r="B17" s="66" t="s">
        <v>57</v>
      </c>
      <c r="C17" s="160"/>
      <c r="D17" s="161">
        <f>'Resumen Pto #1'!D14</f>
        <v>110000</v>
      </c>
      <c r="E17" s="161">
        <f>'Resumen Pto #1'!E14</f>
        <v>0</v>
      </c>
      <c r="F17" s="161">
        <f>'Resumen Pto #1'!F14</f>
        <v>0</v>
      </c>
      <c r="G17" s="161">
        <f>'Resumen Pto #1'!G14</f>
        <v>0</v>
      </c>
      <c r="H17" s="161">
        <f>'Resumen Pto #1'!H14</f>
        <v>0</v>
      </c>
      <c r="I17" s="161">
        <f>'Resumen Pto #1'!I14</f>
        <v>0</v>
      </c>
      <c r="J17" s="161">
        <f>'Resumen Pto #1'!J14</f>
        <v>0</v>
      </c>
      <c r="K17" s="161">
        <f>'Resumen Pto #1'!K14</f>
        <v>0</v>
      </c>
      <c r="L17" s="161">
        <f>'Resumen Pto #1'!L14</f>
        <v>0</v>
      </c>
      <c r="M17" s="161">
        <f>'Resumen Pto #1'!M14</f>
        <v>0</v>
      </c>
      <c r="N17" s="161">
        <f>'Resumen Pto #1'!N14</f>
        <v>0</v>
      </c>
      <c r="O17" s="161">
        <f>'Resumen Pto #1'!O14</f>
        <v>0</v>
      </c>
      <c r="P17" s="161">
        <f>'Resumen Pto #1'!P14</f>
        <v>0</v>
      </c>
      <c r="Q17" s="161">
        <f>'Resumen Pto #1'!Q14</f>
        <v>0</v>
      </c>
      <c r="R17" s="161">
        <f>'Resumen Pto #1'!R14</f>
        <v>0</v>
      </c>
      <c r="S17" s="161">
        <f>'Resumen Pto #1'!S14</f>
        <v>0</v>
      </c>
      <c r="T17" s="161">
        <f>'Resumen Pto #1'!T14</f>
        <v>0</v>
      </c>
      <c r="U17" s="153"/>
      <c r="V17" s="216" cm="1">
        <f t="array" ref="V17">SUMPRODUCT($D17:$U17,TRANSPOSE('Indice CAC'!$D$2:$D$19))</f>
        <v>110000</v>
      </c>
      <c r="W17" s="115"/>
      <c r="X17" s="114">
        <f>'Resumen Pto #1'!X14</f>
        <v>853792.27623880678</v>
      </c>
      <c r="Y17" s="114">
        <v>0</v>
      </c>
      <c r="Z17" s="114">
        <f t="shared" si="18"/>
        <v>853792.27623880678</v>
      </c>
      <c r="AA17" s="1179">
        <f>IF($C17="MAT",SUMIF('Cert. Pto. 01'!$A$9:$A$45,$B17,'Cert. Pto. 01'!$T$9:$T$45),IF($C17="MO",SUMIF('Cert. Pto. 01'!$A$9:$A$45,$B17,'Cert. Pto. 01'!$U$9:$U$45),SUMIF('Cert. Pto. 01'!$A$9:$A$45,$B17,'Cert. Pto. 01'!$V$9:$V$45)))/IF($C17="MAT",SUMIF('Cert. Pto. 01'!$A$9:$A$45,$B17,'Cert. Pto. 01'!$I$9:$I$45),IF($C17="MO",SUMIF('Cert. Pto. 01'!$A$9:$A$45,$B17,'Cert. Pto. 01'!$J$9:$J$45),SUMIF('Cert. Pto. 01'!$A$9:$A$45,$B17,'Cert. Pto. 01'!$K$9:$K$45)))</f>
        <v>1</v>
      </c>
      <c r="AB17" s="274">
        <f t="shared" si="19"/>
        <v>0</v>
      </c>
      <c r="AC17" s="263">
        <f t="shared" si="20"/>
        <v>0</v>
      </c>
      <c r="AD17" s="274">
        <f t="shared" si="21"/>
        <v>743792.27623880678</v>
      </c>
    </row>
    <row r="18" spans="2:33" x14ac:dyDescent="0.35">
      <c r="B18" s="66" t="s">
        <v>58</v>
      </c>
      <c r="C18" s="160"/>
      <c r="D18" s="161">
        <f>'Resumen Pto #1'!D15</f>
        <v>0</v>
      </c>
      <c r="E18" s="161">
        <f>'Resumen Pto #1'!E15</f>
        <v>0</v>
      </c>
      <c r="F18" s="161">
        <f>'Resumen Pto #1'!F15</f>
        <v>0</v>
      </c>
      <c r="G18" s="161">
        <f>'Resumen Pto #1'!G15</f>
        <v>1580000</v>
      </c>
      <c r="H18" s="161">
        <f>'Resumen Pto #1'!H15</f>
        <v>1580000</v>
      </c>
      <c r="I18" s="161">
        <f>'Resumen Pto #1'!I15</f>
        <v>2974000</v>
      </c>
      <c r="J18" s="161">
        <f>'Resumen Pto #1'!J15</f>
        <v>3640000</v>
      </c>
      <c r="K18" s="161">
        <f>'Resumen Pto #1'!K15</f>
        <v>1416000</v>
      </c>
      <c r="L18" s="161">
        <f>'Resumen Pto #1'!L15</f>
        <v>0</v>
      </c>
      <c r="M18" s="161">
        <f>'Resumen Pto #1'!M15</f>
        <v>0</v>
      </c>
      <c r="N18" s="161">
        <f>'Resumen Pto #1'!N15</f>
        <v>0</v>
      </c>
      <c r="O18" s="161">
        <f>'Resumen Pto #1'!O15</f>
        <v>0</v>
      </c>
      <c r="P18" s="161">
        <f>'Resumen Pto #1'!P15</f>
        <v>0</v>
      </c>
      <c r="Q18" s="161">
        <f>'Resumen Pto #1'!Q15</f>
        <v>0</v>
      </c>
      <c r="R18" s="161">
        <f>'Resumen Pto #1'!R15</f>
        <v>0</v>
      </c>
      <c r="S18" s="161">
        <f>'Resumen Pto #1'!S15</f>
        <v>0</v>
      </c>
      <c r="T18" s="161">
        <f>'Resumen Pto #1'!T15</f>
        <v>0</v>
      </c>
      <c r="U18" s="153"/>
      <c r="V18" s="216" cm="1">
        <f t="array" ref="V18">SUMPRODUCT($D18:$U18,TRANSPOSE('Indice CAC'!$D$2:$D$19))</f>
        <v>10416172.350762567</v>
      </c>
      <c r="W18" s="115"/>
      <c r="X18" s="114">
        <f>'Resumen Pto #1'!X15</f>
        <v>22068904.539782953</v>
      </c>
      <c r="Y18" s="114">
        <v>0</v>
      </c>
      <c r="Z18" s="114">
        <f t="shared" si="18"/>
        <v>22068904.539782953</v>
      </c>
      <c r="AA18" s="1179">
        <f>IF($C18="MAT",SUMIF('Cert. Pto. 01'!$A$9:$A$45,$B18,'Cert. Pto. 01'!$T$9:$T$45),IF($C18="MO",SUMIF('Cert. Pto. 01'!$A$9:$A$45,$B18,'Cert. Pto. 01'!$U$9:$U$45),SUMIF('Cert. Pto. 01'!$A$9:$A$45,$B18,'Cert. Pto. 01'!$V$9:$V$45)))/IF($C18="MAT",SUMIF('Cert. Pto. 01'!$A$9:$A$45,$B18,'Cert. Pto. 01'!$I$9:$I$45),IF($C18="MO",SUMIF('Cert. Pto. 01'!$A$9:$A$45,$B18,'Cert. Pto. 01'!$J$9:$J$45),SUMIF('Cert. Pto. 01'!$A$9:$A$45,$B18,'Cert. Pto. 01'!$K$9:$K$45)))</f>
        <v>1</v>
      </c>
      <c r="AB18" s="274">
        <f t="shared" si="19"/>
        <v>0</v>
      </c>
      <c r="AC18" s="263">
        <f t="shared" si="20"/>
        <v>0</v>
      </c>
      <c r="AD18" s="274">
        <f t="shared" si="21"/>
        <v>11652732.189020386</v>
      </c>
    </row>
    <row r="19" spans="2:33" x14ac:dyDescent="0.35">
      <c r="B19" s="66" t="s">
        <v>59</v>
      </c>
      <c r="C19" s="160" t="s">
        <v>60</v>
      </c>
      <c r="D19" s="161">
        <f>'Resumen Pto #1'!D16</f>
        <v>0</v>
      </c>
      <c r="E19" s="161">
        <f>'Resumen Pto #1'!E16</f>
        <v>0</v>
      </c>
      <c r="F19" s="161">
        <f>'Resumen Pto #1'!F16</f>
        <v>1227898.3600000001</v>
      </c>
      <c r="G19" s="161">
        <f>'Resumen Pto #1'!G16</f>
        <v>21854352.780000001</v>
      </c>
      <c r="H19" s="161">
        <f>'Resumen Pto #1'!H16</f>
        <v>64397544.729999997</v>
      </c>
      <c r="I19" s="161">
        <f>'Resumen Pto #1'!I16</f>
        <v>43287475.269999996</v>
      </c>
      <c r="J19" s="161">
        <f>'Resumen Pto #1'!J16</f>
        <v>1606135.8499999999</v>
      </c>
      <c r="K19" s="161">
        <f>'Resumen Pto #1'!K16</f>
        <v>33701586.390000001</v>
      </c>
      <c r="L19" s="161">
        <f>'Resumen Pto #1'!L16</f>
        <v>3967437.69</v>
      </c>
      <c r="M19" s="161">
        <f>'Resumen Pto #1'!M16</f>
        <v>7290500.6200000001</v>
      </c>
      <c r="N19" s="161">
        <f>'Resumen Pto #1'!N16</f>
        <v>16835857.559999999</v>
      </c>
      <c r="O19" s="161">
        <f>'Resumen Pto #1'!O16</f>
        <v>88699.520000000004</v>
      </c>
      <c r="P19" s="161">
        <f>'Resumen Pto #1'!P16</f>
        <v>961200</v>
      </c>
      <c r="Q19" s="161">
        <f>'Resumen Pto #1'!Q16</f>
        <v>0</v>
      </c>
      <c r="R19" s="161">
        <f>'Resumen Pto #1'!R16</f>
        <v>0</v>
      </c>
      <c r="S19" s="161">
        <f>'Resumen Pto #1'!S16</f>
        <v>0</v>
      </c>
      <c r="T19" s="161">
        <f>'Resumen Pto #1'!T16</f>
        <v>0</v>
      </c>
      <c r="U19" s="153"/>
      <c r="V19" s="216" cm="1">
        <f t="array" ref="V19">SUMPRODUCT($D19:$U19,TRANSPOSE('Indice CAC'!$D$2:$D$19))</f>
        <v>180217171.69597176</v>
      </c>
      <c r="W19" s="115"/>
      <c r="X19" s="114">
        <f>'Resumen Pto #1'!X16</f>
        <v>181072771.23882464</v>
      </c>
      <c r="Y19" s="114">
        <v>0</v>
      </c>
      <c r="Z19" s="114">
        <f t="shared" si="18"/>
        <v>181072771.23882464</v>
      </c>
      <c r="AA19" s="1179">
        <f>IF($C19="MAT",SUMIF('Cert. Pto. 01'!$A$9:$A$45,$B19,'Cert. Pto. 01'!$T$9:$T$45),IF('Resumen Pto #1'!$C19="MO",SUMIF('Cert. Pto. 01'!$A$9:$A$45,$B19,'Cert. Pto. 01'!$U$9:$U$45),SUMIF('Cert. Pto. 01'!$A$9:$A$45,$B19,'Cert. Pto. 01'!$V$9:$V$45)))/IF($C19="MAT",SUMIF('Cert. Pto. 01'!$A$9:$A$45,$B19,'Cert. Pto. 01'!$I$9:$I$45),IF('Resumen Pto #1'!$C19="MO",SUMIF('Cert. Pto. 01'!$A$9:$A$45,$B19,'Cert. Pto. 01'!$J$9:$J$45),SUMIF('Cert. Pto. 01'!$A$9:$A$45,'Resumen Pto #1'!$B19,'Cert. Pto. 01'!$K$9:$K$45)))</f>
        <v>1</v>
      </c>
      <c r="AB19" s="274">
        <f t="shared" si="19"/>
        <v>0</v>
      </c>
      <c r="AC19" s="263">
        <f t="shared" si="20"/>
        <v>0</v>
      </c>
      <c r="AD19" s="274">
        <f t="shared" si="21"/>
        <v>855599.54285287857</v>
      </c>
    </row>
    <row r="20" spans="2:33" x14ac:dyDescent="0.35">
      <c r="B20" s="66" t="s">
        <v>59</v>
      </c>
      <c r="C20" s="160" t="s">
        <v>61</v>
      </c>
      <c r="D20" s="161">
        <f>'Resumen Pto #1'!D17</f>
        <v>0</v>
      </c>
      <c r="E20" s="161">
        <f>'Resumen Pto #1'!E17</f>
        <v>0</v>
      </c>
      <c r="F20" s="161">
        <f>'Resumen Pto #1'!F17</f>
        <v>2411850</v>
      </c>
      <c r="G20" s="161">
        <f>'Resumen Pto #1'!G17</f>
        <v>9206862.1600000001</v>
      </c>
      <c r="H20" s="161">
        <f>'Resumen Pto #1'!H17</f>
        <v>10965040.02</v>
      </c>
      <c r="I20" s="161">
        <f>'Resumen Pto #1'!I17</f>
        <v>9710066.5399999991</v>
      </c>
      <c r="J20" s="161">
        <f>'Resumen Pto #1'!J17</f>
        <v>8357133.4199999999</v>
      </c>
      <c r="K20" s="161">
        <f>'Resumen Pto #1'!K17</f>
        <v>20959355.66</v>
      </c>
      <c r="L20" s="161">
        <f>'Resumen Pto #1'!L17</f>
        <v>8121114.3800000008</v>
      </c>
      <c r="M20" s="161">
        <f>'Resumen Pto #1'!M17</f>
        <v>15421604.199999999</v>
      </c>
      <c r="N20" s="161">
        <f>'Resumen Pto #1'!N17</f>
        <v>17745228.899999999</v>
      </c>
      <c r="O20" s="161">
        <f>'Resumen Pto #1'!O17</f>
        <v>13121448</v>
      </c>
      <c r="P20" s="161">
        <f>'Resumen Pto #1'!P17</f>
        <v>1923300</v>
      </c>
      <c r="Q20" s="161">
        <f>'Resumen Pto #1'!Q17</f>
        <v>0</v>
      </c>
      <c r="R20" s="161">
        <f>'Resumen Pto #1'!R17</f>
        <v>0</v>
      </c>
      <c r="S20" s="161">
        <f>'Resumen Pto #1'!S17</f>
        <v>0</v>
      </c>
      <c r="T20" s="161">
        <f>'Resumen Pto #1'!T17</f>
        <v>0</v>
      </c>
      <c r="U20" s="153"/>
      <c r="V20" s="216" cm="1">
        <f t="array" ref="V20">SUMPRODUCT($D20:$U20,TRANSPOSE('Indice CAC'!$D$2:$D$19))</f>
        <v>105300145.97365636</v>
      </c>
      <c r="W20" s="115"/>
      <c r="X20" s="114">
        <f>'Resumen Pto #1'!X17</f>
        <v>144378016.13598353</v>
      </c>
      <c r="Y20" s="114">
        <v>0</v>
      </c>
      <c r="Z20" s="114">
        <f t="shared" si="18"/>
        <v>144378016.13598353</v>
      </c>
      <c r="AA20" s="1179">
        <f>IF($C20="MAT",SUMIF('Cert. Pto. 01'!$A$9:$A$45,$B20,'Cert. Pto. 01'!$T$9:$T$45),IF($C20="MO",SUMIF('Cert. Pto. 01'!$A$9:$A$45,$B20,'Cert. Pto. 01'!$U$9:$U$45),SUMIF('Cert. Pto. 01'!$A$9:$A$45,$B20,'Cert. Pto. 01'!$V$9:$V$45)))/IF($C20="MAT",SUMIF('Cert. Pto. 01'!$A$9:$A$45,$B20,'Cert. Pto. 01'!$I$9:$I$45),IF($C20="MO",SUMIF('Cert. Pto. 01'!$A$9:$A$45,$B20,'Cert. Pto. 01'!$J$9:$J$45),SUMIF('Cert. Pto. 01'!$A$9:$A$45,$B20,'Cert. Pto. 01'!$K$9:$K$45)))</f>
        <v>1</v>
      </c>
      <c r="AB20" s="274">
        <f t="shared" si="19"/>
        <v>0</v>
      </c>
      <c r="AC20" s="263">
        <f t="shared" si="20"/>
        <v>0</v>
      </c>
      <c r="AD20" s="274">
        <f t="shared" si="21"/>
        <v>39077870.16232717</v>
      </c>
      <c r="AF20" s="1195"/>
      <c r="AG20" s="1195"/>
    </row>
    <row r="21" spans="2:33" x14ac:dyDescent="0.35">
      <c r="B21" s="66" t="s">
        <v>62</v>
      </c>
      <c r="C21" s="160" t="s">
        <v>60</v>
      </c>
      <c r="D21" s="161">
        <v>0</v>
      </c>
      <c r="E21" s="161">
        <f>'Resumen Pto #2'!E16</f>
        <v>0</v>
      </c>
      <c r="F21" s="161">
        <f>'Resumen Pto #2'!F16</f>
        <v>0</v>
      </c>
      <c r="G21" s="161">
        <f>'Resumen Pto #2'!G16</f>
        <v>0</v>
      </c>
      <c r="H21" s="161">
        <f>'Resumen Pto #2'!H16</f>
        <v>0</v>
      </c>
      <c r="I21" s="161">
        <f>'Resumen Pto #2'!I16</f>
        <v>0</v>
      </c>
      <c r="J21" s="161">
        <f>'Resumen Pto #2'!J16</f>
        <v>43528.94</v>
      </c>
      <c r="K21" s="161">
        <f>'Resumen Pto #2'!K16</f>
        <v>493967.79</v>
      </c>
      <c r="L21" s="161">
        <f>'Resumen Pto #2'!L16</f>
        <v>503642.81000000006</v>
      </c>
      <c r="M21" s="161">
        <f>'Resumen Pto #2'!M16</f>
        <v>343399.45</v>
      </c>
      <c r="N21" s="161">
        <f>'Resumen Pto #2'!N16</f>
        <v>13007537.219999999</v>
      </c>
      <c r="O21" s="161">
        <f>'Resumen Pto #2'!O16</f>
        <v>3518484.5700000003</v>
      </c>
      <c r="P21" s="161">
        <f>'Resumen Pto #2'!P16</f>
        <v>1477363.4699999997</v>
      </c>
      <c r="Q21" s="161">
        <f>'Resumen Pto #2'!Q16</f>
        <v>2864564.55</v>
      </c>
      <c r="R21" s="161">
        <f>'Resumen Pto #2'!R16</f>
        <v>6304561.5599999996</v>
      </c>
      <c r="S21" s="161">
        <f>'Resumen Pto #2'!S16</f>
        <v>6343465.5</v>
      </c>
      <c r="T21" s="161">
        <f>'Resumen Pto #2'!T16</f>
        <v>1587335.5399999998</v>
      </c>
      <c r="U21" s="153"/>
      <c r="V21" s="216" cm="1">
        <f t="array" ref="V21">SUMPRODUCT($D21:$U21,TRANSPOSE('Indice CAC'!$D$2:$D$19))</f>
        <v>30259046.269270539</v>
      </c>
      <c r="W21" s="115"/>
      <c r="X21" s="114">
        <v>0</v>
      </c>
      <c r="Y21" s="114">
        <f ca="1">'Resumen Pto #2'!X16</f>
        <v>65392824.667366937</v>
      </c>
      <c r="Z21" s="114">
        <f t="shared" ca="1" si="18"/>
        <v>65392824.667366937</v>
      </c>
      <c r="AA21" s="1179">
        <f>IF($C21="MAT",SUMIF('Cert. Pto. 02'!$A$10:$A$194,$B21,'Cert. Pto. 02'!$T$10:$T$194),IF($C21="MO",SUMIF('Cert. Pto. 02'!$A$10:$A$194,$B21,'Cert. Pto. 02'!$U$10:$U$194),SUMIF('Cert. Pto. 02'!$A$10:$A$194,$B21,'Cert. Pto. 02'!$V$10:$V$194)))/IF($C21="MAT",SUMIF('Cert. Pto. 02'!$A$10:$A$194,$B21,'Cert. Pto. 02'!$I$10:$I$194),IF($C21="MO",SUMIF('Cert. Pto. 02'!$A$10:$A$194,$B21,'Cert. Pto. 02'!$J$10:$J$194),SUMIF('Cert. Pto. 02'!$A$10:$A$194,$B21,'Cert. Pto. 02'!$K$10:$K$194)))</f>
        <v>0.31906124313931566</v>
      </c>
      <c r="AB21" s="274">
        <f t="shared" ca="1" si="19"/>
        <v>35133778.398096398</v>
      </c>
      <c r="AC21" s="263">
        <f t="shared" ca="1" si="20"/>
        <v>0.5372726836133942</v>
      </c>
      <c r="AD21" s="274">
        <f t="shared" si="21"/>
        <v>0</v>
      </c>
    </row>
    <row r="22" spans="2:33" x14ac:dyDescent="0.35">
      <c r="B22" s="66" t="s">
        <v>62</v>
      </c>
      <c r="C22" s="160" t="s">
        <v>61</v>
      </c>
      <c r="D22" s="161">
        <f>'Resumen Pto #2'!D17</f>
        <v>0</v>
      </c>
      <c r="E22" s="161">
        <f>'Resumen Pto #2'!E17</f>
        <v>0</v>
      </c>
      <c r="F22" s="161">
        <f>'Resumen Pto #2'!F17</f>
        <v>725487</v>
      </c>
      <c r="G22" s="161">
        <f>'Resumen Pto #2'!G17</f>
        <v>3309015.8200000003</v>
      </c>
      <c r="H22" s="161">
        <f>'Resumen Pto #2'!H17</f>
        <v>3592574</v>
      </c>
      <c r="I22" s="161">
        <f>'Resumen Pto #2'!I17</f>
        <v>3991998.6869188421</v>
      </c>
      <c r="J22" s="161">
        <f>'Resumen Pto #2'!J17</f>
        <v>4723373.5200560717</v>
      </c>
      <c r="K22" s="161">
        <f>'Resumen Pto #2'!K17</f>
        <v>6711151</v>
      </c>
      <c r="L22" s="161">
        <f>'Resumen Pto #2'!L17</f>
        <v>5712430.6100000013</v>
      </c>
      <c r="M22" s="161">
        <f>'Resumen Pto #2'!M17</f>
        <v>7745412.9502389869</v>
      </c>
      <c r="N22" s="161">
        <f>'Resumen Pto #2'!N17</f>
        <v>8032802.8257497745</v>
      </c>
      <c r="O22" s="161">
        <f>'Resumen Pto #2'!O17</f>
        <v>14055081.798555665</v>
      </c>
      <c r="P22" s="161">
        <f>'Resumen Pto #2'!P17</f>
        <v>20262004.756642431</v>
      </c>
      <c r="Q22" s="161">
        <f>'Resumen Pto #2'!Q17</f>
        <v>21581644.656030096</v>
      </c>
      <c r="R22" s="161">
        <f>'Resumen Pto #2'!R17</f>
        <v>21958232.083802946</v>
      </c>
      <c r="S22" s="161">
        <f>'Resumen Pto #2'!S17</f>
        <v>28378747.491170816</v>
      </c>
      <c r="T22" s="161">
        <f>'Resumen Pto #2'!T17</f>
        <v>1829165</v>
      </c>
      <c r="U22" s="153"/>
      <c r="V22" s="216" cm="1">
        <f t="array" ref="V22">SUMPRODUCT($D22:$U22,TRANSPOSE('Indice CAC'!$D$2:$D$19))</f>
        <v>128176176.48317984</v>
      </c>
      <c r="W22" s="115"/>
      <c r="X22" s="114">
        <v>0</v>
      </c>
      <c r="Y22" s="114">
        <f>'Resumen Pto #2'!X17</f>
        <v>132573667.88143596</v>
      </c>
      <c r="Z22" s="114">
        <f t="shared" si="18"/>
        <v>132573667.88143596</v>
      </c>
      <c r="AA22" s="1179">
        <f>IF($C22="MAT",SUMIF('Cert. Pto. 02'!$A$10:$A$194,$B22,'Cert. Pto. 02'!$T$10:$T$194),IF($C22="MO",SUMIF('Cert. Pto. 02'!$A$10:$A$194,$B22,'Cert. Pto. 02'!$U$10:$U$194),SUMIF('Cert. Pto. 02'!$A$10:$A$194,$B22,'Cert. Pto. 02'!$V$10:$V$194)))/IF($C22="MAT",SUMIF('Cert. Pto. 02'!$A$10:$A$194,$B22,'Cert. Pto. 02'!$I$10:$I$194),IF($C22="MO",SUMIF('Cert. Pto. 02'!$A$10:$A$194,$B22,'Cert. Pto. 02'!$J$10:$J$194),SUMIF('Cert. Pto. 02'!$A$10:$A$194,$B22,'Cert. Pto. 02'!$K$10:$K$194)))</f>
        <v>0.42958141936883171</v>
      </c>
      <c r="AB22" s="274">
        <f t="shared" si="19"/>
        <v>4397491.3982561231</v>
      </c>
      <c r="AC22" s="263">
        <f t="shared" si="20"/>
        <v>3.3170172241058553E-2</v>
      </c>
      <c r="AD22" s="274">
        <f t="shared" si="21"/>
        <v>0</v>
      </c>
      <c r="AG22" s="61"/>
    </row>
    <row r="23" spans="2:33" x14ac:dyDescent="0.35">
      <c r="B23" s="66" t="s">
        <v>63</v>
      </c>
      <c r="C23" s="160" t="s">
        <v>60</v>
      </c>
      <c r="D23" s="161">
        <v>0</v>
      </c>
      <c r="E23" s="161">
        <f>'Resumen Pto #2'!E18</f>
        <v>0</v>
      </c>
      <c r="F23" s="161">
        <f>'Resumen Pto #2'!F18</f>
        <v>0</v>
      </c>
      <c r="G23" s="161">
        <f>'Resumen Pto #2'!G18</f>
        <v>0</v>
      </c>
      <c r="H23" s="161">
        <f>'Resumen Pto #2'!H18</f>
        <v>0</v>
      </c>
      <c r="I23" s="161">
        <f>'Resumen Pto #2'!I18</f>
        <v>0</v>
      </c>
      <c r="J23" s="161">
        <f>'Resumen Pto #2'!J18</f>
        <v>0</v>
      </c>
      <c r="K23" s="161">
        <f>'Resumen Pto #2'!K18</f>
        <v>0</v>
      </c>
      <c r="L23" s="161">
        <f>'Resumen Pto #2'!L18</f>
        <v>0</v>
      </c>
      <c r="M23" s="161">
        <f>'Resumen Pto #2'!M18</f>
        <v>0</v>
      </c>
      <c r="N23" s="161">
        <f>'Resumen Pto #2'!N18</f>
        <v>0</v>
      </c>
      <c r="O23" s="161">
        <f>'Resumen Pto #2'!O18</f>
        <v>0</v>
      </c>
      <c r="P23" s="161">
        <f>'Resumen Pto #2'!P18</f>
        <v>0</v>
      </c>
      <c r="Q23" s="161">
        <f>'Resumen Pto #2'!Q18</f>
        <v>7783423.7200000007</v>
      </c>
      <c r="R23" s="161">
        <f>'Resumen Pto #2'!R18</f>
        <v>0</v>
      </c>
      <c r="S23" s="161">
        <f>'Resumen Pto #2'!S18</f>
        <v>1583421.5</v>
      </c>
      <c r="T23" s="161">
        <f>'Resumen Pto #2'!T18</f>
        <v>0</v>
      </c>
      <c r="U23" s="153"/>
      <c r="V23" s="216" cm="1">
        <f t="array" ref="V23">SUMPRODUCT($D23:$U23,TRANSPOSE('Indice CAC'!$D$2:$D$19))</f>
        <v>7552799.6393511491</v>
      </c>
      <c r="W23" s="115"/>
      <c r="X23" s="114">
        <v>0</v>
      </c>
      <c r="Y23" s="114">
        <f ca="1">'Resumen Pto #2'!X18</f>
        <v>13489970.347545855</v>
      </c>
      <c r="Z23" s="114">
        <f t="shared" ca="1" si="18"/>
        <v>13489970.347545855</v>
      </c>
      <c r="AA23" s="1179">
        <f>IF($C23="MAT",SUMIF('Cert. Pto. 02'!$A$10:$A$194,$B23,'Cert. Pto. 02'!$T$10:$T$194),IF($C23="MO",SUMIF('Cert. Pto. 02'!$A$10:$A$194,$B23,'Cert. Pto. 02'!$U$10:$U$194),SUMIF('Cert. Pto. 02'!$A$10:$A$194,$B23,'Cert. Pto. 02'!$V$10:$V$194)))/IF($C23="MAT",SUMIF('Cert. Pto. 02'!$A$10:$A$194,$B23,'Cert. Pto. 02'!$I$10:$I$194),IF($C23="MO",SUMIF('Cert. Pto. 02'!$A$10:$A$194,$B23,'Cert. Pto. 02'!$J$10:$J$194),SUMIF('Cert. Pto. 02'!$A$10:$A$194,$B23,'Cert. Pto. 02'!$K$10:$K$194)))</f>
        <v>9.1870847718350163E-2</v>
      </c>
      <c r="AB23" s="274">
        <f t="shared" ca="1" si="19"/>
        <v>5937170.7081947057</v>
      </c>
      <c r="AC23" s="263">
        <f t="shared" ca="1" si="20"/>
        <v>0.44011740242815417</v>
      </c>
      <c r="AD23" s="274">
        <f t="shared" si="21"/>
        <v>0</v>
      </c>
    </row>
    <row r="24" spans="2:33" x14ac:dyDescent="0.35">
      <c r="B24" s="66" t="s">
        <v>63</v>
      </c>
      <c r="C24" s="160" t="s">
        <v>61</v>
      </c>
      <c r="D24" s="161">
        <v>0</v>
      </c>
      <c r="E24" s="161">
        <f>'Resumen Pto #2'!E19</f>
        <v>0</v>
      </c>
      <c r="F24" s="161">
        <f>'Resumen Pto #2'!F19</f>
        <v>0</v>
      </c>
      <c r="G24" s="161">
        <f>'Resumen Pto #2'!G19</f>
        <v>0</v>
      </c>
      <c r="H24" s="161">
        <f>'Resumen Pto #2'!H19</f>
        <v>0</v>
      </c>
      <c r="I24" s="161">
        <f>'Resumen Pto #2'!I19</f>
        <v>0</v>
      </c>
      <c r="J24" s="161">
        <f>'Resumen Pto #2'!J19</f>
        <v>0</v>
      </c>
      <c r="K24" s="161">
        <f>'Resumen Pto #2'!K19</f>
        <v>0</v>
      </c>
      <c r="L24" s="161">
        <f>'Resumen Pto #2'!L19</f>
        <v>0</v>
      </c>
      <c r="M24" s="161">
        <f>'Resumen Pto #2'!M19</f>
        <v>0</v>
      </c>
      <c r="N24" s="161">
        <f>'Resumen Pto #2'!N19</f>
        <v>0</v>
      </c>
      <c r="O24" s="161">
        <f>'Resumen Pto #2'!O19</f>
        <v>0</v>
      </c>
      <c r="P24" s="161">
        <f>'Resumen Pto #2'!P19</f>
        <v>0</v>
      </c>
      <c r="Q24" s="161">
        <f>'Resumen Pto #2'!Q19</f>
        <v>0</v>
      </c>
      <c r="R24" s="161">
        <f>'Resumen Pto #2'!R19</f>
        <v>2400000</v>
      </c>
      <c r="S24" s="161">
        <f>'Resumen Pto #2'!S19</f>
        <v>7589829</v>
      </c>
      <c r="T24" s="161">
        <f>'Resumen Pto #2'!T19</f>
        <v>3175584</v>
      </c>
      <c r="U24" s="153"/>
      <c r="V24" s="216" cm="1">
        <f t="array" ref="V24">SUMPRODUCT($D24:$U24,TRANSPOSE('Indice CAC'!$D$2:$D$19))</f>
        <v>10896814.163907977</v>
      </c>
      <c r="W24" s="115"/>
      <c r="X24" s="114">
        <v>0</v>
      </c>
      <c r="Y24" s="114">
        <f>'Resumen Pto #2'!X19</f>
        <v>38496186.260370173</v>
      </c>
      <c r="Z24" s="114">
        <f t="shared" si="18"/>
        <v>38496186.260370173</v>
      </c>
      <c r="AA24" s="1179">
        <f>IF($C24="MAT",SUMIF('Cert. Pto. 02'!$A$10:$A$194,$B24,'Cert. Pto. 02'!$T$10:$T$194),IF($C24="MO",SUMIF('Cert. Pto. 02'!$A$10:$A$194,$B24,'Cert. Pto. 02'!$U$10:$U$194),SUMIF('Cert. Pto. 02'!$A$10:$A$194,$B24,'Cert. Pto. 02'!$V$10:$V$194)))/IF($C24="MAT",SUMIF('Cert. Pto. 02'!$A$10:$A$194,$B24,'Cert. Pto. 02'!$I$10:$I$194),IF($C24="MO",SUMIF('Cert. Pto. 02'!$A$10:$A$194,$B24,'Cert. Pto. 02'!$J$10:$J$194),SUMIF('Cert. Pto. 02'!$A$10:$A$194,$B24,'Cert. Pto. 02'!$K$10:$K$194)))</f>
        <v>4.5566874078801028E-2</v>
      </c>
      <c r="AB24" s="274">
        <f t="shared" si="19"/>
        <v>27599372.096462198</v>
      </c>
      <c r="AC24" s="263">
        <f t="shared" si="20"/>
        <v>0.71693782625096869</v>
      </c>
      <c r="AD24" s="274">
        <f t="shared" si="21"/>
        <v>0</v>
      </c>
    </row>
    <row r="25" spans="2:33" x14ac:dyDescent="0.35">
      <c r="B25" s="66" t="s">
        <v>64</v>
      </c>
      <c r="C25" s="166" t="s">
        <v>60</v>
      </c>
      <c r="D25" s="161">
        <v>0</v>
      </c>
      <c r="E25" s="161">
        <f>'Resumen Pto #2'!E20</f>
        <v>0</v>
      </c>
      <c r="F25" s="161">
        <f>'Resumen Pto #2'!F20</f>
        <v>0</v>
      </c>
      <c r="G25" s="161">
        <f>'Resumen Pto #2'!G20</f>
        <v>0</v>
      </c>
      <c r="H25" s="161">
        <f>'Resumen Pto #2'!H20</f>
        <v>0</v>
      </c>
      <c r="I25" s="161">
        <f>'Resumen Pto #2'!I20</f>
        <v>0</v>
      </c>
      <c r="J25" s="161">
        <f>'Resumen Pto #2'!J20</f>
        <v>0</v>
      </c>
      <c r="K25" s="161">
        <f>'Resumen Pto #2'!K20</f>
        <v>0</v>
      </c>
      <c r="L25" s="161">
        <f>'Resumen Pto #2'!L20</f>
        <v>0</v>
      </c>
      <c r="M25" s="161">
        <f>'Resumen Pto #2'!M20</f>
        <v>0</v>
      </c>
      <c r="N25" s="161">
        <f>'Resumen Pto #2'!N20</f>
        <v>0</v>
      </c>
      <c r="O25" s="161">
        <f>'Resumen Pto #2'!O20</f>
        <v>0</v>
      </c>
      <c r="P25" s="161">
        <f>'Resumen Pto #2'!P20</f>
        <v>0</v>
      </c>
      <c r="Q25" s="161">
        <f>'Resumen Pto #2'!Q20</f>
        <v>116399.22</v>
      </c>
      <c r="R25" s="161">
        <f>'Resumen Pto #2'!R20</f>
        <v>0</v>
      </c>
      <c r="S25" s="161">
        <f>'Resumen Pto #2'!S20</f>
        <v>46767.16</v>
      </c>
      <c r="T25" s="161">
        <f>'Resumen Pto #2'!T20</f>
        <v>0</v>
      </c>
      <c r="U25" s="153"/>
      <c r="V25" s="216" cm="1">
        <f t="array" ref="V25">SUMPRODUCT($D25:$U25,TRANSPOSE('Indice CAC'!$D$2:$D$19))</f>
        <v>132350.94908341311</v>
      </c>
      <c r="W25" s="115"/>
      <c r="X25" s="114">
        <v>0</v>
      </c>
      <c r="Y25" s="114">
        <f ca="1">'Resumen Pto #2'!X20</f>
        <v>19488570.160900746</v>
      </c>
      <c r="Z25" s="114">
        <f t="shared" ca="1" si="18"/>
        <v>19488570.160900746</v>
      </c>
      <c r="AA25" s="1179">
        <f>IF($C25="MAT",SUMIF('Cert. Pto. 02'!$A$10:$A$194,$B25,'Cert. Pto. 02'!$T$10:$T$194),IF($C25="MO",SUMIF('Cert. Pto. 02'!$A$10:$A$194,$B25,'Cert. Pto. 02'!$U$10:$U$194),SUMIF('Cert. Pto. 02'!$A$10:$A$194,$B25,'Cert. Pto. 02'!$V$10:$V$194)))/IF($C25="MAT",SUMIF('Cert. Pto. 02'!$A$10:$A$194,$B25,'Cert. Pto. 02'!$I$10:$I$194),IF($C25="MO",SUMIF('Cert. Pto. 02'!$A$10:$A$194,$B25,'Cert. Pto. 02'!$J$10:$J$194),SUMIF('Cert. Pto. 02'!$A$10:$A$194,$B25,'Cert. Pto. 02'!$K$10:$K$194)))</f>
        <v>0</v>
      </c>
      <c r="AB25" s="274">
        <f t="shared" ca="1" si="19"/>
        <v>19356219.211817332</v>
      </c>
      <c r="AC25" s="263">
        <f t="shared" ca="1" si="20"/>
        <v>0.99320879120475725</v>
      </c>
      <c r="AD25" s="274">
        <f t="shared" si="21"/>
        <v>0</v>
      </c>
    </row>
    <row r="26" spans="2:33" x14ac:dyDescent="0.35">
      <c r="B26" s="66" t="s">
        <v>64</v>
      </c>
      <c r="C26" s="166" t="s">
        <v>61</v>
      </c>
      <c r="D26" s="161">
        <v>0</v>
      </c>
      <c r="E26" s="161">
        <f>'Resumen Pto #2'!E21</f>
        <v>0</v>
      </c>
      <c r="F26" s="161">
        <f>'Resumen Pto #2'!F21</f>
        <v>0</v>
      </c>
      <c r="G26" s="161">
        <f>'Resumen Pto #2'!G21</f>
        <v>0</v>
      </c>
      <c r="H26" s="161">
        <f>'Resumen Pto #2'!H21</f>
        <v>0</v>
      </c>
      <c r="I26" s="161">
        <f>'Resumen Pto #2'!I21</f>
        <v>0</v>
      </c>
      <c r="J26" s="161">
        <f>'Resumen Pto #2'!J21</f>
        <v>0</v>
      </c>
      <c r="K26" s="161">
        <f>'Resumen Pto #2'!K21</f>
        <v>0</v>
      </c>
      <c r="L26" s="161">
        <f>'Resumen Pto #2'!L21</f>
        <v>0</v>
      </c>
      <c r="M26" s="161">
        <f>'Resumen Pto #2'!M21</f>
        <v>0</v>
      </c>
      <c r="N26" s="161">
        <f>'Resumen Pto #2'!N21</f>
        <v>0</v>
      </c>
      <c r="O26" s="161">
        <f>'Resumen Pto #2'!O21</f>
        <v>0</v>
      </c>
      <c r="P26" s="161">
        <f>'Resumen Pto #2'!P21</f>
        <v>0</v>
      </c>
      <c r="Q26" s="161">
        <f>'Resumen Pto #2'!Q21</f>
        <v>0</v>
      </c>
      <c r="R26" s="161">
        <f>'Resumen Pto #2'!R21</f>
        <v>0</v>
      </c>
      <c r="S26" s="161">
        <f>'Resumen Pto #2'!S21</f>
        <v>0</v>
      </c>
      <c r="T26" s="161">
        <f>'Resumen Pto #2'!T21</f>
        <v>0</v>
      </c>
      <c r="U26" s="153"/>
      <c r="V26" s="216" cm="1">
        <f t="array" ref="V26">SUMPRODUCT($D26:$U26,TRANSPOSE('Indice CAC'!$D$2:$D$19))</f>
        <v>0</v>
      </c>
      <c r="W26" s="115"/>
      <c r="X26" s="114">
        <v>0</v>
      </c>
      <c r="Y26" s="114">
        <f>'Resumen Pto #2'!X21</f>
        <v>40879544.621381879</v>
      </c>
      <c r="Z26" s="114">
        <f t="shared" si="18"/>
        <v>40879544.621381879</v>
      </c>
      <c r="AA26" s="1179">
        <f>IF($C26="MAT",SUMIF('Cert. Pto. 02'!$A$10:$A$194,$B26,'Cert. Pto. 02'!$T$10:$T$194),IF($C26="MO",SUMIF('Cert. Pto. 02'!$A$10:$A$194,$B26,'Cert. Pto. 02'!$U$10:$U$194),SUMIF('Cert. Pto. 02'!$A$10:$A$194,$B26,'Cert. Pto. 02'!$V$10:$V$194)))/IF($C26="MAT",SUMIF('Cert. Pto. 02'!$A$10:$A$194,$B26,'Cert. Pto. 02'!$I$10:$I$194),IF($C26="MO",SUMIF('Cert. Pto. 02'!$A$10:$A$194,$B26,'Cert. Pto. 02'!$J$10:$J$194),SUMIF('Cert. Pto. 02'!$A$10:$A$194,$B26,'Cert. Pto. 02'!$K$10:$K$194)))</f>
        <v>0</v>
      </c>
      <c r="AB26" s="274">
        <f t="shared" si="19"/>
        <v>40879544.621381879</v>
      </c>
      <c r="AC26" s="263">
        <f t="shared" si="20"/>
        <v>1</v>
      </c>
      <c r="AD26" s="274">
        <f t="shared" si="21"/>
        <v>0</v>
      </c>
    </row>
    <row r="27" spans="2:33" x14ac:dyDescent="0.35">
      <c r="B27" s="66" t="s">
        <v>65</v>
      </c>
      <c r="C27" s="166" t="s">
        <v>60</v>
      </c>
      <c r="D27" s="161">
        <v>0</v>
      </c>
      <c r="E27" s="161">
        <f>'Resumen Pto #2'!E22</f>
        <v>0</v>
      </c>
      <c r="F27" s="161">
        <f>'Resumen Pto #2'!F22</f>
        <v>0</v>
      </c>
      <c r="G27" s="161">
        <f>'Resumen Pto #2'!G22</f>
        <v>0</v>
      </c>
      <c r="H27" s="161">
        <f>'Resumen Pto #2'!H22</f>
        <v>0</v>
      </c>
      <c r="I27" s="161">
        <f>'Resumen Pto #2'!I22</f>
        <v>0</v>
      </c>
      <c r="J27" s="161">
        <f>'Resumen Pto #2'!J22</f>
        <v>0</v>
      </c>
      <c r="K27" s="161">
        <f>'Resumen Pto #2'!K22</f>
        <v>0</v>
      </c>
      <c r="L27" s="161">
        <f>'Resumen Pto #2'!L22</f>
        <v>0</v>
      </c>
      <c r="M27" s="161">
        <f>'Resumen Pto #2'!M22</f>
        <v>0</v>
      </c>
      <c r="N27" s="161">
        <f>'Resumen Pto #2'!N22</f>
        <v>0</v>
      </c>
      <c r="O27" s="161">
        <f>'Resumen Pto #2'!O22</f>
        <v>0</v>
      </c>
      <c r="P27" s="161">
        <f>'Resumen Pto #2'!P22</f>
        <v>0</v>
      </c>
      <c r="Q27" s="161">
        <f>'Resumen Pto #2'!Q22</f>
        <v>0</v>
      </c>
      <c r="R27" s="161">
        <f>'Resumen Pto #2'!R22</f>
        <v>0</v>
      </c>
      <c r="S27" s="161">
        <f>'Resumen Pto #2'!S22</f>
        <v>2012146.6</v>
      </c>
      <c r="T27" s="161">
        <f>'Resumen Pto #2'!T22</f>
        <v>0</v>
      </c>
      <c r="U27" s="153"/>
      <c r="V27" s="216" cm="1">
        <f t="array" ref="V27">SUMPRODUCT($D27:$U27,TRANSPOSE('Indice CAC'!$D$2:$D$19))</f>
        <v>1690828.7346936027</v>
      </c>
      <c r="W27" s="115"/>
      <c r="X27" s="114">
        <v>0</v>
      </c>
      <c r="Y27" s="114">
        <f ca="1">'Resumen Pto #2'!X22</f>
        <v>13983960.352426281</v>
      </c>
      <c r="Z27" s="114">
        <f t="shared" ca="1" si="18"/>
        <v>13983960.352426281</v>
      </c>
      <c r="AA27" s="1179">
        <f>IF($C27="MAT",SUMIF('Cert. Pto. 02'!$A$10:$A$194,$B27,'Cert. Pto. 02'!$T$10:$T$194),IF($C27="MO",SUMIF('Cert. Pto. 02'!$A$10:$A$194,$B27,'Cert. Pto. 02'!$U$10:$U$194),SUMIF('Cert. Pto. 02'!$A$10:$A$194,$B27,'Cert. Pto. 02'!$V$10:$V$194)))/IF($C27="MAT",SUMIF('Cert. Pto. 02'!$A$10:$A$194,$B27,'Cert. Pto. 02'!$I$10:$I$194),IF($C27="MO",SUMIF('Cert. Pto. 02'!$A$10:$A$194,$B27,'Cert. Pto. 02'!$J$10:$J$194),SUMIF('Cert. Pto. 02'!$A$10:$A$194,$B27,'Cert. Pto. 02'!$K$10:$K$194)))</f>
        <v>0</v>
      </c>
      <c r="AB27" s="274">
        <f t="shared" ca="1" si="19"/>
        <v>12293131.617732678</v>
      </c>
      <c r="AC27" s="263">
        <f t="shared" ca="1" si="20"/>
        <v>0.87908799137861993</v>
      </c>
      <c r="AD27" s="274">
        <f t="shared" si="21"/>
        <v>0</v>
      </c>
    </row>
    <row r="28" spans="2:33" x14ac:dyDescent="0.35">
      <c r="B28" s="66" t="s">
        <v>65</v>
      </c>
      <c r="C28" s="166" t="s">
        <v>61</v>
      </c>
      <c r="D28" s="161">
        <v>0</v>
      </c>
      <c r="E28" s="161">
        <f>'Resumen Pto #2'!E23</f>
        <v>0</v>
      </c>
      <c r="F28" s="161">
        <f>'Resumen Pto #2'!F23</f>
        <v>0</v>
      </c>
      <c r="G28" s="161">
        <f>'Resumen Pto #2'!G23</f>
        <v>0</v>
      </c>
      <c r="H28" s="161">
        <f>'Resumen Pto #2'!H23</f>
        <v>0</v>
      </c>
      <c r="I28" s="161">
        <f>'Resumen Pto #2'!I23</f>
        <v>0</v>
      </c>
      <c r="J28" s="161">
        <f>'Resumen Pto #2'!J23</f>
        <v>0</v>
      </c>
      <c r="K28" s="161">
        <f>'Resumen Pto #2'!K23</f>
        <v>0</v>
      </c>
      <c r="L28" s="161">
        <f>'Resumen Pto #2'!L23</f>
        <v>0</v>
      </c>
      <c r="M28" s="161">
        <f>'Resumen Pto #2'!M23</f>
        <v>0</v>
      </c>
      <c r="N28" s="161">
        <f>'Resumen Pto #2'!N23</f>
        <v>0</v>
      </c>
      <c r="O28" s="161">
        <f>'Resumen Pto #2'!O23</f>
        <v>0</v>
      </c>
      <c r="P28" s="161">
        <f>'Resumen Pto #2'!P23</f>
        <v>0</v>
      </c>
      <c r="Q28" s="161">
        <f>'Resumen Pto #2'!Q23</f>
        <v>0</v>
      </c>
      <c r="R28" s="161">
        <f>'Resumen Pto #2'!R23</f>
        <v>1940600</v>
      </c>
      <c r="S28" s="161">
        <f>'Resumen Pto #2'!S23</f>
        <v>0</v>
      </c>
      <c r="T28" s="161">
        <f>'Resumen Pto #2'!T23</f>
        <v>0</v>
      </c>
      <c r="U28" s="153"/>
      <c r="V28" s="216" cm="1">
        <f t="array" ref="V28">SUMPRODUCT($D28:$U28,TRANSPOSE('Indice CAC'!$D$2:$D$19))</f>
        <v>1531929.7712435098</v>
      </c>
      <c r="W28" s="115"/>
      <c r="X28" s="114">
        <v>0</v>
      </c>
      <c r="Y28" s="114">
        <f>'Resumen Pto #2'!X23</f>
        <v>26733574.400345389</v>
      </c>
      <c r="Z28" s="114">
        <f t="shared" si="18"/>
        <v>26733574.400345389</v>
      </c>
      <c r="AA28" s="1179">
        <f>IF($C28="MAT",SUMIF('Cert. Pto. 02'!$A$10:$A$194,$B28,'Cert. Pto. 02'!$T$10:$T$194),IF($C28="MO",SUMIF('Cert. Pto. 02'!$A$10:$A$194,$B28,'Cert. Pto. 02'!$U$10:$U$194),SUMIF('Cert. Pto. 02'!$A$10:$A$194,$B28,'Cert. Pto. 02'!$V$10:$V$194)))/IF($C28="MAT",SUMIF('Cert. Pto. 02'!$A$10:$A$194,$B28,'Cert. Pto. 02'!$I$10:$I$194),IF($C28="MO",SUMIF('Cert. Pto. 02'!$A$10:$A$194,$B28,'Cert. Pto. 02'!$J$10:$J$194),SUMIF('Cert. Pto. 02'!$A$10:$A$194,$B28,'Cert. Pto. 02'!$K$10:$K$194)))</f>
        <v>0</v>
      </c>
      <c r="AB28" s="274">
        <f t="shared" si="19"/>
        <v>25201644.62910188</v>
      </c>
      <c r="AC28" s="263">
        <f t="shared" si="20"/>
        <v>0.94269641057711617</v>
      </c>
      <c r="AD28" s="274">
        <f t="shared" si="21"/>
        <v>0</v>
      </c>
    </row>
    <row r="29" spans="2:33" x14ac:dyDescent="0.35">
      <c r="B29" s="66" t="s">
        <v>66</v>
      </c>
      <c r="C29" s="166" t="s">
        <v>60</v>
      </c>
      <c r="D29" s="161">
        <v>0</v>
      </c>
      <c r="E29" s="161">
        <f>'Resumen Pto #2'!E24</f>
        <v>0</v>
      </c>
      <c r="F29" s="161">
        <f>'Resumen Pto #2'!F24</f>
        <v>0</v>
      </c>
      <c r="G29" s="161">
        <f>'Resumen Pto #2'!G24</f>
        <v>0</v>
      </c>
      <c r="H29" s="161">
        <f>'Resumen Pto #2'!H24</f>
        <v>0</v>
      </c>
      <c r="I29" s="161">
        <f>'Resumen Pto #2'!I24</f>
        <v>0</v>
      </c>
      <c r="J29" s="161">
        <f>'Resumen Pto #2'!J24</f>
        <v>0</v>
      </c>
      <c r="K29" s="161">
        <f>'Resumen Pto #2'!K24</f>
        <v>299136.83</v>
      </c>
      <c r="L29" s="161">
        <f>'Resumen Pto #2'!L24</f>
        <v>1111962.1499999999</v>
      </c>
      <c r="M29" s="161">
        <f>'Resumen Pto #2'!M24</f>
        <v>159574.19</v>
      </c>
      <c r="N29" s="161">
        <f>'Resumen Pto #2'!N24</f>
        <v>1207451.04</v>
      </c>
      <c r="O29" s="161">
        <f>'Resumen Pto #2'!O24</f>
        <v>368352.18</v>
      </c>
      <c r="P29" s="161">
        <f>'Resumen Pto #2'!P24</f>
        <v>911386.19</v>
      </c>
      <c r="Q29" s="161">
        <f>'Resumen Pto #2'!Q24</f>
        <v>976118.41999999993</v>
      </c>
      <c r="R29" s="161">
        <f>'Resumen Pto #2'!R24</f>
        <v>210250.83</v>
      </c>
      <c r="S29" s="161">
        <f>'Resumen Pto #2'!S24</f>
        <v>574075.59</v>
      </c>
      <c r="T29" s="161">
        <f>'Resumen Pto #2'!T24</f>
        <v>76388.009999999995</v>
      </c>
      <c r="U29" s="153"/>
      <c r="V29" s="216" cm="1">
        <f t="array" ref="V29">SUMPRODUCT($D29:$U29,TRANSPOSE('Indice CAC'!$D$2:$D$19))</f>
        <v>4965352.8877237691</v>
      </c>
      <c r="W29" s="115"/>
      <c r="X29" s="114">
        <v>0</v>
      </c>
      <c r="Y29" s="114">
        <f ca="1">'Resumen Pto #2'!X24</f>
        <v>25092459.829940617</v>
      </c>
      <c r="Z29" s="114">
        <f t="shared" ca="1" si="18"/>
        <v>25092459.829940617</v>
      </c>
      <c r="AA29" s="1179">
        <f>IF($C29="MAT",SUMIF('Cert. Pto. 02'!$A$10:$A$194,$B29,'Cert. Pto. 02'!$T$10:$T$194),IF($C29="MO",SUMIF('Cert. Pto. 02'!$A$10:$A$194,$B29,'Cert. Pto. 02'!$U$10:$U$194),SUMIF('Cert. Pto. 02'!$A$10:$A$194,$B29,'Cert. Pto. 02'!$V$10:$V$194)))/IF($C29="MAT",SUMIF('Cert. Pto. 02'!$A$10:$A$194,$B29,'Cert. Pto. 02'!$I$10:$I$194),IF($C29="MO",SUMIF('Cert. Pto. 02'!$A$10:$A$194,$B29,'Cert. Pto. 02'!$J$10:$J$194),SUMIF('Cert. Pto. 02'!$A$10:$A$194,$B29,'Cert. Pto. 02'!$K$10:$K$194)))</f>
        <v>0.28984006293251696</v>
      </c>
      <c r="AB29" s="274">
        <f t="shared" ca="1" si="19"/>
        <v>20127106.942216847</v>
      </c>
      <c r="AC29" s="263">
        <f t="shared" ca="1" si="20"/>
        <v>0.80211773092891225</v>
      </c>
      <c r="AD29" s="274">
        <f t="shared" si="21"/>
        <v>0</v>
      </c>
    </row>
    <row r="30" spans="2:33" x14ac:dyDescent="0.35">
      <c r="B30" s="66" t="s">
        <v>66</v>
      </c>
      <c r="C30" s="166" t="s">
        <v>61</v>
      </c>
      <c r="D30" s="161">
        <v>0</v>
      </c>
      <c r="E30" s="161">
        <f>'Resumen Pto #2'!E25</f>
        <v>0</v>
      </c>
      <c r="F30" s="161">
        <f>'Resumen Pto #2'!F25</f>
        <v>0</v>
      </c>
      <c r="G30" s="161">
        <f>'Resumen Pto #2'!G25</f>
        <v>0</v>
      </c>
      <c r="H30" s="161">
        <f>'Resumen Pto #2'!H25</f>
        <v>0</v>
      </c>
      <c r="I30" s="161">
        <f>'Resumen Pto #2'!I25</f>
        <v>0</v>
      </c>
      <c r="J30" s="161">
        <f>'Resumen Pto #2'!J25</f>
        <v>0</v>
      </c>
      <c r="K30" s="161">
        <f>'Resumen Pto #2'!K25</f>
        <v>500000</v>
      </c>
      <c r="L30" s="161">
        <f>'Resumen Pto #2'!L25</f>
        <v>450000</v>
      </c>
      <c r="M30" s="161">
        <f>'Resumen Pto #2'!M25</f>
        <v>1808487.9984120834</v>
      </c>
      <c r="N30" s="161">
        <f>'Resumen Pto #2'!N25</f>
        <v>1155022.7442295076</v>
      </c>
      <c r="O30" s="161">
        <f>'Resumen Pto #2'!O25</f>
        <v>2519333.7981726136</v>
      </c>
      <c r="P30" s="161">
        <f>'Resumen Pto #2'!P25</f>
        <v>3802812.4791382533</v>
      </c>
      <c r="Q30" s="161">
        <f>'Resumen Pto #2'!Q25</f>
        <v>4355561.0464389808</v>
      </c>
      <c r="R30" s="161">
        <f>'Resumen Pto #2'!R25</f>
        <v>2943587.5098051541</v>
      </c>
      <c r="S30" s="161">
        <f>'Resumen Pto #2'!S25</f>
        <v>4066285.0409726859</v>
      </c>
      <c r="T30" s="161">
        <f>'Resumen Pto #2'!T25</f>
        <v>0</v>
      </c>
      <c r="U30" s="153"/>
      <c r="V30" s="216" cm="1">
        <f t="array" ref="V30">SUMPRODUCT($D30:$U30,TRANSPOSE('Indice CAC'!$D$2:$D$19))</f>
        <v>17814883.241626117</v>
      </c>
      <c r="W30" s="115"/>
      <c r="X30" s="114">
        <v>0</v>
      </c>
      <c r="Y30" s="114">
        <f>'Resumen Pto #2'!X25</f>
        <v>41278488.635223195</v>
      </c>
      <c r="Z30" s="114">
        <f t="shared" si="18"/>
        <v>41278488.635223195</v>
      </c>
      <c r="AA30" s="1179">
        <f>IF($C30="MAT",SUMIF('Cert. Pto. 02'!$A$10:$A$194,$B30,'Cert. Pto. 02'!$T$10:$T$194),IF($C30="MO",SUMIF('Cert. Pto. 02'!$A$10:$A$194,$B30,'Cert. Pto. 02'!$U$10:$U$194),SUMIF('Cert. Pto. 02'!$A$10:$A$194,$B30,'Cert. Pto. 02'!$V$10:$V$194)))/IF($C30="MAT",SUMIF('Cert. Pto. 02'!$A$10:$A$194,$B30,'Cert. Pto. 02'!$I$10:$I$194),IF($C30="MO",SUMIF('Cert. Pto. 02'!$A$10:$A$194,$B30,'Cert. Pto. 02'!$J$10:$J$194),SUMIF('Cert. Pto. 02'!$A$10:$A$194,$B30,'Cert. Pto. 02'!$K$10:$K$194)))</f>
        <v>0.33069101297702824</v>
      </c>
      <c r="AB30" s="274">
        <f t="shared" si="19"/>
        <v>23463605.393597078</v>
      </c>
      <c r="AC30" s="263">
        <f t="shared" si="20"/>
        <v>0.56842210481455069</v>
      </c>
      <c r="AD30" s="274">
        <f t="shared" si="21"/>
        <v>0</v>
      </c>
    </row>
    <row r="31" spans="2:33" x14ac:dyDescent="0.35">
      <c r="B31" s="66" t="s">
        <v>67</v>
      </c>
      <c r="C31" s="166" t="s">
        <v>60</v>
      </c>
      <c r="D31" s="161">
        <v>0</v>
      </c>
      <c r="E31" s="161">
        <f>'Resumen Pto #2'!E26</f>
        <v>0</v>
      </c>
      <c r="F31" s="161">
        <f>'Resumen Pto #2'!F26</f>
        <v>0</v>
      </c>
      <c r="G31" s="161">
        <f>'Resumen Pto #2'!G26</f>
        <v>0</v>
      </c>
      <c r="H31" s="161">
        <f>'Resumen Pto #2'!H26</f>
        <v>0</v>
      </c>
      <c r="I31" s="161">
        <f>'Resumen Pto #2'!I26</f>
        <v>0</v>
      </c>
      <c r="J31" s="161">
        <f>'Resumen Pto #2'!J26</f>
        <v>0</v>
      </c>
      <c r="K31" s="161">
        <f>'Resumen Pto #2'!K26</f>
        <v>7851.24</v>
      </c>
      <c r="L31" s="161">
        <f>'Resumen Pto #2'!L26</f>
        <v>0</v>
      </c>
      <c r="M31" s="161">
        <f>'Resumen Pto #2'!M26</f>
        <v>0</v>
      </c>
      <c r="N31" s="161">
        <f>'Resumen Pto #2'!N26</f>
        <v>94814.9</v>
      </c>
      <c r="O31" s="161">
        <f>'Resumen Pto #2'!O26</f>
        <v>0</v>
      </c>
      <c r="P31" s="161">
        <f>'Resumen Pto #2'!P26</f>
        <v>4296617.49</v>
      </c>
      <c r="Q31" s="161">
        <f>'Resumen Pto #2'!Q26</f>
        <v>1787531.5</v>
      </c>
      <c r="R31" s="161">
        <f>'Resumen Pto #2'!R26</f>
        <v>675872.12999999989</v>
      </c>
      <c r="S31" s="161">
        <f>'Resumen Pto #2'!S26</f>
        <v>402485.08999999997</v>
      </c>
      <c r="T31" s="161">
        <f>'Resumen Pto #2'!T26</f>
        <v>633057</v>
      </c>
      <c r="U31" s="153"/>
      <c r="V31" s="216" cm="1">
        <f t="array" ref="V31">SUMPRODUCT($D31:$U31,TRANSPOSE('Indice CAC'!$D$2:$D$19))</f>
        <v>6425159.5891256146</v>
      </c>
      <c r="W31" s="115"/>
      <c r="X31" s="114">
        <v>0</v>
      </c>
      <c r="Y31" s="114">
        <f ca="1">'Resumen Pto #2'!X26</f>
        <v>32568315.353200004</v>
      </c>
      <c r="Z31" s="114">
        <f t="shared" ca="1" si="18"/>
        <v>32568315.353200004</v>
      </c>
      <c r="AA31" s="1179">
        <f>IF($C31="MAT",SUMIF('Cert. Pto. 02'!$A$10:$A$194,$B31,'Cert. Pto. 02'!$T$10:$T$194),IF($C31="MO",SUMIF('Cert. Pto. 02'!$A$10:$A$194,$B31,'Cert. Pto. 02'!$U$10:$U$194),SUMIF('Cert. Pto. 02'!$A$10:$A$194,$B31,'Cert. Pto. 02'!$V$10:$V$194)))/IF($C31="MAT",SUMIF('Cert. Pto. 02'!$A$10:$A$194,$B31,'Cert. Pto. 02'!$I$10:$I$194),IF($C31="MO",SUMIF('Cert. Pto. 02'!$A$10:$A$194,$B31,'Cert. Pto. 02'!$J$10:$J$194),SUMIF('Cert. Pto. 02'!$A$10:$A$194,$B31,'Cert. Pto. 02'!$K$10:$K$194)))</f>
        <v>0.21719598193117701</v>
      </c>
      <c r="AB31" s="274">
        <f t="shared" ca="1" si="19"/>
        <v>26143155.764074389</v>
      </c>
      <c r="AC31" s="263">
        <f t="shared" ca="1" si="20"/>
        <v>0.80271747189114862</v>
      </c>
      <c r="AD31" s="274">
        <f t="shared" si="21"/>
        <v>0</v>
      </c>
    </row>
    <row r="32" spans="2:33" x14ac:dyDescent="0.35">
      <c r="B32" s="66" t="s">
        <v>67</v>
      </c>
      <c r="C32" s="166" t="s">
        <v>61</v>
      </c>
      <c r="D32" s="161">
        <v>0</v>
      </c>
      <c r="E32" s="161">
        <f>'Resumen Pto #2'!E27</f>
        <v>0</v>
      </c>
      <c r="F32" s="161">
        <f>'Resumen Pto #2'!F27</f>
        <v>0</v>
      </c>
      <c r="G32" s="161">
        <f>'Resumen Pto #2'!G27</f>
        <v>0</v>
      </c>
      <c r="H32" s="161">
        <f>'Resumen Pto #2'!H27</f>
        <v>0</v>
      </c>
      <c r="I32" s="161">
        <f>'Resumen Pto #2'!I27</f>
        <v>0</v>
      </c>
      <c r="J32" s="161">
        <f>'Resumen Pto #2'!J27</f>
        <v>0</v>
      </c>
      <c r="K32" s="161">
        <f>'Resumen Pto #2'!K27</f>
        <v>0</v>
      </c>
      <c r="L32" s="161">
        <f>'Resumen Pto #2'!L27</f>
        <v>0</v>
      </c>
      <c r="M32" s="161">
        <f>'Resumen Pto #2'!M27</f>
        <v>0</v>
      </c>
      <c r="N32" s="161">
        <f>'Resumen Pto #2'!N27</f>
        <v>495009.74752693181</v>
      </c>
      <c r="O32" s="161">
        <f>'Resumen Pto #2'!O27</f>
        <v>0</v>
      </c>
      <c r="P32" s="161">
        <f>'Resumen Pto #2'!P27</f>
        <v>3912286.3011631537</v>
      </c>
      <c r="Q32" s="161">
        <f>'Resumen Pto #2'!Q27</f>
        <v>4566137.8741323994</v>
      </c>
      <c r="R32" s="161">
        <f>'Resumen Pto #2'!R27</f>
        <v>4327360.7719840761</v>
      </c>
      <c r="S32" s="161">
        <f>'Resumen Pto #2'!S27</f>
        <v>6427831.2136152536</v>
      </c>
      <c r="T32" s="161">
        <f>'Resumen Pto #2'!T27</f>
        <v>0</v>
      </c>
      <c r="U32" s="153"/>
      <c r="V32" s="216" cm="1">
        <f t="array" ref="V32">SUMPRODUCT($D32:$U32,TRANSPOSE('Indice CAC'!$D$2:$D$19))</f>
        <v>16085672.47358419</v>
      </c>
      <c r="W32" s="115"/>
      <c r="X32" s="114">
        <v>0</v>
      </c>
      <c r="Y32" s="114">
        <f>'Resumen Pto #2'!X27</f>
        <v>75115077.759660289</v>
      </c>
      <c r="Z32" s="114">
        <f t="shared" si="18"/>
        <v>75115077.759660289</v>
      </c>
      <c r="AA32" s="1179">
        <f>IF($C32="MAT",SUMIF('Cert. Pto. 02'!$A$10:$A$194,$B32,'Cert. Pto. 02'!$T$10:$T$194),IF($C32="MO",SUMIF('Cert. Pto. 02'!$A$10:$A$194,$B32,'Cert. Pto. 02'!$U$10:$U$194),SUMIF('Cert. Pto. 02'!$A$10:$A$194,$B32,'Cert. Pto. 02'!$V$10:$V$194)))/IF($C32="MAT",SUMIF('Cert. Pto. 02'!$A$10:$A$194,$B32,'Cert. Pto. 02'!$I$10:$I$194),IF($C32="MO",SUMIF('Cert. Pto. 02'!$A$10:$A$194,$B32,'Cert. Pto. 02'!$J$10:$J$194),SUMIF('Cert. Pto. 02'!$A$10:$A$194,$B32,'Cert. Pto. 02'!$K$10:$K$194)))</f>
        <v>0.2560699154987503</v>
      </c>
      <c r="AB32" s="274">
        <f t="shared" si="19"/>
        <v>59029405.286076099</v>
      </c>
      <c r="AC32" s="263">
        <f t="shared" si="20"/>
        <v>0.78585294785885429</v>
      </c>
      <c r="AD32" s="274">
        <f t="shared" si="21"/>
        <v>0</v>
      </c>
    </row>
    <row r="33" spans="2:30" x14ac:dyDescent="0.35">
      <c r="B33" s="66" t="s">
        <v>68</v>
      </c>
      <c r="C33" s="166"/>
      <c r="D33" s="161">
        <f>'Resumen Pto #1'!D18</f>
        <v>58271.120924925002</v>
      </c>
      <c r="E33" s="161">
        <f>'Resumen Pto #1'!E18+'Resumen Pto #2'!E28</f>
        <v>59559.523386676017</v>
      </c>
      <c r="F33" s="161">
        <f>'Resumen Pto #1'!F18+'Resumen Pto #2'!F28</f>
        <v>64331.918415014567</v>
      </c>
      <c r="G33" s="161">
        <f>'Resumen Pto #1'!G18+'Resumen Pto #2'!G28</f>
        <v>287221.19899999996</v>
      </c>
      <c r="H33" s="161">
        <f>'Resumen Pto #1'!H18+'Resumen Pto #2'!H28</f>
        <v>290739.62900000002</v>
      </c>
      <c r="I33" s="161">
        <f>'Resumen Pto #1'!I18+'Resumen Pto #2'!I28</f>
        <v>296307.18199999997</v>
      </c>
      <c r="J33" s="161">
        <f>'Resumen Pto #1'!J18+'Resumen Pto #2'!J28</f>
        <v>346009.63925495982</v>
      </c>
      <c r="K33" s="161">
        <f>'Resumen Pto #1'!K18+'Resumen Pto #2'!K28</f>
        <v>799574.24800000002</v>
      </c>
      <c r="L33" s="161">
        <f>'Resumen Pto #1'!L18+'Resumen Pto #2'!L28</f>
        <v>631705.97862611804</v>
      </c>
      <c r="M33" s="161">
        <f>'Resumen Pto #1'!M18+'Resumen Pto #2'!M28</f>
        <v>669390.32242245704</v>
      </c>
      <c r="N33" s="161">
        <f>'Resumen Pto #1'!N18+'Resumen Pto #2'!N28</f>
        <v>699860.69633577787</v>
      </c>
      <c r="O33" s="161">
        <f>'Resumen Pto #1'!O18+'Resumen Pto #2'!O28</f>
        <v>688325.58848080283</v>
      </c>
      <c r="P33" s="161">
        <f>'Resumen Pto #1'!P18+'Resumen Pto #2'!P28</f>
        <v>711547.43969128944</v>
      </c>
      <c r="Q33" s="161">
        <f>'Resumen Pto #1'!Q18+'Resumen Pto #2'!Q28</f>
        <v>737537.19374460424</v>
      </c>
      <c r="R33" s="161">
        <f>'Resumen Pto #1'!R18+'Resumen Pto #2'!R28</f>
        <v>761316.76355391066</v>
      </c>
      <c r="S33" s="161">
        <f>'Resumen Pto #1'!S18+'Resumen Pto #2'!S28</f>
        <v>787253.60742308944</v>
      </c>
      <c r="T33" s="161">
        <f>'Resumen Pto #1'!T18+'Resumen Pto #2'!T28</f>
        <v>0</v>
      </c>
      <c r="U33" s="153"/>
      <c r="V33" s="216" cm="1">
        <f t="array" ref="V33">SUMPRODUCT($D33:$U33,TRANSPOSE('Indice CAC'!$D$2:$D$19))</f>
        <v>6788085.1906138742</v>
      </c>
      <c r="W33" s="115"/>
      <c r="X33" s="114">
        <f>'Resumen Pto #1'!X18</f>
        <v>13604196.310924552</v>
      </c>
      <c r="Y33" s="114">
        <f>'Resumen Pto #2'!X28</f>
        <v>7890286.6221500784</v>
      </c>
      <c r="Z33" s="114">
        <f t="shared" si="18"/>
        <v>21494482.933074631</v>
      </c>
      <c r="AA33" s="1180">
        <f>AVERAGE('Cert. Pto. 01'!S48,'Cert. Pto. 02'!S196)</f>
        <v>0.66328256383943107</v>
      </c>
      <c r="AB33" s="274">
        <f t="shared" si="19"/>
        <v>14706397.742460757</v>
      </c>
      <c r="AC33" s="263">
        <f t="shared" si="20"/>
        <v>0.68419406915954661</v>
      </c>
      <c r="AD33" s="274">
        <f t="shared" si="21"/>
        <v>0</v>
      </c>
    </row>
    <row r="34" spans="2:30" x14ac:dyDescent="0.35">
      <c r="B34" s="66" t="s">
        <v>69</v>
      </c>
      <c r="C34" s="166"/>
      <c r="D34" s="161">
        <f>'Resumen Pto #1'!D19</f>
        <v>12905.630000000001</v>
      </c>
      <c r="E34" s="161">
        <f>'Resumen Pto #1'!E19</f>
        <v>0</v>
      </c>
      <c r="F34" s="161">
        <f>'Resumen Pto #1'!F19</f>
        <v>90000</v>
      </c>
      <c r="G34" s="161">
        <f>'Resumen Pto #1'!G19</f>
        <v>180000</v>
      </c>
      <c r="H34" s="161">
        <f>'Resumen Pto #1'!H19</f>
        <v>80000</v>
      </c>
      <c r="I34" s="161">
        <f>'Resumen Pto #1'!I19</f>
        <v>80000</v>
      </c>
      <c r="J34" s="161">
        <f>'Resumen Pto #1'!J19</f>
        <v>380000</v>
      </c>
      <c r="K34" s="161">
        <f>'Resumen Pto #1'!K19</f>
        <v>160000</v>
      </c>
      <c r="L34" s="161">
        <f>'Resumen Pto #1'!L19</f>
        <v>266818.18</v>
      </c>
      <c r="M34" s="161">
        <f>'Resumen Pto #1'!M19</f>
        <v>85000</v>
      </c>
      <c r="N34" s="161">
        <f>'Resumen Pto #1'!N19</f>
        <v>449000</v>
      </c>
      <c r="O34" s="161">
        <f>'Resumen Pto #1'!O19</f>
        <v>85000</v>
      </c>
      <c r="P34" s="161">
        <f>'Resumen Pto #1'!P19</f>
        <v>85000</v>
      </c>
      <c r="Q34" s="161">
        <f>'Resumen Pto #1'!Q19</f>
        <v>785714.29</v>
      </c>
      <c r="R34" s="161">
        <f>'Resumen Pto #1'!R19</f>
        <v>600500</v>
      </c>
      <c r="S34" s="161">
        <f>'Resumen Pto #1'!S19</f>
        <v>847285.71</v>
      </c>
      <c r="T34" s="161">
        <f>'Resumen Pto #1'!T19</f>
        <v>0</v>
      </c>
      <c r="U34" s="153"/>
      <c r="V34" s="216" cm="1">
        <f t="array" ref="V34">SUMPRODUCT($D34:$U34,TRANSPOSE('Indice CAC'!$D$2:$D$19))</f>
        <v>3563879.0429409808</v>
      </c>
      <c r="W34" s="115"/>
      <c r="X34" s="114">
        <f>'Resumen Pto #1'!X19</f>
        <v>5763772.0447674096</v>
      </c>
      <c r="Y34" s="114">
        <v>0</v>
      </c>
      <c r="Z34" s="114">
        <f t="shared" si="18"/>
        <v>5763772.0447674096</v>
      </c>
      <c r="AA34" s="1179">
        <f>IF($C34="MAT",SUMIF('Cert. Pto. 01'!$A$9:$A$45,$B34,'Cert. Pto. 01'!$T$9:$T$45),IF($C34="MO",SUMIF('Cert. Pto. 01'!$A$9:$A$45,$B34,'Cert. Pto. 01'!$U$9:$U$45),SUMIF('Cert. Pto. 01'!$A$9:$A$45,$B34,'Cert. Pto. 01'!$V$9:$V$45)))/IF($C34="MAT",SUMIF('Cert. Pto. 01'!$A$9:$A$45,$B34,'Cert. Pto. 01'!$I$9:$I$45),IF($C34="MO",SUMIF('Cert. Pto. 01'!$A$9:$A$45,$B34,'Cert. Pto. 01'!$J$9:$J$45),SUMIF('Cert. Pto. 01'!$A$9:$A$45,$B34,'Cert. Pto. 01'!$K$9:$K$45)))</f>
        <v>0.99999999999999989</v>
      </c>
      <c r="AB34" s="274">
        <f t="shared" si="19"/>
        <v>0</v>
      </c>
      <c r="AC34" s="263">
        <f t="shared" si="20"/>
        <v>0</v>
      </c>
      <c r="AD34" s="274">
        <f t="shared" si="21"/>
        <v>2199893.0018264288</v>
      </c>
    </row>
    <row r="35" spans="2:30" x14ac:dyDescent="0.35">
      <c r="B35" s="251" t="s">
        <v>70</v>
      </c>
      <c r="C35" s="252"/>
      <c r="D35" s="250">
        <f>SUM(D13:D34)</f>
        <v>2309382.7509249249</v>
      </c>
      <c r="E35" s="250">
        <f>SUM(E13:E34)</f>
        <v>2883427.1213866761</v>
      </c>
      <c r="F35" s="250">
        <f>SUM(F13:F34)</f>
        <v>14390355.708415013</v>
      </c>
      <c r="G35" s="250">
        <f>SUM(G13:G34)</f>
        <v>45119460.589000002</v>
      </c>
      <c r="H35" s="250">
        <f t="shared" ref="H35:I35" si="22">SUM(H13:H34)</f>
        <v>84346570.128999978</v>
      </c>
      <c r="I35" s="250">
        <f t="shared" si="22"/>
        <v>65383251.57891883</v>
      </c>
      <c r="J35" s="250">
        <f t="shared" ref="J35:K35" si="23">SUM(J13:J34)</f>
        <v>25225003.082711034</v>
      </c>
      <c r="K35" s="250">
        <f t="shared" si="23"/>
        <v>69134848.264399976</v>
      </c>
      <c r="L35" s="250">
        <f t="shared" ref="L35:M35" si="24">SUM(L13:L34)</f>
        <v>25239221.078626119</v>
      </c>
      <c r="M35" s="250">
        <f t="shared" si="24"/>
        <v>37873532.561073519</v>
      </c>
      <c r="N35" s="250">
        <f t="shared" ref="N35:O35" si="25">SUM(N13:N34)</f>
        <v>65883051.723841988</v>
      </c>
      <c r="O35" s="250">
        <f t="shared" si="25"/>
        <v>39253814.025209084</v>
      </c>
      <c r="P35" s="250">
        <f t="shared" ref="P35:Q35" si="26">SUM(P13:P34)</f>
        <v>44560343.027635127</v>
      </c>
      <c r="Q35" s="250">
        <f t="shared" si="26"/>
        <v>51575665.164426081</v>
      </c>
      <c r="R35" s="250">
        <f t="shared" ref="R35:S35" si="27">SUM(R13:R34)</f>
        <v>46480609.285899527</v>
      </c>
      <c r="S35" s="250">
        <f t="shared" si="27"/>
        <v>64482132.949935287</v>
      </c>
      <c r="T35" s="250">
        <f t="shared" ref="T35" si="28">SUM(T13:T34)</f>
        <v>8523877.8900000006</v>
      </c>
      <c r="U35" s="254"/>
      <c r="V35" s="250">
        <f>SUM(V13:V34)</f>
        <v>607903481.82800007</v>
      </c>
      <c r="W35" s="115"/>
      <c r="X35" s="250">
        <f>SUM(X13:X34)</f>
        <v>380285906.25727165</v>
      </c>
      <c r="Y35" s="250">
        <f ca="1">SUM(Y13:Y34)</f>
        <v>629479187.94994748</v>
      </c>
      <c r="Z35" s="250">
        <f ca="1">SUM(Z13:Z34)</f>
        <v>1009765094.207219</v>
      </c>
      <c r="AA35" s="1409">
        <f>SUM('Cert. Pto. 01'!V46,'Cert. Pto. 02'!V195)/SUM('Cert. Pto. 01'!L46,'Cert. Pto. 02'!L195)</f>
        <v>0.577226827473733</v>
      </c>
      <c r="AB35" s="250">
        <f t="shared" ca="1" si="19"/>
        <v>401861612.37921894</v>
      </c>
      <c r="AC35" s="263">
        <f t="shared" ca="1" si="20"/>
        <v>0.39797534563692383</v>
      </c>
      <c r="AD35" s="250">
        <f>SUM(AD13:AD34)</f>
        <v>54195229.326471455</v>
      </c>
    </row>
    <row r="36" spans="2:30" x14ac:dyDescent="0.35">
      <c r="B36" s="6"/>
      <c r="C36" s="6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2"/>
      <c r="W36" s="61"/>
      <c r="X36" s="62"/>
      <c r="Y36" s="62"/>
      <c r="Z36" s="62"/>
      <c r="AA36" s="62"/>
      <c r="AB36" s="62"/>
      <c r="AC36" s="62"/>
      <c r="AD36" s="61"/>
    </row>
    <row r="37" spans="2:30" x14ac:dyDescent="0.35">
      <c r="B37" s="159" t="s">
        <v>71</v>
      </c>
      <c r="C37" s="6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2"/>
      <c r="W37" s="61"/>
      <c r="X37" s="62"/>
      <c r="Y37" s="62"/>
      <c r="Z37" s="62"/>
      <c r="AA37" s="62"/>
      <c r="AB37" s="62"/>
      <c r="AC37" s="62"/>
      <c r="AD37" s="61"/>
    </row>
    <row r="38" spans="2:30" x14ac:dyDescent="0.35">
      <c r="B38" s="66" t="s">
        <v>72</v>
      </c>
      <c r="C38" s="160"/>
      <c r="D38" s="161">
        <f>SUM('Resumen Pto #1'!D$23,'Resumen Pto #2'!D$32)</f>
        <v>3175204.795152606</v>
      </c>
      <c r="E38" s="161">
        <f>SUM('Resumen Pto #1'!E$23,'Resumen Pto #2'!E$32)</f>
        <v>2020935.6984070051</v>
      </c>
      <c r="F38" s="161">
        <f>SUM('Resumen Pto #1'!F$23,'Resumen Pto #2'!F$32)</f>
        <v>2883500.7121577412</v>
      </c>
      <c r="G38" s="161">
        <f>SUM('Resumen Pto #1'!G$23,'Resumen Pto #2'!G$32)</f>
        <v>2286455.7001451105</v>
      </c>
      <c r="H38" s="161">
        <f>SUM('Resumen Pto #1'!H$23,'Resumen Pto #2'!H$32)</f>
        <v>6273647.6279414995</v>
      </c>
      <c r="I38" s="161">
        <f>SUM('Resumen Pto #1'!I$23,'Resumen Pto #2'!I$32)</f>
        <v>1963509.9162210524</v>
      </c>
      <c r="J38" s="161">
        <f>SUM('Resumen Pto #1'!J$23,'Resumen Pto #2'!J$32)</f>
        <v>2816808.0355222635</v>
      </c>
      <c r="K38" s="161">
        <f>SUM('Resumen Pto #1'!K$23,'Resumen Pto #2'!K$32)</f>
        <v>2808099.7541841241</v>
      </c>
      <c r="L38" s="161">
        <f>SUM('Resumen Pto #1'!L$23,'Resumen Pto #2'!L$32)</f>
        <v>3875715.7924198997</v>
      </c>
      <c r="M38" s="161">
        <f>SUM('Resumen Pto #1'!M$23,'Resumen Pto #2'!M$32)</f>
        <v>5086371.5325098261</v>
      </c>
      <c r="N38" s="161">
        <f>SUM('Resumen Pto #1'!N$23,'Resumen Pto #2'!N$32)</f>
        <v>4395052.3079657089</v>
      </c>
      <c r="O38" s="161">
        <f>SUM('Resumen Pto #1'!O$23,'Resumen Pto #2'!O$32)</f>
        <v>2897224.5461486001</v>
      </c>
      <c r="P38" s="161">
        <f>SUM('Resumen Pto #1'!P$23,'Resumen Pto #2'!P$32)</f>
        <v>4034621.5311125824</v>
      </c>
      <c r="Q38" s="161">
        <f>SUM('Resumen Pto #1'!Q$23,'Resumen Pto #2'!Q$32)</f>
        <v>2054329.6221242617</v>
      </c>
      <c r="R38" s="161">
        <f>SUM('Resumen Pto #1'!R$23,'Resumen Pto #2'!R$32)</f>
        <v>2194575.9691565987</v>
      </c>
      <c r="S38" s="161">
        <f>SUM('Resumen Pto #1'!S$23,'Resumen Pto #2'!S$32)</f>
        <v>2284148.6447303374</v>
      </c>
      <c r="T38" s="161">
        <f>SUM('Resumen Pto #1'!T$23,'Resumen Pto #2'!T$32)</f>
        <v>0</v>
      </c>
      <c r="U38" s="153"/>
      <c r="V38" s="216" cm="1">
        <f t="array" ref="V38">SUMPRODUCT($D38:$U38,TRANSPOSE('Indice CAC'!$D$2:$D$19))</f>
        <v>45619359.208394691</v>
      </c>
      <c r="X38" s="114">
        <f>'Resumen Pto #1'!X23</f>
        <v>60150531.838390008</v>
      </c>
      <c r="Y38" s="114">
        <f>'Resumen Pto #2'!X32</f>
        <v>32809381.002758183</v>
      </c>
      <c r="Z38" s="114">
        <f t="shared" ref="Z38:Z39" si="29">SUM(X38:Y38)</f>
        <v>92959912.841148198</v>
      </c>
      <c r="AA38" s="1180">
        <f>AVERAGE('Cert. Pto. 01'!S48,'Cert. Pto. 02'!S196)</f>
        <v>0.66328256383943107</v>
      </c>
      <c r="AB38" s="274">
        <f t="shared" ref="AB38:AB40" si="30">IF(AA38=100%,0,IF(OR(V38&lt;&gt;0,Z38),Z38-V38))</f>
        <v>47340553.632753506</v>
      </c>
      <c r="AC38" s="263">
        <f t="shared" ref="AC38:AC40" si="31">IF(OR(AB38&lt;0,Z38),AB38/Z38,0%)</f>
        <v>0.50925772395731495</v>
      </c>
      <c r="AD38" s="274">
        <f t="shared" ref="AD38:AD39" si="32">IF(AA38=100%,IF(OR(V38&lt;&gt;0,Z38),Z38-V38),0)</f>
        <v>0</v>
      </c>
    </row>
    <row r="39" spans="2:30" x14ac:dyDescent="0.35">
      <c r="B39" s="66" t="s">
        <v>73</v>
      </c>
      <c r="C39" s="160"/>
      <c r="D39" s="161">
        <f>SUM('Resumen Pto #1'!D$24,'Resumen Pto #2'!D$33)</f>
        <v>639132.78100000008</v>
      </c>
      <c r="E39" s="161">
        <f>SUM('Resumen Pto #1'!E$24,'Resumen Pto #2'!E$33)</f>
        <v>1825790.2788300635</v>
      </c>
      <c r="F39" s="161">
        <f>SUM('Resumen Pto #1'!F$24,'Resumen Pto #2'!F$33)</f>
        <v>1406464.9016055511</v>
      </c>
      <c r="G39" s="161">
        <f>SUM('Resumen Pto #1'!G$24,'Resumen Pto #2'!G$33)</f>
        <v>2714187.33</v>
      </c>
      <c r="H39" s="161">
        <f>SUM('Resumen Pto #1'!H$24,'Resumen Pto #2'!H$33)</f>
        <v>2169029.3109897091</v>
      </c>
      <c r="I39" s="161">
        <f>SUM('Resumen Pto #1'!I$24,'Resumen Pto #2'!I$33)</f>
        <v>1800256.2010195877</v>
      </c>
      <c r="J39" s="161">
        <f>SUM('Resumen Pto #1'!J$24,'Resumen Pto #2'!J$33)</f>
        <v>2949259.0807494661</v>
      </c>
      <c r="K39" s="161">
        <f>SUM('Resumen Pto #1'!K$24,'Resumen Pto #2'!K$33)</f>
        <v>4175013.8419041145</v>
      </c>
      <c r="L39" s="161">
        <f>SUM('Resumen Pto #1'!L$24,'Resumen Pto #2'!L$33)</f>
        <v>2235375.3423326667</v>
      </c>
      <c r="M39" s="161">
        <f>SUM('Resumen Pto #1'!M$24,'Resumen Pto #2'!M$33)</f>
        <v>3075477.5714285825</v>
      </c>
      <c r="N39" s="161">
        <f>SUM('Resumen Pto #1'!N$24,'Resumen Pto #2'!N$33)</f>
        <v>3414307.4146795827</v>
      </c>
      <c r="O39" s="161">
        <f>SUM('Resumen Pto #1'!O$24,'Resumen Pto #2'!O$33)</f>
        <v>2992482.3548999997</v>
      </c>
      <c r="P39" s="161">
        <f>SUM('Resumen Pto #1'!P$24,'Resumen Pto #2'!P$33)</f>
        <v>4350156.4105809368</v>
      </c>
      <c r="Q39" s="161">
        <f>SUM('Resumen Pto #1'!Q$24,'Resumen Pto #2'!Q$33)</f>
        <v>3484073.8068855698</v>
      </c>
      <c r="R39" s="161">
        <f>SUM('Resumen Pto #1'!R$24,'Resumen Pto #2'!R$33)</f>
        <v>3538872.3654952105</v>
      </c>
      <c r="S39" s="161">
        <f>SUM('Resumen Pto #1'!S$24,'Resumen Pto #2'!S$33)</f>
        <v>3226372.3404952101</v>
      </c>
      <c r="T39" s="161">
        <f>SUM('Resumen Pto #1'!T$24,'Resumen Pto #2'!T$33)</f>
        <v>0</v>
      </c>
      <c r="U39" s="153"/>
      <c r="V39" s="216" cm="1">
        <f t="array" ref="V39">SUMPRODUCT($D39:$U39,TRANSPOSE('Indice CAC'!$D$2:$D$19))</f>
        <v>38502555.026109256</v>
      </c>
      <c r="X39" s="114">
        <f>'Resumen Pto #1'!X24</f>
        <v>53546314.37747059</v>
      </c>
      <c r="Y39" s="114">
        <f>'Resumen Pto #2'!X33</f>
        <v>29207080.569529414</v>
      </c>
      <c r="Z39" s="114">
        <f t="shared" si="29"/>
        <v>82753394.946999997</v>
      </c>
      <c r="AA39" s="1180">
        <f>AVERAGE('Cert. Pto. 01'!S48,'Cert. Pto. 02'!S196)</f>
        <v>0.66328256383943107</v>
      </c>
      <c r="AB39" s="274">
        <f t="shared" si="30"/>
        <v>44250839.920890741</v>
      </c>
      <c r="AC39" s="263">
        <f t="shared" si="31"/>
        <v>0.53473141433329119</v>
      </c>
      <c r="AD39" s="274">
        <f t="shared" si="32"/>
        <v>0</v>
      </c>
    </row>
    <row r="40" spans="2:30" x14ac:dyDescent="0.35">
      <c r="B40" s="251" t="s">
        <v>74</v>
      </c>
      <c r="C40" s="252"/>
      <c r="D40" s="250">
        <f>SUM(D38:D39)</f>
        <v>3814337.5761526059</v>
      </c>
      <c r="E40" s="250">
        <f>SUM(E38:E39)</f>
        <v>3846725.9772370686</v>
      </c>
      <c r="F40" s="250">
        <f>SUM(F38:F39)</f>
        <v>4289965.6137632923</v>
      </c>
      <c r="G40" s="250">
        <f>SUM(G38:G39)</f>
        <v>5000643.0301451106</v>
      </c>
      <c r="H40" s="250">
        <f t="shared" ref="H40:I40" si="33">SUM(H38:H39)</f>
        <v>8442676.9389312081</v>
      </c>
      <c r="I40" s="250">
        <f t="shared" si="33"/>
        <v>3763766.1172406403</v>
      </c>
      <c r="J40" s="250">
        <f t="shared" ref="J40:K40" si="34">SUM(J38:J39)</f>
        <v>5766067.1162717296</v>
      </c>
      <c r="K40" s="250">
        <f t="shared" si="34"/>
        <v>6983113.5960882381</v>
      </c>
      <c r="L40" s="250">
        <f t="shared" ref="L40:M40" si="35">SUM(L38:L39)</f>
        <v>6111091.134752566</v>
      </c>
      <c r="M40" s="250">
        <f t="shared" si="35"/>
        <v>8161849.1039384082</v>
      </c>
      <c r="N40" s="250">
        <f t="shared" ref="N40:O40" si="36">SUM(N38:N39)</f>
        <v>7809359.7226452921</v>
      </c>
      <c r="O40" s="250">
        <f t="shared" si="36"/>
        <v>5889706.9010485997</v>
      </c>
      <c r="P40" s="250">
        <f t="shared" ref="P40:Q40" si="37">SUM(P38:P39)</f>
        <v>8384777.9416935192</v>
      </c>
      <c r="Q40" s="250">
        <f t="shared" si="37"/>
        <v>5538403.4290098315</v>
      </c>
      <c r="R40" s="250">
        <f t="shared" ref="R40:S40" si="38">SUM(R38:R39)</f>
        <v>5733448.3346518092</v>
      </c>
      <c r="S40" s="250">
        <f t="shared" si="38"/>
        <v>5510520.9852255471</v>
      </c>
      <c r="T40" s="250">
        <f t="shared" ref="T40" si="39">SUM(T38:T39)</f>
        <v>0</v>
      </c>
      <c r="U40" s="254"/>
      <c r="V40" s="250">
        <f>SUM(V38:V39)</f>
        <v>84121914.234503955</v>
      </c>
      <c r="X40" s="250">
        <f>SUM(X38:X39)</f>
        <v>113696846.21586061</v>
      </c>
      <c r="Y40" s="250">
        <f>SUM(Y38:Y39)</f>
        <v>62016461.572287597</v>
      </c>
      <c r="Z40" s="250">
        <f>SUM(Z38:Z39)</f>
        <v>175713307.78814819</v>
      </c>
      <c r="AB40" s="250">
        <f t="shared" si="30"/>
        <v>91591393.55364424</v>
      </c>
      <c r="AC40" s="263">
        <f t="shared" si="31"/>
        <v>0.521254734240579</v>
      </c>
      <c r="AD40" s="250">
        <f>SUM(AD38:AD39)</f>
        <v>0</v>
      </c>
    </row>
    <row r="42" spans="2:30" x14ac:dyDescent="0.35">
      <c r="B42" s="251" t="s">
        <v>75</v>
      </c>
      <c r="C42" s="252"/>
      <c r="D42" s="253">
        <f>D35+D40</f>
        <v>6123720.3270775303</v>
      </c>
      <c r="E42" s="253">
        <f>E35+E40</f>
        <v>6730153.0986237451</v>
      </c>
      <c r="F42" s="253">
        <f>F35+F40</f>
        <v>18680321.322178304</v>
      </c>
      <c r="G42" s="253">
        <f>G35+G40</f>
        <v>50120103.61914511</v>
      </c>
      <c r="H42" s="253">
        <f t="shared" ref="H42:I42" si="40">H35+H40</f>
        <v>92789247.06793119</v>
      </c>
      <c r="I42" s="253">
        <f t="shared" si="40"/>
        <v>69147017.696159467</v>
      </c>
      <c r="J42" s="253">
        <f t="shared" ref="J42:K42" si="41">J35+J40</f>
        <v>30991070.198982764</v>
      </c>
      <c r="K42" s="253">
        <f t="shared" si="41"/>
        <v>76117961.860488206</v>
      </c>
      <c r="L42" s="253">
        <f t="shared" ref="L42:M42" si="42">L35+L40</f>
        <v>31350312.213378683</v>
      </c>
      <c r="M42" s="253">
        <f t="shared" si="42"/>
        <v>46035381.665011927</v>
      </c>
      <c r="N42" s="253">
        <f t="shared" ref="N42:O42" si="43">N35+N40</f>
        <v>73692411.446487278</v>
      </c>
      <c r="O42" s="253">
        <f t="shared" si="43"/>
        <v>45143520.926257685</v>
      </c>
      <c r="P42" s="253">
        <f t="shared" ref="P42:Q42" si="44">P35+P40</f>
        <v>52945120.969328649</v>
      </c>
      <c r="Q42" s="253">
        <f t="shared" si="44"/>
        <v>57114068.593435913</v>
      </c>
      <c r="R42" s="253">
        <f t="shared" ref="R42:S42" si="45">R35+R40</f>
        <v>52214057.620551333</v>
      </c>
      <c r="S42" s="253">
        <f t="shared" si="45"/>
        <v>69992653.935160831</v>
      </c>
      <c r="T42" s="253">
        <f t="shared" ref="T42" si="46">T35+T40</f>
        <v>8523877.8900000006</v>
      </c>
      <c r="V42" s="253">
        <f>V35+V40</f>
        <v>692025396.06250405</v>
      </c>
      <c r="X42" s="253">
        <f>X35+X40</f>
        <v>493982752.47313225</v>
      </c>
      <c r="Y42" s="253">
        <f ca="1">Y35+Y40</f>
        <v>691495649.52223504</v>
      </c>
      <c r="Z42" s="253">
        <f ca="1">Z35+Z40</f>
        <v>1185478401.9953673</v>
      </c>
    </row>
    <row r="44" spans="2:30" x14ac:dyDescent="0.35">
      <c r="B44" s="251" t="s">
        <v>76</v>
      </c>
      <c r="C44" s="252"/>
      <c r="D44" s="257">
        <f>SUM(D8,D10,-D42)</f>
        <v>-6123720.3270775303</v>
      </c>
      <c r="E44" s="257">
        <f t="shared" ref="E44:K44" si="47">SUM(E8,E10,-E42)</f>
        <v>-6730153.0986237451</v>
      </c>
      <c r="F44" s="257">
        <f t="shared" si="47"/>
        <v>275367651.97564662</v>
      </c>
      <c r="G44" s="257">
        <f t="shared" si="47"/>
        <v>-21611627.249336563</v>
      </c>
      <c r="H44" s="257">
        <f t="shared" si="47"/>
        <v>-67458110.846964747</v>
      </c>
      <c r="I44" s="257">
        <f t="shared" si="47"/>
        <v>-18489177.358580776</v>
      </c>
      <c r="J44" s="257">
        <f t="shared" si="47"/>
        <v>1151020.8570172302</v>
      </c>
      <c r="K44" s="257">
        <f t="shared" si="47"/>
        <v>-3402337.9904882014</v>
      </c>
      <c r="L44" s="257">
        <f t="shared" ref="L44:M44" si="48">SUM(L8,L10,-L42)</f>
        <v>16901675.435621321</v>
      </c>
      <c r="M44" s="257">
        <f t="shared" si="48"/>
        <v>-9109698.7450119257</v>
      </c>
      <c r="N44" s="257">
        <f t="shared" ref="N44:O44" si="49">SUM(N8,N10,-N42)</f>
        <v>-43369291.446487278</v>
      </c>
      <c r="O44" s="257">
        <f t="shared" si="49"/>
        <v>-29120168.374297686</v>
      </c>
      <c r="P44" s="257">
        <f t="shared" ref="P44:Q44" si="50">SUM(P8,P10,-P42)</f>
        <v>-13121160.03932865</v>
      </c>
      <c r="Q44" s="257">
        <f t="shared" si="50"/>
        <v>-11045333.433435917</v>
      </c>
      <c r="R44" s="257">
        <f t="shared" ref="R44:S44" si="51">SUM(R8,R10,-R42)</f>
        <v>-20743078.150551334</v>
      </c>
      <c r="S44" s="257">
        <f t="shared" si="51"/>
        <v>2715776.6708391756</v>
      </c>
      <c r="T44" s="257">
        <f t="shared" ref="T44" si="52">SUM(T8,T10,-T42)</f>
        <v>-8523877.8900000006</v>
      </c>
      <c r="V44" s="259">
        <f>V8-V42</f>
        <v>53854106.429455876</v>
      </c>
      <c r="Z44" s="259">
        <f ca="1">Z8-Z42</f>
        <v>160274566.00463271</v>
      </c>
    </row>
    <row r="45" spans="2:30" x14ac:dyDescent="0.35">
      <c r="B45" s="251" t="s">
        <v>77</v>
      </c>
      <c r="C45" s="252"/>
      <c r="D45" s="258">
        <f>D44</f>
        <v>-6123720.3270775303</v>
      </c>
      <c r="E45" s="258">
        <f>D45+E44</f>
        <v>-12853873.425701275</v>
      </c>
      <c r="F45" s="258">
        <f t="shared" ref="F45:G45" si="53">E45+F44</f>
        <v>262513778.54994535</v>
      </c>
      <c r="G45" s="258">
        <f t="shared" si="53"/>
        <v>240902151.30060878</v>
      </c>
      <c r="H45" s="258">
        <f t="shared" ref="H45" si="54">G45+H44</f>
        <v>173444040.45364404</v>
      </c>
      <c r="I45" s="258">
        <f t="shared" ref="I45:O45" si="55">H45+I44</f>
        <v>154954863.09506327</v>
      </c>
      <c r="J45" s="258">
        <f t="shared" si="55"/>
        <v>156105883.95208049</v>
      </c>
      <c r="K45" s="258">
        <f t="shared" si="55"/>
        <v>152703545.96159229</v>
      </c>
      <c r="L45" s="258">
        <f t="shared" si="55"/>
        <v>169605221.39721361</v>
      </c>
      <c r="M45" s="258">
        <f t="shared" si="55"/>
        <v>160495522.65220168</v>
      </c>
      <c r="N45" s="258">
        <f t="shared" si="55"/>
        <v>117126231.2057144</v>
      </c>
      <c r="O45" s="258">
        <f t="shared" si="55"/>
        <v>88006062.831416726</v>
      </c>
      <c r="P45" s="258">
        <f t="shared" ref="P45" si="56">O45+P44</f>
        <v>74884902.792088076</v>
      </c>
      <c r="Q45" s="258">
        <f t="shared" ref="Q45:T45" si="57">P45+Q44</f>
        <v>63839569.35865216</v>
      </c>
      <c r="R45" s="258">
        <f t="shared" si="57"/>
        <v>43096491.208100826</v>
      </c>
      <c r="S45" s="258">
        <f t="shared" si="57"/>
        <v>45812267.878940001</v>
      </c>
      <c r="T45" s="258">
        <f t="shared" si="57"/>
        <v>37288389.988940001</v>
      </c>
    </row>
    <row r="47" spans="2:30" x14ac:dyDescent="0.35">
      <c r="B47" s="251" t="s">
        <v>984</v>
      </c>
      <c r="C47" s="252"/>
      <c r="D47" s="257">
        <f>D44/VLOOKUP(EOMONTH(DATE(2024,COLUMN(L1),1),0),'TC USD MEP'!$B$6:$C$1808,2,0)</f>
        <v>-5232.1155211229652</v>
      </c>
      <c r="E47" s="257">
        <f>E44/VLOOKUP(EOMONTH(DATE(2025,COLUMN(A1),1),0),'TC USD MEP'!$B$6:$C$1808,2,0)</f>
        <v>-5777.9969768144865</v>
      </c>
      <c r="F47" s="257">
        <f>F44/VLOOKUP(EOMONTH(DATE(2025,COLUMN(B1),1),0),'TC USD MEP'!$B$6:$C$1808,2,0)</f>
        <v>224153.1420744714</v>
      </c>
      <c r="G47" s="257">
        <f>G44/VLOOKUP(EOMONTH(DATE(2025,COLUMN(C1),1),0),'TC USD MEP'!$B$6:$C$1808,2,0)</f>
        <v>-16447.580423705687</v>
      </c>
      <c r="H47" s="257">
        <f>H44/VLOOKUP(EOMONTH(DATE(2025,COLUMN(D1),1),0),'TC USD MEP'!$B$6:$C$1808,2,0)</f>
        <v>-57005.087882035841</v>
      </c>
      <c r="I47" s="257">
        <f>I44/VLOOKUP(EOMONTH(DATE(2025,COLUMN(E1),1),0),'TC USD MEP'!$B$6:$C$1808,2,0)</f>
        <v>-15514.699223459182</v>
      </c>
      <c r="J47" s="257">
        <f>J44/VLOOKUP(EOMONTH(DATE(2025,COLUMN(F1),1),0),'TC USD MEP'!$B$6:$C$1808,2,0)</f>
        <v>950.3929130684752</v>
      </c>
      <c r="K47" s="257">
        <f>K44/VLOOKUP(EOMONTH(DATE(2025,COLUMN(G1),1),0),'TC USD MEP'!$B$6:$C$1808,2,0)</f>
        <v>-2502.1606684181043</v>
      </c>
      <c r="L47" s="257">
        <f>L44/VLOOKUP(EOMONTH(DATE(2025,COLUMN(H1),1),0),'TC USD MEP'!$B$6:$C$1808,2,0)</f>
        <v>12452.057285294268</v>
      </c>
      <c r="M47" s="257">
        <f>M44/VLOOKUP(EOMONTH(DATE(2025,COLUMN(I1),1),0),'TC USD MEP'!$B$6:$C$1808,2,0)</f>
        <v>-6097.4409613070275</v>
      </c>
      <c r="N47" s="257">
        <f>N44/VLOOKUP(EOMONTH(DATE(2025,COLUMN(J1),1),0),'TC USD MEP'!$B$6:$C$1808,2,0)</f>
        <v>-29353.953031883961</v>
      </c>
      <c r="O47" s="257">
        <f>O44/VLOOKUP(EOMONTH(DATE(2025,COLUMN(K1),1),0),'TC USD MEP'!$B$6:$C$1808,2,0)</f>
        <v>-19723.498986939816</v>
      </c>
      <c r="P47" s="257">
        <f>P44/VLOOKUP(EOMONTH(DATE(2025,COLUMN(L1),1),0),'TC USD MEP'!$B$6:$C$1808,2,0)</f>
        <v>-8861.2180661889652</v>
      </c>
      <c r="Q47" s="257">
        <f>Q44/VLOOKUP(EOMONTH(DATE(2026,COLUMN(A1),1),0),'TC USD MEP'!$B$6:$C$1808,2,0)</f>
        <v>-7563.639088306616</v>
      </c>
      <c r="R47" s="257">
        <f>R44/VLOOKUP(EOMONTH(DATE(2026,COLUMN(B1),1),0),'TC USD MEP'!$B$6:$C$1808,2,0)</f>
        <v>-14612.535152620803</v>
      </c>
      <c r="S47" s="257">
        <f>S44/VLOOKUP(EOMONTH(DATE(2026,COLUMN(C1),1),0),'TC USD MEP'!$B$6:$C$1808,2,0)</f>
        <v>1908.7013795220655</v>
      </c>
      <c r="T47" s="257">
        <f>T44/VLOOKUP(EOMONTH(DATE(2026,COLUMN(D1),1),0),'TC USD MEP'!$B$6:$C$1808,2,0)</f>
        <v>-5909.3875543353925</v>
      </c>
    </row>
    <row r="48" spans="2:30" x14ac:dyDescent="0.35">
      <c r="B48" s="251" t="s">
        <v>985</v>
      </c>
      <c r="C48" s="252"/>
      <c r="D48" s="257">
        <f>D45/VLOOKUP(EOMONTH(DATE(2024,COLUMN(L2),1),0),'TC USD MEP'!$B$6:$C$1808,2,0)</f>
        <v>-5232.1155211229652</v>
      </c>
      <c r="E48" s="257">
        <f>E45/VLOOKUP(EOMONTH(DATE(2025,COLUMN(A2),1),0),'TC USD MEP'!$B$6:$C$1808,2,0)</f>
        <v>-11035.356953357494</v>
      </c>
      <c r="F48" s="257">
        <f>F45/VLOOKUP(EOMONTH(DATE(2025,COLUMN(B2),1),0),'TC USD MEP'!$B$6:$C$1808,2,0)</f>
        <v>213689.90830127097</v>
      </c>
      <c r="G48" s="257">
        <f>G45/VLOOKUP(EOMONTH(DATE(2025,COLUMN(C2),1),0),'TC USD MEP'!$B$6:$C$1808,2,0)</f>
        <v>183339.15637389649</v>
      </c>
      <c r="H48" s="257">
        <f>H45/VLOOKUP(EOMONTH(DATE(2025,COLUMN(D2),1),0),'TC USD MEP'!$B$6:$C$1808,2,0)</f>
        <v>146567.88701221431</v>
      </c>
      <c r="I48" s="257">
        <f>I45/VLOOKUP(EOMONTH(DATE(2025,COLUMN(E2),1),0),'TC USD MEP'!$B$6:$C$1808,2,0)</f>
        <v>130026.23359099728</v>
      </c>
      <c r="J48" s="257">
        <f>J45/VLOOKUP(EOMONTH(DATE(2025,COLUMN(F2),1),0),'TC USD MEP'!$B$6:$C$1808,2,0)</f>
        <v>128895.94909758112</v>
      </c>
      <c r="K48" s="257">
        <f>K45/VLOOKUP(EOMONTH(DATE(2025,COLUMN(G2),1),0),'TC USD MEP'!$B$6:$C$1808,2,0)</f>
        <v>112301.83706065209</v>
      </c>
      <c r="L48" s="257">
        <f>L45/VLOOKUP(EOMONTH(DATE(2025,COLUMN(H2),1),0),'TC USD MEP'!$B$6:$C$1808,2,0)</f>
        <v>124954.11716829507</v>
      </c>
      <c r="M48" s="257">
        <f>M45/VLOOKUP(EOMONTH(DATE(2025,COLUMN(I2),1),0),'TC USD MEP'!$B$6:$C$1808,2,0)</f>
        <v>107425.28389994892</v>
      </c>
      <c r="N48" s="257">
        <f>N45/VLOOKUP(EOMONTH(DATE(2025,COLUMN(J2),1),0),'TC USD MEP'!$B$6:$C$1808,2,0)</f>
        <v>79275.399134808657</v>
      </c>
      <c r="O48" s="257">
        <f>O45/VLOOKUP(EOMONTH(DATE(2025,COLUMN(K2),1),0),'TC USD MEP'!$B$6:$C$1808,2,0)</f>
        <v>59607.742262646621</v>
      </c>
      <c r="P48" s="257">
        <f>P45/VLOOKUP(EOMONTH(DATE(2025,COLUMN(L2),1),0),'TC USD MEP'!$B$6:$C$1808,2,0)</f>
        <v>50572.62098146067</v>
      </c>
      <c r="Q48" s="257">
        <f>Q45/VLOOKUP(EOMONTH(DATE(2026,COLUMN(A2),1),0),'TC USD MEP'!$B$6:$C$1808,2,0)</f>
        <v>43716.150815336478</v>
      </c>
      <c r="R48" s="257">
        <f>R45/VLOOKUP(EOMONTH(DATE(2026,COLUMN(B2),1),0),'TC USD MEP'!$B$6:$C$1808,2,0)</f>
        <v>30359.476455824301</v>
      </c>
      <c r="S48" s="257">
        <f>S45/VLOOKUP(EOMONTH(DATE(2026,COLUMN(C2),1),0),'TC USD MEP'!$B$6:$C$1808,2,0)</f>
        <v>32197.764948230302</v>
      </c>
      <c r="T48" s="257">
        <f>T45/VLOOKUP(EOMONTH(DATE(2026,COLUMN(D2),1),0),'TC USD MEP'!$B$6:$C$1808,2,0)</f>
        <v>25851.091553101363</v>
      </c>
    </row>
    <row r="67" spans="26:29" x14ac:dyDescent="0.35">
      <c r="Z67" s="589">
        <f ca="1">Z42+Z44-Z10</f>
        <v>1345752968</v>
      </c>
      <c r="AA67" s="589"/>
      <c r="AB67" s="589"/>
      <c r="AC67" s="589"/>
    </row>
  </sheetData>
  <phoneticPr fontId="23" type="noConversion"/>
  <conditionalFormatting sqref="D47:T48">
    <cfRule type="cellIs" dxfId="136" priority="1" operator="greaterThan">
      <formula>0</formula>
    </cfRule>
    <cfRule type="cellIs" dxfId="135" priority="2" operator="lessThan">
      <formula>0</formula>
    </cfRule>
  </conditionalFormatting>
  <conditionalFormatting sqref="V44 D44:T45">
    <cfRule type="cellIs" dxfId="134" priority="57" operator="greaterThan">
      <formula>0</formula>
    </cfRule>
    <cfRule type="cellIs" dxfId="133" priority="58" operator="lessThan">
      <formula>0</formula>
    </cfRule>
  </conditionalFormatting>
  <conditionalFormatting sqref="Z44">
    <cfRule type="cellIs" dxfId="132" priority="7" operator="greaterThan">
      <formula>0</formula>
    </cfRule>
    <cfRule type="cellIs" dxfId="131" priority="8" operator="lessThan">
      <formula>0</formula>
    </cfRule>
  </conditionalFormatting>
  <conditionalFormatting sqref="AB13:AB34">
    <cfRule type="cellIs" dxfId="130" priority="4" operator="lessThan">
      <formula>0</formula>
    </cfRule>
  </conditionalFormatting>
  <conditionalFormatting sqref="AC7:AC10">
    <cfRule type="cellIs" dxfId="129" priority="13" operator="lessThan">
      <formula>0</formula>
    </cfRule>
    <cfRule type="cellIs" dxfId="128" priority="14" operator="greaterThan">
      <formula>0</formula>
    </cfRule>
  </conditionalFormatting>
  <conditionalFormatting sqref="AC13:AC35">
    <cfRule type="cellIs" dxfId="127" priority="11" operator="lessThan">
      <formula>0</formula>
    </cfRule>
    <cfRule type="cellIs" dxfId="126" priority="12" operator="greaterThan">
      <formula>0</formula>
    </cfRule>
  </conditionalFormatting>
  <conditionalFormatting sqref="AC38:AC40">
    <cfRule type="cellIs" dxfId="125" priority="9" operator="lessThan">
      <formula>0</formula>
    </cfRule>
    <cfRule type="cellIs" dxfId="124" priority="10" operator="greaterThan">
      <formula>0</formula>
    </cfRule>
  </conditionalFormatting>
  <conditionalFormatting sqref="AD13:AD34">
    <cfRule type="cellIs" dxfId="123" priority="3" operator="less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AC8 D35:T37 X5:Y5 AC10 U13:U37 X13:AD35 V42 X42:Z42 V44 V35 D44:T45 Z44 X38:AD40 X7:AD7 X9:AD9 D42:T42 D40:V40 D5:T5 D47:T48" xr:uid="{1F1F3F31-1AA0-4E32-A96E-D63B8A7A105A}"/>
  </dataValidations>
  <pageMargins left="0.7" right="0.7" top="0.75" bottom="0.75" header="0.3" footer="0.3"/>
  <pageSetup paperSize="9" orientation="portrait" r:id="rId1"/>
  <ignoredErrors>
    <ignoredError sqref="W29:W32 W13:W17 U29:U32 W34:W35 U34:U35 X16:X20 X33:X34 W20 X38:AA39 W23:W26 Z33:AA33 U13:U26 W21:X22 X7:AA7 Y13:Y33 D22 D33 E21:K32 D34:K34 Z13:Z32 Z34 D13:K20 L13:M32 N13:O32 D38:O39 D7:O7 L34:M34 N34:O34" unlockedFormula="1"/>
    <ignoredError sqref="AC35 AC40 AC10 V8 Z8 V9:W9 AB9 AA19 AC8:AD8 AD9" formula="1"/>
    <ignoredError sqref="Z9 X9:Y9 D8:O8 D9:O9" formula="1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4EF7AE8-6D9A-403B-84C5-158A4D658CBF}">
          <x14:formula1>
            <xm:f>Listas!$C$1:$C$2</xm:f>
          </x14:formula1>
          <xm:sqref>C13:C34</xm:sqref>
        </x14:dataValidation>
        <x14:dataValidation type="list" allowBlank="1" showInputMessage="1" showErrorMessage="1" xr:uid="{0AE2225B-F81C-4C3B-98BE-BC17CF0DE4BE}">
          <x14:formula1>
            <xm:f>Listas!$A:$A</xm:f>
          </x14:formula1>
          <xm:sqref>B13:B34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F1FE-E952-4C7C-8380-192604D63DFF}">
  <sheetPr>
    <tabColor rgb="FFC6EFCE"/>
  </sheetPr>
  <dimension ref="B1:AG32"/>
  <sheetViews>
    <sheetView topLeftCell="C1" zoomScaleNormal="100" workbookViewId="0">
      <selection activeCell="X7" sqref="X7"/>
    </sheetView>
  </sheetViews>
  <sheetFormatPr defaultColWidth="11.453125" defaultRowHeight="14.5" outlineLevelCol="1" x14ac:dyDescent="0.35"/>
  <cols>
    <col min="1" max="1" width="2.81640625" style="260" customWidth="1"/>
    <col min="2" max="2" width="25.453125" style="138" customWidth="1"/>
    <col min="3" max="3" width="5.7265625" style="138" bestFit="1" customWidth="1"/>
    <col min="4" max="4" width="10.54296875" style="138" hidden="1" customWidth="1" outlineLevel="1"/>
    <col min="5" max="5" width="11.54296875" style="138" hidden="1" customWidth="1" outlineLevel="1"/>
    <col min="6" max="7" width="12" style="138" hidden="1" customWidth="1" outlineLevel="1"/>
    <col min="8" max="10" width="12.54296875" style="138" hidden="1" customWidth="1" outlineLevel="1"/>
    <col min="11" max="11" width="12.54296875" style="138" customWidth="1" collapsed="1"/>
    <col min="12" max="14" width="12.54296875" style="138" customWidth="1"/>
    <col min="15" max="15" width="11.54296875" style="138" customWidth="1"/>
    <col min="16" max="20" width="11" style="138" customWidth="1"/>
    <col min="21" max="21" width="1" style="138" customWidth="1"/>
    <col min="22" max="22" width="12" style="138" customWidth="1"/>
    <col min="23" max="23" width="1.26953125" style="138" customWidth="1"/>
    <col min="24" max="24" width="12" style="138" bestFit="1" customWidth="1"/>
    <col min="25" max="25" width="5.7265625" style="138" bestFit="1" customWidth="1"/>
    <col min="26" max="26" width="11.81640625" style="138" customWidth="1"/>
    <col min="27" max="27" width="8.1796875" style="138" customWidth="1"/>
    <col min="28" max="28" width="10.81640625" style="138" customWidth="1"/>
    <col min="29" max="29" width="9.7265625" style="260" bestFit="1" customWidth="1"/>
    <col min="30" max="30" width="7.26953125" style="260" bestFit="1" customWidth="1"/>
    <col min="31" max="31" width="13" style="260" bestFit="1" customWidth="1"/>
    <col min="32" max="16384" width="11.453125" style="260"/>
  </cols>
  <sheetData>
    <row r="1" spans="2:33" ht="21.5" thickBot="1" x14ac:dyDescent="0.4">
      <c r="B1" s="137"/>
      <c r="C1" s="137"/>
      <c r="AC1" s="157" t="s">
        <v>36</v>
      </c>
      <c r="AD1" s="156">
        <v>46133</v>
      </c>
    </row>
    <row r="2" spans="2:33" ht="7.15" customHeight="1" x14ac:dyDescent="0.35">
      <c r="B2" s="137"/>
      <c r="C2" s="137"/>
      <c r="AA2" s="169"/>
      <c r="AB2" s="170"/>
    </row>
    <row r="3" spans="2:33" x14ac:dyDescent="0.35">
      <c r="B3" s="60" t="s">
        <v>37</v>
      </c>
      <c r="C3" s="139"/>
    </row>
    <row r="4" spans="2:33" ht="13.9" customHeight="1" x14ac:dyDescent="0.35">
      <c r="B4" s="139" t="s">
        <v>38</v>
      </c>
      <c r="C4" s="139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261"/>
      <c r="AD4" s="261"/>
      <c r="AE4" s="261"/>
      <c r="AF4" s="261"/>
      <c r="AG4" s="215"/>
    </row>
    <row r="5" spans="2:33" ht="25.15" customHeight="1" x14ac:dyDescent="0.35">
      <c r="B5" s="262"/>
      <c r="C5" s="262"/>
      <c r="D5" s="150">
        <v>45627</v>
      </c>
      <c r="E5" s="150">
        <v>45658</v>
      </c>
      <c r="F5" s="150">
        <v>45689</v>
      </c>
      <c r="G5" s="150">
        <v>45717</v>
      </c>
      <c r="H5" s="150">
        <v>45748</v>
      </c>
      <c r="I5" s="150">
        <v>45778</v>
      </c>
      <c r="J5" s="150">
        <v>45809</v>
      </c>
      <c r="K5" s="150">
        <v>45839</v>
      </c>
      <c r="L5" s="150">
        <v>45870</v>
      </c>
      <c r="M5" s="150">
        <v>45901</v>
      </c>
      <c r="N5" s="150">
        <v>45931</v>
      </c>
      <c r="O5" s="150">
        <v>45962</v>
      </c>
      <c r="P5" s="150">
        <v>45992</v>
      </c>
      <c r="Q5" s="150">
        <v>46023</v>
      </c>
      <c r="R5" s="150">
        <v>46054</v>
      </c>
      <c r="S5" s="150">
        <v>46082</v>
      </c>
      <c r="T5" s="150">
        <v>46113</v>
      </c>
      <c r="U5" s="140"/>
      <c r="V5" s="151" t="s">
        <v>39</v>
      </c>
      <c r="X5" s="272" t="s">
        <v>42</v>
      </c>
      <c r="Y5" s="1178" t="s">
        <v>43</v>
      </c>
      <c r="Z5" s="151" t="s">
        <v>44</v>
      </c>
      <c r="AA5" s="1178" t="s">
        <v>45</v>
      </c>
      <c r="AB5" s="151" t="s">
        <v>46</v>
      </c>
      <c r="AC5" s="261"/>
      <c r="AD5" s="261"/>
      <c r="AE5" s="261"/>
      <c r="AF5" s="261"/>
      <c r="AG5" s="215"/>
    </row>
    <row r="6" spans="2:33" ht="17.5" customHeight="1" x14ac:dyDescent="0.35">
      <c r="B6" s="159" t="s">
        <v>47</v>
      </c>
      <c r="C6" s="262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261"/>
      <c r="AD6" s="261"/>
      <c r="AE6" s="261"/>
      <c r="AF6" s="261"/>
      <c r="AG6" s="215"/>
    </row>
    <row r="7" spans="2:33" ht="17.5" customHeight="1" x14ac:dyDescent="0.35">
      <c r="B7" s="66" t="s">
        <v>78</v>
      </c>
      <c r="C7" s="160"/>
      <c r="D7" s="216">
        <f>SUMIFS(Certificados!$E$12:$E$80,Certificados!$A$12:$A$80,"&gt;="&amp;DATE(2024,12,1),Certificados!$A$12:$A$80,"&lt;="&amp;DATE(2024,12,31),Certificados!$C$12:$C$80,"Pto. 1")</f>
        <v>0</v>
      </c>
      <c r="E7" s="216">
        <f>SUMIFS(Certificados!$E$12:$E$80,Certificados!$A$12:$A$80,"&gt;="&amp;DATE(2025,1,1),Certificados!$A$12:$A$80,"&lt;="&amp;DATE(2025,1,31),Certificados!$C$12:$C$80,"Pto. 1")</f>
        <v>0</v>
      </c>
      <c r="F7" s="216">
        <f>SUMIFS(Certificados!$E$12:$E$80,Certificados!$A$12:$A$80,"&gt;="&amp;DATE(2025,2,1),Certificados!$A$12:$A$80,"&lt;="&amp;DATE(2025,2,28),Certificados!$C$12:$C$80,"Pto. 1")</f>
        <v>200363088</v>
      </c>
      <c r="G7" s="216">
        <f>SUMIFS(Certificados!$E$12:$E$80,Certificados!$A$12:$A$80,"&gt;="&amp;DATE(2025,3,1),Certificados!$A$12:$A$80,"&lt;="&amp;DATE(2025,3,31),Certificados!$C$12:$C$80,"Pto. 1")</f>
        <v>19603686</v>
      </c>
      <c r="H7" s="216">
        <f>SUMIFS(Certificados!$E$12:$E$80,Certificados!$A$12:$A$80,"&gt;="&amp;DATE(2025,4,1),Certificados!$A$12:$A$80,"&lt;="&amp;DATE(2025,4,30),Certificados!$C$12:$C$80,"Pto. 1")</f>
        <v>16465959</v>
      </c>
      <c r="I7" s="216">
        <f>SUMIFS(Certificados!$E$12:$E$80,Certificados!$A$12:$A$80,"&gt;="&amp;DATE(2025,5,1),Certificados!$A$12:$A$80,"&lt;="&amp;DATE(2025,5,31),Certificados!$C$12:$C$80,"Pto. 1")</f>
        <v>38898523</v>
      </c>
      <c r="J7" s="216">
        <f>SUMIFS(Certificados!$E$12:$E$80,Certificados!$A$12:$A$80,"&gt;="&amp;DATE(2025,6,1),Certificados!$A$12:$A$80,"&lt;="&amp;DATE(2025,6,30),Certificados!$C$12:$C$80,"Pto. 1")</f>
        <v>21634403.627999999</v>
      </c>
      <c r="K7" s="216">
        <f>SUMIFS(Certificados!$E$12:$E$80,Certificados!$A$12:$A$80,"&gt;="&amp;DATE(2025,7,1),Certificados!$A$12:$A$80,"&lt;="&amp;DATE(2025,7,31),Certificados!$C$12:$C$80,"Pto. 1")</f>
        <v>56374940</v>
      </c>
      <c r="L7" s="216">
        <f>SUMIFS(Certificados!$E$12:$E$80,Certificados!$A$12:$A$80,"&gt;="&amp;DATE(2025,8,1),Certificados!$A$12:$A$80,"&lt;="&amp;DATE(2025,8,31),Certificados!$C$12:$C$80,"Pto. 1")</f>
        <v>33566952.469999999</v>
      </c>
      <c r="M7" s="216">
        <f>SUMIFS(Certificados!$E$12:$E$80,Certificados!$A$12:$A$80,"&gt;="&amp;DATE(2025,9,1),Certificados!$A$12:$A$80,"&lt;="&amp;DATE(2025,9,30),Certificados!$C$12:$C$80,"Pto. 1")</f>
        <v>20270753.399999999</v>
      </c>
      <c r="N7" s="216">
        <f>SUMIFS(Certificados!$E$12:$E$80,Certificados!$A$12:$A$80,"&gt;="&amp;DATE(2025,10,1),Certificados!$A$12:$A$80,"&lt;="&amp;DATE(2025,10,30),Certificados!$C$12:$C$80,"Pto. 1")</f>
        <v>15191867</v>
      </c>
      <c r="O7" s="216">
        <f>SUMIFS(Certificados!$E$12:$E$80,Certificados!$A$12:$A$80,"&gt;="&amp;DATE(2025,11,1),Certificados!$A$12:$A$80,"&lt;="&amp;DATE(2025,11,30),Certificados!$C$12:$C$80,"Pto. 1")</f>
        <v>-9282491.0958399996</v>
      </c>
      <c r="P7" s="216">
        <f>SUMIFS(Certificados!$E$12:$E$80,Certificados!$A$12:$A$80,"&gt;="&amp;DATE(2025,12,1),Certificados!$A$12:$A$80,"&lt;="&amp;DATE(2025,12,31),Certificados!$C$12:$C$80,"Pto. 1")</f>
        <v>0</v>
      </c>
      <c r="Q7" s="216">
        <f>SUMIFS(Certificados!$E$12:$E$80,Certificados!$A$12:$A$80,"&gt;="&amp;DATE(2026,1,1),Certificados!$A$12:$A$80,"&lt;="&amp;DATE(2026,1,31),Certificados!$C$12:$C$80,"Pto. 1")</f>
        <v>0</v>
      </c>
      <c r="R7" s="216">
        <f>SUMIFS(Certificados!$E$12:$E$80,Certificados!$A$12:$A$80,"&gt;="&amp;DATE(2026,2,1),Certificados!$A$12:$A$80,"&lt;="&amp;DATE(2026,2,28),Certificados!$C$12:$C$80,"Pto. 1")</f>
        <v>0</v>
      </c>
      <c r="S7" s="216">
        <f>SUMIFS(Certificados!$E$12:$E$80,Certificados!$A$12:$A$80,"&gt;="&amp;DATE(2026,3,1),Certificados!$A$12:$A$80,"&lt;="&amp;DATE(2026,3,31),Certificados!$C$12:$C$80,"Pto. 1")</f>
        <v>0</v>
      </c>
      <c r="T7" s="216">
        <f>SUMIFS(Certificados!$E$12:$E$80,Certificados!$A$12:$A$80,"&gt;="&amp;DATE(2026,4,1),Certificados!$A$12:$A$80,"&lt;="&amp;DATE(2026,4,30),Certificados!$C$12:$C$80,"Pto. 1")</f>
        <v>0</v>
      </c>
      <c r="U7" s="140"/>
      <c r="V7" s="216">
        <f>SUM(D7:U7)</f>
        <v>413087681.40216005</v>
      </c>
      <c r="W7" s="140"/>
      <c r="X7" s="216">
        <f>SUM(Facturacion!E4:E5)</f>
        <v>500907720</v>
      </c>
      <c r="Y7" s="1179">
        <f>'Cert. Pto. 01'!S46/'Cert. Pto. 01'!L46</f>
        <v>1</v>
      </c>
      <c r="Z7" s="274">
        <f>IF(Y7=100%,0,IF(OR(V7&lt;&gt;0,X7),X7-V7))</f>
        <v>0</v>
      </c>
      <c r="AA7" s="263">
        <f>IF(OR(Z7&lt;0,X7),Z7/X7,0%)</f>
        <v>0</v>
      </c>
      <c r="AB7" s="274">
        <f>IF(Y7=100%,IF(OR(V7&lt;&gt;0,X7),X7-V7),0)</f>
        <v>87820038.597839952</v>
      </c>
      <c r="AC7" s="261"/>
      <c r="AD7" s="261"/>
      <c r="AE7" s="261"/>
      <c r="AF7" s="261"/>
      <c r="AG7" s="215"/>
    </row>
    <row r="8" spans="2:33" ht="17.5" customHeight="1" x14ac:dyDescent="0.35">
      <c r="B8" s="264" t="s">
        <v>49</v>
      </c>
      <c r="C8" s="264"/>
      <c r="D8" s="248">
        <f>SUM(D7)</f>
        <v>0</v>
      </c>
      <c r="E8" s="248">
        <f t="shared" ref="E8:K8" si="0">SUM(E7)</f>
        <v>0</v>
      </c>
      <c r="F8" s="248">
        <f t="shared" si="0"/>
        <v>200363088</v>
      </c>
      <c r="G8" s="248">
        <f t="shared" si="0"/>
        <v>19603686</v>
      </c>
      <c r="H8" s="248">
        <f t="shared" si="0"/>
        <v>16465959</v>
      </c>
      <c r="I8" s="248">
        <f t="shared" si="0"/>
        <v>38898523</v>
      </c>
      <c r="J8" s="248">
        <f t="shared" si="0"/>
        <v>21634403.627999999</v>
      </c>
      <c r="K8" s="248">
        <f t="shared" si="0"/>
        <v>56374940</v>
      </c>
      <c r="L8" s="248">
        <f t="shared" ref="L8:M8" si="1">SUM(L7)</f>
        <v>33566952.469999999</v>
      </c>
      <c r="M8" s="248">
        <f t="shared" si="1"/>
        <v>20270753.399999999</v>
      </c>
      <c r="N8" s="248">
        <f t="shared" ref="N8:O8" si="2">SUM(N7)</f>
        <v>15191867</v>
      </c>
      <c r="O8" s="248">
        <f t="shared" si="2"/>
        <v>-9282491.0958399996</v>
      </c>
      <c r="P8" s="248">
        <f t="shared" ref="P8:Q8" si="3">SUM(P7)</f>
        <v>0</v>
      </c>
      <c r="Q8" s="248">
        <f t="shared" si="3"/>
        <v>0</v>
      </c>
      <c r="R8" s="248">
        <f t="shared" ref="R8:S8" si="4">SUM(R7)</f>
        <v>0</v>
      </c>
      <c r="S8" s="248">
        <f t="shared" si="4"/>
        <v>0</v>
      </c>
      <c r="T8" s="248">
        <f t="shared" ref="T8" si="5">SUM(T7)</f>
        <v>0</v>
      </c>
      <c r="U8" s="140"/>
      <c r="V8" s="248">
        <f>SUM(V7)</f>
        <v>413087681.40216005</v>
      </c>
      <c r="W8" s="140"/>
      <c r="X8" s="248">
        <f>SUM(X7)</f>
        <v>500907720</v>
      </c>
      <c r="Y8" s="1181"/>
      <c r="Z8" s="248">
        <f>SUM(Z7)</f>
        <v>0</v>
      </c>
      <c r="AA8" s="263">
        <f t="shared" ref="AA8" si="6">IF(OR(Z8&lt;0,X8),Z8/X8,0%)</f>
        <v>0</v>
      </c>
      <c r="AB8" s="248">
        <f>SUM(AB7)</f>
        <v>87820038.597839952</v>
      </c>
      <c r="AC8" s="261"/>
      <c r="AD8" s="261"/>
      <c r="AE8" s="261"/>
      <c r="AF8" s="261"/>
      <c r="AG8" s="215"/>
    </row>
    <row r="9" spans="2:33" x14ac:dyDescent="0.35">
      <c r="B9" s="66" t="s">
        <v>50</v>
      </c>
      <c r="C9" s="160"/>
      <c r="D9" s="216">
        <f>SUMIFS(Certificados!$F$12:$F$80,Certificados!$A$12:$A$80,"&gt;="&amp;DATE(2024,12,1),Certificados!$A$12:$A$80,"&lt;="&amp;DATE(2024,12,31),Certificados!$C$12:$C$80,"Pto. 1")</f>
        <v>0</v>
      </c>
      <c r="E9" s="216">
        <f>SUMIFS(Certificados!$F$12:$F$80,Certificados!$A$12:$A$80,"&gt;="&amp;DATE(2025,1,1),Certificados!$A$12:$A$80,"&lt;="&amp;DATE(2025,1,31),Certificados!$C$12:$C$80,"Pto. 1")</f>
        <v>0</v>
      </c>
      <c r="F9" s="216">
        <f>SUMIFS(Certificados!$F$12:$F$80,Certificados!$A$12:$A$80,"&gt;="&amp;DATE(2025,2,1),Certificados!$A$12:$A$80,"&lt;="&amp;DATE(2025,2,28),Certificados!$C$12:$C$80,"Pto. 1")</f>
        <v>6471574.8253496792</v>
      </c>
      <c r="G9" s="216">
        <f>SUMIFS(Certificados!$F$12:$F$80,Certificados!$A$12:$A$80,"&gt;="&amp;DATE(2025,3,1),Certificados!$A$12:$A$80,"&lt;="&amp;DATE(2025,3,31),Certificados!$C$12:$C$80,"Pto. 1")</f>
        <v>633184.08154411067</v>
      </c>
      <c r="H9" s="216">
        <f>SUMIFS(Certificados!$F$12:$F$80,Certificados!$A$12:$A$80,"&gt;="&amp;DATE(2025,4,1),Certificados!$A$12:$A$80,"&lt;="&amp;DATE(2025,4,30),Certificados!$C$12:$C$80,"Pto. 1")</f>
        <v>685170.22920215735</v>
      </c>
      <c r="I9" s="216">
        <f>SUMIFS(Certificados!$F$12:$F$80,Certificados!$A$12:$A$80,"&gt;="&amp;DATE(2025,5,1),Certificados!$A$12:$A$80,"&lt;="&amp;DATE(2025,5,31),Certificados!$C$12:$C$80,"Pto. 1")</f>
        <v>2272398.8265704056</v>
      </c>
      <c r="J9" s="216">
        <f>SUMIFS(Certificados!$F$12:$F$80,Certificados!$A$12:$A$80,"&gt;="&amp;DATE(2025,6,1),Certificados!$A$12:$A$80,"&lt;="&amp;DATE(2025,6,30),Certificados!$C$12:$C$80,"Pto. 1")</f>
        <v>1641134.4309999999</v>
      </c>
      <c r="K9" s="216">
        <f>SUMIFS(Certificados!$F$12:$F$80,Certificados!$A$12:$A$80,"&gt;="&amp;DATE(2025,7,1),Certificados!$A$12:$A$80,"&lt;="&amp;DATE(2025,7,31),Certificados!$C$12:$C$80,"Pto. 1")</f>
        <v>4724710</v>
      </c>
      <c r="L9" s="216">
        <f>SUMIFS(Certificados!$F$12:$F$80,Certificados!$A$12:$A$80,"&gt;="&amp;DATE(2025,8,1),Certificados!$A$12:$A$80,"&lt;="&amp;DATE(2025,8,31),Certificados!$C$12:$C$80,"Pto. 1")</f>
        <v>3460436.1989999996</v>
      </c>
      <c r="M9" s="216">
        <f>SUMIFS(Certificados!$F$12:$F$80,Certificados!$A$12:$A$80,"&gt;="&amp;DATE(2025,9,1),Certificados!$A$12:$A$80,"&lt;="&amp;DATE(2025,9,30),Certificados!$C$12:$C$80,"Pto. 1")</f>
        <v>2417220.42</v>
      </c>
      <c r="N9" s="216">
        <f>SUMIFS(Certificados!$F$12:$F$80,Certificados!$A$12:$A$80,"&gt;="&amp;DATE(2025,10,1),Certificados!$A$12:$A$80,"&lt;="&amp;DATE(2025,10,30),Certificados!$C$12:$C$80,"Pto. 1")</f>
        <v>2380122</v>
      </c>
      <c r="O9" s="216">
        <f>SUMIFS(Certificados!$F$12:$F$80,Certificados!$A$12:$A$80,"&gt;="&amp;DATE(2025,11,1),Certificados!$A$12:$A$80,"&lt;="&amp;DATE(2025,11,30),Certificados!$C$12:$C$80,"Pto. 1")</f>
        <v>4748892.8760000002</v>
      </c>
      <c r="P9" s="216">
        <f>SUMIFS(Certificados!$F$12:$F$80,Certificados!$A$12:$A$80,"&gt;="&amp;DATE(2025,12,1),Certificados!$A$12:$A$80,"&lt;="&amp;DATE(2025,12,31),Certificados!$C$12:$C$80,"Pto. 1")</f>
        <v>0</v>
      </c>
      <c r="Q9" s="216">
        <f>SUMIFS(Certificados!$F$12:$F$80,Certificados!$A$12:$A$80,"&gt;="&amp;DATE(2026,1,1),Certificados!$A$12:$A$80,"&lt;="&amp;DATE(2026,1,31),Certificados!$C$12:$C$80,"Pto. 1")</f>
        <v>0</v>
      </c>
      <c r="R9" s="216">
        <f>SUMIFS(Certificados!$F$12:$F$80,Certificados!$A$12:$A$80,"&gt;="&amp;DATE(2026,2,1),Certificados!$A$12:$A$80,"&lt;="&amp;DATE(2026,2,28),Certificados!$C$12:$C$80,"Pto. 1")</f>
        <v>0</v>
      </c>
      <c r="S9" s="216">
        <f>SUMIFS(Certificados!$F$12:$F$80,Certificados!$A$12:$A$80,"&gt;="&amp;DATE(2026,3,1),Certificados!$A$12:$A$80,"&lt;="&amp;DATE(2026,3,31),Certificados!$C$12:$C$80,"Pto. 1")</f>
        <v>0</v>
      </c>
      <c r="T9" s="216">
        <f>SUMIFS(Certificados!$F$12:$F$80,Certificados!$A$12:$A$80,"&gt;="&amp;DATE(2026,4,1),Certificados!$A$12:$A$80,"&lt;="&amp;DATE(2026,4,30),Certificados!$C$12:$C$80,"Pto. 1")</f>
        <v>0</v>
      </c>
      <c r="U9" s="140"/>
      <c r="V9" s="216">
        <f>SUM(D9:U9)</f>
        <v>29434843.888666354</v>
      </c>
      <c r="W9" s="140"/>
      <c r="X9" s="216">
        <v>0</v>
      </c>
      <c r="Y9" s="216">
        <v>0</v>
      </c>
      <c r="Z9" s="274">
        <f>IF(Y9=100%,0,IF(X9=0,X9,X9-V9))</f>
        <v>0</v>
      </c>
      <c r="AA9" s="263">
        <f t="shared" ref="AA9:AA10" si="7">IF(OR(Z9&lt;0,X9),Z9/X9,0%)</f>
        <v>0</v>
      </c>
      <c r="AB9" s="274">
        <f>IF(Y9=100%,IF(OR(V9&lt;&gt;0,X9),X9-V9),0)</f>
        <v>0</v>
      </c>
      <c r="AC9" s="261"/>
      <c r="AD9" s="261"/>
      <c r="AE9" s="261"/>
      <c r="AF9" s="261"/>
      <c r="AG9" s="215"/>
    </row>
    <row r="10" spans="2:33" ht="17.5" customHeight="1" x14ac:dyDescent="0.35">
      <c r="B10" s="264" t="s">
        <v>79</v>
      </c>
      <c r="C10" s="264"/>
      <c r="D10" s="248">
        <f>SUM(D9)</f>
        <v>0</v>
      </c>
      <c r="E10" s="248">
        <f t="shared" ref="E10:K10" si="8">SUM(E9)</f>
        <v>0</v>
      </c>
      <c r="F10" s="248">
        <f t="shared" si="8"/>
        <v>6471574.8253496792</v>
      </c>
      <c r="G10" s="248">
        <f t="shared" si="8"/>
        <v>633184.08154411067</v>
      </c>
      <c r="H10" s="248">
        <f t="shared" si="8"/>
        <v>685170.22920215735</v>
      </c>
      <c r="I10" s="248">
        <f t="shared" si="8"/>
        <v>2272398.8265704056</v>
      </c>
      <c r="J10" s="248">
        <f t="shared" si="8"/>
        <v>1641134.4309999999</v>
      </c>
      <c r="K10" s="248">
        <f t="shared" si="8"/>
        <v>4724710</v>
      </c>
      <c r="L10" s="248">
        <f t="shared" ref="L10:M10" si="9">SUM(L9)</f>
        <v>3460436.1989999996</v>
      </c>
      <c r="M10" s="248">
        <f t="shared" si="9"/>
        <v>2417220.42</v>
      </c>
      <c r="N10" s="248">
        <f t="shared" ref="N10:O10" si="10">SUM(N9)</f>
        <v>2380122</v>
      </c>
      <c r="O10" s="248">
        <f t="shared" si="10"/>
        <v>4748892.8760000002</v>
      </c>
      <c r="P10" s="248">
        <f t="shared" ref="P10:Q10" si="11">SUM(P9)</f>
        <v>0</v>
      </c>
      <c r="Q10" s="248">
        <f t="shared" si="11"/>
        <v>0</v>
      </c>
      <c r="R10" s="248">
        <f t="shared" ref="R10:S10" si="12">SUM(R9)</f>
        <v>0</v>
      </c>
      <c r="S10" s="248">
        <f t="shared" si="12"/>
        <v>0</v>
      </c>
      <c r="T10" s="248">
        <f t="shared" ref="T10" si="13">SUM(T9)</f>
        <v>0</v>
      </c>
      <c r="U10" s="140"/>
      <c r="V10" s="248">
        <f>SUM(V9)</f>
        <v>29434843.888666354</v>
      </c>
      <c r="W10" s="140"/>
      <c r="X10" s="248">
        <f>SUM(X9)</f>
        <v>0</v>
      </c>
      <c r="Y10" s="1181"/>
      <c r="Z10" s="248">
        <f>SUM(Z9)</f>
        <v>0</v>
      </c>
      <c r="AA10" s="263">
        <f t="shared" si="7"/>
        <v>0</v>
      </c>
      <c r="AB10" s="248">
        <f>SUM(AB9)</f>
        <v>0</v>
      </c>
      <c r="AC10" s="261"/>
      <c r="AD10" s="261"/>
      <c r="AE10" s="261"/>
      <c r="AF10" s="261"/>
      <c r="AG10" s="215"/>
    </row>
    <row r="11" spans="2:33" ht="17.5" customHeight="1" x14ac:dyDescent="0.35">
      <c r="B11" s="262"/>
      <c r="C11" s="262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261"/>
      <c r="AD11" s="261"/>
      <c r="AE11" s="261"/>
      <c r="AF11" s="261"/>
      <c r="AG11" s="215"/>
    </row>
    <row r="12" spans="2:33" x14ac:dyDescent="0.35">
      <c r="B12" s="159" t="s">
        <v>51</v>
      </c>
      <c r="AC12" s="260" t="s">
        <v>52</v>
      </c>
    </row>
    <row r="13" spans="2:33" x14ac:dyDescent="0.35">
      <c r="B13" s="66" t="s">
        <v>56</v>
      </c>
      <c r="C13" s="160"/>
      <c r="D13" s="216">
        <f>IFERROR(VLOOKUP($B13&amp;$C13,'C. Gestión Pto #1'!$B$4:C$11,MATCH(D$5,'C. Gestión Pto #1'!$B$4:C$4,0),FALSE),0)</f>
        <v>0</v>
      </c>
      <c r="E13" s="216">
        <f>IFERROR(VLOOKUP($B13&amp;$C13,'C. Gestión Pto #1'!$B$4:D$11,MATCH(E$5,'C. Gestión Pto #1'!$B$4:D$4,0),FALSE),0)</f>
        <v>0</v>
      </c>
      <c r="F13" s="216">
        <f>IFERROR(VLOOKUP($B13&amp;$C13,'C. Gestión Pto #1'!$B$4:E$11,MATCH(F$5,'C. Gestión Pto #1'!$B$4:E$4,0),FALSE),0)</f>
        <v>6949796.9299999997</v>
      </c>
      <c r="G13" s="216">
        <f>IFERROR(VLOOKUP($B13&amp;$C13,'C. Gestión Pto #1'!$B$4:F$11,MATCH(G$5,'C. Gestión Pto #1'!$B$4:F$4,0),FALSE),0)</f>
        <v>4182183.8</v>
      </c>
      <c r="H13" s="216">
        <f>IFERROR(VLOOKUP($B13&amp;$C13,'C. Gestión Pto #1'!$B$4:G$11,MATCH(H$5,'C. Gestión Pto #1'!$B$4:G$4,0),FALSE),0)</f>
        <v>163926.84999999998</v>
      </c>
      <c r="I13" s="216">
        <f>IFERROR(VLOOKUP($B13&amp;$C13,'C. Gestión Pto #1'!$B$4:H$11,MATCH(I$5,'C. Gestión Pto #1'!$B$4:H$4,0),FALSE),0)</f>
        <v>459869.25</v>
      </c>
      <c r="J13" s="216">
        <f>IFERROR(VLOOKUP($B13&amp;$C13,'C. Gestión Pto #1'!$B$4:I$11,MATCH(J$5,'C. Gestión Pto #1'!$B$4:I$4,0),FALSE),0)</f>
        <v>92816.22</v>
      </c>
      <c r="K13" s="216">
        <f>IFERROR(VLOOKUP($B13&amp;$C13,'C. Gestión Pto #1'!$B$4:J$11,MATCH(K$5,'C. Gestión Pto #1'!$B$4:J$4,0),FALSE),0)</f>
        <v>14628.44</v>
      </c>
      <c r="L13" s="216">
        <f>IFERROR(VLOOKUP($B13&amp;$C13,'C. Gestión Pto #1'!$B$4:K$11,MATCH(L$5,'C. Gestión Pto #1'!$B$4:K$4,0),FALSE),0)</f>
        <v>49173.56</v>
      </c>
      <c r="M13" s="216">
        <f>IFERROR(VLOOKUP($B13&amp;$C13,'C. Gestión Pto #1'!$B$4:L$11,MATCH(M$5,'C. Gestión Pto #1'!$B$4:L$4,0),FALSE),0)</f>
        <v>0</v>
      </c>
      <c r="N13" s="216">
        <f>IFERROR(VLOOKUP($B13&amp;$C13,'C. Gestión Pto #1'!$B$4:M$11,MATCH(N$5,'C. Gestión Pto #1'!$B$4:M$4,0),FALSE),0)</f>
        <v>1465670.09</v>
      </c>
      <c r="O13" s="216">
        <f>IFERROR(VLOOKUP($B13&amp;$C13,'C. Gestión Pto #1'!$B$4:N$11,MATCH(O$5,'C. Gestión Pto #1'!$B$4:N$4,0),FALSE),0)</f>
        <v>202741.82</v>
      </c>
      <c r="P13" s="216">
        <f>IFERROR(VLOOKUP($B13&amp;$C13,'C. Gestión Pto #1'!$B$4:O$11,MATCH(P$5,'C. Gestión Pto #1'!$B$4:O$4,0),FALSE),0)</f>
        <v>0</v>
      </c>
      <c r="Q13" s="216">
        <f>IFERROR(VLOOKUP($B13&amp;$C13,'C. Gestión Pto #1'!$B$4:P$11,MATCH(Q$5,'C. Gestión Pto #1'!$B$4:P$4,0),FALSE),0)</f>
        <v>0</v>
      </c>
      <c r="R13" s="216">
        <f>IFERROR(VLOOKUP($B13&amp;$C13,'C. Gestión Pto #1'!$B$4:Q$11,MATCH(R$5,'C. Gestión Pto #1'!$B$4:Q$4,0),FALSE),0)</f>
        <v>0</v>
      </c>
      <c r="S13" s="216">
        <f>IFERROR(VLOOKUP($B13&amp;$C13,'C. Gestión Pto #1'!$B$4:R$11,MATCH(S$5,'C. Gestión Pto #1'!$B$4:R$4,0),FALSE),0)</f>
        <v>0</v>
      </c>
      <c r="T13" s="216">
        <f>IFERROR(VLOOKUP($B13&amp;$C13,'C. Gestión Pto #1'!$B$4:S$11,MATCH(T$5,'C. Gestión Pto #1'!$B$4:S$4,0),FALSE),0)</f>
        <v>0</v>
      </c>
      <c r="U13" s="265"/>
      <c r="V13" s="216" cm="1">
        <f t="array" ref="V13">SUMPRODUCT($D13:$U13,TRANSPOSE('Indice CAC'!$D$2:$D$19))</f>
        <v>12879111.556544015</v>
      </c>
      <c r="W13" s="266"/>
      <c r="X13" s="216">
        <f>IF($C13="MAT",SUMIF('P. Costo'!$A$8:$A$58,$B13,'P. Costo'!$I$8:$I$58),IF($C13="MO",SUMIF('P. Costo'!$A$8:$A$58,$B13,'P. Costo'!$L$8:$L$58),SUMIF('P. Costo'!$A$8:$A$58,$B13,'P. Costo'!$N$8:$N$58)))</f>
        <v>12544453.710749799</v>
      </c>
      <c r="Y13" s="1179">
        <f>IF($C13="MAT",SUMIF('Cert. Pto. 01'!$A$9:$A$45,'Resumen Pto #1'!$B13,'Cert. Pto. 01'!$T$9:$T$45),IF('Resumen Pto #1'!$C13="MO",SUMIF('Cert. Pto. 01'!$A$9:$A$45,'Resumen Pto #1'!$B13,'Cert. Pto. 01'!$U$9:$U$45),SUMIF('Cert. Pto. 01'!$A$9:$A$45,'Resumen Pto #1'!$B13,'Cert. Pto. 01'!$V$9:$V$45)))/IF($C13="MAT",SUMIF('Cert. Pto. 01'!$A$9:$A$45,'Resumen Pto #1'!$B13,'Cert. Pto. 01'!$I$9:$I$45),IF('Resumen Pto #1'!$C13="MO",SUMIF('Cert. Pto. 01'!$A$9:$A$45,'Resumen Pto #1'!$B13,'Cert. Pto. 01'!$J$9:$J$45),SUMIF('Cert. Pto. 01'!$A$9:$A$45,'Resumen Pto #1'!$B13,'Cert. Pto. 01'!$K$9:$K$45)))</f>
        <v>1</v>
      </c>
      <c r="Z13" s="274">
        <f t="shared" ref="Z13:Z20" si="14">IF(Y13=100%,0,IF(OR(V13&lt;&gt;0,X13),X13-V13))</f>
        <v>0</v>
      </c>
      <c r="AA13" s="263">
        <f t="shared" ref="AA13:AA20" si="15">IF(OR(Z13&lt;0,X13),Z13/X13,0%)</f>
        <v>0</v>
      </c>
      <c r="AB13" s="274">
        <f>IF(Y13=100%,IF(OR(V13&lt;&gt;0,X13),X13-V13),0)</f>
        <v>-334657.8457942158</v>
      </c>
    </row>
    <row r="14" spans="2:33" x14ac:dyDescent="0.35">
      <c r="B14" s="66" t="s">
        <v>57</v>
      </c>
      <c r="C14" s="160"/>
      <c r="D14" s="216">
        <f>IFERROR(VLOOKUP($B14&amp;$C14,'C. Gestión Pto #1'!$B$4:C$11,MATCH(D$5,'C. Gestión Pto #1'!$B$4:C$4,0),FALSE),0)</f>
        <v>110000</v>
      </c>
      <c r="E14" s="216">
        <f>IFERROR(VLOOKUP($B14&amp;$C14,'C. Gestión Pto #1'!$B$4:D$11,MATCH(E$5,'C. Gestión Pto #1'!$B$4:D$4,0),FALSE),0)</f>
        <v>0</v>
      </c>
      <c r="F14" s="216">
        <f>IFERROR(VLOOKUP($B14&amp;$C14,'C. Gestión Pto #1'!$B$4:E$11,MATCH(F$5,'C. Gestión Pto #1'!$B$4:E$4,0),FALSE),0)</f>
        <v>0</v>
      </c>
      <c r="G14" s="216">
        <f>IFERROR(VLOOKUP($B14&amp;$C14,'C. Gestión Pto #1'!$B$4:F$11,MATCH(G$5,'C. Gestión Pto #1'!$B$4:F$4,0),FALSE),0)</f>
        <v>0</v>
      </c>
      <c r="H14" s="216">
        <f>IFERROR(VLOOKUP($B14&amp;$C14,'C. Gestión Pto #1'!$B$4:G$11,MATCH(H$5,'C. Gestión Pto #1'!$B$4:G$4,0),FALSE),0)</f>
        <v>0</v>
      </c>
      <c r="I14" s="216">
        <f>IFERROR(VLOOKUP($B14&amp;$C14,'C. Gestión Pto #1'!$B$4:H$11,MATCH(I$5,'C. Gestión Pto #1'!$B$4:H$4,0),FALSE),0)</f>
        <v>0</v>
      </c>
      <c r="J14" s="216">
        <f>IFERROR(VLOOKUP($B14&amp;$C14,'C. Gestión Pto #1'!$B$4:I$11,MATCH(J$5,'C. Gestión Pto #1'!$B$4:I$4,0),FALSE),0)</f>
        <v>0</v>
      </c>
      <c r="K14" s="216">
        <f>IFERROR(VLOOKUP($B14&amp;$C14,'C. Gestión Pto #1'!$B$4:J$11,MATCH(K$5,'C. Gestión Pto #1'!$B$4:J$4,0),FALSE),0)</f>
        <v>0</v>
      </c>
      <c r="L14" s="216">
        <f>IFERROR(VLOOKUP($B14&amp;$C14,'C. Gestión Pto #1'!$B$4:K$11,MATCH(L$5,'C. Gestión Pto #1'!$B$4:K$4,0),FALSE),0)</f>
        <v>0</v>
      </c>
      <c r="M14" s="216">
        <f>IFERROR(VLOOKUP($B14&amp;$C14,'C. Gestión Pto #1'!$B$4:L$11,MATCH(M$5,'C. Gestión Pto #1'!$B$4:L$4,0),FALSE),0)</f>
        <v>0</v>
      </c>
      <c r="N14" s="216">
        <f>IFERROR(VLOOKUP($B14&amp;$C14,'C. Gestión Pto #1'!$B$4:M$11,MATCH(N$5,'C. Gestión Pto #1'!$B$4:M$4,0),FALSE),0)</f>
        <v>0</v>
      </c>
      <c r="O14" s="216">
        <f>IFERROR(VLOOKUP($B14&amp;$C14,'C. Gestión Pto #1'!$B$4:N$11,MATCH(O$5,'C. Gestión Pto #1'!$B$4:N$4,0),FALSE),0)</f>
        <v>0</v>
      </c>
      <c r="P14" s="216">
        <f>IFERROR(VLOOKUP($B14&amp;$C14,'C. Gestión Pto #1'!$B$4:O$11,MATCH(P$5,'C. Gestión Pto #1'!$B$4:O$4,0),FALSE),0)</f>
        <v>0</v>
      </c>
      <c r="Q14" s="216">
        <f>IFERROR(VLOOKUP($B14&amp;$C14,'C. Gestión Pto #1'!$B$4:P$11,MATCH(Q$5,'C. Gestión Pto #1'!$B$4:P$4,0),FALSE),0)</f>
        <v>0</v>
      </c>
      <c r="R14" s="216">
        <f>IFERROR(VLOOKUP($B14&amp;$C14,'C. Gestión Pto #1'!$B$4:Q$11,MATCH(R$5,'C. Gestión Pto #1'!$B$4:Q$4,0),FALSE),0)</f>
        <v>0</v>
      </c>
      <c r="S14" s="216">
        <f>IFERROR(VLOOKUP($B14&amp;$C14,'C. Gestión Pto #1'!$B$4:R$11,MATCH(S$5,'C. Gestión Pto #1'!$B$4:R$4,0),FALSE),0)</f>
        <v>0</v>
      </c>
      <c r="T14" s="216">
        <f>IFERROR(VLOOKUP($B14&amp;$C14,'C. Gestión Pto #1'!$B$4:S$11,MATCH(T$5,'C. Gestión Pto #1'!$B$4:S$4,0),FALSE),0)</f>
        <v>0</v>
      </c>
      <c r="U14" s="265"/>
      <c r="V14" s="216" cm="1">
        <f t="array" ref="V14">SUMPRODUCT($D14:$U14,TRANSPOSE('Indice CAC'!$D$2:$D$19))</f>
        <v>110000</v>
      </c>
      <c r="W14" s="266"/>
      <c r="X14" s="216">
        <f>IF($C14="MAT",SUMIF('P. Costo'!$A$8:$A$58,$B14,'P. Costo'!$I$8:$I$58),IF($C14="MO",SUMIF('P. Costo'!$A$8:$A$58,$B14,'P. Costo'!$L$8:$L$58),SUMIF('P. Costo'!$A$8:$A$58,$B14,'P. Costo'!$N$8:$N$58)))</f>
        <v>853792.27623880678</v>
      </c>
      <c r="Y14" s="1179">
        <f>IF($C14="MAT",SUMIF('Cert. Pto. 01'!$A$9:$A$45,'Resumen Pto #1'!$B14,'Cert. Pto. 01'!$T$9:$T$45),IF('Resumen Pto #1'!$C14="MO",SUMIF('Cert. Pto. 01'!$A$9:$A$45,'Resumen Pto #1'!$B14,'Cert. Pto. 01'!$U$9:$U$45),SUMIF('Cert. Pto. 01'!$A$9:$A$45,'Resumen Pto #1'!$B14,'Cert. Pto. 01'!$V$9:$V$45)))/IF($C14="MAT",SUMIF('Cert. Pto. 01'!$A$9:$A$45,'Resumen Pto #1'!$B14,'Cert. Pto. 01'!$I$9:$I$45),IF('Resumen Pto #1'!$C14="MO",SUMIF('Cert. Pto. 01'!$A$9:$A$45,'Resumen Pto #1'!$B14,'Cert. Pto. 01'!$J$9:$J$45),SUMIF('Cert. Pto. 01'!$A$9:$A$45,'Resumen Pto #1'!$B14,'Cert. Pto. 01'!$K$9:$K$45)))</f>
        <v>1</v>
      </c>
      <c r="Z14" s="274">
        <f t="shared" si="14"/>
        <v>0</v>
      </c>
      <c r="AA14" s="263">
        <f t="shared" si="15"/>
        <v>0</v>
      </c>
      <c r="AB14" s="274">
        <f t="shared" ref="AB14:AB19" si="16">IF(Y14=100%,IF(OR(V14&lt;&gt;0,X14),X14-V14),0)</f>
        <v>743792.27623880678</v>
      </c>
    </row>
    <row r="15" spans="2:33" x14ac:dyDescent="0.35">
      <c r="B15" s="66" t="s">
        <v>58</v>
      </c>
      <c r="C15" s="160"/>
      <c r="D15" s="216">
        <f>IFERROR(VLOOKUP($B15&amp;$C15,'C. Gestión Pto #1'!$B$4:C$11,MATCH(D$5,'C. Gestión Pto #1'!$B$4:C$4,0),FALSE),0)</f>
        <v>0</v>
      </c>
      <c r="E15" s="216">
        <f>IFERROR(VLOOKUP($B15&amp;$C15,'C. Gestión Pto #1'!$B$4:D$11,MATCH(E$5,'C. Gestión Pto #1'!$B$4:D$4,0),FALSE),0)</f>
        <v>0</v>
      </c>
      <c r="F15" s="216">
        <f>IFERROR(VLOOKUP($B15&amp;$C15,'C. Gestión Pto #1'!$B$4:E$11,MATCH(F$5,'C. Gestión Pto #1'!$B$4:E$4,0),FALSE),0)</f>
        <v>0</v>
      </c>
      <c r="G15" s="216">
        <f>IFERROR(VLOOKUP($B15&amp;$C15,'C. Gestión Pto #1'!$B$4:F$11,MATCH(G$5,'C. Gestión Pto #1'!$B$4:F$4,0),FALSE),0)</f>
        <v>1580000</v>
      </c>
      <c r="H15" s="216">
        <f>IFERROR(VLOOKUP($B15&amp;$C15,'C. Gestión Pto #1'!$B$4:G$11,MATCH(H$5,'C. Gestión Pto #1'!$B$4:G$4,0),FALSE),0)</f>
        <v>1580000</v>
      </c>
      <c r="I15" s="216">
        <f>IFERROR(VLOOKUP($B15&amp;$C15,'C. Gestión Pto #1'!$B$4:H$11,MATCH(I$5,'C. Gestión Pto #1'!$B$4:H$4,0),FALSE),0)</f>
        <v>2974000</v>
      </c>
      <c r="J15" s="216">
        <f>IFERROR(VLOOKUP($B15&amp;$C15,'C. Gestión Pto #1'!$B$4:I$11,MATCH(J$5,'C. Gestión Pto #1'!$B$4:I$4,0),FALSE),0)</f>
        <v>3640000</v>
      </c>
      <c r="K15" s="216">
        <f>IFERROR(VLOOKUP($B15&amp;$C15,'C. Gestión Pto #1'!$B$4:J$11,MATCH(K$5,'C. Gestión Pto #1'!$B$4:J$4,0),FALSE),0)</f>
        <v>1416000</v>
      </c>
      <c r="L15" s="216">
        <f>IFERROR(VLOOKUP($B15&amp;$C15,'C. Gestión Pto #1'!$B$4:K$11,MATCH(L$5,'C. Gestión Pto #1'!$B$4:K$4,0),FALSE),0)</f>
        <v>0</v>
      </c>
      <c r="M15" s="216">
        <f>IFERROR(VLOOKUP($B15&amp;$C15,'C. Gestión Pto #1'!$B$4:L$11,MATCH(M$5,'C. Gestión Pto #1'!$B$4:L$4,0),FALSE),0)</f>
        <v>0</v>
      </c>
      <c r="N15" s="216">
        <f>IFERROR(VLOOKUP($B15&amp;$C15,'C. Gestión Pto #1'!$B$4:M$11,MATCH(N$5,'C. Gestión Pto #1'!$B$4:M$4,0),FALSE),0)</f>
        <v>0</v>
      </c>
      <c r="O15" s="216">
        <f>IFERROR(VLOOKUP($B15&amp;$C15,'C. Gestión Pto #1'!$B$4:N$11,MATCH(O$5,'C. Gestión Pto #1'!$B$4:N$4,0),FALSE),0)</f>
        <v>0</v>
      </c>
      <c r="P15" s="216">
        <f>IFERROR(VLOOKUP($B15&amp;$C15,'C. Gestión Pto #1'!$B$4:O$11,MATCH(P$5,'C. Gestión Pto #1'!$B$4:O$4,0),FALSE),0)</f>
        <v>0</v>
      </c>
      <c r="Q15" s="216">
        <f>IFERROR(VLOOKUP($B15&amp;$C15,'C. Gestión Pto #1'!$B$4:P$11,MATCH(Q$5,'C. Gestión Pto #1'!$B$4:P$4,0),FALSE),0)</f>
        <v>0</v>
      </c>
      <c r="R15" s="216">
        <f>IFERROR(VLOOKUP($B15&amp;$C15,'C. Gestión Pto #1'!$B$4:Q$11,MATCH(R$5,'C. Gestión Pto #1'!$B$4:Q$4,0),FALSE),0)</f>
        <v>0</v>
      </c>
      <c r="S15" s="216">
        <f>IFERROR(VLOOKUP($B15&amp;$C15,'C. Gestión Pto #1'!$B$4:R$11,MATCH(S$5,'C. Gestión Pto #1'!$B$4:R$4,0),FALSE),0)</f>
        <v>0</v>
      </c>
      <c r="T15" s="216">
        <f>IFERROR(VLOOKUP($B15&amp;$C15,'C. Gestión Pto #1'!$B$4:S$11,MATCH(T$5,'C. Gestión Pto #1'!$B$4:S$4,0),FALSE),0)</f>
        <v>0</v>
      </c>
      <c r="U15" s="265"/>
      <c r="V15" s="216" cm="1">
        <f t="array" ref="V15">SUMPRODUCT($D15:$U15,TRANSPOSE('Indice CAC'!$D$2:$D$19))</f>
        <v>10416172.350762567</v>
      </c>
      <c r="W15" s="266"/>
      <c r="X15" s="216">
        <f>IF($C15="MAT",SUMIF('P. Costo'!$A$8:$A$58,$B15,'P. Costo'!$I$8:$I$58),IF($C15="MO",SUMIF('P. Costo'!$A$8:$A$58,$B15,'P. Costo'!$L$8:$L$58),SUMIF('P. Costo'!$A$8:$A$58,$B15,'P. Costo'!$N$8:$N$58)))</f>
        <v>22068904.539782953</v>
      </c>
      <c r="Y15" s="1179">
        <f>IF($C15="MAT",SUMIF('Cert. Pto. 01'!$A$9:$A$45,'Resumen Pto #1'!$B15,'Cert. Pto. 01'!$T$9:$T$45),IF('Resumen Pto #1'!$C15="MO",SUMIF('Cert. Pto. 01'!$A$9:$A$45,'Resumen Pto #1'!$B15,'Cert. Pto. 01'!$U$9:$U$45),SUMIF('Cert. Pto. 01'!$A$9:$A$45,'Resumen Pto #1'!$B15,'Cert. Pto. 01'!$V$9:$V$45)))/IF($C15="MAT",SUMIF('Cert. Pto. 01'!$A$9:$A$45,'Resumen Pto #1'!$B15,'Cert. Pto. 01'!$I$9:$I$45),IF('Resumen Pto #1'!$C15="MO",SUMIF('Cert. Pto. 01'!$A$9:$A$45,'Resumen Pto #1'!$B15,'Cert. Pto. 01'!$J$9:$J$45),SUMIF('Cert. Pto. 01'!$A$9:$A$45,'Resumen Pto #1'!$B15,'Cert. Pto. 01'!$K$9:$K$45)))</f>
        <v>1</v>
      </c>
      <c r="Z15" s="274">
        <f t="shared" si="14"/>
        <v>0</v>
      </c>
      <c r="AA15" s="263">
        <f t="shared" si="15"/>
        <v>0</v>
      </c>
      <c r="AB15" s="274">
        <f t="shared" si="16"/>
        <v>11652732.189020386</v>
      </c>
    </row>
    <row r="16" spans="2:33" x14ac:dyDescent="0.35">
      <c r="B16" s="66" t="s">
        <v>59</v>
      </c>
      <c r="C16" s="160" t="s">
        <v>60</v>
      </c>
      <c r="D16" s="216">
        <f>IFERROR(VLOOKUP($B16&amp;$C16,'C. Gestión Pto #1'!$B$4:C$11,MATCH(D$5,'C. Gestión Pto #1'!$B$4:C$4,0),FALSE),0)</f>
        <v>0</v>
      </c>
      <c r="E16" s="216">
        <f>IFERROR(VLOOKUP($B16&amp;$C16,'C. Gestión Pto #1'!$B$4:D$11,MATCH(E$5,'C. Gestión Pto #1'!$B$4:D$4,0),FALSE),0)</f>
        <v>0</v>
      </c>
      <c r="F16" s="216">
        <f>IFERROR(VLOOKUP($B16&amp;$C16,'C. Gestión Pto #1'!$B$4:E$11,MATCH(F$5,'C. Gestión Pto #1'!$B$4:E$4,0),FALSE),0)</f>
        <v>1227898.3600000001</v>
      </c>
      <c r="G16" s="216">
        <f>IFERROR(VLOOKUP($B16&amp;$C16,'C. Gestión Pto #1'!$B$4:F$11,MATCH(G$5,'C. Gestión Pto #1'!$B$4:F$4,0),FALSE),0)</f>
        <v>21854352.780000001</v>
      </c>
      <c r="H16" s="216">
        <f>IFERROR(VLOOKUP($B16&amp;$C16,'C. Gestión Pto #1'!$B$4:G$11,MATCH(H$5,'C. Gestión Pto #1'!$B$4:G$4,0),FALSE),0)</f>
        <v>64397544.729999997</v>
      </c>
      <c r="I16" s="216">
        <f>IFERROR(VLOOKUP($B16&amp;$C16,'C. Gestión Pto #1'!$B$4:H$11,MATCH(I$5,'C. Gestión Pto #1'!$B$4:H$4,0),FALSE),0)</f>
        <v>43287475.269999996</v>
      </c>
      <c r="J16" s="216">
        <f>IFERROR(VLOOKUP($B16&amp;$C16,'C. Gestión Pto #1'!$B$4:I$11,MATCH(J$5,'C. Gestión Pto #1'!$B$4:I$4,0),FALSE),0)</f>
        <v>1606135.8499999999</v>
      </c>
      <c r="K16" s="216">
        <f>IFERROR(VLOOKUP($B16&amp;$C16,'C. Gestión Pto #1'!$B$4:J$11,MATCH(K$5,'C. Gestión Pto #1'!$B$4:J$4,0),FALSE),0)</f>
        <v>33701586.390000001</v>
      </c>
      <c r="L16" s="216">
        <f>IFERROR(VLOOKUP($B16&amp;$C16,'C. Gestión Pto #1'!$B$4:K$11,MATCH(L$5,'C. Gestión Pto #1'!$B$4:K$4,0),FALSE),0)</f>
        <v>3967437.69</v>
      </c>
      <c r="M16" s="216">
        <f>IFERROR(VLOOKUP($B16&amp;$C16,'C. Gestión Pto #1'!$B$4:L$11,MATCH(M$5,'C. Gestión Pto #1'!$B$4:L$4,0),FALSE),0)</f>
        <v>7290500.6200000001</v>
      </c>
      <c r="N16" s="216">
        <f>IFERROR(VLOOKUP($B16&amp;$C16,'C. Gestión Pto #1'!$B$4:M$11,MATCH(N$5,'C. Gestión Pto #1'!$B$4:M$4,0),FALSE),0)</f>
        <v>16835857.559999999</v>
      </c>
      <c r="O16" s="216">
        <f>IFERROR(VLOOKUP($B16&amp;$C16,'C. Gestión Pto #1'!$B$4:N$11,MATCH(O$5,'C. Gestión Pto #1'!$B$4:N$4,0),FALSE),0)</f>
        <v>88699.520000000004</v>
      </c>
      <c r="P16" s="216">
        <f>IFERROR(VLOOKUP($B16&amp;$C16,'C. Gestión Pto #1'!$B$4:O$11,MATCH(P$5,'C. Gestión Pto #1'!$B$4:O$4,0),FALSE),0)</f>
        <v>961200</v>
      </c>
      <c r="Q16" s="216">
        <f>IFERROR(VLOOKUP($B16&amp;$C16,'C. Gestión Pto #1'!$B$4:P$11,MATCH(Q$5,'C. Gestión Pto #1'!$B$4:P$4,0),FALSE),0)</f>
        <v>0</v>
      </c>
      <c r="R16" s="216">
        <f>IFERROR(VLOOKUP($B16&amp;$C16,'C. Gestión Pto #1'!$B$4:Q$11,MATCH(R$5,'C. Gestión Pto #1'!$B$4:Q$4,0),FALSE),0)</f>
        <v>0</v>
      </c>
      <c r="S16" s="216">
        <f>IFERROR(VLOOKUP($B16&amp;$C16,'C. Gestión Pto #1'!$B$4:R$11,MATCH(S$5,'C. Gestión Pto #1'!$B$4:R$4,0),FALSE),0)</f>
        <v>0</v>
      </c>
      <c r="T16" s="216">
        <f>IFERROR(VLOOKUP($B16&amp;$C16,'C. Gestión Pto #1'!$B$4:S$11,MATCH(T$5,'C. Gestión Pto #1'!$B$4:S$4,0),FALSE),0)</f>
        <v>0</v>
      </c>
      <c r="U16" s="265"/>
      <c r="V16" s="216" cm="1">
        <f t="array" ref="V16">SUMPRODUCT($D16:$U16,TRANSPOSE('Indice CAC'!$D$2:$D$19))</f>
        <v>180217171.69597176</v>
      </c>
      <c r="W16" s="266"/>
      <c r="X16" s="216">
        <f>IF($C16="MAT",SUMIF('P. Costo'!$A$8:$A$58,$B16,'P. Costo'!$I$8:$I$58),IF($C16="MO",SUMIF('P. Costo'!$A$8:$A$58,$B16,'P. Costo'!$L$8:$L$58),SUMIF('P. Costo'!$A$8:$A$58,$B16,'P. Costo'!$N$8:$N$58)))</f>
        <v>181072771.23882464</v>
      </c>
      <c r="Y16" s="1179">
        <f>IF($C16="MAT",SUMIF('Cert. Pto. 01'!$A$9:$A$45,'Resumen Pto #1'!$B16,'Cert. Pto. 01'!$T$9:$T$45),IF('Resumen Pto #1'!$C16="MO",SUMIF('Cert. Pto. 01'!$A$9:$A$45,'Resumen Pto #1'!$B16,'Cert. Pto. 01'!$U$9:$U$45),SUMIF('Cert. Pto. 01'!$A$9:$A$45,'Resumen Pto #1'!$B16,'Cert. Pto. 01'!$V$9:$V$45)))/IF($C16="MAT",SUMIF('Cert. Pto. 01'!$A$9:$A$45,'Resumen Pto #1'!$B16,'Cert. Pto. 01'!$I$9:$I$45),IF('Resumen Pto #1'!$C16="MO",SUMIF('Cert. Pto. 01'!$A$9:$A$45,'Resumen Pto #1'!$B16,'Cert. Pto. 01'!$J$9:$J$45),SUMIF('Cert. Pto. 01'!$A$9:$A$45,'Resumen Pto #1'!$B16,'Cert. Pto. 01'!$K$9:$K$45)))</f>
        <v>1</v>
      </c>
      <c r="Z16" s="274">
        <f t="shared" si="14"/>
        <v>0</v>
      </c>
      <c r="AA16" s="263">
        <f t="shared" si="15"/>
        <v>0</v>
      </c>
      <c r="AB16" s="274">
        <f t="shared" si="16"/>
        <v>855599.54285287857</v>
      </c>
    </row>
    <row r="17" spans="2:28" x14ac:dyDescent="0.35">
      <c r="B17" s="66" t="s">
        <v>59</v>
      </c>
      <c r="C17" s="160" t="s">
        <v>61</v>
      </c>
      <c r="D17" s="216">
        <f>IFERROR(VLOOKUP($B17&amp;$C17,'C. Gestión Pto #1'!$B$4:C$11,MATCH(D$5,'C. Gestión Pto #1'!$B$4:C$4,0),FALSE),0)</f>
        <v>0</v>
      </c>
      <c r="E17" s="216">
        <f>IFERROR(VLOOKUP($B17&amp;$C17,'C. Gestión Pto #1'!$B$4:D$11,MATCH(E$5,'C. Gestión Pto #1'!$B$4:D$4,0),FALSE),0)</f>
        <v>0</v>
      </c>
      <c r="F17" s="216">
        <f>IFERROR(VLOOKUP($B17&amp;$C17,'C. Gestión Pto #1'!$B$4:E$11,MATCH(F$5,'C. Gestión Pto #1'!$B$4:E$4,0),FALSE),0)</f>
        <v>2411850</v>
      </c>
      <c r="G17" s="216">
        <f>IFERROR(VLOOKUP($B17&amp;$C17,'C. Gestión Pto #1'!$B$4:F$11,MATCH(G$5,'C. Gestión Pto #1'!$B$4:F$4,0),FALSE),0)</f>
        <v>9206862.1600000001</v>
      </c>
      <c r="H17" s="216">
        <f>IFERROR(VLOOKUP($B17&amp;$C17,'C. Gestión Pto #1'!$B$4:G$11,MATCH(H$5,'C. Gestión Pto #1'!$B$4:G$4,0),FALSE),0)</f>
        <v>10965040.02</v>
      </c>
      <c r="I17" s="216">
        <f>IFERROR(VLOOKUP($B17&amp;$C17,'C. Gestión Pto #1'!$B$4:H$11,MATCH(I$5,'C. Gestión Pto #1'!$B$4:H$4,0),FALSE),0)</f>
        <v>9710066.5399999991</v>
      </c>
      <c r="J17" s="216">
        <f>IFERROR(VLOOKUP($B17&amp;$C17,'C. Gestión Pto #1'!$B$4:I$11,MATCH(J$5,'C. Gestión Pto #1'!$B$4:I$4,0),FALSE),0)</f>
        <v>8357133.4199999999</v>
      </c>
      <c r="K17" s="216">
        <f>IFERROR(VLOOKUP($B17&amp;$C17,'C. Gestión Pto #1'!$B$4:J$11,MATCH(K$5,'C. Gestión Pto #1'!$B$4:J$4,0),FALSE),0)</f>
        <v>20959355.66</v>
      </c>
      <c r="L17" s="216">
        <f>IFERROR(VLOOKUP($B17&amp;$C17,'C. Gestión Pto #1'!$B$4:K$11,MATCH(L$5,'C. Gestión Pto #1'!$B$4:K$4,0),FALSE),0)</f>
        <v>8121114.3800000008</v>
      </c>
      <c r="M17" s="216">
        <f>IFERROR(VLOOKUP($B17&amp;$C17,'C. Gestión Pto #1'!$B$4:L$11,MATCH(M$5,'C. Gestión Pto #1'!$B$4:L$4,0),FALSE),0)</f>
        <v>15421604.199999999</v>
      </c>
      <c r="N17" s="216">
        <f>IFERROR(VLOOKUP($B17&amp;$C17,'C. Gestión Pto #1'!$B$4:M$11,MATCH(N$5,'C. Gestión Pto #1'!$B$4:M$4,0),FALSE),0)</f>
        <v>17745228.899999999</v>
      </c>
      <c r="O17" s="216">
        <f>IFERROR(VLOOKUP($B17&amp;$C17,'C. Gestión Pto #1'!$B$4:N$11,MATCH(O$5,'C. Gestión Pto #1'!$B$4:N$4,0),FALSE),0)</f>
        <v>13121448</v>
      </c>
      <c r="P17" s="216">
        <f>IFERROR(VLOOKUP($B17&amp;$C17,'C. Gestión Pto #1'!$B$4:O$11,MATCH(P$5,'C. Gestión Pto #1'!$B$4:O$4,0),FALSE),0)</f>
        <v>1923300</v>
      </c>
      <c r="Q17" s="216">
        <f>IFERROR(VLOOKUP($B17&amp;$C17,'C. Gestión Pto #1'!$B$4:P$11,MATCH(Q$5,'C. Gestión Pto #1'!$B$4:P$4,0),FALSE),0)</f>
        <v>0</v>
      </c>
      <c r="R17" s="216">
        <f>IFERROR(VLOOKUP($B17&amp;$C17,'C. Gestión Pto #1'!$B$4:Q$11,MATCH(R$5,'C. Gestión Pto #1'!$B$4:Q$4,0),FALSE),0)</f>
        <v>0</v>
      </c>
      <c r="S17" s="216">
        <f>IFERROR(VLOOKUP($B17&amp;$C17,'C. Gestión Pto #1'!$B$4:R$11,MATCH(S$5,'C. Gestión Pto #1'!$B$4:R$4,0),FALSE),0)</f>
        <v>0</v>
      </c>
      <c r="T17" s="216">
        <f>IFERROR(VLOOKUP($B17&amp;$C17,'C. Gestión Pto #1'!$B$4:S$11,MATCH(T$5,'C. Gestión Pto #1'!$B$4:S$4,0),FALSE),0)</f>
        <v>0</v>
      </c>
      <c r="U17" s="265"/>
      <c r="V17" s="216" cm="1">
        <f t="array" ref="V17">SUMPRODUCT($D17:$U17,TRANSPOSE('Indice CAC'!$D$2:$D$19))</f>
        <v>105300145.97365636</v>
      </c>
      <c r="W17" s="266"/>
      <c r="X17" s="216">
        <f>IF($C17="MAT",SUMIF('P. Costo'!$A$8:$A$58,$B17,'P. Costo'!$I$8:$I$58),IF($C17="MO",SUMIF('P. Costo'!$A$8:$A$58,$B17,'P. Costo'!$L$8:$L$58),SUMIF('P. Costo'!$A$8:$A$58,$B17,'P. Costo'!$N$8:$N$58)))</f>
        <v>144378016.13598353</v>
      </c>
      <c r="Y17" s="1179">
        <f>IF($C17="MAT",SUMIF('Cert. Pto. 01'!$A$9:$A$45,'Resumen Pto #1'!$B17,'Cert. Pto. 01'!$T$9:$T$45),IF('Resumen Pto #1'!$C17="MO",SUMIF('Cert. Pto. 01'!$A$9:$A$45,'Resumen Pto #1'!$B17,'Cert. Pto. 01'!$U$9:$U$45),SUMIF('Cert. Pto. 01'!$A$9:$A$45,'Resumen Pto #1'!$B17,'Cert. Pto. 01'!$V$9:$V$45)))/IF($C17="MAT",SUMIF('Cert. Pto. 01'!$A$9:$A$45,'Resumen Pto #1'!$B17,'Cert. Pto. 01'!$I$9:$I$45),IF('Resumen Pto #1'!$C17="MO",SUMIF('Cert. Pto. 01'!$A$9:$A$45,'Resumen Pto #1'!$B17,'Cert. Pto. 01'!$J$9:$J$45),SUMIF('Cert. Pto. 01'!$A$9:$A$45,'Resumen Pto #1'!$B17,'Cert. Pto. 01'!$K$9:$K$45)))</f>
        <v>1</v>
      </c>
      <c r="Z17" s="274">
        <f t="shared" si="14"/>
        <v>0</v>
      </c>
      <c r="AA17" s="263">
        <f t="shared" si="15"/>
        <v>0</v>
      </c>
      <c r="AB17" s="274">
        <f t="shared" si="16"/>
        <v>39077870.16232717</v>
      </c>
    </row>
    <row r="18" spans="2:28" x14ac:dyDescent="0.35">
      <c r="B18" s="66" t="s">
        <v>68</v>
      </c>
      <c r="C18" s="166"/>
      <c r="D18" s="216">
        <f>IFERROR(VLOOKUP($B18&amp;$C18,'C. Gestión Pto #1'!$B$4:C$11,MATCH(D$5,'C. Gestión Pto #1'!$B$4:C$4,0),FALSE),0)</f>
        <v>58271.120924925002</v>
      </c>
      <c r="E18" s="216">
        <f>IFERROR(VLOOKUP($B18&amp;$C18,'C. Gestión Pto #1'!$B$4:D$11,MATCH(E$5,'C. Gestión Pto #1'!$B$4:D$4,0),FALSE),0)</f>
        <v>59559.523386676017</v>
      </c>
      <c r="F18" s="216">
        <f>IFERROR(VLOOKUP($B18&amp;$C18,'C. Gestión Pto #1'!$B$4:E$11,MATCH(F$5,'C. Gestión Pto #1'!$B$4:E$4,0),FALSE),0)</f>
        <v>64331.918415014567</v>
      </c>
      <c r="G18" s="216">
        <f>IFERROR(VLOOKUP($B18&amp;$C18,'C. Gestión Pto #1'!$B$4:F$11,MATCH(G$5,'C. Gestión Pto #1'!$B$4:F$4,0),FALSE),0)</f>
        <v>287221.19899999996</v>
      </c>
      <c r="H18" s="216">
        <f>IFERROR(VLOOKUP($B18&amp;$C18,'C. Gestión Pto #1'!$B$4:G$11,MATCH(H$5,'C. Gestión Pto #1'!$B$4:G$4,0),FALSE),0)</f>
        <v>290739.62900000002</v>
      </c>
      <c r="I18" s="216">
        <f>IFERROR(VLOOKUP($B18&amp;$C18,'C. Gestión Pto #1'!$B$4:H$11,MATCH(I$5,'C. Gestión Pto #1'!$B$4:H$4,0),FALSE),0)</f>
        <v>296307.18199999997</v>
      </c>
      <c r="J18" s="216">
        <f>IFERROR(VLOOKUP($B18&amp;$C18,'C. Gestión Pto #1'!$B$4:I$11,MATCH(J$5,'C. Gestión Pto #1'!$B$4:I$4,0),FALSE),0)</f>
        <v>346009.63925495982</v>
      </c>
      <c r="K18" s="216">
        <f>IFERROR(VLOOKUP($B18&amp;$C18,'C. Gestión Pto #1'!$B$4:J$11,MATCH(K$5,'C. Gestión Pto #1'!$B$4:J$4,0),FALSE),0)</f>
        <v>799574.24800000002</v>
      </c>
      <c r="L18" s="216">
        <f>IFERROR(VLOOKUP($B18&amp;$C18,'C. Gestión Pto #1'!$B$4:K$11,MATCH(L$5,'C. Gestión Pto #1'!$B$4:K$4,0),FALSE),0)</f>
        <v>631705.97862611804</v>
      </c>
      <c r="M18" s="216">
        <f>IFERROR(VLOOKUP($B18&amp;$C18,'C. Gestión Pto #1'!$B$4:L$11,MATCH(M$5,'C. Gestión Pto #1'!$B$4:L$4,0),FALSE),0)</f>
        <v>669390.32242245704</v>
      </c>
      <c r="N18" s="216">
        <f>IFERROR(VLOOKUP($B18&amp;$C18,'C. Gestión Pto #1'!$B$4:M$11,MATCH(N$5,'C. Gestión Pto #1'!$B$4:M$4,0),FALSE),0)</f>
        <v>699860.69633577787</v>
      </c>
      <c r="O18" s="216">
        <f>IFERROR(VLOOKUP($B18&amp;$C18,'C. Gestión Pto #1'!$B$4:N$11,MATCH(O$5,'C. Gestión Pto #1'!$B$4:N$4,0),FALSE),0)</f>
        <v>0</v>
      </c>
      <c r="P18" s="216">
        <f>IFERROR(VLOOKUP($B18&amp;$C18,'C. Gestión Pto #1'!$B$4:O$11,MATCH(P$5,'C. Gestión Pto #1'!$B$4:O$4,0),FALSE),0)</f>
        <v>0</v>
      </c>
      <c r="Q18" s="216">
        <f>IFERROR(VLOOKUP($B18&amp;$C18,'C. Gestión Pto #1'!$B$4:P$11,MATCH(Q$5,'C. Gestión Pto #1'!$B$4:P$4,0),FALSE),0)</f>
        <v>0</v>
      </c>
      <c r="R18" s="216">
        <f>IFERROR(VLOOKUP($B18&amp;$C18,'C. Gestión Pto #1'!$B$4:Q$11,MATCH(R$5,'C. Gestión Pto #1'!$B$4:Q$4,0),FALSE),0)</f>
        <v>0</v>
      </c>
      <c r="S18" s="216">
        <f>IFERROR(VLOOKUP($B18&amp;$C18,'C. Gestión Pto #1'!$B$4:R$11,MATCH(S$5,'C. Gestión Pto #1'!$B$4:R$4,0),FALSE),0)</f>
        <v>0</v>
      </c>
      <c r="T18" s="216">
        <f>IFERROR(VLOOKUP($B18&amp;$C18,'C. Gestión Pto #1'!$B$4:S$11,MATCH(T$5,'C. Gestión Pto #1'!$B$4:S$4,0),FALSE),0)</f>
        <v>0</v>
      </c>
      <c r="U18" s="265"/>
      <c r="V18" s="216" cm="1">
        <f t="array" ref="V18">SUMPRODUCT($D18:$U18,TRANSPOSE('Indice CAC'!$D$2:$D$19))</f>
        <v>3783726.1800616086</v>
      </c>
      <c r="W18" s="266"/>
      <c r="X18" s="216">
        <f>IF($C18="MAT",SUMIF('P. Costo'!$A$8:$A$58,$B18,'P. Costo'!$I$8:$I$58),IF($C18="MO",SUMIF('P. Costo'!$A$8:$A$58,$B18,'P. Costo'!$L$8:$L$58),SUM('P. Costo'!M59,-SUM('P. Costo'!M19:M27))))</f>
        <v>13604196.310924552</v>
      </c>
      <c r="Y18" s="1179">
        <f>'Cert. Pto. 01'!S48</f>
        <v>1</v>
      </c>
      <c r="Z18" s="274">
        <f t="shared" si="14"/>
        <v>0</v>
      </c>
      <c r="AA18" s="263">
        <f t="shared" si="15"/>
        <v>0</v>
      </c>
      <c r="AB18" s="274">
        <f t="shared" si="16"/>
        <v>9820470.1308629438</v>
      </c>
    </row>
    <row r="19" spans="2:28" x14ac:dyDescent="0.35">
      <c r="B19" s="66" t="s">
        <v>69</v>
      </c>
      <c r="C19" s="166"/>
      <c r="D19" s="216">
        <f>IFERROR(VLOOKUP($B19&amp;$C19,'C. Gestión Pto #1'!$B$4:C$11,MATCH(D$5,'C. Gestión Pto #1'!$B$4:C$4,0),FALSE),0)</f>
        <v>12905.630000000001</v>
      </c>
      <c r="E19" s="216">
        <f>IFERROR(VLOOKUP($B19&amp;$C19,'C. Gestión Pto #1'!$B$4:D$11,MATCH(E$5,'C. Gestión Pto #1'!$B$4:D$4,0),FALSE),0)</f>
        <v>0</v>
      </c>
      <c r="F19" s="216">
        <f>IFERROR(VLOOKUP($B19&amp;$C19,'C. Gestión Pto #1'!$B$4:E$11,MATCH(F$5,'C. Gestión Pto #1'!$B$4:E$4,0),FALSE),0)</f>
        <v>90000</v>
      </c>
      <c r="G19" s="216">
        <f>IFERROR(VLOOKUP($B19&amp;$C19,'C. Gestión Pto #1'!$B$4:F$11,MATCH(G$5,'C. Gestión Pto #1'!$B$4:F$4,0),FALSE),0)</f>
        <v>180000</v>
      </c>
      <c r="H19" s="216">
        <f>IFERROR(VLOOKUP($B19&amp;$C19,'C. Gestión Pto #1'!$B$4:G$11,MATCH(H$5,'C. Gestión Pto #1'!$B$4:G$4,0),FALSE),0)</f>
        <v>80000</v>
      </c>
      <c r="I19" s="216">
        <f>IFERROR(VLOOKUP($B19&amp;$C19,'C. Gestión Pto #1'!$B$4:H$11,MATCH(I$5,'C. Gestión Pto #1'!$B$4:H$4,0),FALSE),0)</f>
        <v>80000</v>
      </c>
      <c r="J19" s="216">
        <f>IFERROR(VLOOKUP($B19&amp;$C19,'C. Gestión Pto #1'!$B$4:I$11,MATCH(J$5,'C. Gestión Pto #1'!$B$4:I$4,0),FALSE),0)</f>
        <v>380000</v>
      </c>
      <c r="K19" s="216">
        <f>IFERROR(VLOOKUP($B19&amp;$C19,'C. Gestión Pto #1'!$B$4:J$11,MATCH(K$5,'C. Gestión Pto #1'!$B$4:J$4,0),FALSE),0)</f>
        <v>160000</v>
      </c>
      <c r="L19" s="216">
        <f>IFERROR(VLOOKUP($B19&amp;$C19,'C. Gestión Pto #1'!$B$4:K$11,MATCH(L$5,'C. Gestión Pto #1'!$B$4:K$4,0),FALSE),0)</f>
        <v>266818.18</v>
      </c>
      <c r="M19" s="216">
        <f>IFERROR(VLOOKUP($B19&amp;$C19,'C. Gestión Pto #1'!$B$4:L$11,MATCH(M$5,'C. Gestión Pto #1'!$B$4:L$4,0),FALSE),0)</f>
        <v>85000</v>
      </c>
      <c r="N19" s="216">
        <f>IFERROR(VLOOKUP($B19&amp;$C19,'C. Gestión Pto #1'!$B$4:M$11,MATCH(N$5,'C. Gestión Pto #1'!$B$4:M$4,0),FALSE),0)</f>
        <v>449000</v>
      </c>
      <c r="O19" s="216">
        <f>IFERROR(VLOOKUP($B19&amp;$C19,'C. Gestión Pto #1'!$B$4:N$11,MATCH(O$5,'C. Gestión Pto #1'!$B$4:N$4,0),FALSE),0)</f>
        <v>85000</v>
      </c>
      <c r="P19" s="216">
        <f>IFERROR(VLOOKUP($B19&amp;$C19,'C. Gestión Pto #1'!$B$4:O$11,MATCH(P$5,'C. Gestión Pto #1'!$B$4:O$4,0),FALSE),0)</f>
        <v>85000</v>
      </c>
      <c r="Q19" s="216">
        <f>IFERROR(VLOOKUP($B19&amp;$C19,'C. Gestión Pto #1'!$B$4:P$11,MATCH(Q$5,'C. Gestión Pto #1'!$B$4:P$4,0),FALSE),0)</f>
        <v>785714.29</v>
      </c>
      <c r="R19" s="216">
        <f>IFERROR(VLOOKUP($B19&amp;$C19,'C. Gestión Pto #1'!$B$4:Q$11,MATCH(R$5,'C. Gestión Pto #1'!$B$4:Q$4,0),FALSE),0)</f>
        <v>600500</v>
      </c>
      <c r="S19" s="216">
        <f>IFERROR(VLOOKUP($B19&amp;$C19,'C. Gestión Pto #1'!$B$4:R$11,MATCH(S$5,'C. Gestión Pto #1'!$B$4:R$4,0),FALSE),0)</f>
        <v>847285.71</v>
      </c>
      <c r="T19" s="216">
        <f>IFERROR(VLOOKUP($B19&amp;$C19,'C. Gestión Pto #1'!$B$4:S$11,MATCH(T$5,'C. Gestión Pto #1'!$B$4:S$4,0),FALSE),0)</f>
        <v>0</v>
      </c>
      <c r="U19" s="265"/>
      <c r="V19" s="216" cm="1">
        <f t="array" ref="V19">SUMPRODUCT($D19:$U19,TRANSPOSE('Indice CAC'!$D$2:$D$19))</f>
        <v>3563879.0429409808</v>
      </c>
      <c r="W19" s="266"/>
      <c r="X19" s="216">
        <f>IF($C19="MAT",SUMIF('P. Costo'!$A$8:$A$58,$B19,'P. Costo'!$I$8:$I$58),IF($C19="MO",SUMIF('P. Costo'!$A$8:$A$58,$B19,'P. Costo'!$L$8:$L$58),SUMIF('P. Costo'!$A$8:$A$58,$B19,'P. Costo'!$N$8:$N$58)))</f>
        <v>5763772.0447674096</v>
      </c>
      <c r="Y19" s="1179">
        <f>IF($C19="MAT",SUMIF('Cert. Pto. 01'!$A$9:$A$45,'Resumen Pto #1'!$B19,'Cert. Pto. 01'!$T$9:$T$45),IF($C19="MO",SUMIF('Cert. Pto. 01'!$A$9:$A$45,'Resumen Pto #1'!$B19,'Cert. Pto. 01'!$U$9:$U$45),SUMIF('Cert. Pto. 01'!$A$9:$A$45,'Resumen Pto #1'!$B19,'Cert. Pto. 01'!$V$9:$V$45)))/IF($C19="MAT",SUMIF('Cert. Pto. 01'!$A$9:$A$45,'Resumen Pto #1'!$B19,'Cert. Pto. 01'!$I$9:$I$45),IF($C19="MO",SUMIF('Cert. Pto. 01'!$A$9:$A$45,'Resumen Pto #1'!$B19,'Cert. Pto. 01'!$J$9:$J$45),SUMIF('Cert. Pto. 01'!$A$9:$A$45,'Resumen Pto #1'!$B19,'Cert. Pto. 01'!$K$9:$K$45)))</f>
        <v>0.99999999999999989</v>
      </c>
      <c r="Z19" s="274">
        <f t="shared" si="14"/>
        <v>0</v>
      </c>
      <c r="AA19" s="263">
        <f t="shared" si="15"/>
        <v>0</v>
      </c>
      <c r="AB19" s="274">
        <f t="shared" si="16"/>
        <v>2199893.0018264288</v>
      </c>
    </row>
    <row r="20" spans="2:28" x14ac:dyDescent="0.35">
      <c r="B20" s="873" t="s">
        <v>70</v>
      </c>
      <c r="C20" s="874"/>
      <c r="D20" s="249">
        <f t="shared" ref="D20:I20" si="17">SUM(D13:D19)</f>
        <v>181176.750924925</v>
      </c>
      <c r="E20" s="249">
        <f t="shared" si="17"/>
        <v>59559.523386676017</v>
      </c>
      <c r="F20" s="249">
        <f t="shared" si="17"/>
        <v>10743877.208415013</v>
      </c>
      <c r="G20" s="249">
        <f t="shared" si="17"/>
        <v>37290619.939000003</v>
      </c>
      <c r="H20" s="249">
        <f t="shared" si="17"/>
        <v>77477251.228999987</v>
      </c>
      <c r="I20" s="249">
        <f t="shared" si="17"/>
        <v>56807718.241999991</v>
      </c>
      <c r="J20" s="249">
        <f t="shared" ref="J20:K20" si="18">SUM(J13:J19)</f>
        <v>14422095.12925496</v>
      </c>
      <c r="K20" s="249">
        <f t="shared" si="18"/>
        <v>57051144.737999998</v>
      </c>
      <c r="L20" s="249">
        <f t="shared" ref="L20:M20" si="19">SUM(L13:L19)</f>
        <v>13036249.788626119</v>
      </c>
      <c r="M20" s="249">
        <f t="shared" si="19"/>
        <v>23466495.142422456</v>
      </c>
      <c r="N20" s="249">
        <f t="shared" ref="N20:O20" si="20">SUM(N13:N19)</f>
        <v>37195617.246335775</v>
      </c>
      <c r="O20" s="249">
        <f t="shared" si="20"/>
        <v>13497889.34</v>
      </c>
      <c r="P20" s="249">
        <f t="shared" ref="P20:Q20" si="21">SUM(P13:P19)</f>
        <v>2969500</v>
      </c>
      <c r="Q20" s="249">
        <f t="shared" si="21"/>
        <v>785714.29</v>
      </c>
      <c r="R20" s="249">
        <f t="shared" ref="R20:S20" si="22">SUM(R13:R19)</f>
        <v>600500</v>
      </c>
      <c r="S20" s="249">
        <f t="shared" si="22"/>
        <v>847285.71</v>
      </c>
      <c r="T20" s="249">
        <f t="shared" ref="T20" si="23">SUM(T13:T19)</f>
        <v>0</v>
      </c>
      <c r="U20" s="255"/>
      <c r="V20" s="256">
        <f>SUM(V13:V19)</f>
        <v>316270206.79993725</v>
      </c>
      <c r="W20" s="266"/>
      <c r="X20" s="256">
        <f>SUM(X13:X19)</f>
        <v>380285906.25727165</v>
      </c>
      <c r="Y20" s="1181"/>
      <c r="Z20" s="256">
        <f t="shared" si="14"/>
        <v>64015699.457334399</v>
      </c>
      <c r="AA20" s="263">
        <f t="shared" si="15"/>
        <v>0.16833571374592671</v>
      </c>
      <c r="AB20" s="256">
        <f>SUM(AB13:AB19)</f>
        <v>64015699.457334399</v>
      </c>
    </row>
    <row r="21" spans="2:28" x14ac:dyDescent="0.35">
      <c r="B21" s="148"/>
      <c r="C21" s="148"/>
      <c r="D21" s="269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70"/>
      <c r="W21" s="271"/>
      <c r="X21" s="270"/>
      <c r="Y21" s="270"/>
      <c r="Z21" s="270"/>
      <c r="AA21" s="271"/>
      <c r="AB21" s="271"/>
    </row>
    <row r="22" spans="2:28" x14ac:dyDescent="0.35">
      <c r="B22" s="159" t="s">
        <v>71</v>
      </c>
      <c r="C22" s="148"/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70"/>
      <c r="W22" s="271"/>
      <c r="X22" s="270"/>
      <c r="Y22" s="270"/>
      <c r="Z22" s="270"/>
      <c r="AA22" s="271"/>
      <c r="AB22" s="271"/>
    </row>
    <row r="23" spans="2:28" x14ac:dyDescent="0.35">
      <c r="B23" s="66" t="s">
        <v>72</v>
      </c>
      <c r="C23" s="160"/>
      <c r="D23" s="216">
        <f>VLOOKUP($B23,'C. Gestión Pto #1'!$B$28:N$28,MATCH('Resumen Pto #1'!D$5,'C. Gestión Pto #1'!$B$14:N$14,0),0)</f>
        <v>3175204.795152606</v>
      </c>
      <c r="E23" s="216">
        <f>VLOOKUP($B23,'C. Gestión Pto #1'!$B$28:O$28,MATCH('Resumen Pto #1'!E$5,'C. Gestión Pto #1'!$B$14:O$14,0),0)</f>
        <v>2020935.6984070051</v>
      </c>
      <c r="F23" s="216">
        <f>VLOOKUP($B23,'C. Gestión Pto #1'!$B$28:P$28,MATCH('Resumen Pto #1'!F$5,'C. Gestión Pto #1'!$B$14:P$14,0),0)</f>
        <v>2883500.7121577412</v>
      </c>
      <c r="G23" s="216">
        <f>VLOOKUP($B23,'C. Gestión Pto #1'!$B$28:P$28,MATCH('Resumen Pto #1'!G$5,'C. Gestión Pto #1'!$B$14:P$14,0),0)</f>
        <v>2286455.7001451105</v>
      </c>
      <c r="H23" s="216">
        <f>VLOOKUP($B23,'C. Gestión Pto #1'!$B$28:Q$28,MATCH('Resumen Pto #1'!H$5,'C. Gestión Pto #1'!$B$14:Q$14,0),0)</f>
        <v>6273647.6279414995</v>
      </c>
      <c r="I23" s="216">
        <f>VLOOKUP($B23,'C. Gestión Pto #1'!$B$28:R$28,MATCH('Resumen Pto #1'!I$5,'C. Gestión Pto #1'!$B$14:R$14,0),0)</f>
        <v>1963509.9162210524</v>
      </c>
      <c r="J23" s="216">
        <f>VLOOKUP($B23,'C. Gestión Pto #1'!$B$28:S$28,MATCH('Resumen Pto #1'!J$5,'C. Gestión Pto #1'!$B$14:S$14,0),0)</f>
        <v>2816808.0355222635</v>
      </c>
      <c r="K23" s="216">
        <f>VLOOKUP($B23,'C. Gestión Pto #1'!$B$28:T$28,MATCH('Resumen Pto #1'!K$5,'C. Gestión Pto #1'!$B$14:T$14,0),0)</f>
        <v>2808099.7541841241</v>
      </c>
      <c r="L23" s="216">
        <f>VLOOKUP($B23,'C. Gestión Pto #1'!$B$28:U$28,MATCH('Resumen Pto #1'!L$5,'C. Gestión Pto #1'!$B$14:U$14,0),0)</f>
        <v>3875715.7924198997</v>
      </c>
      <c r="M23" s="216">
        <f>VLOOKUP($B23,'C. Gestión Pto #1'!$B$28:V$28,MATCH('Resumen Pto #1'!M$5,'C. Gestión Pto #1'!$B$14:V$14,0),0)</f>
        <v>5086371.5325098261</v>
      </c>
      <c r="N23" s="216">
        <f>VLOOKUP($B23,'C. Gestión Pto #1'!$B$28:W$28,MATCH('Resumen Pto #1'!N$5,'C. Gestión Pto #1'!$B$14:W$14,0),0)</f>
        <v>4395052.3079657089</v>
      </c>
      <c r="O23" s="216">
        <f>VLOOKUP($B23,'C. Gestión Pto #1'!$B$28:X$28,MATCH('Resumen Pto #1'!O$5,'C. Gestión Pto #1'!$B$14:X$14,0),0)</f>
        <v>0</v>
      </c>
      <c r="P23" s="216">
        <f>VLOOKUP($B23,'C. Gestión Pto #1'!$B$28:Y$28,MATCH('Resumen Pto #1'!P$5,'C. Gestión Pto #1'!$B$14:Y$14,0),0)</f>
        <v>0</v>
      </c>
      <c r="Q23" s="216">
        <f>VLOOKUP($B23,'C. Gestión Pto #1'!$B$28:Z$28,MATCH('Resumen Pto #1'!Q$5,'C. Gestión Pto #1'!$B$14:Z$14,0),0)</f>
        <v>0</v>
      </c>
      <c r="R23" s="216">
        <f>IFERROR(VLOOKUP($B23,'C. Gestión Pto #1'!$B$28:AA$28,MATCH('Resumen Pto #1'!R$5,'C. Gestión Pto #1'!$B$14:AA$14,0),0),0)</f>
        <v>0</v>
      </c>
      <c r="S23" s="216">
        <f>IFERROR(VLOOKUP($B23,'C. Gestión Pto #1'!$B$28:AB$28,MATCH('Resumen Pto #1'!S$5,'C. Gestión Pto #1'!$B$14:AB$14,0),0),0)</f>
        <v>0</v>
      </c>
      <c r="T23" s="216">
        <f>IFERROR(VLOOKUP($B23,'C. Gestión Pto #1'!$B$28:AC$28,MATCH('Resumen Pto #1'!T$5,'C. Gestión Pto #1'!$B$14:AC$14,0),0),0)</f>
        <v>0</v>
      </c>
      <c r="U23" s="265"/>
      <c r="V23" s="216" cm="1">
        <f t="array" ref="V23">SUMPRODUCT($D23:$U23,TRANSPOSE('Indice CAC'!$D$2:$D$19))</f>
        <v>34625157.646170408</v>
      </c>
      <c r="X23" s="216">
        <f>SUM(GGBB!H6:H32)/17*11</f>
        <v>60150531.838390008</v>
      </c>
      <c r="Y23" s="1179">
        <f>'Cert. Pto. 01'!S48</f>
        <v>1</v>
      </c>
      <c r="Z23" s="274">
        <f t="shared" ref="Z23:Z25" si="24">IF(Y23=100%,0,IF(OR(V23&lt;&gt;0,X23),X23-V23))</f>
        <v>0</v>
      </c>
      <c r="AA23" s="263">
        <f t="shared" ref="AA23:AA25" si="25">IF(OR(Z23&lt;0,X23),Z23/X23,0%)</f>
        <v>0</v>
      </c>
      <c r="AB23" s="274">
        <f t="shared" ref="AB23:AB24" si="26">IF(Y23=100%,IF(OR(V23&lt;&gt;0,X23),X23-V23),0)</f>
        <v>25525374.1922196</v>
      </c>
    </row>
    <row r="24" spans="2:28" x14ac:dyDescent="0.35">
      <c r="B24" s="66" t="s">
        <v>73</v>
      </c>
      <c r="C24" s="160"/>
      <c r="D24" s="216">
        <f>VLOOKUP($B24,'C. Gestión Pto #1'!$B$34:N$34,MATCH('Resumen Pto #1'!D$5,'C. Gestión Pto #1'!$B$30:N$30,0),0)</f>
        <v>639132.78100000008</v>
      </c>
      <c r="E24" s="216">
        <f>VLOOKUP($B24,'C. Gestión Pto #1'!$B$34:O$34,MATCH('Resumen Pto #1'!E$5,'C. Gestión Pto #1'!$B$30:O$30,0),0)</f>
        <v>1825790.2788300635</v>
      </c>
      <c r="F24" s="216">
        <f>VLOOKUP($B24,'C. Gestión Pto #1'!$B$34:P$34,MATCH('Resumen Pto #1'!F$5,'C. Gestión Pto #1'!$B$30:P$30,0),0)</f>
        <v>1406464.9016055511</v>
      </c>
      <c r="G24" s="216">
        <f>VLOOKUP($B24,'C. Gestión Pto #1'!$B$34:P$34,MATCH('Resumen Pto #1'!G$5,'C. Gestión Pto #1'!$B$30:P$30,0),0)</f>
        <v>2714187.33</v>
      </c>
      <c r="H24" s="216">
        <f>VLOOKUP($B24,'C. Gestión Pto #1'!$B$34:Q$34,MATCH('Resumen Pto #1'!H$5,'C. Gestión Pto #1'!$B$30:Q$30,0),0)</f>
        <v>2169029.3109897091</v>
      </c>
      <c r="I24" s="216">
        <f>VLOOKUP($B24,'C. Gestión Pto #1'!$B$34:R$34,MATCH('Resumen Pto #1'!I$5,'C. Gestión Pto #1'!$B$30:R$30,0),0)</f>
        <v>1800256.2010195877</v>
      </c>
      <c r="J24" s="216">
        <f>VLOOKUP($B24,'C. Gestión Pto #1'!$B$34:S$34,MATCH('Resumen Pto #1'!J$5,'C. Gestión Pto #1'!$B$30:S$30,0),0)</f>
        <v>2949259.0807494661</v>
      </c>
      <c r="K24" s="216">
        <f>VLOOKUP($B24,'C. Gestión Pto #1'!$B$34:T$34,MATCH('Resumen Pto #1'!K$5,'C. Gestión Pto #1'!$B$30:T$30,0),0)</f>
        <v>4175013.8419041145</v>
      </c>
      <c r="L24" s="216">
        <f>VLOOKUP($B24,'C. Gestión Pto #1'!$B$34:U$34,MATCH('Resumen Pto #1'!L$5,'C. Gestión Pto #1'!$B$30:U$30,0),0)</f>
        <v>2235375.3423326667</v>
      </c>
      <c r="M24" s="216">
        <f>VLOOKUP($B24,'C. Gestión Pto #1'!$B$34:V$34,MATCH('Resumen Pto #1'!M$5,'C. Gestión Pto #1'!$B$30:V$30,0),0)</f>
        <v>3075477.5714285825</v>
      </c>
      <c r="N24" s="216">
        <f>VLOOKUP($B24,'C. Gestión Pto #1'!$B$34:W$34,MATCH('Resumen Pto #1'!N$5,'C. Gestión Pto #1'!$B$30:W$30,0),0)</f>
        <v>3414307.4146795827</v>
      </c>
      <c r="O24" s="216">
        <f>VLOOKUP($B24,'C. Gestión Pto #1'!$B$34:X$34,MATCH('Resumen Pto #1'!O$5,'C. Gestión Pto #1'!$B$30:X$30,0),0)</f>
        <v>0</v>
      </c>
      <c r="P24" s="216">
        <f>VLOOKUP($B24,'C. Gestión Pto #1'!$B$34:Y$34,MATCH('Resumen Pto #1'!P$5,'C. Gestión Pto #1'!$B$30:Y$30,0),0)</f>
        <v>0</v>
      </c>
      <c r="Q24" s="216">
        <f>VLOOKUP($B24,'C. Gestión Pto #1'!$B$34:Z$34,MATCH('Resumen Pto #1'!Q$5,'C. Gestión Pto #1'!$B$30:Z$30,0),0)</f>
        <v>0</v>
      </c>
      <c r="R24" s="216">
        <f>IFERROR(VLOOKUP($B24,'C. Gestión Pto #1'!$B$28:AA$28,MATCH('Resumen Pto #1'!R$5,'C. Gestión Pto #1'!$B$14:AA$14,0),0),0)</f>
        <v>0</v>
      </c>
      <c r="S24" s="216">
        <f>IFERROR(VLOOKUP($B24,'C. Gestión Pto #1'!$B$28:AB$28,MATCH('Resumen Pto #1'!S$5,'C. Gestión Pto #1'!$B$14:AB$14,0),0),0)</f>
        <v>0</v>
      </c>
      <c r="T24" s="216">
        <f>IFERROR(VLOOKUP($B24,'C. Gestión Pto #1'!$B$28:AC$28,MATCH('Resumen Pto #1'!T$5,'C. Gestión Pto #1'!$B$14:AC$14,0),0),0)</f>
        <v>0</v>
      </c>
      <c r="U24" s="265"/>
      <c r="V24" s="216" cm="1">
        <f t="array" ref="V24">SUMPRODUCT($D24:$U24,TRANSPOSE('Indice CAC'!$D$2:$D$19))</f>
        <v>24175440.233280364</v>
      </c>
      <c r="X24" s="216">
        <f>SUM(GGBB!H42:H48)/17*11</f>
        <v>53546314.37747059</v>
      </c>
      <c r="Y24" s="1179">
        <f>'Cert. Pto. 01'!S48</f>
        <v>1</v>
      </c>
      <c r="Z24" s="274">
        <f t="shared" si="24"/>
        <v>0</v>
      </c>
      <c r="AA24" s="263">
        <f t="shared" si="25"/>
        <v>0</v>
      </c>
      <c r="AB24" s="274">
        <f t="shared" si="26"/>
        <v>29370874.144190226</v>
      </c>
    </row>
    <row r="25" spans="2:28" x14ac:dyDescent="0.35">
      <c r="B25" s="587" t="s">
        <v>74</v>
      </c>
      <c r="C25" s="588"/>
      <c r="D25" s="249">
        <f t="shared" ref="D25:I25" si="27">SUM(D23:D24)</f>
        <v>3814337.5761526059</v>
      </c>
      <c r="E25" s="249">
        <f t="shared" si="27"/>
        <v>3846725.9772370686</v>
      </c>
      <c r="F25" s="249">
        <f t="shared" si="27"/>
        <v>4289965.6137632923</v>
      </c>
      <c r="G25" s="249">
        <f t="shared" si="27"/>
        <v>5000643.0301451106</v>
      </c>
      <c r="H25" s="249">
        <f t="shared" si="27"/>
        <v>8442676.9389312081</v>
      </c>
      <c r="I25" s="249">
        <f t="shared" si="27"/>
        <v>3763766.1172406403</v>
      </c>
      <c r="J25" s="249">
        <f t="shared" ref="J25:K25" si="28">SUM(J23:J24)</f>
        <v>5766067.1162717296</v>
      </c>
      <c r="K25" s="249">
        <f t="shared" si="28"/>
        <v>6983113.5960882381</v>
      </c>
      <c r="L25" s="249">
        <f t="shared" ref="L25:M25" si="29">SUM(L23:L24)</f>
        <v>6111091.134752566</v>
      </c>
      <c r="M25" s="249">
        <f t="shared" si="29"/>
        <v>8161849.1039384082</v>
      </c>
      <c r="N25" s="249">
        <f t="shared" ref="N25:O25" si="30">SUM(N23:N24)</f>
        <v>7809359.7226452921</v>
      </c>
      <c r="O25" s="249">
        <f t="shared" si="30"/>
        <v>0</v>
      </c>
      <c r="P25" s="249">
        <f t="shared" ref="P25:Q25" si="31">SUM(P23:P24)</f>
        <v>0</v>
      </c>
      <c r="Q25" s="249">
        <f t="shared" si="31"/>
        <v>0</v>
      </c>
      <c r="R25" s="249">
        <f t="shared" ref="R25:S25" si="32">SUM(R23:R24)</f>
        <v>0</v>
      </c>
      <c r="S25" s="249">
        <f t="shared" si="32"/>
        <v>0</v>
      </c>
      <c r="T25" s="249">
        <f t="shared" ref="T25" si="33">SUM(T23:T24)</f>
        <v>0</v>
      </c>
      <c r="U25" s="255"/>
      <c r="V25" s="249">
        <f>SUM(V23:V24)</f>
        <v>58800597.879450768</v>
      </c>
      <c r="X25" s="249">
        <f>SUM(X23:X24)</f>
        <v>113696846.21586061</v>
      </c>
      <c r="Y25" s="1182"/>
      <c r="Z25" s="1372">
        <f t="shared" si="24"/>
        <v>54896248.336409837</v>
      </c>
      <c r="AA25" s="263">
        <f t="shared" si="25"/>
        <v>0.48283000068608639</v>
      </c>
      <c r="AB25" s="249">
        <f>SUM(AB23:AB24)</f>
        <v>54896248.336409822</v>
      </c>
    </row>
    <row r="26" spans="2:28" x14ac:dyDescent="0.35">
      <c r="Y26" s="260"/>
      <c r="Z26" s="260"/>
      <c r="AA26" s="260"/>
      <c r="AB26" s="260"/>
    </row>
    <row r="27" spans="2:28" x14ac:dyDescent="0.3">
      <c r="B27" s="251" t="s">
        <v>75</v>
      </c>
      <c r="C27" s="252"/>
      <c r="D27" s="253">
        <f>D20+D25</f>
        <v>3995514.3270775308</v>
      </c>
      <c r="E27" s="253">
        <f t="shared" ref="E27:I27" si="34">E20+E25</f>
        <v>3906285.5006237444</v>
      </c>
      <c r="F27" s="253">
        <f t="shared" si="34"/>
        <v>15033842.822178304</v>
      </c>
      <c r="G27" s="253">
        <f t="shared" si="34"/>
        <v>42291262.969145112</v>
      </c>
      <c r="H27" s="253">
        <f t="shared" si="34"/>
        <v>85919928.167931199</v>
      </c>
      <c r="I27" s="253">
        <f t="shared" si="34"/>
        <v>60571484.359240629</v>
      </c>
      <c r="J27" s="253">
        <f t="shared" ref="J27:K27" si="35">J20+J25</f>
        <v>20188162.24552669</v>
      </c>
      <c r="K27" s="253">
        <f t="shared" si="35"/>
        <v>64034258.334088236</v>
      </c>
      <c r="L27" s="253">
        <f t="shared" ref="L27:M27" si="36">L20+L25</f>
        <v>19147340.923378684</v>
      </c>
      <c r="M27" s="253">
        <f t="shared" si="36"/>
        <v>31628344.246360864</v>
      </c>
      <c r="N27" s="253">
        <f t="shared" ref="N27:O27" si="37">N20+N25</f>
        <v>45004976.968981065</v>
      </c>
      <c r="O27" s="253">
        <f t="shared" si="37"/>
        <v>13497889.34</v>
      </c>
      <c r="P27" s="253">
        <f t="shared" ref="P27:Q27" si="38">P20+P25</f>
        <v>2969500</v>
      </c>
      <c r="Q27" s="253">
        <f t="shared" si="38"/>
        <v>785714.29</v>
      </c>
      <c r="R27" s="253">
        <f t="shared" ref="R27:S27" si="39">R20+R25</f>
        <v>600500</v>
      </c>
      <c r="S27" s="253">
        <f t="shared" si="39"/>
        <v>847285.71</v>
      </c>
      <c r="T27" s="253">
        <f t="shared" ref="T27" si="40">T20+T25</f>
        <v>0</v>
      </c>
      <c r="V27" s="253">
        <f>V20+V25</f>
        <v>375070804.67938805</v>
      </c>
      <c r="X27" s="253">
        <f>X20+X25</f>
        <v>493982752.47313225</v>
      </c>
      <c r="Y27" s="260"/>
      <c r="Z27" s="260"/>
      <c r="AA27" s="260"/>
      <c r="AB27" s="260"/>
    </row>
    <row r="28" spans="2:28" x14ac:dyDescent="0.35">
      <c r="Y28" s="260"/>
      <c r="Z28" s="260"/>
      <c r="AA28" s="260"/>
      <c r="AB28" s="260"/>
    </row>
    <row r="29" spans="2:28" x14ac:dyDescent="0.3">
      <c r="B29" s="251" t="s">
        <v>76</v>
      </c>
      <c r="C29" s="252"/>
      <c r="D29" s="257">
        <f>SUM(D8,D10,-D27)</f>
        <v>-3995514.3270775308</v>
      </c>
      <c r="E29" s="257">
        <f t="shared" ref="E29:K29" si="41">SUM(E8,E10,-E27)</f>
        <v>-3906285.5006237444</v>
      </c>
      <c r="F29" s="257">
        <f t="shared" si="41"/>
        <v>191800820.00317138</v>
      </c>
      <c r="G29" s="257">
        <f t="shared" si="41"/>
        <v>-22054392.887600999</v>
      </c>
      <c r="H29" s="257">
        <f t="shared" si="41"/>
        <v>-68768798.938729048</v>
      </c>
      <c r="I29" s="257">
        <f t="shared" si="41"/>
        <v>-19400562.532670222</v>
      </c>
      <c r="J29" s="257">
        <f t="shared" si="41"/>
        <v>3087375.8134733103</v>
      </c>
      <c r="K29" s="257">
        <f t="shared" si="41"/>
        <v>-2934608.3340882361</v>
      </c>
      <c r="L29" s="257">
        <f t="shared" ref="L29:M29" si="42">SUM(L8,L10,-L27)</f>
        <v>17880047.745621316</v>
      </c>
      <c r="M29" s="257">
        <f t="shared" si="42"/>
        <v>-8940370.4263608642</v>
      </c>
      <c r="N29" s="257">
        <f t="shared" ref="N29:O29" si="43">SUM(N8,N10,-N27)</f>
        <v>-27432987.968981065</v>
      </c>
      <c r="O29" s="257">
        <f t="shared" si="43"/>
        <v>-18031487.559840001</v>
      </c>
      <c r="P29" s="257">
        <f t="shared" ref="P29:Q29" si="44">SUM(P8,P10,-P27)</f>
        <v>-2969500</v>
      </c>
      <c r="Q29" s="257">
        <f t="shared" si="44"/>
        <v>-785714.29</v>
      </c>
      <c r="R29" s="257">
        <f t="shared" ref="R29:S29" si="45">SUM(R8,R10,-R27)</f>
        <v>-600500</v>
      </c>
      <c r="S29" s="257">
        <f t="shared" si="45"/>
        <v>-847285.71</v>
      </c>
      <c r="T29" s="257">
        <f t="shared" ref="T29" si="46">SUM(T8,T10,-T27)</f>
        <v>0</v>
      </c>
      <c r="V29" s="257">
        <f>SUM(V8,-V27)</f>
        <v>38016876.722772002</v>
      </c>
      <c r="X29" s="257">
        <f>SUM(X8,-X27)</f>
        <v>6924967.5268677473</v>
      </c>
      <c r="Y29" s="260"/>
      <c r="Z29" s="260"/>
      <c r="AA29" s="260"/>
      <c r="AB29" s="260"/>
    </row>
    <row r="30" spans="2:28" x14ac:dyDescent="0.3">
      <c r="B30" s="251" t="s">
        <v>77</v>
      </c>
      <c r="C30" s="252"/>
      <c r="D30" s="258">
        <f>D29</f>
        <v>-3995514.3270775308</v>
      </c>
      <c r="E30" s="258">
        <f>E29+D30</f>
        <v>-7901799.8277012752</v>
      </c>
      <c r="F30" s="258">
        <f>F29+E30</f>
        <v>183899020.17547011</v>
      </c>
      <c r="G30" s="258">
        <f>G29+F30</f>
        <v>161844627.28786913</v>
      </c>
      <c r="H30" s="258">
        <f t="shared" ref="H30:O30" si="47">H29+G30</f>
        <v>93075828.349140078</v>
      </c>
      <c r="I30" s="258">
        <f t="shared" si="47"/>
        <v>73675265.816469848</v>
      </c>
      <c r="J30" s="258">
        <f t="shared" si="47"/>
        <v>76762641.629943162</v>
      </c>
      <c r="K30" s="258">
        <f t="shared" si="47"/>
        <v>73828033.295854926</v>
      </c>
      <c r="L30" s="258">
        <f t="shared" si="47"/>
        <v>91708081.04147625</v>
      </c>
      <c r="M30" s="258">
        <f t="shared" si="47"/>
        <v>82767710.615115389</v>
      </c>
      <c r="N30" s="258">
        <f t="shared" si="47"/>
        <v>55334722.646134324</v>
      </c>
      <c r="O30" s="258">
        <f t="shared" si="47"/>
        <v>37303235.086294323</v>
      </c>
      <c r="P30" s="258">
        <f t="shared" ref="P30:T30" si="48">P29+O30</f>
        <v>34333735.086294323</v>
      </c>
      <c r="Q30" s="258">
        <f t="shared" si="48"/>
        <v>33548020.796294324</v>
      </c>
      <c r="R30" s="258">
        <f t="shared" si="48"/>
        <v>32947520.796294324</v>
      </c>
      <c r="S30" s="258">
        <f t="shared" si="48"/>
        <v>32100235.086294323</v>
      </c>
      <c r="T30" s="258">
        <f t="shared" si="48"/>
        <v>32100235.086294323</v>
      </c>
      <c r="Y30" s="260"/>
      <c r="Z30" s="260"/>
      <c r="AA30" s="260"/>
      <c r="AB30" s="260"/>
    </row>
    <row r="31" spans="2:28" x14ac:dyDescent="0.35">
      <c r="Y31" s="260"/>
      <c r="Z31" s="260"/>
      <c r="AA31" s="260"/>
      <c r="AB31" s="260"/>
    </row>
    <row r="32" spans="2:28" x14ac:dyDescent="0.35">
      <c r="Y32" s="260"/>
      <c r="Z32" s="260"/>
      <c r="AA32" s="260"/>
      <c r="AB32" s="260"/>
    </row>
  </sheetData>
  <conditionalFormatting sqref="D29:T30">
    <cfRule type="cellIs" dxfId="122" priority="26" operator="greaterThan">
      <formula>0</formula>
    </cfRule>
    <cfRule type="cellIs" dxfId="121" priority="27" operator="lessThan">
      <formula>0</formula>
    </cfRule>
  </conditionalFormatting>
  <conditionalFormatting sqref="V29">
    <cfRule type="cellIs" dxfId="120" priority="12" operator="greaterThan">
      <formula>0</formula>
    </cfRule>
    <cfRule type="cellIs" dxfId="119" priority="13" operator="lessThan">
      <formula>0</formula>
    </cfRule>
  </conditionalFormatting>
  <conditionalFormatting sqref="X29">
    <cfRule type="cellIs" dxfId="118" priority="4" operator="greaterThan">
      <formula>0</formula>
    </cfRule>
    <cfRule type="cellIs" dxfId="117" priority="5" operator="lessThan">
      <formula>0</formula>
    </cfRule>
  </conditionalFormatting>
  <conditionalFormatting sqref="AA7:AA10 AA13:AA20">
    <cfRule type="cellIs" dxfId="116" priority="20" operator="lessThan">
      <formula>0</formula>
    </cfRule>
    <cfRule type="cellIs" dxfId="115" priority="21" operator="greaterThan">
      <formula>0</formula>
    </cfRule>
  </conditionalFormatting>
  <conditionalFormatting sqref="AA23:AA25">
    <cfRule type="cellIs" dxfId="114" priority="16" operator="lessThan">
      <formula>0</formula>
    </cfRule>
    <cfRule type="cellIs" dxfId="113" priority="17" operator="greaterThan">
      <formula>0</formula>
    </cfRule>
  </conditionalFormatting>
  <conditionalFormatting sqref="AB13:AB19">
    <cfRule type="cellIs" dxfId="112" priority="1" operator="less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V25:V29 V20 X13:AB20 AA10 AA8 AB23:AB28 X9:AB9 X7:AB7 Z23:Z26 X23:Y29 AA23:AA29 D29:T30 D13:U22 D25:U28 D5:T5" xr:uid="{34454744-4167-413D-8397-AC66FE47449A}"/>
  </dataValidations>
  <pageMargins left="0.7" right="0.7" top="0.75" bottom="0.75" header="0.3" footer="0.3"/>
  <pageSetup paperSize="9" orientation="portrait" r:id="rId1"/>
  <ignoredErrors>
    <ignoredError sqref="AA10 AA25 AA20 X18 I7 E7 I9 E9 D9 F9:H9 J9:O9 AA8:AB8 Z9 V8:V9 AB9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FC854D-4E59-46BA-8FAC-2515BED3FDB2}">
          <x14:formula1>
            <xm:f>Listas!$A:$A</xm:f>
          </x14:formula1>
          <xm:sqref>B13:B19</xm:sqref>
        </x14:dataValidation>
        <x14:dataValidation type="list" allowBlank="1" showInputMessage="1" showErrorMessage="1" xr:uid="{CAED31C0-9FAC-4F15-B1F5-6C12B60E2566}">
          <x14:formula1>
            <xm:f>Listas!$C$1:$C$2</xm:f>
          </x14:formula1>
          <xm:sqref>C13:C19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2DAD-82F7-4637-95B4-3B0716441651}">
  <dimension ref="A1:P98"/>
  <sheetViews>
    <sheetView zoomScaleNormal="100" workbookViewId="0">
      <selection activeCell="D18" sqref="D18"/>
    </sheetView>
  </sheetViews>
  <sheetFormatPr defaultColWidth="11.453125" defaultRowHeight="14.5" x14ac:dyDescent="0.35"/>
  <cols>
    <col min="1" max="1" width="9.1796875" style="1210" customWidth="1"/>
    <col min="2" max="2" width="8.7265625" style="1210" customWidth="1"/>
    <col min="3" max="3" width="8.26953125" style="1210" customWidth="1"/>
    <col min="4" max="4" width="30.81640625" style="1210" customWidth="1"/>
    <col min="5" max="5" width="15.81640625" style="1210" bestFit="1" customWidth="1"/>
    <col min="6" max="6" width="15.7265625" style="1210" bestFit="1" customWidth="1"/>
    <col min="7" max="7" width="14" style="1210" customWidth="1"/>
    <col min="8" max="8" width="15.1796875" style="1210" customWidth="1"/>
    <col min="9" max="9" width="5.26953125" style="1210" customWidth="1"/>
    <col min="10" max="10" width="7.7265625" style="1210" customWidth="1"/>
    <col min="11" max="11" width="12.54296875" style="1210" customWidth="1"/>
    <col min="12" max="12" width="9.81640625" style="1210" customWidth="1"/>
    <col min="13" max="13" width="12" style="1210" customWidth="1"/>
    <col min="14" max="14" width="11.453125" style="1210"/>
    <col min="15" max="15" width="14.1796875" style="1210" bestFit="1" customWidth="1"/>
    <col min="16" max="16" width="13.1796875" style="1210" bestFit="1" customWidth="1"/>
    <col min="17" max="16384" width="11.453125" style="1210"/>
  </cols>
  <sheetData>
    <row r="1" spans="1:16" ht="18.5" x14ac:dyDescent="0.35">
      <c r="A1" s="1209" t="s">
        <v>80</v>
      </c>
    </row>
    <row r="2" spans="1:16" x14ac:dyDescent="0.35">
      <c r="A2" s="1213"/>
      <c r="I2" s="594"/>
    </row>
    <row r="3" spans="1:16" x14ac:dyDescent="0.35">
      <c r="C3" s="1214" t="s">
        <v>88</v>
      </c>
      <c r="D3" s="1214" t="s">
        <v>89</v>
      </c>
      <c r="E3" s="1214" t="s">
        <v>85</v>
      </c>
      <c r="F3" s="1214" t="s">
        <v>90</v>
      </c>
      <c r="G3" s="1214" t="s">
        <v>87</v>
      </c>
      <c r="I3" s="594"/>
    </row>
    <row r="4" spans="1:16" x14ac:dyDescent="0.35">
      <c r="B4" s="1220"/>
      <c r="C4" s="1362" t="s">
        <v>897</v>
      </c>
      <c r="D4" s="1222" t="s">
        <v>906</v>
      </c>
      <c r="E4" s="1223">
        <f>500907720*0.7</f>
        <v>350635404</v>
      </c>
      <c r="F4" s="1224">
        <f>+E4*0.105</f>
        <v>36816717.420000002</v>
      </c>
      <c r="G4" s="1224">
        <f t="shared" ref="G4:G8" si="0">E4+F4</f>
        <v>387452121.42000002</v>
      </c>
      <c r="I4" s="594"/>
      <c r="J4" s="1225"/>
      <c r="P4" s="1208"/>
    </row>
    <row r="5" spans="1:16" x14ac:dyDescent="0.35">
      <c r="B5" s="1220"/>
      <c r="C5" s="1363" t="s">
        <v>898</v>
      </c>
      <c r="D5" s="1230" t="s">
        <v>906</v>
      </c>
      <c r="E5" s="1231">
        <f>500907720*0.3</f>
        <v>150272316</v>
      </c>
      <c r="F5" s="1232">
        <v>0</v>
      </c>
      <c r="G5" s="1232">
        <f t="shared" si="0"/>
        <v>150272316</v>
      </c>
      <c r="I5" s="594"/>
      <c r="J5" s="1225"/>
      <c r="P5" s="1208"/>
    </row>
    <row r="6" spans="1:16" x14ac:dyDescent="0.35">
      <c r="B6" s="1220"/>
      <c r="C6" s="1229" t="s">
        <v>899</v>
      </c>
      <c r="D6" s="1230" t="s">
        <v>907</v>
      </c>
      <c r="E6" s="1233">
        <f>844845248*0.7</f>
        <v>591391673.5999999</v>
      </c>
      <c r="F6" s="1232">
        <f>+E6*0.105</f>
        <v>62096125.727999985</v>
      </c>
      <c r="G6" s="1232">
        <f t="shared" si="0"/>
        <v>653487799.32799983</v>
      </c>
      <c r="I6" s="594"/>
      <c r="J6" s="1225"/>
      <c r="P6" s="1208"/>
    </row>
    <row r="7" spans="1:16" x14ac:dyDescent="0.35">
      <c r="B7" s="1220"/>
      <c r="C7" s="1363" t="s">
        <v>900</v>
      </c>
      <c r="D7" s="1230" t="s">
        <v>907</v>
      </c>
      <c r="E7" s="1233">
        <f>844845248*0.3</f>
        <v>253453574.39999998</v>
      </c>
      <c r="F7" s="1232">
        <v>0</v>
      </c>
      <c r="G7" s="1232">
        <f t="shared" si="0"/>
        <v>253453574.39999998</v>
      </c>
      <c r="I7" s="594"/>
      <c r="J7" s="1225"/>
      <c r="P7" s="1208"/>
    </row>
    <row r="8" spans="1:16" x14ac:dyDescent="0.35">
      <c r="C8" s="1235" t="s">
        <v>918</v>
      </c>
      <c r="D8" s="1236" t="s">
        <v>919</v>
      </c>
      <c r="E8" s="1237">
        <v>96300019</v>
      </c>
      <c r="F8" s="1238">
        <v>0</v>
      </c>
      <c r="G8" s="1239">
        <f t="shared" si="0"/>
        <v>96300019</v>
      </c>
      <c r="J8" s="1240"/>
    </row>
    <row r="9" spans="1:16" x14ac:dyDescent="0.35">
      <c r="C9" s="1241"/>
      <c r="D9" s="1242" t="s">
        <v>104</v>
      </c>
      <c r="E9" s="1243">
        <f>SUM(E4:E8)</f>
        <v>1442052987</v>
      </c>
      <c r="F9" s="1243">
        <f>SUM(F4:F8)</f>
        <v>98912843.147999987</v>
      </c>
      <c r="G9" s="1243">
        <f>SUM(G4:G8)</f>
        <v>1540965830.1479998</v>
      </c>
    </row>
    <row r="10" spans="1:16" x14ac:dyDescent="0.35">
      <c r="B10" s="1244"/>
      <c r="C10" s="196"/>
      <c r="D10" s="1245"/>
      <c r="E10" s="1246"/>
      <c r="F10" s="1246"/>
      <c r="G10" s="1247"/>
      <c r="H10" s="1247"/>
      <c r="K10" s="1244" t="s">
        <v>905</v>
      </c>
      <c r="L10" s="1244" t="s">
        <v>83</v>
      </c>
      <c r="M10" s="1244" t="s">
        <v>183</v>
      </c>
    </row>
    <row r="11" spans="1:16" x14ac:dyDescent="0.35">
      <c r="A11" s="1214" t="s">
        <v>83</v>
      </c>
      <c r="B11" s="1214" t="s">
        <v>958</v>
      </c>
      <c r="C11" s="1214" t="s">
        <v>88</v>
      </c>
      <c r="D11" s="1214" t="s">
        <v>89</v>
      </c>
      <c r="E11" s="1214" t="s">
        <v>85</v>
      </c>
      <c r="F11" s="1214" t="s">
        <v>86</v>
      </c>
      <c r="G11" s="1214" t="s">
        <v>90</v>
      </c>
      <c r="H11" s="1214" t="s">
        <v>87</v>
      </c>
      <c r="J11" s="1293" t="s">
        <v>135</v>
      </c>
      <c r="K11" s="1289">
        <f>SUM(K12:K80)</f>
        <v>361022.07831588807</v>
      </c>
      <c r="L11" s="1357"/>
      <c r="M11" s="1358"/>
      <c r="P11" s="172"/>
    </row>
    <row r="12" spans="1:16" x14ac:dyDescent="0.35">
      <c r="A12" s="195">
        <v>45689</v>
      </c>
      <c r="B12" s="196" t="s">
        <v>897</v>
      </c>
      <c r="C12" s="1294" t="s">
        <v>136</v>
      </c>
      <c r="D12" s="1249" t="s">
        <v>137</v>
      </c>
      <c r="E12" s="1355">
        <f>+E4*0.4</f>
        <v>140254161.59999999</v>
      </c>
      <c r="F12" s="1250">
        <f>Facturacion!$V$3*70%</f>
        <v>4530102.3777447753</v>
      </c>
      <c r="G12" s="172">
        <f t="shared" ref="G12:G38" si="1">(F12+E12)*0.105</f>
        <v>15202347.717663199</v>
      </c>
      <c r="H12" s="1250">
        <f>SUM(E12:G12)</f>
        <v>159986611.69540796</v>
      </c>
      <c r="I12" s="1183"/>
      <c r="J12" s="1290"/>
      <c r="K12" s="1288"/>
      <c r="L12" s="1359"/>
      <c r="M12" s="1360"/>
    </row>
    <row r="13" spans="1:16" x14ac:dyDescent="0.35">
      <c r="A13" s="195">
        <v>45689</v>
      </c>
      <c r="B13" s="194" t="s">
        <v>898</v>
      </c>
      <c r="C13" s="1294" t="s">
        <v>136</v>
      </c>
      <c r="D13" s="1249" t="s">
        <v>138</v>
      </c>
      <c r="E13" s="1355">
        <f>+E5*0.4</f>
        <v>60108926.400000006</v>
      </c>
      <c r="F13" s="1250">
        <f>Facturacion!$V$3*30%</f>
        <v>1941472.4476049037</v>
      </c>
      <c r="G13" s="172">
        <v>0</v>
      </c>
      <c r="H13" s="172">
        <f>SUM(E13:G13)</f>
        <v>62050398.847604908</v>
      </c>
      <c r="J13" s="1290">
        <v>1164.79</v>
      </c>
      <c r="K13" s="1291">
        <f>+H13/J13</f>
        <v>53271.747566174941</v>
      </c>
      <c r="L13" s="1359"/>
      <c r="M13" s="1360"/>
    </row>
    <row r="14" spans="1:16" x14ac:dyDescent="0.35">
      <c r="A14" s="195">
        <v>45689</v>
      </c>
      <c r="B14" s="196" t="s">
        <v>899</v>
      </c>
      <c r="C14" s="1294" t="s">
        <v>139</v>
      </c>
      <c r="D14" s="1249" t="s">
        <v>140</v>
      </c>
      <c r="E14" s="1355">
        <f>E6*0.1</f>
        <v>59139167.359999992</v>
      </c>
      <c r="F14" s="1250">
        <f>Facturacion!$V$4*70%</f>
        <v>1910149.9707327201</v>
      </c>
      <c r="G14" s="172">
        <f t="shared" si="1"/>
        <v>6410178.3197269347</v>
      </c>
      <c r="H14" s="172">
        <f t="shared" ref="H14:H17" si="2">SUM(E14:G14)</f>
        <v>67459495.650459647</v>
      </c>
      <c r="J14" s="1290"/>
      <c r="K14" s="1288"/>
      <c r="L14" s="1359"/>
      <c r="M14" s="1360"/>
    </row>
    <row r="15" spans="1:16" x14ac:dyDescent="0.35">
      <c r="A15" s="195">
        <v>45689</v>
      </c>
      <c r="B15" s="194" t="s">
        <v>900</v>
      </c>
      <c r="C15" s="1294" t="s">
        <v>139</v>
      </c>
      <c r="D15" s="1249" t="s">
        <v>141</v>
      </c>
      <c r="E15" s="1355">
        <f>E7*0.1</f>
        <v>25345357.439999998</v>
      </c>
      <c r="F15" s="1250">
        <f>Facturacion!$V$4*30%</f>
        <v>818635.70174259436</v>
      </c>
      <c r="G15" s="172">
        <v>0</v>
      </c>
      <c r="H15" s="172">
        <f t="shared" si="2"/>
        <v>26163993.141742591</v>
      </c>
      <c r="J15" s="1290">
        <v>1164.79</v>
      </c>
      <c r="K15" s="1291">
        <f>+H15/J15</f>
        <v>22462.412230309834</v>
      </c>
      <c r="L15" s="1359"/>
      <c r="M15" s="1360"/>
      <c r="O15" s="172"/>
    </row>
    <row r="16" spans="1:16" x14ac:dyDescent="0.35">
      <c r="A16" s="195">
        <v>45747</v>
      </c>
      <c r="B16" s="196" t="s">
        <v>897</v>
      </c>
      <c r="C16" s="1294" t="s">
        <v>136</v>
      </c>
      <c r="D16" s="1249" t="s">
        <v>142</v>
      </c>
      <c r="E16" s="172">
        <f>19603686*0.7</f>
        <v>13722580.199999999</v>
      </c>
      <c r="F16" s="1250">
        <f>Facturacion!$V$5*70%</f>
        <v>443228.85708087747</v>
      </c>
      <c r="G16" s="172">
        <f t="shared" si="1"/>
        <v>1487409.950993492</v>
      </c>
      <c r="H16" s="172">
        <f t="shared" si="2"/>
        <v>15653219.008074367</v>
      </c>
      <c r="J16" s="1290"/>
      <c r="K16" s="1292"/>
      <c r="L16" s="1359"/>
      <c r="M16" s="1360"/>
      <c r="O16" s="172"/>
    </row>
    <row r="17" spans="1:15" x14ac:dyDescent="0.35">
      <c r="A17" s="195">
        <v>45747</v>
      </c>
      <c r="B17" s="194" t="s">
        <v>898</v>
      </c>
      <c r="C17" s="1294" t="s">
        <v>136</v>
      </c>
      <c r="D17" s="1249" t="s">
        <v>143</v>
      </c>
      <c r="E17" s="172">
        <f>19603686*0.3</f>
        <v>5881105.7999999998</v>
      </c>
      <c r="F17" s="1250">
        <f>Facturacion!$V$5*30%</f>
        <v>189955.2244632332</v>
      </c>
      <c r="G17" s="172">
        <v>0</v>
      </c>
      <c r="H17" s="172">
        <f t="shared" si="2"/>
        <v>6071061.0244632326</v>
      </c>
      <c r="J17" s="1290">
        <v>1313.97</v>
      </c>
      <c r="K17" s="1291">
        <f>+H17/J17</f>
        <v>4620.395461436131</v>
      </c>
      <c r="L17" s="1359"/>
      <c r="M17" s="1360"/>
    </row>
    <row r="18" spans="1:15" x14ac:dyDescent="0.35">
      <c r="A18" s="195">
        <v>45747</v>
      </c>
      <c r="B18" s="196" t="s">
        <v>899</v>
      </c>
      <c r="C18" s="1294" t="s">
        <v>139</v>
      </c>
      <c r="D18" s="1249" t="s">
        <v>144</v>
      </c>
      <c r="E18" s="172">
        <f>8012799*0.7</f>
        <v>5608959.2999999998</v>
      </c>
      <c r="F18" s="1250">
        <f>Facturacion!$V$6*70%</f>
        <v>181165.10178510554</v>
      </c>
      <c r="G18" s="172">
        <f t="shared" si="1"/>
        <v>607963.06218743604</v>
      </c>
      <c r="H18" s="172">
        <f t="shared" ref="H18:H39" si="3">SUM(E18:G18)</f>
        <v>6398087.4639725415</v>
      </c>
      <c r="J18" s="1290"/>
      <c r="K18" s="1288"/>
      <c r="L18" s="1359"/>
      <c r="M18" s="1360"/>
    </row>
    <row r="19" spans="1:15" x14ac:dyDescent="0.35">
      <c r="A19" s="195">
        <v>45747</v>
      </c>
      <c r="B19" s="194" t="s">
        <v>900</v>
      </c>
      <c r="C19" s="1294" t="s">
        <v>139</v>
      </c>
      <c r="D19" s="1249" t="s">
        <v>145</v>
      </c>
      <c r="E19" s="172">
        <f>8012799*0.3</f>
        <v>2403839.6999999997</v>
      </c>
      <c r="F19" s="1250">
        <f>Facturacion!$V$6*30%</f>
        <v>77642.186479330951</v>
      </c>
      <c r="G19" s="172">
        <v>0</v>
      </c>
      <c r="H19" s="172">
        <f t="shared" si="3"/>
        <v>2481481.8864793307</v>
      </c>
      <c r="J19" s="1290">
        <v>1313.97</v>
      </c>
      <c r="K19" s="1291">
        <f>+H19/J19</f>
        <v>1888.5377036609136</v>
      </c>
      <c r="L19" s="1359"/>
      <c r="M19" s="1360"/>
    </row>
    <row r="20" spans="1:15" x14ac:dyDescent="0.35">
      <c r="A20" s="195">
        <v>45747</v>
      </c>
      <c r="B20" s="194" t="s">
        <v>957</v>
      </c>
      <c r="C20" s="1294" t="s">
        <v>959</v>
      </c>
      <c r="D20" s="1249" t="s">
        <v>960</v>
      </c>
      <c r="E20" s="172"/>
      <c r="F20" s="1250"/>
      <c r="G20" s="172"/>
      <c r="H20" s="172"/>
      <c r="J20" s="1290"/>
      <c r="K20" s="1291">
        <v>7792</v>
      </c>
      <c r="L20" s="1359"/>
      <c r="M20" s="1360"/>
    </row>
    <row r="21" spans="1:15" x14ac:dyDescent="0.35">
      <c r="A21" s="195">
        <v>45777</v>
      </c>
      <c r="B21" s="196" t="s">
        <v>897</v>
      </c>
      <c r="C21" s="1294" t="s">
        <v>136</v>
      </c>
      <c r="D21" s="1249" t="s">
        <v>146</v>
      </c>
      <c r="E21" s="1250">
        <f>16465959*0.7</f>
        <v>11526171.299999999</v>
      </c>
      <c r="F21" s="1250">
        <f>Facturacion!$V$7*70%</f>
        <v>479619.16044151009</v>
      </c>
      <c r="G21" s="172">
        <f t="shared" si="1"/>
        <v>1260607.9983463585</v>
      </c>
      <c r="H21" s="172">
        <f t="shared" si="3"/>
        <v>13266398.458787868</v>
      </c>
      <c r="J21" s="1290"/>
      <c r="K21" s="1288"/>
      <c r="L21" s="1359">
        <v>45751</v>
      </c>
      <c r="M21" s="1360">
        <v>10000</v>
      </c>
      <c r="O21" s="172"/>
    </row>
    <row r="22" spans="1:15" x14ac:dyDescent="0.35">
      <c r="A22" s="195">
        <v>45777</v>
      </c>
      <c r="B22" s="194" t="s">
        <v>898</v>
      </c>
      <c r="C22" s="1294" t="s">
        <v>136</v>
      </c>
      <c r="D22" s="1249" t="s">
        <v>147</v>
      </c>
      <c r="E22" s="1250">
        <f>16465959*0.3</f>
        <v>4939787.7</v>
      </c>
      <c r="F22" s="1250">
        <f>Facturacion!$V$7*30%</f>
        <v>205551.06876064721</v>
      </c>
      <c r="G22" s="172">
        <v>0</v>
      </c>
      <c r="H22" s="172">
        <f t="shared" si="3"/>
        <v>5145338.7687606476</v>
      </c>
      <c r="J22" s="1290">
        <v>1183.3699999999999</v>
      </c>
      <c r="K22" s="1291">
        <f>+H22/J22</f>
        <v>4348.038879438086</v>
      </c>
      <c r="L22" s="1359">
        <v>45754</v>
      </c>
      <c r="M22" s="1360">
        <v>13600</v>
      </c>
      <c r="O22" s="172"/>
    </row>
    <row r="23" spans="1:15" x14ac:dyDescent="0.35">
      <c r="A23" s="195">
        <v>45777</v>
      </c>
      <c r="B23" s="196" t="s">
        <v>899</v>
      </c>
      <c r="C23" s="1294" t="s">
        <v>139</v>
      </c>
      <c r="D23" s="1249" t="s">
        <v>148</v>
      </c>
      <c r="E23" s="1250">
        <f>7853224*0.7</f>
        <v>5497256.7999999998</v>
      </c>
      <c r="F23" s="1250">
        <f>Facturacion!$V$8*70%</f>
        <v>228748.09423499674</v>
      </c>
      <c r="G23" s="172">
        <f t="shared" si="1"/>
        <v>601230.5138946746</v>
      </c>
      <c r="H23" s="172">
        <f t="shared" si="3"/>
        <v>6327235.4081296707</v>
      </c>
      <c r="J23" s="1290"/>
      <c r="K23" s="1288"/>
      <c r="L23" s="1359">
        <v>45762</v>
      </c>
      <c r="M23" s="1360">
        <v>4000</v>
      </c>
      <c r="O23" s="172"/>
    </row>
    <row r="24" spans="1:15" x14ac:dyDescent="0.35">
      <c r="A24" s="195">
        <v>45777</v>
      </c>
      <c r="B24" s="194" t="s">
        <v>900</v>
      </c>
      <c r="C24" s="1294" t="s">
        <v>139</v>
      </c>
      <c r="D24" s="1249" t="s">
        <v>149</v>
      </c>
      <c r="E24" s="1250">
        <f>7853224*0.3</f>
        <v>2355967.1999999997</v>
      </c>
      <c r="F24" s="1250">
        <f>Facturacion!$V$8*30%</f>
        <v>98034.89752928431</v>
      </c>
      <c r="G24" s="172">
        <v>0</v>
      </c>
      <c r="H24" s="172">
        <f t="shared" si="3"/>
        <v>2454002.0975292842</v>
      </c>
      <c r="J24" s="1290">
        <v>1183.3699999999999</v>
      </c>
      <c r="K24" s="1291">
        <f>+H24/J24</f>
        <v>2073.740332718663</v>
      </c>
      <c r="L24" s="1359">
        <v>45786</v>
      </c>
      <c r="M24" s="1360">
        <v>50000</v>
      </c>
      <c r="O24" s="172"/>
    </row>
    <row r="25" spans="1:15" x14ac:dyDescent="0.35">
      <c r="A25" s="195">
        <v>45777</v>
      </c>
      <c r="B25" s="194" t="s">
        <v>957</v>
      </c>
      <c r="C25" s="1294" t="s">
        <v>959</v>
      </c>
      <c r="D25" s="1249" t="s">
        <v>961</v>
      </c>
      <c r="E25" s="172"/>
      <c r="F25" s="1250"/>
      <c r="G25" s="172"/>
      <c r="H25" s="172"/>
      <c r="J25" s="1290"/>
      <c r="K25" s="1291">
        <v>7792</v>
      </c>
      <c r="L25" s="1359"/>
      <c r="M25" s="1360"/>
      <c r="O25" s="172"/>
    </row>
    <row r="26" spans="1:15" x14ac:dyDescent="0.35">
      <c r="A26" s="195">
        <v>45808</v>
      </c>
      <c r="B26" s="196" t="s">
        <v>897</v>
      </c>
      <c r="C26" s="1294" t="s">
        <v>136</v>
      </c>
      <c r="D26" s="1249" t="s">
        <v>150</v>
      </c>
      <c r="E26" s="1250">
        <f>38898523*0.7</f>
        <v>27228966.099999998</v>
      </c>
      <c r="F26" s="1250">
        <f>Facturacion!$V$9*70%</f>
        <v>1590679.1785992838</v>
      </c>
      <c r="G26" s="172">
        <f t="shared" si="1"/>
        <v>3026062.7542529246</v>
      </c>
      <c r="H26" s="172">
        <f t="shared" si="3"/>
        <v>31845708.032852206</v>
      </c>
      <c r="J26" s="1290"/>
      <c r="K26" s="1288"/>
      <c r="L26" s="1359">
        <v>45787</v>
      </c>
      <c r="M26" s="1360">
        <v>3000</v>
      </c>
    </row>
    <row r="27" spans="1:15" x14ac:dyDescent="0.35">
      <c r="A27" s="195">
        <v>45808</v>
      </c>
      <c r="B27" s="194" t="s">
        <v>898</v>
      </c>
      <c r="C27" s="1294" t="s">
        <v>136</v>
      </c>
      <c r="D27" s="1249" t="s">
        <v>151</v>
      </c>
      <c r="E27" s="1250">
        <f>38898523*0.3</f>
        <v>11669556.9</v>
      </c>
      <c r="F27" s="1250">
        <f>Facturacion!$V$9*30%</f>
        <v>681719.64797112171</v>
      </c>
      <c r="G27" s="172">
        <v>0</v>
      </c>
      <c r="H27" s="172">
        <f t="shared" si="3"/>
        <v>12351276.547971122</v>
      </c>
      <c r="J27" s="1290">
        <v>1191.72</v>
      </c>
      <c r="K27" s="1291">
        <f>+H27/J27</f>
        <v>10364.243738437823</v>
      </c>
      <c r="L27" s="1359">
        <v>45793</v>
      </c>
      <c r="M27" s="1360">
        <v>50000.000000000007</v>
      </c>
    </row>
    <row r="28" spans="1:15" x14ac:dyDescent="0.35">
      <c r="A28" s="195">
        <v>45808</v>
      </c>
      <c r="B28" s="196" t="s">
        <v>899</v>
      </c>
      <c r="C28" s="1294" t="s">
        <v>139</v>
      </c>
      <c r="D28" s="1249" t="s">
        <v>152</v>
      </c>
      <c r="E28" s="1250">
        <f>8963295*0.7</f>
        <v>6274306.5</v>
      </c>
      <c r="F28" s="1250">
        <f>Facturacion!$V$10*70%</f>
        <v>366536.45770579798</v>
      </c>
      <c r="G28" s="172">
        <f t="shared" si="1"/>
        <v>697288.51055910869</v>
      </c>
      <c r="H28" s="172">
        <f t="shared" si="3"/>
        <v>7338131.4682649067</v>
      </c>
      <c r="J28" s="1290"/>
      <c r="K28" s="1288"/>
      <c r="L28" s="1359">
        <v>45831</v>
      </c>
      <c r="M28" s="1360">
        <v>30000.000336319568</v>
      </c>
    </row>
    <row r="29" spans="1:15" x14ac:dyDescent="0.35">
      <c r="A29" s="195">
        <v>45808</v>
      </c>
      <c r="B29" s="194" t="s">
        <v>900</v>
      </c>
      <c r="C29" s="1294" t="s">
        <v>139</v>
      </c>
      <c r="D29" s="1249" t="s">
        <v>153</v>
      </c>
      <c r="E29" s="1250">
        <f>8963295*0.3</f>
        <v>2688988.5</v>
      </c>
      <c r="F29" s="1250">
        <f>Facturacion!$V$10*30%</f>
        <v>157087.05330248486</v>
      </c>
      <c r="G29" s="172">
        <v>0</v>
      </c>
      <c r="H29" s="172">
        <f t="shared" si="3"/>
        <v>2846075.553302485</v>
      </c>
      <c r="J29" s="1290">
        <v>1191.72</v>
      </c>
      <c r="K29" s="1291">
        <f>+H29/J29</f>
        <v>2388.2082647790462</v>
      </c>
      <c r="L29" s="1359">
        <v>45835</v>
      </c>
      <c r="M29" s="1360">
        <v>3505</v>
      </c>
    </row>
    <row r="30" spans="1:15" x14ac:dyDescent="0.35">
      <c r="A30" s="195">
        <v>45808</v>
      </c>
      <c r="B30" s="194" t="s">
        <v>957</v>
      </c>
      <c r="C30" s="1294" t="s">
        <v>959</v>
      </c>
      <c r="D30" s="1249" t="s">
        <v>962</v>
      </c>
      <c r="E30" s="172"/>
      <c r="F30" s="1250"/>
      <c r="G30" s="172"/>
      <c r="H30" s="172"/>
      <c r="J30" s="1290"/>
      <c r="K30" s="1291">
        <v>7792</v>
      </c>
      <c r="L30" s="1359"/>
      <c r="M30" s="1360"/>
    </row>
    <row r="31" spans="1:15" x14ac:dyDescent="0.35">
      <c r="A31" s="195">
        <v>45838</v>
      </c>
      <c r="B31" s="196" t="s">
        <v>897</v>
      </c>
      <c r="C31" s="1294" t="s">
        <v>136</v>
      </c>
      <c r="D31" s="1249" t="s">
        <v>810</v>
      </c>
      <c r="E31" s="1250">
        <f>21634403.628*70%</f>
        <v>15144082.539599998</v>
      </c>
      <c r="F31" s="1250">
        <f>1641134.431*70%</f>
        <v>1148794.1017</v>
      </c>
      <c r="G31" s="172">
        <f t="shared" si="1"/>
        <v>1710752.0473364997</v>
      </c>
      <c r="H31" s="172">
        <f t="shared" si="3"/>
        <v>18003628.688636497</v>
      </c>
      <c r="J31" s="1290"/>
      <c r="K31" s="1288"/>
      <c r="L31" s="1359">
        <v>45877</v>
      </c>
      <c r="M31" s="1360">
        <v>1200</v>
      </c>
    </row>
    <row r="32" spans="1:15" x14ac:dyDescent="0.35">
      <c r="A32" s="195">
        <v>45838</v>
      </c>
      <c r="B32" s="194" t="s">
        <v>898</v>
      </c>
      <c r="C32" s="1294" t="s">
        <v>136</v>
      </c>
      <c r="D32" s="1249" t="s">
        <v>811</v>
      </c>
      <c r="E32" s="1250">
        <f>21634403.628*30%</f>
        <v>6490321.0883999998</v>
      </c>
      <c r="F32" s="1250">
        <f>1641134.431*30%</f>
        <v>492340.32929999998</v>
      </c>
      <c r="G32" s="172">
        <v>0</v>
      </c>
      <c r="H32" s="172">
        <f t="shared" si="3"/>
        <v>6982661.4177000001</v>
      </c>
      <c r="J32" s="1290">
        <v>1211.0999999999999</v>
      </c>
      <c r="K32" s="1291">
        <f t="shared" ref="K32" si="4">+H32/J32</f>
        <v>5765.5531481298003</v>
      </c>
      <c r="L32" s="1359">
        <v>45891</v>
      </c>
      <c r="M32" s="1360">
        <v>2650</v>
      </c>
    </row>
    <row r="33" spans="1:13" x14ac:dyDescent="0.35">
      <c r="A33" s="195">
        <v>45838</v>
      </c>
      <c r="B33" s="196" t="s">
        <v>899</v>
      </c>
      <c r="C33" s="1294" t="s">
        <v>139</v>
      </c>
      <c r="D33" s="1249" t="s">
        <v>812</v>
      </c>
      <c r="E33" s="1250">
        <f>8241381.396*70%</f>
        <v>5768966.9771999996</v>
      </c>
      <c r="F33" s="1250">
        <f>625171.601*70%</f>
        <v>437620.12069999997</v>
      </c>
      <c r="G33" s="172">
        <f t="shared" si="1"/>
        <v>651691.64527949993</v>
      </c>
      <c r="H33" s="172">
        <f t="shared" si="3"/>
        <v>6858278.7431794992</v>
      </c>
      <c r="J33" s="1290"/>
      <c r="K33" s="1288"/>
      <c r="L33" s="1359">
        <v>45959</v>
      </c>
      <c r="M33" s="1360">
        <v>10000</v>
      </c>
    </row>
    <row r="34" spans="1:13" x14ac:dyDescent="0.35">
      <c r="A34" s="195">
        <v>45838</v>
      </c>
      <c r="B34" s="194" t="s">
        <v>900</v>
      </c>
      <c r="C34" s="1294" t="s">
        <v>139</v>
      </c>
      <c r="D34" s="1249" t="s">
        <v>813</v>
      </c>
      <c r="E34" s="1250">
        <f>8241381.396*30%</f>
        <v>2472414.4187999996</v>
      </c>
      <c r="F34" s="1250">
        <f>625171.601*30%</f>
        <v>187551.4803</v>
      </c>
      <c r="G34" s="172">
        <v>0</v>
      </c>
      <c r="H34" s="172">
        <f t="shared" si="3"/>
        <v>2659965.8990999996</v>
      </c>
      <c r="J34" s="1290">
        <v>1211.0999999999999</v>
      </c>
      <c r="K34" s="1291">
        <f t="shared" ref="K34" si="5">+H34/J34</f>
        <v>2196.3222682685159</v>
      </c>
      <c r="L34" s="1359">
        <v>45638</v>
      </c>
      <c r="M34" s="1360">
        <v>14000</v>
      </c>
    </row>
    <row r="35" spans="1:13" x14ac:dyDescent="0.35">
      <c r="A35" s="195">
        <v>45838</v>
      </c>
      <c r="B35" s="194" t="s">
        <v>957</v>
      </c>
      <c r="C35" s="1294" t="s">
        <v>959</v>
      </c>
      <c r="D35" s="1249" t="s">
        <v>963</v>
      </c>
      <c r="E35" s="172"/>
      <c r="F35" s="1250"/>
      <c r="G35" s="172"/>
      <c r="H35" s="172"/>
      <c r="J35" s="1290"/>
      <c r="K35" s="1291">
        <v>7792</v>
      </c>
      <c r="L35" s="1359"/>
      <c r="M35" s="1360"/>
    </row>
    <row r="36" spans="1:13" x14ac:dyDescent="0.35">
      <c r="A36" s="195">
        <v>45869</v>
      </c>
      <c r="B36" s="196" t="s">
        <v>897</v>
      </c>
      <c r="C36" s="1294" t="s">
        <v>136</v>
      </c>
      <c r="D36" s="1249" t="s">
        <v>829</v>
      </c>
      <c r="E36" s="1250">
        <f>56374940*0.7</f>
        <v>39462458</v>
      </c>
      <c r="F36" s="1250">
        <f>4724710*0.7</f>
        <v>3307297</v>
      </c>
      <c r="G36" s="172">
        <f t="shared" si="1"/>
        <v>4490824.2749999994</v>
      </c>
      <c r="H36" s="172">
        <f t="shared" si="3"/>
        <v>47260579.274999999</v>
      </c>
      <c r="J36" s="1290"/>
      <c r="K36" s="1288"/>
      <c r="L36" s="1359">
        <v>46002</v>
      </c>
      <c r="M36" s="1360">
        <v>1200</v>
      </c>
    </row>
    <row r="37" spans="1:13" x14ac:dyDescent="0.35">
      <c r="A37" s="195">
        <v>45869</v>
      </c>
      <c r="B37" s="194" t="s">
        <v>898</v>
      </c>
      <c r="C37" s="1294" t="s">
        <v>136</v>
      </c>
      <c r="D37" s="1249" t="s">
        <v>830</v>
      </c>
      <c r="E37" s="1250">
        <f>56374940*0.3</f>
        <v>16912482</v>
      </c>
      <c r="F37" s="1250">
        <f>4724710*0.3</f>
        <v>1417413</v>
      </c>
      <c r="G37" s="172">
        <v>0</v>
      </c>
      <c r="H37" s="172">
        <f t="shared" si="3"/>
        <v>18329895</v>
      </c>
      <c r="J37" s="1290">
        <v>1359.76</v>
      </c>
      <c r="K37" s="1291">
        <f t="shared" ref="K37" si="6">+H37/J37</f>
        <v>13480.242836971231</v>
      </c>
      <c r="L37" s="1359">
        <v>46002</v>
      </c>
      <c r="M37" s="1360">
        <v>20000</v>
      </c>
    </row>
    <row r="38" spans="1:13" x14ac:dyDescent="0.35">
      <c r="A38" s="195">
        <v>45869</v>
      </c>
      <c r="B38" s="196" t="s">
        <v>899</v>
      </c>
      <c r="C38" s="1294" t="s">
        <v>139</v>
      </c>
      <c r="D38" s="1249" t="s">
        <v>831</v>
      </c>
      <c r="E38" s="1250">
        <f>10717734.43*0.7</f>
        <v>7502414.1009999989</v>
      </c>
      <c r="F38" s="1250">
        <f>898239.44*0.7</f>
        <v>628767.60799999989</v>
      </c>
      <c r="G38" s="172">
        <f t="shared" si="1"/>
        <v>853774.07944499981</v>
      </c>
      <c r="H38" s="172">
        <f t="shared" si="3"/>
        <v>8984955.7884449996</v>
      </c>
      <c r="J38" s="1290"/>
      <c r="K38" s="1288"/>
      <c r="L38" s="1359">
        <v>46003</v>
      </c>
      <c r="M38" s="1360">
        <v>18000</v>
      </c>
    </row>
    <row r="39" spans="1:13" x14ac:dyDescent="0.35">
      <c r="A39" s="195">
        <v>45869</v>
      </c>
      <c r="B39" s="194" t="s">
        <v>900</v>
      </c>
      <c r="C39" s="1294" t="s">
        <v>139</v>
      </c>
      <c r="D39" s="1249" t="s">
        <v>832</v>
      </c>
      <c r="E39" s="1250">
        <f>10717734.43*0.3</f>
        <v>3215320.3289999999</v>
      </c>
      <c r="F39" s="1250">
        <f>898239.44*0.3</f>
        <v>269471.83199999999</v>
      </c>
      <c r="G39" s="172">
        <v>0</v>
      </c>
      <c r="H39" s="172">
        <f t="shared" si="3"/>
        <v>3484792.1609999998</v>
      </c>
      <c r="J39" s="1290">
        <v>1359.76</v>
      </c>
      <c r="K39" s="1291">
        <f t="shared" ref="K39" si="7">+H39/J39</f>
        <v>2562.79943592987</v>
      </c>
      <c r="L39" s="1359">
        <v>46008</v>
      </c>
      <c r="M39" s="1360">
        <v>34873</v>
      </c>
    </row>
    <row r="40" spans="1:13" x14ac:dyDescent="0.35">
      <c r="A40" s="195">
        <v>45869</v>
      </c>
      <c r="B40" s="194" t="s">
        <v>957</v>
      </c>
      <c r="C40" s="1294" t="s">
        <v>959</v>
      </c>
      <c r="D40" s="1249" t="s">
        <v>964</v>
      </c>
      <c r="E40" s="172"/>
      <c r="F40" s="1250"/>
      <c r="G40" s="172"/>
      <c r="H40" s="172"/>
      <c r="J40" s="1290"/>
      <c r="K40" s="1291">
        <v>7792</v>
      </c>
      <c r="L40" s="1359">
        <v>46031</v>
      </c>
      <c r="M40" s="1360">
        <v>5426</v>
      </c>
    </row>
    <row r="41" spans="1:13" x14ac:dyDescent="0.35">
      <c r="A41" s="195">
        <v>45900</v>
      </c>
      <c r="B41" s="196" t="s">
        <v>897</v>
      </c>
      <c r="C41" s="1294" t="s">
        <v>136</v>
      </c>
      <c r="D41" s="1249" t="s">
        <v>878</v>
      </c>
      <c r="E41" s="1250">
        <f>33566952.47*70%</f>
        <v>23496866.728999998</v>
      </c>
      <c r="F41" s="1250">
        <f>3460436.199*70%</f>
        <v>2422305.3392999996</v>
      </c>
      <c r="G41" s="172">
        <f t="shared" ref="G41" si="8">(F41+E41)*0.105</f>
        <v>2721513.0671714996</v>
      </c>
      <c r="H41" s="172">
        <f t="shared" ref="H41:H57" si="9">SUM(E41:G41)</f>
        <v>28640685.135471497</v>
      </c>
      <c r="J41" s="1290"/>
      <c r="K41" s="1288"/>
      <c r="L41" s="1359">
        <v>46071</v>
      </c>
      <c r="M41" s="1360">
        <v>3000</v>
      </c>
    </row>
    <row r="42" spans="1:13" x14ac:dyDescent="0.35">
      <c r="A42" s="195">
        <v>45900</v>
      </c>
      <c r="B42" s="194" t="s">
        <v>898</v>
      </c>
      <c r="C42" s="1294" t="s">
        <v>136</v>
      </c>
      <c r="D42" s="1249" t="s">
        <v>879</v>
      </c>
      <c r="E42" s="1250">
        <f>33566952.47*30%</f>
        <v>10070085.740999999</v>
      </c>
      <c r="F42" s="1250">
        <f>3460436.199*30%</f>
        <v>1038130.8596999999</v>
      </c>
      <c r="G42" s="172">
        <v>0</v>
      </c>
      <c r="H42" s="172">
        <f t="shared" si="9"/>
        <v>11108216.600699998</v>
      </c>
      <c r="J42" s="1290">
        <v>1357.34</v>
      </c>
      <c r="K42" s="1291">
        <f t="shared" ref="K42" si="10">+H42/J42</f>
        <v>8183.8128992735783</v>
      </c>
      <c r="L42" s="1359"/>
      <c r="M42" s="1360"/>
    </row>
    <row r="43" spans="1:13" x14ac:dyDescent="0.35">
      <c r="A43" s="195">
        <v>45900</v>
      </c>
      <c r="B43" s="196" t="s">
        <v>899</v>
      </c>
      <c r="C43" s="1294" t="s">
        <v>139</v>
      </c>
      <c r="D43" s="1249" t="s">
        <v>880</v>
      </c>
      <c r="E43" s="1250">
        <f>10175591.475*70%</f>
        <v>7122914.0324999997</v>
      </c>
      <c r="F43" s="1250">
        <f>1049007.505*70%</f>
        <v>734305.25349999988</v>
      </c>
      <c r="G43" s="172">
        <f t="shared" ref="G43:G55" si="11">(F43+E43)*0.105</f>
        <v>825008.0250299999</v>
      </c>
      <c r="H43" s="172">
        <f t="shared" si="9"/>
        <v>8682227.3110299986</v>
      </c>
      <c r="J43" s="1290"/>
      <c r="K43" s="1288"/>
      <c r="L43" s="1359"/>
      <c r="M43" s="1360"/>
    </row>
    <row r="44" spans="1:13" x14ac:dyDescent="0.35">
      <c r="A44" s="195">
        <v>45900</v>
      </c>
      <c r="B44" s="194" t="s">
        <v>900</v>
      </c>
      <c r="C44" s="1294" t="s">
        <v>139</v>
      </c>
      <c r="D44" s="1249" t="s">
        <v>881</v>
      </c>
      <c r="E44" s="1250">
        <f>10175591.475*30%</f>
        <v>3052677.4424999999</v>
      </c>
      <c r="F44" s="1250">
        <f>1049007.505*30%</f>
        <v>314702.25149999995</v>
      </c>
      <c r="G44" s="172">
        <v>0</v>
      </c>
      <c r="H44" s="172">
        <f t="shared" si="9"/>
        <v>3367379.6939999997</v>
      </c>
      <c r="J44" s="1290">
        <v>1357.34</v>
      </c>
      <c r="K44" s="1291">
        <f t="shared" ref="K44:K45" si="12">+H44/J44</f>
        <v>2480.8667644068546</v>
      </c>
      <c r="L44" s="1359"/>
      <c r="M44" s="1360"/>
    </row>
    <row r="45" spans="1:13" x14ac:dyDescent="0.35">
      <c r="A45" s="195">
        <v>45900</v>
      </c>
      <c r="B45" s="194" t="s">
        <v>918</v>
      </c>
      <c r="C45" s="1294" t="s">
        <v>920</v>
      </c>
      <c r="D45" s="1249" t="s">
        <v>921</v>
      </c>
      <c r="E45" s="1250">
        <v>2212945</v>
      </c>
      <c r="F45" s="1250">
        <v>228134</v>
      </c>
      <c r="G45" s="172">
        <v>0</v>
      </c>
      <c r="H45" s="172">
        <f t="shared" si="9"/>
        <v>2441079</v>
      </c>
      <c r="J45" s="1290">
        <v>1357.34</v>
      </c>
      <c r="K45" s="1291">
        <f t="shared" si="12"/>
        <v>1798.4285440641256</v>
      </c>
      <c r="L45" s="1359"/>
      <c r="M45" s="1360"/>
    </row>
    <row r="46" spans="1:13" x14ac:dyDescent="0.35">
      <c r="A46" s="195">
        <v>45900</v>
      </c>
      <c r="B46" s="194" t="s">
        <v>957</v>
      </c>
      <c r="C46" s="1294" t="s">
        <v>959</v>
      </c>
      <c r="D46" s="1249" t="s">
        <v>965</v>
      </c>
      <c r="E46" s="172"/>
      <c r="F46" s="1250"/>
      <c r="G46" s="172"/>
      <c r="H46" s="172"/>
      <c r="J46" s="1290"/>
      <c r="K46" s="1291">
        <v>7792</v>
      </c>
      <c r="L46" s="1359"/>
      <c r="M46" s="1360"/>
    </row>
    <row r="47" spans="1:13" x14ac:dyDescent="0.35">
      <c r="A47" s="195">
        <v>45930</v>
      </c>
      <c r="B47" s="196" t="s">
        <v>897</v>
      </c>
      <c r="C47" s="1294" t="s">
        <v>136</v>
      </c>
      <c r="D47" s="1249" t="s">
        <v>925</v>
      </c>
      <c r="E47" s="1250">
        <f>20270753.4*0.65</f>
        <v>13175989.709999999</v>
      </c>
      <c r="F47" s="1250">
        <f>2417220.42*0.65</f>
        <v>1571193.273</v>
      </c>
      <c r="G47" s="172">
        <f t="shared" si="11"/>
        <v>1548454.2132149998</v>
      </c>
      <c r="H47" s="172">
        <f t="shared" si="9"/>
        <v>16295637.196214998</v>
      </c>
      <c r="J47" s="1290"/>
      <c r="K47" s="1288"/>
      <c r="L47" s="1359"/>
      <c r="M47" s="1360"/>
    </row>
    <row r="48" spans="1:13" x14ac:dyDescent="0.35">
      <c r="A48" s="195">
        <v>45930</v>
      </c>
      <c r="B48" s="194" t="s">
        <v>898</v>
      </c>
      <c r="C48" s="1294" t="s">
        <v>136</v>
      </c>
      <c r="D48" s="1249" t="s">
        <v>926</v>
      </c>
      <c r="E48" s="1250">
        <f>20270753.4*0.35</f>
        <v>7094763.6899999995</v>
      </c>
      <c r="F48" s="1250">
        <f>2417220.42*0.35</f>
        <v>846027.14699999988</v>
      </c>
      <c r="G48" s="172">
        <v>0</v>
      </c>
      <c r="H48" s="172">
        <f t="shared" si="9"/>
        <v>7940790.8369999994</v>
      </c>
      <c r="J48" s="1290">
        <v>1494.02</v>
      </c>
      <c r="K48" s="1291">
        <f t="shared" ref="K48" si="13">+H48/J48</f>
        <v>5315.0498902290465</v>
      </c>
      <c r="L48" s="1359"/>
      <c r="M48" s="1360"/>
    </row>
    <row r="49" spans="1:13" x14ac:dyDescent="0.35">
      <c r="A49" s="195">
        <v>45930</v>
      </c>
      <c r="B49" s="196" t="s">
        <v>899</v>
      </c>
      <c r="C49" s="1294" t="s">
        <v>139</v>
      </c>
      <c r="D49" s="1249" t="s">
        <v>927</v>
      </c>
      <c r="E49" s="1250">
        <f>12720796.16*0.65</f>
        <v>8268517.5040000007</v>
      </c>
      <c r="F49" s="1250">
        <f>1516912.94*0.65</f>
        <v>985993.41099999996</v>
      </c>
      <c r="G49" s="172">
        <f t="shared" si="11"/>
        <v>971723.64607500006</v>
      </c>
      <c r="H49" s="172">
        <f t="shared" si="9"/>
        <v>10226234.561075002</v>
      </c>
      <c r="J49" s="1290"/>
      <c r="K49" s="1288"/>
      <c r="L49" s="1359"/>
      <c r="M49" s="1360"/>
    </row>
    <row r="50" spans="1:13" x14ac:dyDescent="0.35">
      <c r="A50" s="195">
        <v>45930</v>
      </c>
      <c r="B50" s="194" t="s">
        <v>900</v>
      </c>
      <c r="C50" s="1294" t="s">
        <v>139</v>
      </c>
      <c r="D50" s="1249" t="s">
        <v>928</v>
      </c>
      <c r="E50" s="1250">
        <f>12720796.16*0.35</f>
        <v>4452278.6559999995</v>
      </c>
      <c r="F50" s="1250">
        <f>1516912.94*0.35</f>
        <v>530919.52899999998</v>
      </c>
      <c r="G50" s="172">
        <v>0</v>
      </c>
      <c r="H50" s="172">
        <f t="shared" si="9"/>
        <v>4983198.1849999996</v>
      </c>
      <c r="J50" s="1290">
        <v>1494.02</v>
      </c>
      <c r="K50" s="1291">
        <f t="shared" ref="K50:K54" si="14">+H50/J50</f>
        <v>3335.4293684154159</v>
      </c>
      <c r="L50" s="1359"/>
      <c r="M50" s="1360"/>
    </row>
    <row r="51" spans="1:13" x14ac:dyDescent="0.35">
      <c r="A51" s="195">
        <v>45930</v>
      </c>
      <c r="B51" s="194" t="s">
        <v>918</v>
      </c>
      <c r="C51" s="1294" t="s">
        <v>920</v>
      </c>
      <c r="D51" s="1249" t="s">
        <v>922</v>
      </c>
      <c r="E51" s="1250">
        <v>23811290</v>
      </c>
      <c r="F51" s="1250">
        <v>2839418</v>
      </c>
      <c r="G51" s="172">
        <v>0</v>
      </c>
      <c r="H51" s="172">
        <f t="shared" si="9"/>
        <v>26650708</v>
      </c>
      <c r="J51" s="1290">
        <v>1494.02</v>
      </c>
      <c r="K51" s="1291">
        <f t="shared" si="14"/>
        <v>17838.253838636698</v>
      </c>
      <c r="L51" s="1359"/>
      <c r="M51" s="1360"/>
    </row>
    <row r="52" spans="1:13" x14ac:dyDescent="0.35">
      <c r="A52" s="195">
        <v>45930</v>
      </c>
      <c r="B52" s="194" t="s">
        <v>957</v>
      </c>
      <c r="C52" s="1294" t="s">
        <v>959</v>
      </c>
      <c r="D52" s="1249" t="s">
        <v>966</v>
      </c>
      <c r="E52" s="172"/>
      <c r="F52" s="1250"/>
      <c r="G52" s="172"/>
      <c r="H52" s="172"/>
      <c r="J52" s="1290"/>
      <c r="K52" s="1291">
        <v>7792</v>
      </c>
      <c r="L52" s="1359"/>
      <c r="M52" s="1360"/>
    </row>
    <row r="53" spans="1:13" x14ac:dyDescent="0.35">
      <c r="A53" s="195">
        <v>45958</v>
      </c>
      <c r="B53" s="196" t="s">
        <v>897</v>
      </c>
      <c r="C53" s="1294" t="s">
        <v>136</v>
      </c>
      <c r="D53" s="1249" t="s">
        <v>929</v>
      </c>
      <c r="E53" s="1250">
        <f>15191867*0.65</f>
        <v>9874713.5500000007</v>
      </c>
      <c r="F53" s="1250">
        <f>2380122*0.65</f>
        <v>1547079.3</v>
      </c>
      <c r="G53" s="172">
        <f t="shared" si="11"/>
        <v>1199288.2492500001</v>
      </c>
      <c r="H53" s="172">
        <f t="shared" si="9"/>
        <v>12621081.099250002</v>
      </c>
      <c r="J53" s="1290"/>
      <c r="K53" s="1291"/>
      <c r="L53" s="1359"/>
      <c r="M53" s="1360"/>
    </row>
    <row r="54" spans="1:13" x14ac:dyDescent="0.35">
      <c r="A54" s="195">
        <v>45958</v>
      </c>
      <c r="B54" s="194" t="s">
        <v>898</v>
      </c>
      <c r="C54" s="1294" t="s">
        <v>136</v>
      </c>
      <c r="D54" s="1249" t="s">
        <v>930</v>
      </c>
      <c r="E54" s="1250">
        <f>15191867*0.35</f>
        <v>5317153.4499999993</v>
      </c>
      <c r="F54" s="1250">
        <f>2380122*0.35</f>
        <v>833042.7</v>
      </c>
      <c r="G54" s="172">
        <v>0</v>
      </c>
      <c r="H54" s="172">
        <f t="shared" si="9"/>
        <v>6150196.1499999994</v>
      </c>
      <c r="J54" s="1290">
        <v>1477.87</v>
      </c>
      <c r="K54" s="1291">
        <f t="shared" si="14"/>
        <v>4161.527164094271</v>
      </c>
      <c r="L54" s="1359"/>
      <c r="M54" s="1360"/>
    </row>
    <row r="55" spans="1:13" x14ac:dyDescent="0.35">
      <c r="A55" s="195">
        <v>45958</v>
      </c>
      <c r="B55" s="196" t="s">
        <v>899</v>
      </c>
      <c r="C55" s="1294" t="s">
        <v>139</v>
      </c>
      <c r="D55" s="1249" t="s">
        <v>931</v>
      </c>
      <c r="E55" s="1250">
        <f>11023993*0.65</f>
        <v>7165595.4500000002</v>
      </c>
      <c r="F55" s="1250">
        <f>1727138*0.65</f>
        <v>1122639.7</v>
      </c>
      <c r="G55" s="172">
        <f t="shared" si="11"/>
        <v>870264.69074999995</v>
      </c>
      <c r="H55" s="172">
        <f t="shared" si="9"/>
        <v>9158499.8407499995</v>
      </c>
      <c r="J55" s="1290"/>
      <c r="K55" s="1291"/>
      <c r="L55" s="1359"/>
      <c r="M55" s="1360"/>
    </row>
    <row r="56" spans="1:13" x14ac:dyDescent="0.35">
      <c r="A56" s="195">
        <v>45958</v>
      </c>
      <c r="B56" s="194" t="s">
        <v>900</v>
      </c>
      <c r="C56" s="1294" t="s">
        <v>139</v>
      </c>
      <c r="D56" s="1249" t="s">
        <v>932</v>
      </c>
      <c r="E56" s="1250">
        <f>11023993*0.35</f>
        <v>3858397.55</v>
      </c>
      <c r="F56" s="1250">
        <f>1727138*0.35</f>
        <v>604498.29999999993</v>
      </c>
      <c r="G56" s="172">
        <v>0</v>
      </c>
      <c r="H56" s="172">
        <f t="shared" si="9"/>
        <v>4462895.8499999996</v>
      </c>
      <c r="J56" s="1290">
        <v>1477.87</v>
      </c>
      <c r="K56" s="1291">
        <f t="shared" ref="K56:K67" si="15">+H56/J56</f>
        <v>3019.816255827644</v>
      </c>
      <c r="L56" s="1359"/>
      <c r="M56" s="1360"/>
    </row>
    <row r="57" spans="1:13" x14ac:dyDescent="0.35">
      <c r="A57" s="195">
        <v>45958</v>
      </c>
      <c r="B57" s="194" t="s">
        <v>918</v>
      </c>
      <c r="C57" s="1294" t="s">
        <v>920</v>
      </c>
      <c r="D57" s="1249" t="s">
        <v>923</v>
      </c>
      <c r="E57" s="1250">
        <v>35176921</v>
      </c>
      <c r="F57" s="1250">
        <v>5511198</v>
      </c>
      <c r="G57" s="172">
        <v>0</v>
      </c>
      <c r="H57" s="172">
        <f t="shared" si="9"/>
        <v>40688119</v>
      </c>
      <c r="J57" s="1290">
        <v>1477.87</v>
      </c>
      <c r="K57" s="1291">
        <f t="shared" si="15"/>
        <v>27531.595471861532</v>
      </c>
      <c r="L57" s="1359"/>
      <c r="M57" s="1360"/>
    </row>
    <row r="58" spans="1:13" x14ac:dyDescent="0.35">
      <c r="A58" s="195">
        <v>45958</v>
      </c>
      <c r="B58" s="194" t="s">
        <v>957</v>
      </c>
      <c r="C58" s="1294" t="s">
        <v>959</v>
      </c>
      <c r="D58" s="1249" t="s">
        <v>967</v>
      </c>
      <c r="E58" s="172"/>
      <c r="F58" s="1250"/>
      <c r="G58" s="172"/>
      <c r="H58" s="172"/>
      <c r="J58" s="1290"/>
      <c r="K58" s="1291">
        <v>7792</v>
      </c>
      <c r="L58" s="1359"/>
      <c r="M58" s="1360"/>
    </row>
    <row r="59" spans="1:13" x14ac:dyDescent="0.35">
      <c r="A59" s="195">
        <v>45988</v>
      </c>
      <c r="B59" s="196" t="s">
        <v>897</v>
      </c>
      <c r="C59" s="1294" t="s">
        <v>136</v>
      </c>
      <c r="D59" s="1249" t="s">
        <v>933</v>
      </c>
      <c r="E59" s="1250">
        <f>25893302.99616*0.65</f>
        <v>16830646.947504003</v>
      </c>
      <c r="F59" s="1250">
        <f>4748892.876*0.65</f>
        <v>3086780.3694000002</v>
      </c>
      <c r="G59" s="172">
        <f t="shared" ref="G59" si="16">(F59+E59)*0.105</f>
        <v>2091329.8682749199</v>
      </c>
      <c r="H59" s="172">
        <f t="shared" ref="H59:H67" si="17">SUM(E59:G59)</f>
        <v>22008757.185178921</v>
      </c>
      <c r="J59" s="1290"/>
      <c r="K59" s="1291"/>
      <c r="L59" s="1359"/>
      <c r="M59" s="1360"/>
    </row>
    <row r="60" spans="1:13" x14ac:dyDescent="0.35">
      <c r="A60" s="195">
        <v>45988</v>
      </c>
      <c r="B60" s="194" t="s">
        <v>898</v>
      </c>
      <c r="C60" s="1294" t="s">
        <v>136</v>
      </c>
      <c r="D60" s="1249" t="s">
        <v>934</v>
      </c>
      <c r="E60" s="1250">
        <f>25893302.99616*0.35</f>
        <v>9062656.0486559998</v>
      </c>
      <c r="F60" s="1250">
        <f>4748892.876*0.35</f>
        <v>1662112.5066</v>
      </c>
      <c r="G60" s="172">
        <v>0</v>
      </c>
      <c r="H60" s="172">
        <f t="shared" si="17"/>
        <v>10724768.555256</v>
      </c>
      <c r="J60" s="1290">
        <v>1481.82</v>
      </c>
      <c r="K60" s="1291">
        <f t="shared" si="15"/>
        <v>7237.5649911973114</v>
      </c>
      <c r="L60" s="1359"/>
      <c r="M60" s="1360"/>
    </row>
    <row r="61" spans="1:13" x14ac:dyDescent="0.35">
      <c r="A61" s="195">
        <v>45988</v>
      </c>
      <c r="B61" s="196" t="s">
        <v>899</v>
      </c>
      <c r="C61" s="1294" t="s">
        <v>139</v>
      </c>
      <c r="D61" s="1249" t="s">
        <v>935</v>
      </c>
      <c r="E61" s="1250">
        <f>17371057.7808*0.65</f>
        <v>11291187.55752</v>
      </c>
      <c r="F61" s="1250">
        <f>3185892.991*0.65</f>
        <v>2070830.4441500001</v>
      </c>
      <c r="G61" s="172">
        <f t="shared" ref="G61:G66" si="18">(F61+E61)*0.105</f>
        <v>1403011.89017535</v>
      </c>
      <c r="H61" s="172">
        <f t="shared" si="17"/>
        <v>14765029.891845351</v>
      </c>
      <c r="J61" s="1290"/>
      <c r="K61" s="1291"/>
      <c r="L61" s="1359"/>
      <c r="M61" s="1360"/>
    </row>
    <row r="62" spans="1:13" x14ac:dyDescent="0.35">
      <c r="A62" s="195">
        <v>45988</v>
      </c>
      <c r="B62" s="194" t="s">
        <v>900</v>
      </c>
      <c r="C62" s="1294" t="s">
        <v>139</v>
      </c>
      <c r="D62" s="1249" t="s">
        <v>936</v>
      </c>
      <c r="E62" s="1250">
        <f>17371057.7808*0.35</f>
        <v>6079870.2232799996</v>
      </c>
      <c r="F62" s="1250">
        <f>3185892.991*0.35</f>
        <v>1115062.5468499998</v>
      </c>
      <c r="G62" s="172">
        <v>0</v>
      </c>
      <c r="H62" s="172">
        <f t="shared" si="17"/>
        <v>7194932.7701299991</v>
      </c>
      <c r="J62" s="1290">
        <v>1481.82</v>
      </c>
      <c r="K62" s="1291">
        <f t="shared" si="15"/>
        <v>4855.4701449096374</v>
      </c>
      <c r="L62" s="1359"/>
      <c r="M62" s="1360"/>
    </row>
    <row r="63" spans="1:13" x14ac:dyDescent="0.35">
      <c r="A63" s="195">
        <v>45988</v>
      </c>
      <c r="B63" s="194" t="s">
        <v>918</v>
      </c>
      <c r="C63" s="1294" t="s">
        <v>920</v>
      </c>
      <c r="D63" s="1249" t="s">
        <v>924</v>
      </c>
      <c r="E63" s="1250">
        <v>32644303</v>
      </c>
      <c r="F63" s="1250">
        <v>5987042</v>
      </c>
      <c r="G63" s="172">
        <v>0</v>
      </c>
      <c r="H63" s="172">
        <f t="shared" si="17"/>
        <v>38631345</v>
      </c>
      <c r="J63" s="1290">
        <v>1481.82</v>
      </c>
      <c r="K63" s="1291">
        <f t="shared" si="15"/>
        <v>26070.200834109408</v>
      </c>
      <c r="L63" s="1359"/>
      <c r="M63" s="1360"/>
    </row>
    <row r="64" spans="1:13" x14ac:dyDescent="0.35">
      <c r="A64" s="195">
        <v>45988</v>
      </c>
      <c r="B64" s="194" t="s">
        <v>957</v>
      </c>
      <c r="C64" s="1294" t="s">
        <v>959</v>
      </c>
      <c r="D64" s="1249" t="s">
        <v>968</v>
      </c>
      <c r="E64" s="172"/>
      <c r="F64" s="1250"/>
      <c r="G64" s="172"/>
      <c r="H64" s="172"/>
      <c r="J64" s="1290"/>
      <c r="K64" s="1291">
        <v>7792</v>
      </c>
      <c r="L64" s="1359"/>
      <c r="M64" s="1360"/>
    </row>
    <row r="65" spans="1:13" x14ac:dyDescent="0.35">
      <c r="A65" s="195">
        <v>45988</v>
      </c>
      <c r="B65" s="194" t="s">
        <v>898</v>
      </c>
      <c r="C65" s="1294" t="s">
        <v>136</v>
      </c>
      <c r="D65" s="1249" t="s">
        <v>976</v>
      </c>
      <c r="E65" s="172">
        <v>-35175794.092</v>
      </c>
      <c r="F65" s="1250">
        <v>0</v>
      </c>
      <c r="G65" s="172">
        <v>0</v>
      </c>
      <c r="H65" s="172">
        <f t="shared" ref="H65" si="19">SUM(E65:G65)</f>
        <v>-35175794.092</v>
      </c>
      <c r="J65" s="1290">
        <v>1170.4100000000001</v>
      </c>
      <c r="K65" s="1291">
        <f t="shared" si="15"/>
        <v>-30054.249444211855</v>
      </c>
      <c r="L65" s="1359"/>
      <c r="M65" s="1360"/>
    </row>
    <row r="66" spans="1:13" x14ac:dyDescent="0.35">
      <c r="A66" s="195">
        <v>46017</v>
      </c>
      <c r="B66" s="196" t="s">
        <v>899</v>
      </c>
      <c r="C66" s="1294" t="s">
        <v>139</v>
      </c>
      <c r="D66" s="1249" t="s">
        <v>955</v>
      </c>
      <c r="E66" s="1250">
        <f>32994657.3*0.6</f>
        <v>19796794.379999999</v>
      </c>
      <c r="F66" s="1250">
        <f>6829303.63*0.6</f>
        <v>4097582.1779999998</v>
      </c>
      <c r="G66" s="172">
        <f t="shared" si="18"/>
        <v>2508909.5385899995</v>
      </c>
      <c r="H66" s="172">
        <f t="shared" si="17"/>
        <v>26403286.096589997</v>
      </c>
      <c r="J66" s="1290"/>
      <c r="K66" s="1291"/>
      <c r="L66" s="1359"/>
      <c r="M66" s="1360"/>
    </row>
    <row r="67" spans="1:13" x14ac:dyDescent="0.35">
      <c r="A67" s="195">
        <v>46017</v>
      </c>
      <c r="B67" s="194" t="s">
        <v>900</v>
      </c>
      <c r="C67" s="1294" t="s">
        <v>139</v>
      </c>
      <c r="D67" s="1249" t="s">
        <v>956</v>
      </c>
      <c r="E67" s="1250">
        <f>32994657.3*0.4</f>
        <v>13197862.920000002</v>
      </c>
      <c r="F67" s="1250">
        <f>6829303.63*0.4</f>
        <v>2731721.452</v>
      </c>
      <c r="G67" s="172">
        <v>0</v>
      </c>
      <c r="H67" s="172">
        <f t="shared" si="17"/>
        <v>15929584.372000001</v>
      </c>
      <c r="J67" s="1290">
        <v>1486.11</v>
      </c>
      <c r="K67" s="1291">
        <f t="shared" si="15"/>
        <v>10718.980675723871</v>
      </c>
      <c r="L67" s="1359"/>
      <c r="M67" s="1360"/>
    </row>
    <row r="68" spans="1:13" x14ac:dyDescent="0.35">
      <c r="A68" s="195">
        <v>46017</v>
      </c>
      <c r="B68" s="194" t="s">
        <v>957</v>
      </c>
      <c r="C68" s="1294" t="s">
        <v>959</v>
      </c>
      <c r="D68" s="1249" t="s">
        <v>969</v>
      </c>
      <c r="E68" s="172"/>
      <c r="F68" s="1250"/>
      <c r="G68" s="172"/>
      <c r="H68" s="172"/>
      <c r="J68" s="1290"/>
      <c r="K68" s="1291">
        <v>7792</v>
      </c>
      <c r="L68" s="1359"/>
      <c r="M68" s="1360"/>
    </row>
    <row r="69" spans="1:13" x14ac:dyDescent="0.35">
      <c r="A69" s="1383">
        <v>46050</v>
      </c>
      <c r="B69" s="1384" t="s">
        <v>899</v>
      </c>
      <c r="C69" s="1385" t="s">
        <v>139</v>
      </c>
      <c r="D69" s="1386" t="s">
        <v>949</v>
      </c>
      <c r="E69" s="1387">
        <f>37677411.9*60%</f>
        <v>22606447.139999997</v>
      </c>
      <c r="F69" s="1387">
        <f>8391323.26*60%</f>
        <v>5034793.9559999993</v>
      </c>
      <c r="G69" s="1388">
        <f t="shared" ref="G69:G72" si="20">(F69+E69)*0.105</f>
        <v>2902330.3150799996</v>
      </c>
      <c r="H69" s="1388">
        <f t="shared" ref="H69:H73" si="21">SUM(E69:G69)</f>
        <v>30543571.411079995</v>
      </c>
      <c r="J69" s="1290"/>
      <c r="K69" s="1291"/>
      <c r="L69" s="1359"/>
      <c r="M69" s="1360"/>
    </row>
    <row r="70" spans="1:13" x14ac:dyDescent="0.35">
      <c r="A70" s="1383">
        <v>46050</v>
      </c>
      <c r="B70" s="1384" t="s">
        <v>900</v>
      </c>
      <c r="C70" s="1385" t="s">
        <v>139</v>
      </c>
      <c r="D70" s="1386" t="s">
        <v>950</v>
      </c>
      <c r="E70" s="1387">
        <f>37677411.9*40%</f>
        <v>15070964.76</v>
      </c>
      <c r="F70" s="1387">
        <f>8391323.26*40%</f>
        <v>3356529.304</v>
      </c>
      <c r="G70" s="1388">
        <v>0</v>
      </c>
      <c r="H70" s="1388">
        <f t="shared" si="21"/>
        <v>18427494.063999999</v>
      </c>
      <c r="J70" s="1290">
        <v>1462.35</v>
      </c>
      <c r="K70" s="1291">
        <f>+H70/J70</f>
        <v>12601.288381030534</v>
      </c>
      <c r="L70" s="1359"/>
      <c r="M70" s="1360"/>
    </row>
    <row r="71" spans="1:13" x14ac:dyDescent="0.35">
      <c r="A71" s="1383">
        <v>46050</v>
      </c>
      <c r="B71" s="1384" t="s">
        <v>957</v>
      </c>
      <c r="C71" s="1385" t="s">
        <v>959</v>
      </c>
      <c r="D71" s="1386" t="s">
        <v>970</v>
      </c>
      <c r="E71" s="1388"/>
      <c r="F71" s="1387"/>
      <c r="G71" s="1388"/>
      <c r="H71" s="1388"/>
      <c r="J71" s="1290"/>
      <c r="K71" s="1291">
        <v>7792</v>
      </c>
      <c r="L71" s="1359"/>
      <c r="M71" s="1360"/>
    </row>
    <row r="72" spans="1:13" x14ac:dyDescent="0.35">
      <c r="A72" s="1383">
        <v>46080</v>
      </c>
      <c r="B72" s="1384" t="s">
        <v>899</v>
      </c>
      <c r="C72" s="1385" t="s">
        <v>139</v>
      </c>
      <c r="D72" s="1386" t="s">
        <v>953</v>
      </c>
      <c r="E72" s="1387">
        <f>25158565.47*0.6</f>
        <v>15095139.281999998</v>
      </c>
      <c r="F72" s="1387">
        <f>6312414*0.6</f>
        <v>3787448.4</v>
      </c>
      <c r="G72" s="1388">
        <f t="shared" si="20"/>
        <v>1982671.7066099995</v>
      </c>
      <c r="H72" s="1388">
        <f t="shared" si="21"/>
        <v>20865259.388609994</v>
      </c>
      <c r="J72" s="1290"/>
      <c r="K72" s="1291"/>
      <c r="L72" s="1359"/>
      <c r="M72" s="1360"/>
    </row>
    <row r="73" spans="1:13" x14ac:dyDescent="0.35">
      <c r="A73" s="1383">
        <v>46080</v>
      </c>
      <c r="B73" s="1384" t="s">
        <v>900</v>
      </c>
      <c r="C73" s="1385" t="s">
        <v>139</v>
      </c>
      <c r="D73" s="1386" t="s">
        <v>954</v>
      </c>
      <c r="E73" s="1387">
        <f>25158565.47*0.4</f>
        <v>10063426.188000001</v>
      </c>
      <c r="F73" s="1387">
        <f>6312414*0.4</f>
        <v>2524965.6</v>
      </c>
      <c r="G73" s="1388">
        <v>0</v>
      </c>
      <c r="H73" s="1388">
        <f t="shared" si="21"/>
        <v>12588391.788000001</v>
      </c>
      <c r="J73" s="1290">
        <v>1419.54</v>
      </c>
      <c r="K73" s="1291">
        <f>+H73/J73</f>
        <v>8867.9373515364132</v>
      </c>
      <c r="L73" s="1359"/>
      <c r="M73" s="1360"/>
    </row>
    <row r="74" spans="1:13" x14ac:dyDescent="0.35">
      <c r="A74" s="1383">
        <v>46080</v>
      </c>
      <c r="B74" s="1384" t="s">
        <v>957</v>
      </c>
      <c r="C74" s="1385" t="s">
        <v>959</v>
      </c>
      <c r="D74" s="1386" t="s">
        <v>971</v>
      </c>
      <c r="E74" s="1388"/>
      <c r="F74" s="1387"/>
      <c r="G74" s="1388"/>
      <c r="H74" s="1388"/>
      <c r="J74" s="1290"/>
      <c r="K74" s="1291">
        <v>7792</v>
      </c>
      <c r="L74" s="1359"/>
      <c r="M74" s="1360"/>
    </row>
    <row r="75" spans="1:13" x14ac:dyDescent="0.35">
      <c r="A75" s="1383">
        <v>46108</v>
      </c>
      <c r="B75" s="1384" t="s">
        <v>899</v>
      </c>
      <c r="C75" s="1385" t="s">
        <v>139</v>
      </c>
      <c r="D75" s="1386" t="s">
        <v>977</v>
      </c>
      <c r="E75" s="1388">
        <f>57396789.378*60%</f>
        <v>34438073.626800001</v>
      </c>
      <c r="F75" s="1387">
        <f>15311641.228*60%</f>
        <v>9186984.7368000001</v>
      </c>
      <c r="G75" s="1388">
        <f t="shared" ref="G75" si="22">(F75+E75)*0.105</f>
        <v>4580631.1281779995</v>
      </c>
      <c r="H75" s="1388">
        <f t="shared" ref="H75:H76" si="23">SUM(E75:G75)</f>
        <v>48205689.491778001</v>
      </c>
      <c r="J75" s="1290"/>
      <c r="K75" s="1291"/>
      <c r="L75" s="1359"/>
      <c r="M75" s="1360"/>
    </row>
    <row r="76" spans="1:13" x14ac:dyDescent="0.35">
      <c r="A76" s="1383">
        <v>46108</v>
      </c>
      <c r="B76" s="1384" t="s">
        <v>900</v>
      </c>
      <c r="C76" s="1385" t="s">
        <v>139</v>
      </c>
      <c r="D76" s="1386" t="s">
        <v>978</v>
      </c>
      <c r="E76" s="1388">
        <f>57396789.378*40%</f>
        <v>22958715.751200002</v>
      </c>
      <c r="F76" s="1387">
        <f>15311641.228*40%</f>
        <v>6124656.4912</v>
      </c>
      <c r="G76" s="1388">
        <v>0</v>
      </c>
      <c r="H76" s="1388">
        <f t="shared" si="23"/>
        <v>29083372.242400002</v>
      </c>
      <c r="J76" s="1290">
        <v>1429.73</v>
      </c>
      <c r="K76" s="1291">
        <f>+H76/J76</f>
        <v>20341.863318528674</v>
      </c>
      <c r="L76" s="1359"/>
      <c r="M76" s="1360"/>
    </row>
    <row r="77" spans="1:13" x14ac:dyDescent="0.35">
      <c r="A77" s="1383">
        <v>46108</v>
      </c>
      <c r="B77" s="1384" t="s">
        <v>957</v>
      </c>
      <c r="C77" s="1385" t="s">
        <v>959</v>
      </c>
      <c r="D77" s="1386" t="s">
        <v>979</v>
      </c>
      <c r="E77" s="1388"/>
      <c r="F77" s="1387"/>
      <c r="G77" s="1388"/>
      <c r="H77" s="1388"/>
      <c r="J77" s="1290"/>
      <c r="K77" s="1291">
        <v>7792</v>
      </c>
      <c r="L77" s="1359"/>
      <c r="M77" s="1360"/>
    </row>
    <row r="78" spans="1:13" x14ac:dyDescent="0.35">
      <c r="A78" s="1383"/>
      <c r="B78" s="1384"/>
      <c r="C78" s="1385"/>
      <c r="D78" s="1386"/>
      <c r="E78" s="1388"/>
      <c r="F78" s="1387"/>
      <c r="G78" s="1388"/>
      <c r="H78" s="1388"/>
      <c r="J78" s="1290"/>
      <c r="K78" s="1291"/>
      <c r="L78" s="1359"/>
      <c r="M78" s="1360"/>
    </row>
    <row r="79" spans="1:13" x14ac:dyDescent="0.35">
      <c r="A79" s="1383"/>
      <c r="B79" s="1384"/>
      <c r="C79" s="1385"/>
      <c r="D79" s="1386"/>
      <c r="E79" s="1388"/>
      <c r="F79" s="1387"/>
      <c r="G79" s="1388"/>
      <c r="H79" s="1388"/>
      <c r="J79" s="1290"/>
      <c r="K79" s="1291"/>
      <c r="L79" s="1359"/>
      <c r="M79" s="1360"/>
    </row>
    <row r="80" spans="1:13" x14ac:dyDescent="0.35">
      <c r="A80" s="195"/>
      <c r="B80" s="196"/>
      <c r="C80" s="194"/>
      <c r="D80" s="1249"/>
      <c r="E80" s="1250"/>
      <c r="F80" s="1250"/>
      <c r="G80" s="1250"/>
      <c r="H80" s="172"/>
    </row>
    <row r="81" spans="1:13" x14ac:dyDescent="0.35">
      <c r="A81" s="1264"/>
      <c r="B81" s="1264"/>
      <c r="C81" s="1264"/>
      <c r="D81" s="1265" t="s">
        <v>104</v>
      </c>
      <c r="E81" s="1266">
        <f>SUM(E12:E80)</f>
        <v>839724961.49195981</v>
      </c>
      <c r="F81" s="1266">
        <f>SUM(F12:F80)</f>
        <v>93685679.947178662</v>
      </c>
      <c r="G81" s="1266">
        <f>SUM(G12:G80)</f>
        <v>60605267.213084914</v>
      </c>
      <c r="H81" s="1266">
        <f>SUM(H12:H80)</f>
        <v>994015908.65222347</v>
      </c>
      <c r="K81" s="1266">
        <f>SUM(K12:K80)</f>
        <v>361022.07831588807</v>
      </c>
      <c r="L81" s="1266"/>
      <c r="M81" s="1266">
        <f>SUM(M12:M80)</f>
        <v>274454.00033631956</v>
      </c>
    </row>
    <row r="83" spans="1:13" x14ac:dyDescent="0.35">
      <c r="K83" s="1268" t="s">
        <v>115</v>
      </c>
      <c r="L83" s="1268"/>
      <c r="M83" s="1356">
        <f>K81-M81</f>
        <v>86568.077979568508</v>
      </c>
    </row>
    <row r="84" spans="1:13" x14ac:dyDescent="0.35">
      <c r="D84" s="1270" t="s">
        <v>116</v>
      </c>
      <c r="E84" s="1271">
        <f>SUM(E4:E8)</f>
        <v>1442052987</v>
      </c>
      <c r="F84" s="1247"/>
    </row>
    <row r="85" spans="1:13" x14ac:dyDescent="0.35">
      <c r="D85" s="1270" t="s">
        <v>117</v>
      </c>
      <c r="E85" s="1271">
        <f>SUMIF($B$12:$B$80,"0003-*",$E$12:$E$80)</f>
        <v>0</v>
      </c>
      <c r="F85" s="1247"/>
      <c r="H85" s="172"/>
    </row>
    <row r="86" spans="1:13" x14ac:dyDescent="0.35">
      <c r="D86" s="1270" t="s">
        <v>118</v>
      </c>
      <c r="E86" s="1271">
        <f>SUMIF($B$12:$B$80,"",$E$12:$E$80)</f>
        <v>0</v>
      </c>
      <c r="F86" s="1247"/>
      <c r="H86" s="172"/>
    </row>
    <row r="87" spans="1:13" x14ac:dyDescent="0.35">
      <c r="D87" s="1272" t="s">
        <v>119</v>
      </c>
      <c r="E87" s="1273">
        <f>E84-E85-E86</f>
        <v>1442052987</v>
      </c>
      <c r="G87" s="172"/>
    </row>
    <row r="89" spans="1:13" x14ac:dyDescent="0.35">
      <c r="C89" s="1274" t="s">
        <v>88</v>
      </c>
      <c r="D89" s="1274" t="s">
        <v>89</v>
      </c>
      <c r="E89" s="1275" t="s">
        <v>901</v>
      </c>
      <c r="F89" s="1275" t="s">
        <v>122</v>
      </c>
      <c r="G89" s="1352" t="s">
        <v>902</v>
      </c>
    </row>
    <row r="90" spans="1:13" x14ac:dyDescent="0.35">
      <c r="C90" s="1276" t="s">
        <v>897</v>
      </c>
      <c r="D90" s="1361" t="s">
        <v>906</v>
      </c>
      <c r="E90" s="1277">
        <f>SUMIF($B$12:$B$80,C90,$E$12:$E$80)</f>
        <v>310716636.67610395</v>
      </c>
      <c r="F90" s="1278">
        <f>SUMIF($C$4:$C$8,C90,$E$4:$E$8)-E90</f>
        <v>39918767.32389605</v>
      </c>
      <c r="G90" s="1278">
        <f>+E90</f>
        <v>310716636.67610395</v>
      </c>
    </row>
    <row r="91" spans="1:13" x14ac:dyDescent="0.35">
      <c r="C91" s="1279" t="s">
        <v>898</v>
      </c>
      <c r="D91" s="1281" t="s">
        <v>906</v>
      </c>
      <c r="E91" s="1277">
        <f>SUMIF($B$12:$B$80,C91,$E$12:$E$80)</f>
        <v>102371044.72605601</v>
      </c>
      <c r="F91" s="1277">
        <f>SUMIF($C$4:$C$8,C91,$E$4:$E$8)-E91</f>
        <v>47901271.27394399</v>
      </c>
      <c r="G91" s="1277"/>
    </row>
    <row r="92" spans="1:13" x14ac:dyDescent="0.35">
      <c r="C92" s="1279" t="s">
        <v>899</v>
      </c>
      <c r="D92" s="1281" t="s">
        <v>907</v>
      </c>
      <c r="E92" s="1277">
        <f>SUMIF($B$12:$B$80,C92,$E$12:$E$80)</f>
        <v>215575740.01102</v>
      </c>
      <c r="F92" s="1277">
        <f>SUMIF($C$4:$C$8,C92,$E$4:$E$8)-E92</f>
        <v>375815933.5889799</v>
      </c>
      <c r="G92" s="1277">
        <f>+E92</f>
        <v>215575740.01102</v>
      </c>
    </row>
    <row r="93" spans="1:13" x14ac:dyDescent="0.35">
      <c r="C93" s="1279" t="s">
        <v>900</v>
      </c>
      <c r="D93" s="1281" t="s">
        <v>907</v>
      </c>
      <c r="E93" s="1277">
        <f>SUMIF($B$12:$B$80,C93,$E$12:$E$80)</f>
        <v>117216081.07878001</v>
      </c>
      <c r="F93" s="1277">
        <f>SUMIF($C$4:$C$8,C93,$E$4:$E$8)-E93</f>
        <v>136237493.32121998</v>
      </c>
      <c r="G93" s="1277"/>
      <c r="H93" s="1258"/>
    </row>
    <row r="94" spans="1:13" x14ac:dyDescent="0.35">
      <c r="C94" s="106" t="s">
        <v>918</v>
      </c>
      <c r="D94" s="105" t="s">
        <v>919</v>
      </c>
      <c r="E94" s="1277">
        <f>SUMIF($B$12:$B$80,C94,$E$12:$E$80)</f>
        <v>93845459</v>
      </c>
      <c r="F94" s="1277">
        <f>SUMIF($C$4:$C$8,C94,$E$4:$E$8)-E94</f>
        <v>2454560</v>
      </c>
      <c r="G94" s="1277"/>
    </row>
    <row r="95" spans="1:13" x14ac:dyDescent="0.35">
      <c r="C95" s="107"/>
      <c r="D95" s="108"/>
      <c r="E95" s="1282"/>
      <c r="F95" s="1282"/>
      <c r="G95" s="1282"/>
    </row>
    <row r="96" spans="1:13" x14ac:dyDescent="0.35">
      <c r="E96" s="1271">
        <f>SUM(E90:E95)</f>
        <v>839724961.49195993</v>
      </c>
      <c r="F96" s="1271">
        <f>SUM(F90:F95)</f>
        <v>602328025.50803995</v>
      </c>
      <c r="G96" s="1351">
        <f>SUM(G90:G95)</f>
        <v>526292376.68712395</v>
      </c>
    </row>
    <row r="98" spans="7:7" x14ac:dyDescent="0.35">
      <c r="G98" s="1258">
        <f>+E96-G96</f>
        <v>313432584.80483598</v>
      </c>
    </row>
  </sheetData>
  <autoFilter ref="A11:H77" xr:uid="{73092DAD-82F7-4637-95B4-3B0716441651}"/>
  <dataValidations disablePrompts="1" count="1">
    <dataValidation type="list" allowBlank="1" showInputMessage="1" showErrorMessage="1" sqref="J80" xr:uid="{9EF332FB-9648-41E0-9685-783CB82C446A}">
      <formula1>$J$4:$J$8</formula1>
    </dataValidation>
  </dataValidations>
  <pageMargins left="0.19685039370078741" right="0.19685039370078741" top="0.39370078740157483" bottom="0.39370078740157483" header="0.31496062992125984" footer="0.31496062992125984"/>
  <pageSetup paperSize="9" scale="7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6C35-1988-42DE-A51C-576015368991}">
  <sheetPr codeName="Hoja3"/>
  <dimension ref="A1:AB69"/>
  <sheetViews>
    <sheetView topLeftCell="A11" workbookViewId="0">
      <selection activeCell="E17" sqref="E17"/>
    </sheetView>
  </sheetViews>
  <sheetFormatPr defaultColWidth="11.453125" defaultRowHeight="14.5" x14ac:dyDescent="0.35"/>
  <cols>
    <col min="1" max="1" width="9.1796875" style="1210" customWidth="1"/>
    <col min="2" max="2" width="15.453125" style="1210" customWidth="1"/>
    <col min="3" max="3" width="14.81640625" style="1210" customWidth="1"/>
    <col min="4" max="4" width="32.26953125" style="1210" customWidth="1"/>
    <col min="5" max="5" width="15.81640625" style="1210" bestFit="1" customWidth="1"/>
    <col min="6" max="7" width="15.7265625" style="1210" bestFit="1" customWidth="1"/>
    <col min="8" max="8" width="15.1796875" style="1210" customWidth="1"/>
    <col min="9" max="9" width="6" style="1210" hidden="1" customWidth="1"/>
    <col min="10" max="10" width="3.81640625" style="1210" customWidth="1"/>
    <col min="11" max="11" width="8.453125" style="1210" bestFit="1" customWidth="1"/>
    <col min="12" max="12" width="13" style="1210" customWidth="1"/>
    <col min="13" max="13" width="15.1796875" style="1210" bestFit="1" customWidth="1"/>
    <col min="14" max="14" width="13.1796875" style="1210" bestFit="1" customWidth="1"/>
    <col min="15" max="15" width="15.1796875" style="1210" bestFit="1" customWidth="1"/>
    <col min="16" max="16" width="14.1796875" style="1210" bestFit="1" customWidth="1"/>
    <col min="17" max="17" width="13.1796875" style="1210" bestFit="1" customWidth="1"/>
    <col min="18" max="18" width="11.453125" style="1210"/>
    <col min="19" max="19" width="12.453125" style="1210" customWidth="1"/>
    <col min="20" max="20" width="14.7265625" style="1210" bestFit="1" customWidth="1"/>
    <col min="21" max="21" width="15.1796875" style="1210" bestFit="1" customWidth="1"/>
    <col min="22" max="22" width="11.453125" style="1210"/>
    <col min="23" max="23" width="12.54296875" style="1210" bestFit="1" customWidth="1"/>
    <col min="24" max="24" width="13.1796875" style="1210" bestFit="1" customWidth="1"/>
    <col min="25" max="25" width="7.1796875" style="1210" bestFit="1" customWidth="1"/>
    <col min="26" max="26" width="5.26953125" style="1210" bestFit="1" customWidth="1"/>
    <col min="27" max="27" width="8.7265625" style="1210" bestFit="1" customWidth="1"/>
    <col min="28" max="28" width="13.1796875" style="1210" bestFit="1" customWidth="1"/>
    <col min="29" max="16384" width="11.453125" style="1210"/>
  </cols>
  <sheetData>
    <row r="1" spans="1:28" ht="18.5" x14ac:dyDescent="0.35">
      <c r="A1" s="1209" t="s">
        <v>80</v>
      </c>
      <c r="S1" s="1202" t="s">
        <v>81</v>
      </c>
      <c r="T1" s="1211"/>
      <c r="U1" s="1211"/>
      <c r="V1" s="1212"/>
      <c r="W1" s="1212"/>
      <c r="Y1" s="1283" t="s">
        <v>82</v>
      </c>
      <c r="Z1" s="1284">
        <v>45627</v>
      </c>
      <c r="AA1" s="1285">
        <v>15356.4</v>
      </c>
    </row>
    <row r="2" spans="1:28" x14ac:dyDescent="0.35">
      <c r="A2" s="1213"/>
      <c r="I2" s="594"/>
      <c r="S2" s="1203" t="s">
        <v>83</v>
      </c>
      <c r="T2" s="1204" t="s">
        <v>84</v>
      </c>
      <c r="U2" s="1204" t="s">
        <v>85</v>
      </c>
      <c r="V2" s="1205" t="s">
        <v>86</v>
      </c>
      <c r="W2" s="1205" t="s">
        <v>87</v>
      </c>
      <c r="Y2" s="1286"/>
      <c r="Z2" s="1284">
        <v>45689</v>
      </c>
      <c r="AA2" s="1285">
        <v>15852.4</v>
      </c>
    </row>
    <row r="3" spans="1:28" x14ac:dyDescent="0.35">
      <c r="C3" s="1214" t="s">
        <v>88</v>
      </c>
      <c r="D3" s="1214" t="s">
        <v>89</v>
      </c>
      <c r="E3" s="1214" t="s">
        <v>85</v>
      </c>
      <c r="F3" s="1214" t="s">
        <v>90</v>
      </c>
      <c r="G3" s="1214" t="s">
        <v>87</v>
      </c>
      <c r="I3" s="594"/>
      <c r="K3" s="1186">
        <v>0.4</v>
      </c>
      <c r="L3" s="1185">
        <f>SUM(E4:E5)*K3</f>
        <v>200363088</v>
      </c>
      <c r="M3" s="1342">
        <f>Certificados!E12+Certificados!F12</f>
        <v>144784263.97774476</v>
      </c>
      <c r="N3" s="1343" t="s">
        <v>867</v>
      </c>
      <c r="S3" s="1215">
        <v>45689</v>
      </c>
      <c r="T3" s="1216" t="s">
        <v>92</v>
      </c>
      <c r="U3" s="1217">
        <v>200363088</v>
      </c>
      <c r="V3" s="1218">
        <f>U3*(($AA$2/$AA$1)-1)</f>
        <v>6471574.8253496792</v>
      </c>
      <c r="W3" s="1219">
        <f>SUM(U3:V3)</f>
        <v>206834662.82534969</v>
      </c>
    </row>
    <row r="4" spans="1:28" x14ac:dyDescent="0.35">
      <c r="B4" s="1220"/>
      <c r="C4" s="1221" t="s">
        <v>93</v>
      </c>
      <c r="D4" s="1361" t="s">
        <v>906</v>
      </c>
      <c r="E4" s="1223">
        <f>'Preventivo Vta'!H46*70%</f>
        <v>350635404</v>
      </c>
      <c r="F4" s="1224">
        <f>+E4*0.105</f>
        <v>36816717.420000002</v>
      </c>
      <c r="G4" s="1224">
        <f t="shared" ref="G4:G7" si="0">E4+F4</f>
        <v>387452121.42000002</v>
      </c>
      <c r="H4" s="1208">
        <f>+E4*0.4</f>
        <v>140254161.59999999</v>
      </c>
      <c r="I4" s="594"/>
      <c r="J4" s="1225"/>
      <c r="L4" s="1226"/>
      <c r="M4" s="172">
        <f>+E12+E13+E14+E15+F12+F13+F14+F15+E20+F20</f>
        <v>114593840.30298641</v>
      </c>
      <c r="N4" s="1210" t="s">
        <v>121</v>
      </c>
      <c r="S4" s="1215">
        <v>45689</v>
      </c>
      <c r="T4" s="1216" t="s">
        <v>95</v>
      </c>
      <c r="U4" s="1217">
        <f>SUM(E6:E7)*10%</f>
        <v>84484524.799999997</v>
      </c>
      <c r="V4" s="1218">
        <f>U4*(($AA$2/$AA$1)-1)</f>
        <v>2728785.6724753147</v>
      </c>
      <c r="W4" s="1219">
        <f>SUM(U4:V4)</f>
        <v>87213310.472475305</v>
      </c>
      <c r="AA4" s="1228"/>
      <c r="AB4" s="1208"/>
    </row>
    <row r="5" spans="1:28" x14ac:dyDescent="0.35">
      <c r="B5" s="1220"/>
      <c r="C5" s="1229" t="s">
        <v>96</v>
      </c>
      <c r="D5" s="1281" t="s">
        <v>906</v>
      </c>
      <c r="E5" s="1231">
        <f>'Preventivo Vta'!H46*30%</f>
        <v>150272316</v>
      </c>
      <c r="F5" s="1232">
        <v>0</v>
      </c>
      <c r="G5" s="1232">
        <f t="shared" si="0"/>
        <v>150272316</v>
      </c>
      <c r="H5" s="1208">
        <f>+E5*0.4</f>
        <v>60108926.400000006</v>
      </c>
      <c r="I5" s="594"/>
      <c r="J5" s="1225"/>
      <c r="L5" s="1226"/>
      <c r="M5" s="172">
        <f>M3-M4</f>
        <v>30190423.674758345</v>
      </c>
      <c r="S5" s="1227">
        <v>45747</v>
      </c>
      <c r="T5" s="1216" t="s">
        <v>97</v>
      </c>
      <c r="U5" s="1217">
        <v>19603685.544</v>
      </c>
      <c r="V5" s="1219">
        <v>633184.08154411067</v>
      </c>
      <c r="W5" s="1219">
        <f>SUM(U5:V5)</f>
        <v>20236869.625544112</v>
      </c>
      <c r="AA5" s="1228"/>
      <c r="AB5" s="1208"/>
    </row>
    <row r="6" spans="1:28" x14ac:dyDescent="0.35">
      <c r="B6" s="1220"/>
      <c r="C6" s="1229" t="s">
        <v>98</v>
      </c>
      <c r="D6" s="1281" t="s">
        <v>907</v>
      </c>
      <c r="E6" s="1233">
        <f>'Preventivo Vta'!H234*70%</f>
        <v>591391673.5999999</v>
      </c>
      <c r="F6" s="1232">
        <f>+E6*0.105</f>
        <v>62096125.727999985</v>
      </c>
      <c r="G6" s="1232">
        <f t="shared" si="0"/>
        <v>653487799.32799983</v>
      </c>
      <c r="I6" s="594"/>
      <c r="J6" s="1225"/>
      <c r="S6" s="1227">
        <v>45747</v>
      </c>
      <c r="T6" s="1216" t="s">
        <v>100</v>
      </c>
      <c r="U6" s="1217">
        <v>8012798.8739999998</v>
      </c>
      <c r="V6" s="1219">
        <v>258807.2882644365</v>
      </c>
      <c r="W6" s="1219">
        <f t="shared" ref="W6:W16" si="1">SUM(U6:V6)</f>
        <v>8271606.1622644365</v>
      </c>
      <c r="Z6" s="1234"/>
      <c r="AA6" s="171"/>
      <c r="AB6" s="1208"/>
    </row>
    <row r="7" spans="1:28" x14ac:dyDescent="0.35">
      <c r="B7" s="1220"/>
      <c r="C7" s="1229" t="s">
        <v>101</v>
      </c>
      <c r="D7" s="1281" t="s">
        <v>907</v>
      </c>
      <c r="E7" s="1233">
        <f>'Preventivo Vta'!H234*30%</f>
        <v>253453574.39999998</v>
      </c>
      <c r="F7" s="1232">
        <v>0</v>
      </c>
      <c r="G7" s="1232">
        <f t="shared" si="0"/>
        <v>253453574.39999998</v>
      </c>
      <c r="I7" s="594"/>
      <c r="J7" s="1225"/>
      <c r="S7" s="1227">
        <v>45777</v>
      </c>
      <c r="T7" s="1216" t="s">
        <v>102</v>
      </c>
      <c r="U7" s="1217">
        <v>16465959.479999997</v>
      </c>
      <c r="V7" s="1219">
        <v>685170.22920215735</v>
      </c>
      <c r="W7" s="1219">
        <f t="shared" si="1"/>
        <v>17151129.709202155</v>
      </c>
      <c r="Z7" s="1234"/>
      <c r="AA7" s="171"/>
      <c r="AB7" s="1208"/>
    </row>
    <row r="8" spans="1:28" x14ac:dyDescent="0.35">
      <c r="C8" s="1235"/>
      <c r="D8" s="1236"/>
      <c r="E8" s="1237"/>
      <c r="F8" s="1238">
        <f t="shared" ref="F8" si="2">+E8*0.105</f>
        <v>0</v>
      </c>
      <c r="G8" s="1239">
        <f t="shared" ref="G8" si="3">E8+F8</f>
        <v>0</v>
      </c>
      <c r="J8" s="1240"/>
      <c r="S8" s="1227">
        <v>45777</v>
      </c>
      <c r="T8" s="1216" t="s">
        <v>103</v>
      </c>
      <c r="U8" s="1217">
        <v>7853224.3110000007</v>
      </c>
      <c r="V8" s="1219">
        <v>326782.99176428106</v>
      </c>
      <c r="W8" s="1219">
        <f t="shared" si="1"/>
        <v>8180007.3027642816</v>
      </c>
    </row>
    <row r="9" spans="1:28" x14ac:dyDescent="0.35">
      <c r="C9" s="1241"/>
      <c r="D9" s="1242" t="s">
        <v>104</v>
      </c>
      <c r="E9" s="1243">
        <f>SUM(E4:E8)</f>
        <v>1345752968</v>
      </c>
      <c r="F9" s="1243">
        <f>SUM(F4:F8)</f>
        <v>98912843.147999987</v>
      </c>
      <c r="G9" s="1243">
        <f>SUM(G4:G8)</f>
        <v>1444665811.1479998</v>
      </c>
      <c r="S9" s="1227">
        <v>45808</v>
      </c>
      <c r="T9" s="1216" t="s">
        <v>105</v>
      </c>
      <c r="U9" s="1217">
        <v>38898523.398000002</v>
      </c>
      <c r="V9" s="1219">
        <v>2272398.8265704056</v>
      </c>
      <c r="W9" s="1219">
        <f t="shared" si="1"/>
        <v>41170922.224570408</v>
      </c>
    </row>
    <row r="10" spans="1:28" x14ac:dyDescent="0.35">
      <c r="B10" s="1244"/>
      <c r="C10" s="196"/>
      <c r="D10" s="1245"/>
      <c r="E10" s="1246"/>
      <c r="F10" s="1376"/>
      <c r="G10" s="1247"/>
      <c r="H10" s="1247"/>
      <c r="K10" s="1435" t="s">
        <v>106</v>
      </c>
      <c r="L10" s="193"/>
      <c r="S10" s="1227">
        <v>45808</v>
      </c>
      <c r="T10" s="1216" t="s">
        <v>107</v>
      </c>
      <c r="U10" s="1217">
        <v>8963295.1560000014</v>
      </c>
      <c r="V10" s="1219">
        <v>523623.51100828289</v>
      </c>
      <c r="W10" s="1219">
        <f t="shared" si="1"/>
        <v>9486918.6670082845</v>
      </c>
    </row>
    <row r="11" spans="1:28" x14ac:dyDescent="0.35">
      <c r="A11" s="1214" t="s">
        <v>83</v>
      </c>
      <c r="B11" s="1214" t="s">
        <v>108</v>
      </c>
      <c r="C11" s="1214" t="s">
        <v>88</v>
      </c>
      <c r="D11" s="1214" t="s">
        <v>89</v>
      </c>
      <c r="E11" s="1214" t="s">
        <v>85</v>
      </c>
      <c r="F11" s="1214" t="s">
        <v>86</v>
      </c>
      <c r="G11" s="1214" t="s">
        <v>90</v>
      </c>
      <c r="H11" s="1214" t="s">
        <v>87</v>
      </c>
      <c r="K11" s="1435"/>
      <c r="L11" s="193" t="s">
        <v>109</v>
      </c>
      <c r="M11" s="1214" t="s">
        <v>87</v>
      </c>
      <c r="S11" s="1227">
        <v>45838</v>
      </c>
      <c r="T11" s="1216" t="s">
        <v>827</v>
      </c>
      <c r="U11" s="1217">
        <v>21634403.627999999</v>
      </c>
      <c r="V11" s="1219">
        <v>1641134.4316543695</v>
      </c>
      <c r="W11" s="1219">
        <f t="shared" si="1"/>
        <v>23275538.05965437</v>
      </c>
      <c r="AA11" s="171"/>
      <c r="AB11" s="172"/>
    </row>
    <row r="12" spans="1:28" x14ac:dyDescent="0.35">
      <c r="A12" s="195">
        <v>45784</v>
      </c>
      <c r="B12" s="196" t="s">
        <v>110</v>
      </c>
      <c r="C12" s="196" t="s">
        <v>93</v>
      </c>
      <c r="D12" s="1249" t="s">
        <v>111</v>
      </c>
      <c r="E12" s="1250">
        <f>44000000*0.97</f>
        <v>42680000</v>
      </c>
      <c r="F12" s="1250">
        <f>44000000*0.03</f>
        <v>1320000</v>
      </c>
      <c r="G12" s="1250">
        <f>(E12+F12)*0.105</f>
        <v>4620000</v>
      </c>
      <c r="H12" s="1250">
        <f t="shared" ref="H12" si="4">SUM(E12:G12)</f>
        <v>48620000</v>
      </c>
      <c r="I12" s="1183" t="s">
        <v>112</v>
      </c>
      <c r="J12" s="1225"/>
      <c r="K12" s="1251">
        <v>45777</v>
      </c>
      <c r="L12" s="1251"/>
      <c r="M12" s="1252">
        <v>23400000</v>
      </c>
      <c r="O12" s="172"/>
      <c r="S12" s="1227">
        <v>45838</v>
      </c>
      <c r="T12" s="1216" t="s">
        <v>828</v>
      </c>
      <c r="U12" s="1217">
        <v>8241381.3959999997</v>
      </c>
      <c r="V12" s="1219">
        <v>625171.60100000002</v>
      </c>
      <c r="W12" s="1219">
        <f t="shared" si="1"/>
        <v>8866552.9969999995</v>
      </c>
    </row>
    <row r="13" spans="1:28" x14ac:dyDescent="0.35">
      <c r="A13" s="195">
        <v>45838</v>
      </c>
      <c r="B13" s="196" t="s">
        <v>823</v>
      </c>
      <c r="C13" s="196" t="s">
        <v>93</v>
      </c>
      <c r="D13" s="1249" t="s">
        <v>111</v>
      </c>
      <c r="E13" s="1250">
        <f>34000000*0.97</f>
        <v>32980000</v>
      </c>
      <c r="F13" s="1250">
        <f>34000000*0.03</f>
        <v>1020000</v>
      </c>
      <c r="G13" s="1250">
        <f>(F13+E13)*0.105</f>
        <v>3570000</v>
      </c>
      <c r="H13" s="172">
        <f>SUM(E13:G13)</f>
        <v>37570000</v>
      </c>
      <c r="I13" s="1183" t="s">
        <v>112</v>
      </c>
      <c r="J13" s="1225"/>
      <c r="K13" s="1251">
        <v>45783</v>
      </c>
      <c r="L13" s="1257"/>
      <c r="M13" s="1252">
        <v>23700000</v>
      </c>
      <c r="S13" s="1227">
        <v>45869</v>
      </c>
      <c r="T13" s="1216" t="s">
        <v>868</v>
      </c>
      <c r="U13" s="1217">
        <v>56374940</v>
      </c>
      <c r="V13" s="1219">
        <v>4724710</v>
      </c>
      <c r="W13" s="1219">
        <f t="shared" si="1"/>
        <v>61099650</v>
      </c>
      <c r="X13" s="172"/>
    </row>
    <row r="14" spans="1:28" x14ac:dyDescent="0.35">
      <c r="A14" s="195">
        <v>45866</v>
      </c>
      <c r="B14" s="196" t="s">
        <v>824</v>
      </c>
      <c r="C14" s="196" t="s">
        <v>93</v>
      </c>
      <c r="D14" s="1249" t="s">
        <v>111</v>
      </c>
      <c r="E14" s="172">
        <f>27500000*0.97</f>
        <v>26675000</v>
      </c>
      <c r="F14" s="172">
        <f>27500000*0.03</f>
        <v>825000</v>
      </c>
      <c r="G14" s="1250">
        <f>(F14+E14)*0.105</f>
        <v>2887500</v>
      </c>
      <c r="H14" s="172">
        <f t="shared" ref="H14:H38" si="5">SUM(E14:G14)</f>
        <v>30387500</v>
      </c>
      <c r="I14" s="1183" t="s">
        <v>112</v>
      </c>
      <c r="J14" s="1225"/>
      <c r="K14" s="1259">
        <v>45812</v>
      </c>
      <c r="L14" s="1259"/>
      <c r="M14" s="1252">
        <v>17100000</v>
      </c>
      <c r="N14" s="1260"/>
      <c r="S14" s="1227">
        <v>45869</v>
      </c>
      <c r="T14" s="1216" t="s">
        <v>869</v>
      </c>
      <c r="U14" s="1217">
        <v>10717734.43</v>
      </c>
      <c r="V14" s="1219">
        <v>898239.44</v>
      </c>
      <c r="W14" s="1219">
        <f t="shared" si="1"/>
        <v>11615973.869999999</v>
      </c>
    </row>
    <row r="15" spans="1:28" x14ac:dyDescent="0.35">
      <c r="A15" s="195">
        <v>45869</v>
      </c>
      <c r="B15" s="196" t="s">
        <v>825</v>
      </c>
      <c r="C15" s="196" t="s">
        <v>93</v>
      </c>
      <c r="D15" s="1249" t="s">
        <v>111</v>
      </c>
      <c r="E15" s="172">
        <f>44066.5429864253*0.97</f>
        <v>42744.546696832542</v>
      </c>
      <c r="F15" s="172">
        <f>44066.5429864253*0.03</f>
        <v>1321.996289592759</v>
      </c>
      <c r="G15" s="1250">
        <f>(F15+E15)*0.105</f>
        <v>4626.9870135746569</v>
      </c>
      <c r="H15" s="172">
        <v>48693.53</v>
      </c>
      <c r="I15" s="1183" t="s">
        <v>112</v>
      </c>
      <c r="J15" s="1225"/>
      <c r="K15" s="1259">
        <v>45826</v>
      </c>
      <c r="L15" s="1259"/>
      <c r="M15" s="1252">
        <v>10000000</v>
      </c>
      <c r="N15" s="1260"/>
      <c r="S15" s="1227">
        <v>45900</v>
      </c>
      <c r="T15" s="1216" t="s">
        <v>876</v>
      </c>
      <c r="U15" s="1217">
        <v>33566952.473399997</v>
      </c>
      <c r="V15" s="1219">
        <v>3460436.199</v>
      </c>
      <c r="W15" s="1219">
        <f t="shared" si="1"/>
        <v>37027388.672399998</v>
      </c>
    </row>
    <row r="16" spans="1:28" x14ac:dyDescent="0.35">
      <c r="A16" s="195">
        <v>45869</v>
      </c>
      <c r="B16" s="196" t="s">
        <v>825</v>
      </c>
      <c r="C16" s="196" t="s">
        <v>93</v>
      </c>
      <c r="D16" s="1249" t="s">
        <v>826</v>
      </c>
      <c r="E16" s="172">
        <v>13722580.199999999</v>
      </c>
      <c r="F16" s="1250">
        <v>443228.85708087747</v>
      </c>
      <c r="G16" s="1250">
        <f>(F16+E16)*0.105</f>
        <v>1487409.950993492</v>
      </c>
      <c r="H16" s="172">
        <f t="shared" si="5"/>
        <v>15653219.008074367</v>
      </c>
      <c r="I16" s="1183" t="s">
        <v>112</v>
      </c>
      <c r="J16" s="1225"/>
      <c r="K16" s="1259">
        <v>45835</v>
      </c>
      <c r="L16" s="1259"/>
      <c r="M16" s="1252">
        <v>12000000</v>
      </c>
      <c r="S16" s="1227">
        <v>45900</v>
      </c>
      <c r="T16" s="1216" t="s">
        <v>877</v>
      </c>
      <c r="U16" s="1217">
        <v>10175591.475000001</v>
      </c>
      <c r="V16" s="1219">
        <v>1049007.5049999999</v>
      </c>
      <c r="W16" s="1219">
        <f t="shared" si="1"/>
        <v>11224598.98</v>
      </c>
    </row>
    <row r="17" spans="1:23" x14ac:dyDescent="0.35">
      <c r="A17" s="195">
        <v>45869</v>
      </c>
      <c r="B17" s="196" t="s">
        <v>825</v>
      </c>
      <c r="C17" s="196" t="s">
        <v>98</v>
      </c>
      <c r="D17" s="1249" t="s">
        <v>835</v>
      </c>
      <c r="E17" s="172">
        <v>5608959.2999999998</v>
      </c>
      <c r="F17" s="172">
        <v>181165.10178510554</v>
      </c>
      <c r="G17" s="1250">
        <f>(F17+E17)*0.105</f>
        <v>607963.06218743604</v>
      </c>
      <c r="H17" s="172">
        <f t="shared" si="5"/>
        <v>6398087.4639725415</v>
      </c>
      <c r="I17" s="1183" t="s">
        <v>836</v>
      </c>
      <c r="J17" s="1225"/>
      <c r="K17" s="1259">
        <v>45845</v>
      </c>
      <c r="L17" s="1259"/>
      <c r="M17" s="1252">
        <v>20000000</v>
      </c>
      <c r="S17" s="1227"/>
      <c r="T17" s="1216"/>
      <c r="U17" s="1217"/>
      <c r="V17" s="1219"/>
      <c r="W17" s="1219"/>
    </row>
    <row r="18" spans="1:23" x14ac:dyDescent="0.35">
      <c r="A18" s="195">
        <v>45891</v>
      </c>
      <c r="B18" s="194" t="s">
        <v>833</v>
      </c>
      <c r="C18" s="196" t="s">
        <v>93</v>
      </c>
      <c r="D18" s="1249" t="s">
        <v>834</v>
      </c>
      <c r="E18" s="172">
        <v>11526171.299999999</v>
      </c>
      <c r="F18" s="172">
        <v>479619.16044151009</v>
      </c>
      <c r="G18" s="172">
        <f>SUM(E18:F18)*0.105</f>
        <v>1260607.9983463585</v>
      </c>
      <c r="H18" s="172">
        <f t="shared" si="5"/>
        <v>13266398.458787868</v>
      </c>
      <c r="I18" s="1183" t="s">
        <v>112</v>
      </c>
      <c r="J18" s="1225"/>
      <c r="K18" s="1259">
        <v>45860</v>
      </c>
      <c r="L18" s="1259"/>
      <c r="M18" s="1252">
        <v>10000000</v>
      </c>
      <c r="S18" s="1227"/>
      <c r="T18" s="1216"/>
      <c r="U18" s="1217"/>
      <c r="V18" s="1219"/>
      <c r="W18" s="1219"/>
    </row>
    <row r="19" spans="1:23" x14ac:dyDescent="0.35">
      <c r="A19" s="195">
        <v>45891</v>
      </c>
      <c r="B19" s="194" t="s">
        <v>833</v>
      </c>
      <c r="C19" s="196" t="s">
        <v>98</v>
      </c>
      <c r="D19" s="1249" t="s">
        <v>837</v>
      </c>
      <c r="E19" s="1250">
        <v>5497256.7999999998</v>
      </c>
      <c r="F19" s="1250">
        <v>228748.09423499674</v>
      </c>
      <c r="G19" s="172">
        <f>SUM(E19:F19)*0.105</f>
        <v>601230.5138946746</v>
      </c>
      <c r="H19" s="172">
        <f t="shared" si="5"/>
        <v>6327235.4081296707</v>
      </c>
      <c r="I19" s="1183" t="s">
        <v>836</v>
      </c>
      <c r="J19" s="1225"/>
      <c r="K19" s="1259">
        <v>45869</v>
      </c>
      <c r="L19" s="1259"/>
      <c r="M19" s="1252">
        <v>20000000</v>
      </c>
      <c r="S19" s="1248"/>
      <c r="T19" s="1216"/>
      <c r="U19" s="1217"/>
      <c r="V19" s="1219"/>
      <c r="W19" s="1219"/>
    </row>
    <row r="20" spans="1:23" ht="15" thickBot="1" x14ac:dyDescent="0.4">
      <c r="A20" s="195">
        <v>45897</v>
      </c>
      <c r="B20" s="196" t="s">
        <v>870</v>
      </c>
      <c r="C20" s="196" t="s">
        <v>93</v>
      </c>
      <c r="D20" s="1249" t="s">
        <v>111</v>
      </c>
      <c r="E20" s="1250">
        <f>9049773.76*0.97</f>
        <v>8778280.5471999999</v>
      </c>
      <c r="F20" s="1250">
        <f>9049773.76*0.03</f>
        <v>271493.21279999998</v>
      </c>
      <c r="G20" s="172">
        <f>SUM(E20:F20)*0.105</f>
        <v>950226.24479999999</v>
      </c>
      <c r="H20" s="172">
        <f t="shared" si="5"/>
        <v>10000000.004799999</v>
      </c>
      <c r="I20" s="1183" t="s">
        <v>112</v>
      </c>
      <c r="J20" s="1225"/>
      <c r="K20" s="1259">
        <v>45891</v>
      </c>
      <c r="L20" s="1334">
        <v>353292.49500000104</v>
      </c>
      <c r="M20" s="1252">
        <v>19240340.98</v>
      </c>
      <c r="S20" s="1253"/>
      <c r="T20" s="1254"/>
      <c r="U20" s="1255"/>
      <c r="V20" s="1256"/>
      <c r="W20" s="1256"/>
    </row>
    <row r="21" spans="1:23" x14ac:dyDescent="0.35">
      <c r="A21" s="195">
        <v>45900</v>
      </c>
      <c r="B21" s="196" t="s">
        <v>882</v>
      </c>
      <c r="C21" s="196" t="s">
        <v>93</v>
      </c>
      <c r="D21" s="1249" t="s">
        <v>111</v>
      </c>
      <c r="E21" s="1250">
        <f>30190423.67*0.97</f>
        <v>29284710.959899999</v>
      </c>
      <c r="F21" s="1250">
        <f>30190423.67*0.03</f>
        <v>905712.71010000003</v>
      </c>
      <c r="G21" s="172">
        <f t="shared" ref="G21" si="6">(F21+E21)*0.105</f>
        <v>3169994.4853499997</v>
      </c>
      <c r="H21" s="172">
        <f t="shared" si="5"/>
        <v>33360418.15535</v>
      </c>
      <c r="I21" s="1183" t="s">
        <v>112</v>
      </c>
      <c r="J21" s="1225"/>
      <c r="K21" s="1259">
        <v>45898</v>
      </c>
      <c r="L21" s="1334"/>
      <c r="M21" s="1252">
        <v>9820347.9199999999</v>
      </c>
      <c r="U21" s="1258">
        <f>SUM(U3:U20)</f>
        <v>525356102.9654001</v>
      </c>
      <c r="V21" s="1258"/>
    </row>
    <row r="22" spans="1:23" x14ac:dyDescent="0.35">
      <c r="A22" s="195">
        <v>45900</v>
      </c>
      <c r="B22" s="196" t="s">
        <v>883</v>
      </c>
      <c r="C22" s="196" t="s">
        <v>93</v>
      </c>
      <c r="D22" s="1249" t="s">
        <v>884</v>
      </c>
      <c r="E22" s="1250">
        <v>27228966.099999998</v>
      </c>
      <c r="F22" s="1250">
        <v>1590679.1785992838</v>
      </c>
      <c r="G22" s="172">
        <v>3026062.7542529246</v>
      </c>
      <c r="H22" s="172">
        <f t="shared" si="5"/>
        <v>31845708.032852206</v>
      </c>
      <c r="I22" s="1183" t="s">
        <v>112</v>
      </c>
      <c r="J22" s="1225"/>
      <c r="K22" s="1259">
        <v>45933</v>
      </c>
      <c r="L22" s="1334">
        <v>188701.85</v>
      </c>
      <c r="M22" s="1252">
        <v>10311298.15</v>
      </c>
      <c r="T22" s="1210" t="s">
        <v>113</v>
      </c>
      <c r="U22" s="1208">
        <f>(23400000+23700000+17100000)/1.105</f>
        <v>58099547.511312217</v>
      </c>
      <c r="W22" s="1258">
        <f>SUM(W3:W21)</f>
        <v>551655129.56823301</v>
      </c>
    </row>
    <row r="23" spans="1:23" x14ac:dyDescent="0.35">
      <c r="A23" s="195">
        <v>45900</v>
      </c>
      <c r="B23" s="196" t="s">
        <v>883</v>
      </c>
      <c r="C23" s="196" t="s">
        <v>98</v>
      </c>
      <c r="D23" s="1249" t="s">
        <v>885</v>
      </c>
      <c r="E23" s="1250">
        <v>6274306.5</v>
      </c>
      <c r="F23" s="1250">
        <v>366536.45770579798</v>
      </c>
      <c r="G23" s="172">
        <v>697288.51055910869</v>
      </c>
      <c r="H23" s="172">
        <f t="shared" si="5"/>
        <v>7338131.4682649067</v>
      </c>
      <c r="I23" s="1183" t="s">
        <v>836</v>
      </c>
      <c r="K23" s="1259">
        <v>45945</v>
      </c>
      <c r="L23" s="1334">
        <v>216787.33</v>
      </c>
      <c r="M23" s="1252">
        <v>21760712.670000002</v>
      </c>
      <c r="T23" s="1261" t="s">
        <v>114</v>
      </c>
      <c r="U23" s="1262">
        <f>U21-U22</f>
        <v>467256555.45408785</v>
      </c>
    </row>
    <row r="24" spans="1:23" x14ac:dyDescent="0.35">
      <c r="A24" s="195">
        <v>45930</v>
      </c>
      <c r="B24" s="196" t="s">
        <v>888</v>
      </c>
      <c r="C24" s="196" t="s">
        <v>93</v>
      </c>
      <c r="D24" s="1249" t="s">
        <v>886</v>
      </c>
      <c r="E24" s="1250">
        <v>15144082.539999999</v>
      </c>
      <c r="F24" s="1250">
        <v>1148794.1017</v>
      </c>
      <c r="G24" s="1250">
        <f t="shared" ref="G24:G29" si="7">(F24+E24)*0.105</f>
        <v>1710752.0473785</v>
      </c>
      <c r="H24" s="172">
        <f t="shared" si="5"/>
        <v>18003628.689078499</v>
      </c>
      <c r="I24" s="1183" t="s">
        <v>112</v>
      </c>
      <c r="K24" s="1259">
        <v>45953</v>
      </c>
      <c r="L24" s="1334">
        <v>241817.52</v>
      </c>
      <c r="M24" s="1252">
        <v>13118600.640000001</v>
      </c>
      <c r="T24" s="1261"/>
      <c r="U24" s="1262"/>
    </row>
    <row r="25" spans="1:23" x14ac:dyDescent="0.35">
      <c r="A25" s="195">
        <v>45930</v>
      </c>
      <c r="B25" s="196" t="s">
        <v>888</v>
      </c>
      <c r="C25" s="196" t="s">
        <v>98</v>
      </c>
      <c r="D25" s="1249" t="s">
        <v>887</v>
      </c>
      <c r="E25" s="1250">
        <v>5768966.9800000004</v>
      </c>
      <c r="F25" s="1250">
        <v>437620.12069999997</v>
      </c>
      <c r="G25" s="1250">
        <f t="shared" si="7"/>
        <v>651691.64557349996</v>
      </c>
      <c r="H25" s="172">
        <f t="shared" si="5"/>
        <v>6858278.7462734999</v>
      </c>
      <c r="I25" s="1183" t="s">
        <v>836</v>
      </c>
      <c r="K25" s="1259">
        <v>45959</v>
      </c>
      <c r="L25" s="1334">
        <v>469244.84</v>
      </c>
      <c r="M25" s="1252">
        <v>25530755.16</v>
      </c>
    </row>
    <row r="26" spans="1:23" x14ac:dyDescent="0.35">
      <c r="A26" s="195">
        <v>45959</v>
      </c>
      <c r="B26" s="196" t="s">
        <v>894</v>
      </c>
      <c r="C26" s="196" t="s">
        <v>93</v>
      </c>
      <c r="D26" s="1249" t="s">
        <v>895</v>
      </c>
      <c r="E26" s="1250">
        <v>39462458</v>
      </c>
      <c r="F26" s="1250">
        <f>4724710*0.7</f>
        <v>3307297</v>
      </c>
      <c r="G26" s="172">
        <f t="shared" si="7"/>
        <v>4490824.2749999994</v>
      </c>
      <c r="H26" s="172">
        <f t="shared" si="5"/>
        <v>47260579.274999999</v>
      </c>
      <c r="I26" s="1183" t="s">
        <v>112</v>
      </c>
      <c r="K26" s="1259">
        <v>45980</v>
      </c>
      <c r="L26" s="1334"/>
      <c r="M26" s="1252">
        <v>6000000</v>
      </c>
    </row>
    <row r="27" spans="1:23" x14ac:dyDescent="0.35">
      <c r="A27" s="195">
        <v>45959</v>
      </c>
      <c r="B27" s="196" t="s">
        <v>894</v>
      </c>
      <c r="C27" s="196" t="s">
        <v>98</v>
      </c>
      <c r="D27" s="1249" t="s">
        <v>896</v>
      </c>
      <c r="E27" s="1250">
        <v>7502414.0999999996</v>
      </c>
      <c r="F27" s="1250">
        <f>898239.44*0.7</f>
        <v>628767.60799999989</v>
      </c>
      <c r="G27" s="172">
        <f t="shared" si="7"/>
        <v>853774.07933999994</v>
      </c>
      <c r="H27" s="172">
        <f t="shared" si="5"/>
        <v>8984955.7873400003</v>
      </c>
      <c r="I27" s="1183" t="s">
        <v>836</v>
      </c>
      <c r="K27" s="1259">
        <v>45986</v>
      </c>
      <c r="L27" s="1334">
        <v>382074.51</v>
      </c>
      <c r="M27" s="1252">
        <v>20801765</v>
      </c>
    </row>
    <row r="28" spans="1:23" x14ac:dyDescent="0.35">
      <c r="A28" s="195">
        <v>46009</v>
      </c>
      <c r="B28" s="196" t="s">
        <v>915</v>
      </c>
      <c r="C28" s="196" t="s">
        <v>93</v>
      </c>
      <c r="D28" s="1249" t="s">
        <v>916</v>
      </c>
      <c r="E28" s="1250">
        <v>23496866.73</v>
      </c>
      <c r="F28" s="1250">
        <f>3460436.199*70%</f>
        <v>2422305.3392999996</v>
      </c>
      <c r="G28" s="172">
        <f t="shared" si="7"/>
        <v>2721513.0672764997</v>
      </c>
      <c r="H28" s="172">
        <f t="shared" si="5"/>
        <v>28640685.1365765</v>
      </c>
      <c r="I28" s="1183"/>
      <c r="K28" s="1259">
        <v>45995</v>
      </c>
      <c r="L28" s="1334">
        <v>469997.04</v>
      </c>
      <c r="M28" s="1252">
        <v>25571562.469999999</v>
      </c>
      <c r="O28" s="172"/>
    </row>
    <row r="29" spans="1:23" x14ac:dyDescent="0.35">
      <c r="A29" s="195">
        <v>46009</v>
      </c>
      <c r="B29" s="196" t="s">
        <v>915</v>
      </c>
      <c r="C29" s="196" t="s">
        <v>98</v>
      </c>
      <c r="D29" s="1249" t="s">
        <v>917</v>
      </c>
      <c r="E29" s="1250">
        <v>7122914.0300000003</v>
      </c>
      <c r="F29" s="1250">
        <f>1049007.505*70%</f>
        <v>734305.25349999988</v>
      </c>
      <c r="G29" s="172">
        <f t="shared" si="7"/>
        <v>825008.0247675</v>
      </c>
      <c r="H29" s="172">
        <f t="shared" si="5"/>
        <v>8682227.3082675003</v>
      </c>
      <c r="I29" s="1183"/>
      <c r="K29" s="1259">
        <v>46009</v>
      </c>
      <c r="L29" s="1334">
        <v>565530.05000000005</v>
      </c>
      <c r="M29" s="1252">
        <v>30680005.010000002</v>
      </c>
    </row>
    <row r="30" spans="1:23" x14ac:dyDescent="0.35">
      <c r="A30" s="195">
        <v>46041</v>
      </c>
      <c r="B30" s="196" t="s">
        <v>937</v>
      </c>
      <c r="C30" s="196" t="s">
        <v>93</v>
      </c>
      <c r="D30" s="1249" t="s">
        <v>940</v>
      </c>
      <c r="E30" s="1250">
        <v>14189527.379999999</v>
      </c>
      <c r="F30" s="1250">
        <v>1692054.2939999998</v>
      </c>
      <c r="G30" s="172">
        <v>1667566.0757699998</v>
      </c>
      <c r="H30" s="172">
        <f t="shared" si="5"/>
        <v>17549147.749769997</v>
      </c>
      <c r="I30" s="1183"/>
      <c r="K30" s="1259">
        <v>46024</v>
      </c>
      <c r="L30" s="1334"/>
      <c r="M30" s="1252">
        <v>20000000</v>
      </c>
    </row>
    <row r="31" spans="1:23" x14ac:dyDescent="0.35">
      <c r="A31" s="195">
        <v>46041</v>
      </c>
      <c r="B31" s="196" t="s">
        <v>937</v>
      </c>
      <c r="C31" s="196" t="s">
        <v>98</v>
      </c>
      <c r="D31" s="1249" t="s">
        <v>941</v>
      </c>
      <c r="E31" s="1250">
        <v>8268517.5040000007</v>
      </c>
      <c r="F31" s="1250">
        <v>985993.41099999996</v>
      </c>
      <c r="G31" s="172">
        <v>971723.64607500006</v>
      </c>
      <c r="H31" s="172">
        <f t="shared" si="5"/>
        <v>10226234.561075002</v>
      </c>
      <c r="I31" s="1183"/>
      <c r="K31" s="1259">
        <v>46029</v>
      </c>
      <c r="L31" s="1334">
        <v>674184.83</v>
      </c>
      <c r="M31" s="1252">
        <v>16648728.01</v>
      </c>
    </row>
    <row r="32" spans="1:23" x14ac:dyDescent="0.35">
      <c r="A32" s="195">
        <v>46041</v>
      </c>
      <c r="B32" s="196" t="s">
        <v>938</v>
      </c>
      <c r="C32" s="196" t="s">
        <v>93</v>
      </c>
      <c r="D32" s="1249" t="s">
        <v>942</v>
      </c>
      <c r="E32" s="1250">
        <v>9874713.5500000007</v>
      </c>
      <c r="F32" s="1250">
        <v>1547079.3</v>
      </c>
      <c r="G32" s="172">
        <v>1199288.2492500001</v>
      </c>
      <c r="H32" s="172">
        <f t="shared" si="5"/>
        <v>12621081.099250002</v>
      </c>
      <c r="I32" s="1183"/>
      <c r="K32" s="1259">
        <v>46045</v>
      </c>
      <c r="L32" s="1334"/>
      <c r="M32" s="1252">
        <f>48000000+658040.86</f>
        <v>48658040.859999999</v>
      </c>
      <c r="O32" s="172"/>
      <c r="P32" s="1364"/>
    </row>
    <row r="33" spans="1:20" x14ac:dyDescent="0.35">
      <c r="A33" s="195">
        <v>46041</v>
      </c>
      <c r="B33" s="196" t="s">
        <v>938</v>
      </c>
      <c r="C33" s="196" t="s">
        <v>98</v>
      </c>
      <c r="D33" s="1249" t="s">
        <v>943</v>
      </c>
      <c r="E33" s="1250">
        <v>7165595.4500000002</v>
      </c>
      <c r="F33" s="1250">
        <v>1122639.7</v>
      </c>
      <c r="G33" s="172">
        <v>870264.69074999995</v>
      </c>
      <c r="H33" s="172">
        <f t="shared" si="5"/>
        <v>9158499.8407499995</v>
      </c>
      <c r="I33" s="1183"/>
      <c r="K33" s="1259"/>
      <c r="L33" s="1334"/>
      <c r="M33" s="1252"/>
      <c r="O33" s="172"/>
      <c r="P33" s="172"/>
    </row>
    <row r="34" spans="1:20" x14ac:dyDescent="0.35">
      <c r="A34" s="195">
        <v>46057</v>
      </c>
      <c r="B34" s="196" t="s">
        <v>939</v>
      </c>
      <c r="C34" s="196" t="s">
        <v>93</v>
      </c>
      <c r="D34" s="1249" t="s">
        <v>944</v>
      </c>
      <c r="E34" s="1250">
        <v>16830646.947504003</v>
      </c>
      <c r="F34" s="1250">
        <v>3086780.3694000002</v>
      </c>
      <c r="G34" s="172">
        <v>2091329.8682749199</v>
      </c>
      <c r="H34" s="172">
        <f t="shared" si="5"/>
        <v>22008757.185178921</v>
      </c>
      <c r="I34" s="1183"/>
      <c r="K34" s="1259"/>
      <c r="L34" s="1334"/>
      <c r="M34" s="1252"/>
      <c r="O34" s="172"/>
      <c r="P34" s="172"/>
    </row>
    <row r="35" spans="1:20" x14ac:dyDescent="0.35">
      <c r="A35" s="195">
        <v>46057</v>
      </c>
      <c r="B35" s="196" t="s">
        <v>939</v>
      </c>
      <c r="C35" s="196" t="s">
        <v>98</v>
      </c>
      <c r="D35" s="1249" t="s">
        <v>945</v>
      </c>
      <c r="E35" s="1250">
        <v>11291187.55752</v>
      </c>
      <c r="F35" s="1250">
        <v>2070830.4441500001</v>
      </c>
      <c r="G35" s="172">
        <v>1403011.89017535</v>
      </c>
      <c r="H35" s="172">
        <f t="shared" si="5"/>
        <v>14765029.891845351</v>
      </c>
      <c r="I35" s="1183"/>
      <c r="K35" s="1259"/>
      <c r="L35" s="1334"/>
      <c r="M35" s="1252"/>
      <c r="P35" s="172"/>
    </row>
    <row r="36" spans="1:20" x14ac:dyDescent="0.35">
      <c r="A36" s="195">
        <v>46100</v>
      </c>
      <c r="B36" s="196" t="s">
        <v>972</v>
      </c>
      <c r="C36" s="196" t="s">
        <v>98</v>
      </c>
      <c r="D36" s="1249" t="s">
        <v>973</v>
      </c>
      <c r="E36" s="1250">
        <v>19796794.379999999</v>
      </c>
      <c r="F36" s="1250">
        <v>4097582.18</v>
      </c>
      <c r="G36" s="172">
        <v>2508909.54</v>
      </c>
      <c r="H36" s="172">
        <f t="shared" si="5"/>
        <v>26403286.099999998</v>
      </c>
      <c r="I36" s="1183"/>
      <c r="K36" s="1259"/>
      <c r="L36" s="1334"/>
      <c r="M36" s="1252"/>
    </row>
    <row r="37" spans="1:20" x14ac:dyDescent="0.35">
      <c r="A37" s="195"/>
      <c r="B37" s="196"/>
      <c r="C37" s="196"/>
      <c r="D37" s="1249"/>
      <c r="E37" s="1250"/>
      <c r="F37" s="1250"/>
      <c r="G37" s="172"/>
      <c r="H37" s="172"/>
      <c r="I37" s="1183"/>
      <c r="K37" s="1259"/>
      <c r="L37" s="1334"/>
      <c r="M37" s="1252"/>
    </row>
    <row r="38" spans="1:20" x14ac:dyDescent="0.35">
      <c r="A38" s="195"/>
      <c r="B38" s="196"/>
      <c r="C38" s="196"/>
      <c r="D38" s="1249"/>
      <c r="E38" s="1250"/>
      <c r="F38" s="1250"/>
      <c r="G38" s="172"/>
      <c r="H38" s="172">
        <f t="shared" si="5"/>
        <v>0</v>
      </c>
      <c r="I38" s="1183"/>
      <c r="K38" s="1259"/>
      <c r="L38" s="1334"/>
      <c r="M38" s="1252"/>
    </row>
    <row r="39" spans="1:20" x14ac:dyDescent="0.35">
      <c r="A39" s="1264"/>
      <c r="B39" s="1264"/>
      <c r="C39" s="1264"/>
      <c r="D39" s="1265" t="s">
        <v>104</v>
      </c>
      <c r="E39" s="1266">
        <f>SUM(E12:E38)</f>
        <v>396213661.40282077</v>
      </c>
      <c r="F39" s="1266">
        <f>SUM(F12:F38)</f>
        <v>30915553.890787162</v>
      </c>
      <c r="G39" s="1266">
        <f>SUM(G12:G38)</f>
        <v>44848567.607028842</v>
      </c>
      <c r="H39" s="1266">
        <f>SUM(H12:H38)</f>
        <v>471977782.90063679</v>
      </c>
      <c r="M39" s="1267">
        <f>SUM(L12:M38)</f>
        <v>407903787.33499998</v>
      </c>
    </row>
    <row r="42" spans="1:20" x14ac:dyDescent="0.35">
      <c r="G42" s="1349"/>
      <c r="L42" s="1268" t="s">
        <v>115</v>
      </c>
      <c r="M42" s="1269">
        <f>+M39-H39</f>
        <v>-64073995.565636814</v>
      </c>
      <c r="T42" s="172"/>
    </row>
    <row r="43" spans="1:20" x14ac:dyDescent="0.35">
      <c r="D43" s="1270" t="s">
        <v>116</v>
      </c>
      <c r="E43" s="1271">
        <f>SUM(E4:E8)</f>
        <v>1345752968</v>
      </c>
      <c r="F43" s="1247"/>
      <c r="G43" s="172"/>
      <c r="T43" s="172"/>
    </row>
    <row r="44" spans="1:20" x14ac:dyDescent="0.35">
      <c r="D44" s="1270" t="s">
        <v>117</v>
      </c>
      <c r="E44" s="1271">
        <f>SUMIF($B$12:$B$25,"0003-*",$E$12:$E$25)</f>
        <v>231212025.7737968</v>
      </c>
      <c r="F44" s="1247"/>
      <c r="G44" s="1347"/>
      <c r="H44" s="172"/>
      <c r="M44" s="1364"/>
      <c r="T44" s="172"/>
    </row>
    <row r="45" spans="1:20" x14ac:dyDescent="0.35">
      <c r="D45" s="1270" t="s">
        <v>118</v>
      </c>
      <c r="E45" s="1271">
        <f>SUMIF($B$12:$B$25,"",$E$12:$E$25)</f>
        <v>0</v>
      </c>
      <c r="F45" s="1247"/>
      <c r="G45" s="172"/>
      <c r="H45" s="172"/>
      <c r="T45" s="172"/>
    </row>
    <row r="46" spans="1:20" x14ac:dyDescent="0.35">
      <c r="D46" s="1272" t="s">
        <v>119</v>
      </c>
      <c r="E46" s="1273">
        <f>E43-E44-E45</f>
        <v>1114540942.2262032</v>
      </c>
      <c r="G46" s="172"/>
      <c r="T46" s="172"/>
    </row>
    <row r="47" spans="1:20" x14ac:dyDescent="0.35">
      <c r="G47" s="1348"/>
      <c r="T47" s="172"/>
    </row>
    <row r="48" spans="1:20" x14ac:dyDescent="0.35">
      <c r="E48" s="1208"/>
    </row>
    <row r="49" spans="3:7" x14ac:dyDescent="0.35">
      <c r="C49" s="1245" t="s">
        <v>120</v>
      </c>
    </row>
    <row r="51" spans="3:7" x14ac:dyDescent="0.35">
      <c r="C51" s="1274" t="s">
        <v>88</v>
      </c>
      <c r="D51" s="1274" t="s">
        <v>89</v>
      </c>
      <c r="E51" s="1275" t="s">
        <v>121</v>
      </c>
      <c r="F51" s="1275" t="s">
        <v>122</v>
      </c>
    </row>
    <row r="52" spans="3:7" x14ac:dyDescent="0.35">
      <c r="C52" s="1276" t="s">
        <v>93</v>
      </c>
      <c r="D52" s="1361" t="s">
        <v>906</v>
      </c>
      <c r="E52" s="1277">
        <f>SUMIF($C$12:$C$38,C52,$E$12:$E$38)</f>
        <v>311916748.80130082</v>
      </c>
      <c r="F52" s="1278">
        <f>SUMIF($C$4:$C$8,C52,$E$4:$E$8)-E52</f>
        <v>38718655.198699176</v>
      </c>
    </row>
    <row r="53" spans="3:7" x14ac:dyDescent="0.35">
      <c r="C53" s="1279" t="s">
        <v>96</v>
      </c>
      <c r="D53" s="1281" t="s">
        <v>906</v>
      </c>
      <c r="E53" s="1277">
        <f>SUMIF($C$12:$C$38,C53,$E$12:$E$38)</f>
        <v>0</v>
      </c>
      <c r="F53" s="1277">
        <f>SUMIF($C$4:$C$8,C53,$E$4:$E$8)-E53</f>
        <v>150272316</v>
      </c>
    </row>
    <row r="54" spans="3:7" x14ac:dyDescent="0.35">
      <c r="C54" s="1280" t="s">
        <v>98</v>
      </c>
      <c r="D54" s="1281" t="s">
        <v>907</v>
      </c>
      <c r="E54" s="1277">
        <f>SUMIF($C$12:$C$38,C54,$E$12:$E$38)</f>
        <v>84296912.601520002</v>
      </c>
      <c r="F54" s="1277">
        <f>SUMIF($C$4:$C$8,C54,$E$4:$E$8)-E54</f>
        <v>507094760.9984799</v>
      </c>
    </row>
    <row r="55" spans="3:7" x14ac:dyDescent="0.35">
      <c r="C55" s="1280" t="s">
        <v>101</v>
      </c>
      <c r="D55" s="1281" t="s">
        <v>907</v>
      </c>
      <c r="E55" s="1277">
        <f>SUMIF($C$12:$C$38,C55,$E$12:$E$38)</f>
        <v>0</v>
      </c>
      <c r="F55" s="1277">
        <f>SUMIF($C$4:$C$8,C55,$E$4:$E$8)-E55</f>
        <v>253453574.39999998</v>
      </c>
    </row>
    <row r="56" spans="3:7" x14ac:dyDescent="0.35">
      <c r="C56" s="107"/>
      <c r="D56" s="108"/>
      <c r="E56" s="1282"/>
      <c r="F56" s="1282"/>
    </row>
    <row r="57" spans="3:7" x14ac:dyDescent="0.35">
      <c r="E57" s="1271">
        <f>SUM(E52:E56)</f>
        <v>396213661.40282083</v>
      </c>
      <c r="F57" s="1271">
        <f>SUM(F52:F56)</f>
        <v>949539306.59717906</v>
      </c>
    </row>
    <row r="58" spans="3:7" x14ac:dyDescent="0.35">
      <c r="F58" s="1263"/>
      <c r="G58" s="1208"/>
    </row>
    <row r="59" spans="3:7" x14ac:dyDescent="0.35">
      <c r="F59" s="1287"/>
      <c r="G59" s="1287"/>
    </row>
    <row r="60" spans="3:7" x14ac:dyDescent="0.35">
      <c r="C60" s="1210" t="s">
        <v>903</v>
      </c>
      <c r="E60" s="1350">
        <f>Certificados!G96</f>
        <v>526292376.68712395</v>
      </c>
      <c r="F60" s="1263"/>
      <c r="G60" s="1208"/>
    </row>
    <row r="61" spans="3:7" x14ac:dyDescent="0.35">
      <c r="C61" s="1353" t="s">
        <v>904</v>
      </c>
      <c r="D61" s="1353"/>
      <c r="E61" s="1354">
        <f>+E60-E57</f>
        <v>130078715.28430313</v>
      </c>
      <c r="F61" s="1263"/>
      <c r="G61" s="1208"/>
    </row>
    <row r="62" spans="3:7" x14ac:dyDescent="0.35">
      <c r="F62" s="1263"/>
      <c r="G62" s="1208"/>
    </row>
    <row r="63" spans="3:7" x14ac:dyDescent="0.35">
      <c r="F63" s="1263"/>
      <c r="G63" s="1208"/>
    </row>
    <row r="64" spans="3:7" x14ac:dyDescent="0.35">
      <c r="F64" s="1263"/>
      <c r="G64" s="1208"/>
    </row>
    <row r="65" spans="6:7" x14ac:dyDescent="0.35">
      <c r="F65" s="1263"/>
      <c r="G65" s="1208"/>
    </row>
    <row r="66" spans="6:7" x14ac:dyDescent="0.35">
      <c r="F66" s="1263"/>
      <c r="G66" s="1208"/>
    </row>
    <row r="67" spans="6:7" x14ac:dyDescent="0.35">
      <c r="F67" s="1263"/>
      <c r="G67" s="1208"/>
    </row>
    <row r="68" spans="6:7" x14ac:dyDescent="0.35">
      <c r="F68" s="1263"/>
      <c r="G68" s="1208"/>
    </row>
    <row r="69" spans="6:7" x14ac:dyDescent="0.35">
      <c r="F69" s="1263"/>
      <c r="G69" s="1208"/>
    </row>
  </sheetData>
  <mergeCells count="1">
    <mergeCell ref="K10:K11"/>
  </mergeCells>
  <phoneticPr fontId="23" type="noConversion"/>
  <dataValidations disablePrompts="1" count="1">
    <dataValidation type="list" allowBlank="1" showInputMessage="1" showErrorMessage="1" sqref="J23:J38" xr:uid="{C84C3FE6-83C0-4975-92E1-3FB831CC67DE}">
      <formula1>$J$4:$J$8</formula1>
    </dataValidation>
  </dataValidations>
  <pageMargins left="0.19685039370078741" right="0.19685039370078741" top="0.39370078740157483" bottom="0.39370078740157483" header="0.31496062992125984" footer="0.31496062992125984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3AE5-E007-4EDB-9C4C-25CD210AE957}">
  <sheetPr>
    <tabColor rgb="FFC6EFCE"/>
  </sheetPr>
  <dimension ref="B1:AG42"/>
  <sheetViews>
    <sheetView zoomScale="80" zoomScaleNormal="80" workbookViewId="0">
      <selection activeCell="X10" sqref="X10"/>
    </sheetView>
  </sheetViews>
  <sheetFormatPr defaultColWidth="11.453125" defaultRowHeight="14.5" outlineLevelCol="1" x14ac:dyDescent="0.35"/>
  <cols>
    <col min="1" max="1" width="2.81640625" style="260" customWidth="1"/>
    <col min="2" max="2" width="25.453125" style="138" customWidth="1"/>
    <col min="3" max="3" width="5.7265625" style="138" bestFit="1" customWidth="1"/>
    <col min="4" max="10" width="12" style="138" hidden="1" customWidth="1" outlineLevel="1"/>
    <col min="11" max="11" width="12" style="138" customWidth="1" collapsed="1"/>
    <col min="12" max="20" width="12" style="138" customWidth="1"/>
    <col min="21" max="21" width="1" style="138" customWidth="1"/>
    <col min="22" max="22" width="12" style="138" customWidth="1"/>
    <col min="23" max="23" width="1.26953125" style="138" customWidth="1"/>
    <col min="24" max="24" width="12" style="138" bestFit="1" customWidth="1"/>
    <col min="25" max="25" width="5.7265625" style="138" bestFit="1" customWidth="1"/>
    <col min="26" max="26" width="12" style="138" customWidth="1"/>
    <col min="27" max="27" width="6.81640625" style="138" customWidth="1"/>
    <col min="28" max="28" width="7.26953125" style="138" bestFit="1" customWidth="1"/>
    <col min="29" max="29" width="9.7265625" style="260" bestFit="1" customWidth="1"/>
    <col min="30" max="30" width="7.26953125" style="260" bestFit="1" customWidth="1"/>
    <col min="31" max="31" width="13" style="260" bestFit="1" customWidth="1"/>
    <col min="32" max="16384" width="11.453125" style="260"/>
  </cols>
  <sheetData>
    <row r="1" spans="2:33" ht="21.5" thickBot="1" x14ac:dyDescent="0.4">
      <c r="B1" s="137"/>
      <c r="C1" s="137"/>
      <c r="AC1" s="157" t="s">
        <v>36</v>
      </c>
      <c r="AD1" s="156">
        <v>46133</v>
      </c>
    </row>
    <row r="2" spans="2:33" ht="7.15" customHeight="1" x14ac:dyDescent="0.35">
      <c r="B2" s="137"/>
      <c r="C2" s="137"/>
      <c r="AA2" s="169"/>
      <c r="AB2" s="170"/>
    </row>
    <row r="3" spans="2:33" x14ac:dyDescent="0.35">
      <c r="B3" s="60" t="s">
        <v>37</v>
      </c>
      <c r="C3" s="139"/>
    </row>
    <row r="4" spans="2:33" ht="13.9" customHeight="1" x14ac:dyDescent="0.35">
      <c r="B4" s="139" t="s">
        <v>38</v>
      </c>
      <c r="C4" s="139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261"/>
      <c r="AD4" s="261"/>
      <c r="AE4" s="261"/>
      <c r="AF4" s="261"/>
      <c r="AG4" s="215"/>
    </row>
    <row r="5" spans="2:33" ht="25.15" customHeight="1" x14ac:dyDescent="0.35">
      <c r="B5" s="262"/>
      <c r="C5" s="262"/>
      <c r="D5" s="150">
        <v>45627</v>
      </c>
      <c r="E5" s="150">
        <v>45658</v>
      </c>
      <c r="F5" s="150">
        <v>45689</v>
      </c>
      <c r="G5" s="150">
        <v>45717</v>
      </c>
      <c r="H5" s="150">
        <v>45748</v>
      </c>
      <c r="I5" s="150">
        <v>45778</v>
      </c>
      <c r="J5" s="150">
        <v>45809</v>
      </c>
      <c r="K5" s="150">
        <v>45839</v>
      </c>
      <c r="L5" s="150">
        <v>45870</v>
      </c>
      <c r="M5" s="150">
        <v>45901</v>
      </c>
      <c r="N5" s="150">
        <v>45931</v>
      </c>
      <c r="O5" s="150">
        <v>45962</v>
      </c>
      <c r="P5" s="150">
        <v>45992</v>
      </c>
      <c r="Q5" s="150">
        <v>46023</v>
      </c>
      <c r="R5" s="150">
        <v>46054</v>
      </c>
      <c r="S5" s="150">
        <v>46082</v>
      </c>
      <c r="T5" s="150">
        <v>46113</v>
      </c>
      <c r="U5" s="140"/>
      <c r="V5" s="151" t="s">
        <v>39</v>
      </c>
      <c r="X5" s="272" t="s">
        <v>42</v>
      </c>
      <c r="Y5" s="1178" t="s">
        <v>43</v>
      </c>
      <c r="Z5" s="151" t="s">
        <v>44</v>
      </c>
      <c r="AA5" s="1178" t="s">
        <v>45</v>
      </c>
      <c r="AB5" s="151" t="s">
        <v>46</v>
      </c>
      <c r="AC5" s="261"/>
      <c r="AD5" s="261"/>
      <c r="AE5" s="261"/>
      <c r="AF5" s="261"/>
      <c r="AG5" s="215"/>
    </row>
    <row r="6" spans="2:33" ht="17.5" customHeight="1" x14ac:dyDescent="0.35">
      <c r="B6" s="159" t="s">
        <v>47</v>
      </c>
      <c r="C6" s="262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261"/>
      <c r="AD6" s="261"/>
      <c r="AE6" s="261"/>
      <c r="AF6" s="261"/>
      <c r="AG6" s="215"/>
    </row>
    <row r="7" spans="2:33" ht="17.5" customHeight="1" x14ac:dyDescent="0.35">
      <c r="B7" s="66" t="s">
        <v>78</v>
      </c>
      <c r="C7" s="160"/>
      <c r="D7" s="216">
        <f>SUMIFS(Certificados!$E$12:$E$80,Certificados!$A$12:$A$80,"&gt;="&amp;DATE(2024,12,1),Certificados!$A$12:$A$80,"&lt;="&amp;DATE(2024,12,31),Certificados!$C$12:$C$80,"Pto. 2")</f>
        <v>0</v>
      </c>
      <c r="E7" s="216">
        <f>SUMIFS(Certificados!$E$12:$E$80,Certificados!$A$12:$A$80,"&gt;="&amp;DATE(2025,1,1),Certificados!$A$12:$A$80,"&lt;="&amp;DATE(2025,1,31),Certificados!$C$12:$C$80,"Pto. 2")</f>
        <v>0</v>
      </c>
      <c r="F7" s="216">
        <f>SUMIFS(Certificados!$E$12:$E$80,Certificados!$A$12:$A$80,"&gt;="&amp;DATE(2025,2,1),Certificados!$A$12:$A$80,"&lt;="&amp;DATE(2025,2,28),Certificados!$C$12:$C$80,"Pto. 2")</f>
        <v>84484524.799999982</v>
      </c>
      <c r="G7" s="216">
        <f>SUMIFS(Certificados!$E$12:$E$80,Certificados!$A$12:$A$80,"&gt;="&amp;DATE(2025,3,1),Certificados!$A$12:$A$80,"&lt;="&amp;DATE(2025,3,31),Certificados!$C$12:$C$80,"Pto. 2")</f>
        <v>8012799</v>
      </c>
      <c r="H7" s="216">
        <f>SUMIFS(Certificados!$E$12:$E$80,Certificados!$A$12:$A$80,"&gt;="&amp;DATE(2025,4,1),Certificados!$A$12:$A$80,"&lt;="&amp;DATE(2025,4,30),Certificados!$C$12:$C$80,"Pto. 2")</f>
        <v>7853224</v>
      </c>
      <c r="I7" s="216">
        <f>SUMIFS(Certificados!$E$12:$E$80,Certificados!$A$12:$A$80,"&gt;="&amp;DATE(2025,5,1),Certificados!$A$12:$A$80,"&lt;="&amp;DATE(2025,5,31),Certificados!$C$12:$C$80,"Pto. 2")</f>
        <v>8963295</v>
      </c>
      <c r="J7" s="216">
        <f>SUMIFS(Certificados!$E$12:$E$80,Certificados!$A$12:$A$80,"&gt;="&amp;DATE(2025,6,1),Certificados!$A$12:$A$80,"&lt;="&amp;DATE(2025,6,30),Certificados!$C$12:$C$80,"Pto. 2")</f>
        <v>8241381.3959999997</v>
      </c>
      <c r="K7" s="216">
        <f>SUMIFS(Certificados!$E$12:$E$80,Certificados!$A$12:$A$80,"&gt;="&amp;DATE(2025,7,1),Certificados!$A$12:$A$80,"&lt;="&amp;DATE(2025,7,31),Certificados!$C$12:$C$80,"Pto. 2")</f>
        <v>10717734.43</v>
      </c>
      <c r="L7" s="216">
        <f>SUMIFS(Certificados!$E$12:$E$80,Certificados!$A$12:$A$80,"&gt;="&amp;DATE(2025,8,1),Certificados!$A$12:$A$80,"&lt;="&amp;DATE(2025,8,31),Certificados!$C$12:$C$80,"Pto. 2")</f>
        <v>10175591.475</v>
      </c>
      <c r="M7" s="216">
        <f>SUMIFS(Certificados!$E$12:$E$80,Certificados!$A$12:$A$80,"&gt;="&amp;DATE(2025,9,1),Certificados!$A$12:$A$80,"&lt;="&amp;DATE(2025,9,30),Certificados!$C$12:$C$80,"Pto. 2")</f>
        <v>12720796.16</v>
      </c>
      <c r="N7" s="216">
        <f>SUMIFS(Certificados!$E$12:$E$80,Certificados!$A$12:$A$80,"&gt;="&amp;DATE(2025,10,1),Certificados!$A$12:$A$80,"&lt;="&amp;DATE(2025,10,30),Certificados!$C$12:$C$80,"Pto. 2")</f>
        <v>11023993</v>
      </c>
      <c r="O7" s="216">
        <f>SUMIFS(Certificados!$E$12:$E$80,Certificados!$A$12:$A$80,"&gt;="&amp;DATE(2025,11,1),Certificados!$A$12:$A$80,"&lt;="&amp;DATE(2025,11,30),Certificados!$C$12:$C$80,"Pto. 2")</f>
        <v>17371057.7808</v>
      </c>
      <c r="P7" s="216">
        <f>SUMIFS(Certificados!$E$12:$E$80,Certificados!$A$12:$A$80,"&gt;="&amp;DATE(2025,12,1),Certificados!$A$12:$A$80,"&lt;="&amp;DATE(2025,12,31),Certificados!$C$12:$C$80,"Pto. 2")</f>
        <v>32994657.300000001</v>
      </c>
      <c r="Q7" s="216">
        <f>SUMIFS(Certificados!$E$12:$E$80,Certificados!$A$12:$A$80,"&gt;="&amp;DATE(2026,1,1),Certificados!$A$12:$A$80,"&lt;="&amp;DATE(2026,1,31),Certificados!$C$12:$C$80,"Pto. 2")</f>
        <v>37677411.899999999</v>
      </c>
      <c r="R7" s="216">
        <f>SUMIFS(Certificados!$E$12:$E$80,Certificados!$A$12:$A$80,"&gt;="&amp;DATE(2026,2,1),Certificados!$A$12:$A$80,"&lt;="&amp;DATE(2026,2,28),Certificados!$C$12:$C$80,"Pto. 2")</f>
        <v>25158565.469999999</v>
      </c>
      <c r="S7" s="216">
        <f>SUMIFS(Certificados!$E$12:$E$80,Certificados!$A$12:$A$80,"&gt;="&amp;DATE(2026,3,1),Certificados!$A$12:$A$80,"&lt;="&amp;DATE(2026,3,31),Certificados!$C$12:$C$80,"Pto. 2")</f>
        <v>57396789.378000006</v>
      </c>
      <c r="T7" s="216">
        <f>SUMIFS(Certificados!$E$12:$E$80,Certificados!$A$12:$A$80,"&gt;="&amp;DATE(2026,4,1),Certificados!$A$12:$A$80,"&lt;="&amp;DATE(2026,4,30),Certificados!$C$12:$C$80,"Pto. 2")</f>
        <v>0</v>
      </c>
      <c r="U7" s="140"/>
      <c r="V7" s="216">
        <f>SUM(D7:U7)</f>
        <v>332791821.0898</v>
      </c>
      <c r="W7" s="140"/>
      <c r="X7" s="216">
        <f>SUM(Facturacion!E6:E7)</f>
        <v>844845247.99999988</v>
      </c>
      <c r="Y7" s="1179">
        <f>'Cert. Pto. 02'!V195/'Cert. Pto. 02'!L195</f>
        <v>0.3265651276788622</v>
      </c>
      <c r="Z7" s="274">
        <f>IF(Y7=100%,0,IF(OR(V7&lt;&gt;0,X7),X7-V7))</f>
        <v>512053426.91019988</v>
      </c>
      <c r="AA7" s="263">
        <f>IF(OR(Z7&lt;0,X7),Z7/X7,0%)</f>
        <v>0.60609138551987207</v>
      </c>
      <c r="AB7" s="274">
        <f>IF(Y7=100%,IF(OR(G7&lt;&gt;0,X7),X7-G7),0)</f>
        <v>0</v>
      </c>
      <c r="AC7" s="261"/>
      <c r="AD7" s="261"/>
      <c r="AE7" s="261"/>
      <c r="AF7" s="261"/>
      <c r="AG7" s="215"/>
    </row>
    <row r="8" spans="2:33" ht="17.5" customHeight="1" x14ac:dyDescent="0.35">
      <c r="B8" s="264" t="s">
        <v>49</v>
      </c>
      <c r="C8" s="874"/>
      <c r="D8" s="1184">
        <f>SUM(D7)</f>
        <v>0</v>
      </c>
      <c r="E8" s="1184">
        <f t="shared" ref="E8:K8" si="0">SUM(E7)</f>
        <v>0</v>
      </c>
      <c r="F8" s="1184">
        <f t="shared" si="0"/>
        <v>84484524.799999982</v>
      </c>
      <c r="G8" s="1184">
        <f t="shared" si="0"/>
        <v>8012799</v>
      </c>
      <c r="H8" s="1184">
        <f t="shared" si="0"/>
        <v>7853224</v>
      </c>
      <c r="I8" s="1184">
        <f t="shared" si="0"/>
        <v>8963295</v>
      </c>
      <c r="J8" s="1184">
        <f t="shared" si="0"/>
        <v>8241381.3959999997</v>
      </c>
      <c r="K8" s="1184">
        <f t="shared" si="0"/>
        <v>10717734.43</v>
      </c>
      <c r="L8" s="1184">
        <f t="shared" ref="L8:M8" si="1">SUM(L7)</f>
        <v>10175591.475</v>
      </c>
      <c r="M8" s="1184">
        <f t="shared" si="1"/>
        <v>12720796.16</v>
      </c>
      <c r="N8" s="1184">
        <f t="shared" ref="N8:O8" si="2">SUM(N7)</f>
        <v>11023993</v>
      </c>
      <c r="O8" s="1184">
        <f t="shared" si="2"/>
        <v>17371057.7808</v>
      </c>
      <c r="P8" s="1184">
        <f t="shared" ref="P8:Q8" si="3">SUM(P7)</f>
        <v>32994657.300000001</v>
      </c>
      <c r="Q8" s="1184">
        <f t="shared" si="3"/>
        <v>37677411.899999999</v>
      </c>
      <c r="R8" s="1184">
        <f t="shared" ref="R8:S8" si="4">SUM(R7)</f>
        <v>25158565.469999999</v>
      </c>
      <c r="S8" s="1184">
        <f t="shared" si="4"/>
        <v>57396789.378000006</v>
      </c>
      <c r="T8" s="1184">
        <f t="shared" ref="T8" si="5">SUM(T7)</f>
        <v>0</v>
      </c>
      <c r="U8" s="140"/>
      <c r="V8" s="248">
        <f>SUM(V7)</f>
        <v>332791821.0898</v>
      </c>
      <c r="W8" s="140"/>
      <c r="X8" s="248">
        <f>SUM(X7)</f>
        <v>844845247.99999988</v>
      </c>
      <c r="Y8" s="1181"/>
      <c r="Z8" s="248">
        <f>SUM(Z7)</f>
        <v>512053426.91019988</v>
      </c>
      <c r="AA8" s="263">
        <f t="shared" ref="AA8" si="6">IF(OR(Z8&lt;0,X8),Z8/X8,0%)</f>
        <v>0.60609138551987207</v>
      </c>
      <c r="AB8" s="248">
        <f>SUM(AB7)</f>
        <v>0</v>
      </c>
      <c r="AC8" s="261"/>
      <c r="AD8" s="261"/>
      <c r="AE8" s="261"/>
      <c r="AF8" s="261"/>
      <c r="AG8" s="215"/>
    </row>
    <row r="9" spans="2:33" x14ac:dyDescent="0.35">
      <c r="B9" s="66" t="s">
        <v>50</v>
      </c>
      <c r="C9" s="160"/>
      <c r="D9" s="216">
        <f>SUMIFS(Certificados!$F$12:$F$80,Certificados!$A$12:$A$80,"&gt;="&amp;DATE(2024,12,1),Certificados!$A$12:$A$80,"&lt;="&amp;DATE(2024,12,31),Certificados!$C$12:$C$80,"Pto. 2")</f>
        <v>0</v>
      </c>
      <c r="E9" s="216">
        <f>SUMIFS(Certificados!$F$12:$F$80,Certificados!$A$12:$A$80,"&gt;="&amp;DATE(2025,1,1),Certificados!$A$12:$A$80,"&lt;="&amp;DATE(2025,1,31),Certificados!$C$12:$C$80,"Pto. 2")</f>
        <v>0</v>
      </c>
      <c r="F9" s="216">
        <f>SUMIFS(Certificados!$F$12:$F$80,Certificados!$A$12:$A$80,"&gt;="&amp;DATE(2025,2,1),Certificados!$A$12:$A$80,"&lt;="&amp;DATE(2025,2,28),Certificados!$C$12:$C$80,"Pto. 2")</f>
        <v>2728785.6724753147</v>
      </c>
      <c r="G9" s="216">
        <f>SUMIFS(Certificados!$F$12:$F$80,Certificados!$A$12:$A$80,"&gt;="&amp;DATE(2025,3,1),Certificados!$A$12:$A$80,"&lt;="&amp;DATE(2025,3,31),Certificados!$C$12:$C$80,"Pto. 2")</f>
        <v>258807.28826443647</v>
      </c>
      <c r="H9" s="216">
        <f>SUMIFS(Certificados!$F$12:$F$80,Certificados!$A$12:$A$80,"&gt;="&amp;DATE(2025,4,1),Certificados!$A$12:$A$80,"&lt;="&amp;DATE(2025,4,30),Certificados!$C$12:$C$80,"Pto. 2")</f>
        <v>326782.99176428106</v>
      </c>
      <c r="I9" s="216">
        <f>SUMIFS(Certificados!$F$12:$F$80,Certificados!$A$12:$A$80,"&gt;="&amp;DATE(2025,5,1),Certificados!$A$12:$A$80,"&lt;="&amp;DATE(2025,5,31),Certificados!$C$12:$C$80,"Pto. 2")</f>
        <v>523623.51100828283</v>
      </c>
      <c r="J9" s="216">
        <f>SUMIFS(Certificados!$F$12:$F$80,Certificados!$A$12:$A$80,"&gt;="&amp;DATE(2025,6,1),Certificados!$A$12:$A$80,"&lt;="&amp;DATE(2025,6,30),Certificados!$C$12:$C$80,"Pto. 2")</f>
        <v>625171.60100000002</v>
      </c>
      <c r="K9" s="216">
        <f>SUMIFS(Certificados!$F$12:$F$80,Certificados!$A$12:$A$80,"&gt;="&amp;DATE(2025,7,1),Certificados!$A$12:$A$80,"&lt;="&amp;DATE(2025,7,31),Certificados!$C$12:$C$80,"Pto. 2")</f>
        <v>898239.44</v>
      </c>
      <c r="L9" s="216">
        <f>SUMIFS(Certificados!$F$12:$F$80,Certificados!$A$12:$A$80,"&gt;="&amp;DATE(2025,8,1),Certificados!$A$12:$A$80,"&lt;="&amp;DATE(2025,8,31),Certificados!$C$12:$C$80,"Pto. 2")</f>
        <v>1049007.5049999999</v>
      </c>
      <c r="M9" s="216">
        <f>SUMIFS(Certificados!$F$12:$F$80,Certificados!$A$12:$A$80,"&gt;="&amp;DATE(2025,9,1),Certificados!$A$12:$A$80,"&lt;="&amp;DATE(2025,9,30),Certificados!$C$12:$C$80,"Pto. 2")</f>
        <v>1516912.94</v>
      </c>
      <c r="N9" s="216">
        <f>SUMIFS(Certificados!$F$12:$F$80,Certificados!$A$12:$A$80,"&gt;="&amp;DATE(2025,10,1),Certificados!$A$12:$A$80,"&lt;="&amp;DATE(2025,10,30),Certificados!$C$12:$C$80,"Pto. 2")</f>
        <v>1727138</v>
      </c>
      <c r="O9" s="216">
        <f>SUMIFS(Certificados!$F$12:$F$80,Certificados!$A$12:$A$80,"&gt;="&amp;DATE(2025,11,1),Certificados!$A$12:$A$80,"&lt;="&amp;DATE(2025,11,30),Certificados!$C$12:$C$80,"Pto. 2")</f>
        <v>3185892.9909999999</v>
      </c>
      <c r="P9" s="216">
        <f>SUMIFS(Certificados!$F$12:$F$80,Certificados!$A$12:$A$80,"&gt;="&amp;DATE(2025,12,1),Certificados!$A$12:$A$80,"&lt;="&amp;DATE(2025,12,31),Certificados!$C$12:$C$80,"Pto. 2")</f>
        <v>6829303.6299999999</v>
      </c>
      <c r="Q9" s="216">
        <f>SUMIFS(Certificados!$F$12:$F$80,Certificados!$A$12:$A$80,"&gt;="&amp;DATE(2026,1,1),Certificados!$A$12:$A$80,"&lt;="&amp;DATE(2026,1,31),Certificados!$C$12:$C$80,"Pto. 2")</f>
        <v>8391323.2599999998</v>
      </c>
      <c r="R9" s="216">
        <f>SUMIFS(Certificados!$F$12:$F$80,Certificados!$A$12:$A$80,"&gt;="&amp;DATE(2026,2,1),Certificados!$A$12:$A$80,"&lt;="&amp;DATE(2026,2,28),Certificados!$C$12:$C$80,"Pto. 2")</f>
        <v>6312414</v>
      </c>
      <c r="S9" s="216">
        <f>SUMIFS(Certificados!$F$12:$F$80,Certificados!$A$12:$A$80,"&gt;="&amp;DATE(2026,3,1),Certificados!$A$12:$A$80,"&lt;="&amp;DATE(2026,3,31),Certificados!$C$12:$C$80,"Pto. 2")</f>
        <v>15311641.228</v>
      </c>
      <c r="T9" s="216">
        <f>SUMIFS(Certificados!$F$12:$F$80,Certificados!$A$12:$A$80,"&gt;="&amp;DATE(2026,4,1),Certificados!$A$12:$A$80,"&lt;="&amp;DATE(2026,4,30),Certificados!$C$12:$C$80,"Pto. 2")</f>
        <v>0</v>
      </c>
      <c r="U9" s="140"/>
      <c r="V9" s="216">
        <f t="shared" ref="V9" si="7">SUM(D9:U9)</f>
        <v>49685044.058512315</v>
      </c>
      <c r="W9" s="140"/>
      <c r="X9" s="216">
        <v>0</v>
      </c>
      <c r="Y9" s="216">
        <v>0</v>
      </c>
      <c r="Z9" s="274">
        <f>IF(Y9=100%,0,IF(X9=0,X9,X9-V9))</f>
        <v>0</v>
      </c>
      <c r="AA9" s="263">
        <f t="shared" ref="AA9:AA10" si="8">IF(OR(Z9&lt;0,X9),Z9/X9,0%)</f>
        <v>0</v>
      </c>
      <c r="AB9" s="274">
        <f>IF(Y9=100%,IF(OR(G9&lt;&gt;0,X9),X9-G9),0)</f>
        <v>0</v>
      </c>
      <c r="AC9" s="261"/>
      <c r="AD9" s="261"/>
      <c r="AE9" s="261"/>
      <c r="AF9" s="261"/>
      <c r="AG9" s="215"/>
    </row>
    <row r="10" spans="2:33" ht="17.5" customHeight="1" x14ac:dyDescent="0.35">
      <c r="B10" s="264" t="s">
        <v>79</v>
      </c>
      <c r="C10" s="874"/>
      <c r="D10" s="1184">
        <f>SUM(D9)</f>
        <v>0</v>
      </c>
      <c r="E10" s="1184">
        <f t="shared" ref="E10:K10" si="9">SUM(E9)</f>
        <v>0</v>
      </c>
      <c r="F10" s="1184">
        <f t="shared" si="9"/>
        <v>2728785.6724753147</v>
      </c>
      <c r="G10" s="1184">
        <f t="shared" si="9"/>
        <v>258807.28826443647</v>
      </c>
      <c r="H10" s="1184">
        <f t="shared" si="9"/>
        <v>326782.99176428106</v>
      </c>
      <c r="I10" s="1184">
        <f t="shared" si="9"/>
        <v>523623.51100828283</v>
      </c>
      <c r="J10" s="1184">
        <f t="shared" si="9"/>
        <v>625171.60100000002</v>
      </c>
      <c r="K10" s="1184">
        <f t="shared" si="9"/>
        <v>898239.44</v>
      </c>
      <c r="L10" s="1184">
        <f t="shared" ref="L10:M10" si="10">SUM(L9)</f>
        <v>1049007.5049999999</v>
      </c>
      <c r="M10" s="1184">
        <f t="shared" si="10"/>
        <v>1516912.94</v>
      </c>
      <c r="N10" s="1184">
        <f t="shared" ref="N10:O10" si="11">SUM(N9)</f>
        <v>1727138</v>
      </c>
      <c r="O10" s="1184">
        <f t="shared" si="11"/>
        <v>3185892.9909999999</v>
      </c>
      <c r="P10" s="1184">
        <f t="shared" ref="P10:Q10" si="12">SUM(P9)</f>
        <v>6829303.6299999999</v>
      </c>
      <c r="Q10" s="1184">
        <f t="shared" si="12"/>
        <v>8391323.2599999998</v>
      </c>
      <c r="R10" s="1184">
        <f t="shared" ref="R10:S10" si="13">SUM(R9)</f>
        <v>6312414</v>
      </c>
      <c r="S10" s="1184">
        <f t="shared" si="13"/>
        <v>15311641.228</v>
      </c>
      <c r="T10" s="1184">
        <f t="shared" ref="T10" si="14">SUM(T9)</f>
        <v>0</v>
      </c>
      <c r="U10" s="140"/>
      <c r="V10" s="248">
        <f>SUM(V9)</f>
        <v>49685044.058512315</v>
      </c>
      <c r="W10" s="140"/>
      <c r="X10" s="248">
        <f>SUM(X9)</f>
        <v>0</v>
      </c>
      <c r="Y10" s="1181"/>
      <c r="Z10" s="248">
        <f>SUM(Z9)</f>
        <v>0</v>
      </c>
      <c r="AA10" s="263">
        <f t="shared" si="8"/>
        <v>0</v>
      </c>
      <c r="AB10" s="248">
        <f>SUM(AB9)</f>
        <v>0</v>
      </c>
      <c r="AC10" s="261"/>
      <c r="AD10" s="261"/>
      <c r="AE10" s="261"/>
      <c r="AF10" s="261"/>
      <c r="AG10" s="215"/>
    </row>
    <row r="11" spans="2:33" ht="17.5" customHeight="1" x14ac:dyDescent="0.35">
      <c r="B11" s="262"/>
      <c r="C11" s="262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261"/>
      <c r="AD11" s="261"/>
      <c r="AE11" s="261"/>
      <c r="AF11" s="261"/>
      <c r="AG11" s="215"/>
    </row>
    <row r="12" spans="2:33" x14ac:dyDescent="0.35">
      <c r="B12" s="159" t="s">
        <v>51</v>
      </c>
      <c r="AC12" s="260" t="s">
        <v>52</v>
      </c>
    </row>
    <row r="13" spans="2:33" x14ac:dyDescent="0.35">
      <c r="B13" s="66" t="s">
        <v>54</v>
      </c>
      <c r="C13" s="160"/>
      <c r="D13" s="216">
        <f>IFERROR(VLOOKUP($B13&amp;$C13,'C. Gestión Pto #2'!$B$4:C$22,MATCH(D$5,'C. Gestión Pto #2'!$B$4:C$4,0),FALSE),0)</f>
        <v>2128206</v>
      </c>
      <c r="E13" s="216">
        <f>IFERROR(VLOOKUP($B13&amp;$C13,'C. Gestión Pto #2'!$B$4:D$22,MATCH(E$5,'C. Gestión Pto #2'!$B$4:D$4,0),FALSE),0)</f>
        <v>2503867.5980000002</v>
      </c>
      <c r="F13" s="216">
        <f>IFERROR(VLOOKUP($B13&amp;$C13,'C. Gestión Pto #2'!$B$4:E$22,MATCH(F$5,'C. Gestión Pto #2'!$B$4:E$4,0),FALSE),0)</f>
        <v>2666306.88</v>
      </c>
      <c r="G13" s="216">
        <f>IFERROR(VLOOKUP($B13&amp;$C13,'C. Gestión Pto #2'!$B$4:F$22,MATCH(G$5,'C. Gestión Pto #2'!$B$4:F$4,0),FALSE),0)</f>
        <v>2632626</v>
      </c>
      <c r="H13" s="216">
        <f>IFERROR(VLOOKUP($B13&amp;$C13,'C. Gestión Pto #2'!$B$4:G$22,MATCH(H$5,'C. Gestión Pto #2'!$B$4:G$4,0),FALSE),0)</f>
        <v>2612626</v>
      </c>
      <c r="I13" s="216">
        <f>IFERROR(VLOOKUP($B13&amp;$C13,'C. Gestión Pto #2'!$B$4:H$22,MATCH(I$5,'C. Gestión Pto #2'!$B$4:H$4,0),FALSE),0)</f>
        <v>2612626</v>
      </c>
      <c r="J13" s="216">
        <f>IFERROR(VLOOKUP($B13&amp;$C13,'C. Gestión Pto #2'!$B$4:I$22,MATCH(J$5,'C. Gestión Pto #2'!$B$4:I$4,0),FALSE),0)</f>
        <v>2770864.0034000003</v>
      </c>
      <c r="K13" s="216">
        <f>IFERROR(VLOOKUP($B13&amp;$C13,'C. Gestión Pto #2'!$B$4:J$22,MATCH(K$5,'C. Gestión Pto #2'!$B$4:J$4,0),FALSE),0)</f>
        <v>2921847.5164000001</v>
      </c>
      <c r="L13" s="216">
        <f>IFERROR(VLOOKUP($B13&amp;$C13,'C. Gestión Pto #2'!$B$4:K$22,MATCH(L$5,'C. Gestión Pto #2'!$B$4:K$4,0),FALSE),0)</f>
        <v>3148425.5</v>
      </c>
      <c r="M13" s="216">
        <f>IFERROR(VLOOKUP($B13&amp;$C13,'C. Gestión Pto #2'!$B$4:L$22,MATCH(M$5,'C. Gestión Pto #2'!$B$4:L$4,0),FALSE),0)</f>
        <v>3147165.5</v>
      </c>
      <c r="N13" s="216">
        <f>IFERROR(VLOOKUP($B13&amp;$C13,'C. Gestión Pto #2'!$B$4:M$22,MATCH(N$5,'C. Gestión Pto #2'!$B$4:M$4,0),FALSE),0)</f>
        <v>3507994.3699999996</v>
      </c>
      <c r="O13" s="216">
        <f>IFERROR(VLOOKUP($B13&amp;$C13,'C. Gestión Pto #2'!$B$4:N$22,MATCH(O$5,'C. Gestión Pto #2'!$B$4:N$4,0),FALSE),0)</f>
        <v>3077451.2699999996</v>
      </c>
      <c r="P13" s="216">
        <f>IFERROR(VLOOKUP($B13&amp;$C13,'C. Gestión Pto #2'!$B$4:O$22,MATCH(P$5,'C. Gestión Pto #2'!$B$4:O$4,0),FALSE),0)</f>
        <v>4621659.1609999985</v>
      </c>
      <c r="Q13" s="216">
        <f>IFERROR(VLOOKUP($B13&amp;$C13,'C. Gestión Pto #2'!$B$4:Q$22,MATCH(Q$5,'C. Gestión Pto #2'!$B$4:Q$4,0),FALSE),0)</f>
        <v>3186153.0840799995</v>
      </c>
      <c r="R13" s="216">
        <f>IFERROR(VLOOKUP($B13&amp;$C13,'C. Gestión Pto #2'!$B$4:R$22,MATCH(R$5,'C. Gestión Pto #2'!$B$4:R$4,0),FALSE),0)</f>
        <v>3241244.866753439</v>
      </c>
      <c r="S13" s="216">
        <f>IFERROR(VLOOKUP($B13&amp;$C13,'C. Gestión Pto #2'!$B$4:S$22,MATCH(S$5,'C. Gestión Pto #2'!$B$4:S$4,0),FALSE),0)</f>
        <v>3115790.406753439</v>
      </c>
      <c r="T13" s="216">
        <f>IFERROR(VLOOKUP($B13&amp;$C13,'C. Gestión Pto #2'!$B$4:T$22,MATCH(T$5,'C. Gestión Pto #2'!$B$4:T$4,0),FALSE),0)</f>
        <v>0</v>
      </c>
      <c r="U13" s="265"/>
      <c r="V13" s="216" cm="1">
        <f t="array" ref="V13">SUMPRODUCT($D13:$U13,TRANSPOSE('Indice CAC'!$D$2:$D$19))</f>
        <v>42358437.777394392</v>
      </c>
      <c r="W13" s="266"/>
      <c r="X13" s="216">
        <f>SUM(IF($C13="MAT",SUMIF('P. Costo'!$A$61:$A$233,$B13,'P. Costo'!$I$61:$I$163),IF($C13="MO",SUMIF('P. Costo'!$A$61:$A$233,$B13,'P. Costo'!$L$61:$L$233),SUMIF('P. Costo'!$A$61:$A$233,$B13,'P. Costo'!$N$61:$N$233))),IF($C13="MAT",SUMIF('P. Costo'!$A$8:$A$58,$B13,'P. Costo'!$I$8:$I$58),IF($C13="MO",SUMIF('P. Costo'!$A$8:$A$58,$B13,'P. Costo'!$L$8:$L$58),SUMIF('P. Costo'!$A$8:$A$58,$B13,'P. Costo'!$N$8:$N$58))))</f>
        <v>74327579.894000009</v>
      </c>
      <c r="Y13" s="1179">
        <f>IF($C13="MAT",SUMIF('Cert. Pto. 02'!$A$10:$A$194,'Resumen Pto #2'!$B13,'Cert. Pto. 02'!$T$10:$T$194),IF($C13="MO",SUMIF('Cert. Pto. 02'!$A$10:$A$194,$B13,'Cert. Pto. 02'!$U$10:$U$194),SUMIF('Cert. Pto. 02'!$A$10:$A$194,$B13,'Cert. Pto. 02'!$V$10:$V$194)))/IF($C13="MAT",SUMIF('Cert. Pto. 02'!$A$10:$A$194,'Resumen Pto #2'!$B13,'Cert. Pto. 02'!$I$10:$I$194),IF('Resumen Pto #2'!$C13="MO",SUMIF('Cert. Pto. 02'!$A$10:$A$194,$B13,'Cert. Pto. 02'!$J$10:$J$194),SUMIF('Cert. Pto. 02'!$A$10:$A$194,$B13,'Cert. Pto. 02'!$K$10:$K$194)))</f>
        <v>0.65</v>
      </c>
      <c r="Z13" s="274">
        <f t="shared" ref="Z13:Z15" si="15">IF(Y13=100%,0,IF(OR(V13&lt;&gt;0,X13),X13-V13))</f>
        <v>31969142.116605617</v>
      </c>
      <c r="AA13" s="263">
        <f t="shared" ref="AA13:AA15" si="16">IF(OR(Z13&lt;0,X13),Z13/X13,0%)</f>
        <v>0.43011143591917594</v>
      </c>
      <c r="AB13" s="274">
        <f t="shared" ref="AB13:AB15" si="17">IF(Y13=100%,IF(OR(G13&lt;&gt;0,X13),X13-G13),0)</f>
        <v>0</v>
      </c>
    </row>
    <row r="14" spans="2:33" x14ac:dyDescent="0.35">
      <c r="B14" s="66" t="s">
        <v>53</v>
      </c>
      <c r="C14" s="160"/>
      <c r="D14" s="216">
        <f>IFERROR(VLOOKUP($B14&amp;$C14,'C. Gestión Pto #2'!$B$4:C$22,MATCH(D$5,'C. Gestión Pto #2'!$B$4:C$4,0),FALSE),0)</f>
        <v>0</v>
      </c>
      <c r="E14" s="216">
        <f>IFERROR(VLOOKUP($B14&amp;$C14,'C. Gestión Pto #2'!$B$4:D$22,MATCH(E$5,'C. Gestión Pto #2'!$B$4:D$4,0),FALSE),0)</f>
        <v>0</v>
      </c>
      <c r="F14" s="216">
        <f>IFERROR(VLOOKUP($B14&amp;$C14,'C. Gestión Pto #2'!$B$4:E$22,MATCH(F$5,'C. Gestión Pto #2'!$B$4:E$4,0),FALSE),0)</f>
        <v>240000</v>
      </c>
      <c r="G14" s="216">
        <f>IFERROR(VLOOKUP($B14&amp;$C14,'C. Gestión Pto #2'!$B$4:F$22,MATCH(G$5,'C. Gestión Pto #2'!$B$4:F$4,0),FALSE),0)</f>
        <v>1706000</v>
      </c>
      <c r="H14" s="216">
        <f>IFERROR(VLOOKUP($B14&amp;$C14,'C. Gestión Pto #2'!$B$4:G$22,MATCH(H$5,'C. Gestión Pto #2'!$B$4:G$4,0),FALSE),0)</f>
        <v>446700</v>
      </c>
      <c r="I14" s="216">
        <f>IFERROR(VLOOKUP($B14&amp;$C14,'C. Gestión Pto #2'!$B$4:H$22,MATCH(I$5,'C. Gestión Pto #2'!$B$4:H$4,0),FALSE),0)</f>
        <v>1707000</v>
      </c>
      <c r="J14" s="216">
        <f>IFERROR(VLOOKUP($B14&amp;$C14,'C. Gestión Pto #2'!$B$4:I$22,MATCH(J$5,'C. Gestión Pto #2'!$B$4:I$4,0),FALSE),0)</f>
        <v>3102500</v>
      </c>
      <c r="K14" s="216">
        <f>IFERROR(VLOOKUP($B14&amp;$C14,'C. Gestión Pto #2'!$B$4:J$22,MATCH(K$5,'C. Gestión Pto #2'!$B$4:J$4,0),FALSE),0)</f>
        <v>535650</v>
      </c>
      <c r="L14" s="216">
        <f>IFERROR(VLOOKUP($B14&amp;$C14,'C. Gestión Pto #2'!$B$4:K$22,MATCH(L$5,'C. Gestión Pto #2'!$B$4:K$4,0),FALSE),0)</f>
        <v>867350</v>
      </c>
      <c r="M14" s="216">
        <f>IFERROR(VLOOKUP($B14&amp;$C14,'C. Gestión Pto #2'!$B$4:L$22,MATCH(M$5,'C. Gestión Pto #2'!$B$4:L$4,0),FALSE),0)</f>
        <v>563846</v>
      </c>
      <c r="N14" s="216">
        <f>IFERROR(VLOOKUP($B14&amp;$C14,'C. Gestión Pto #2'!$B$4:M$22,MATCH(N$5,'C. Gestión Pto #2'!$B$4:M$4,0),FALSE),0)</f>
        <v>597500</v>
      </c>
      <c r="O14" s="216">
        <f>IFERROR(VLOOKUP($B14&amp;$C14,'C. Gestión Pto #2'!$B$4:N$22,MATCH(O$5,'C. Gestión Pto #2'!$B$4:N$4,0),FALSE),0)</f>
        <v>611500</v>
      </c>
      <c r="P14" s="216">
        <f>IFERROR(VLOOKUP($B14&amp;$C14,'C. Gestión Pto #2'!$B$4:O$22,MATCH(P$5,'C. Gestión Pto #2'!$B$4:O$4,0),FALSE),0)</f>
        <v>510175</v>
      </c>
      <c r="Q14" s="216">
        <f>IFERROR(VLOOKUP($B14&amp;$C14,'C. Gestión Pto #2'!$B$4:Q$22,MATCH(Q$5,'C. Gestión Pto #2'!$B$4:Q$4,0),FALSE),0)</f>
        <v>902278</v>
      </c>
      <c r="R14" s="216">
        <f>IFERROR(VLOOKUP($B14&amp;$C14,'C. Gestión Pto #2'!$B$4:R$22,MATCH(R$5,'C. Gestión Pto #2'!$B$4:R$4,0),FALSE),0)</f>
        <v>537124</v>
      </c>
      <c r="S14" s="216">
        <f>IFERROR(VLOOKUP($B14&amp;$C14,'C. Gestión Pto #2'!$B$4:S$22,MATCH(S$5,'C. Gestión Pto #2'!$B$4:S$4,0),FALSE),0)</f>
        <v>1685000</v>
      </c>
      <c r="T14" s="216">
        <f>IFERROR(VLOOKUP($B14&amp;$C14,'C. Gestión Pto #2'!$B$4:T$22,MATCH(T$5,'C. Gestión Pto #2'!$B$4:T$4,0),FALSE),0)</f>
        <v>790000</v>
      </c>
      <c r="U14" s="265"/>
      <c r="V14" s="216" cm="1">
        <f t="array" ref="V14">SUMPRODUCT($D14:$U14,TRANSPOSE('Indice CAC'!$D$2:$D$19))</f>
        <v>13132520.009952081</v>
      </c>
      <c r="W14" s="266"/>
      <c r="X14" s="216">
        <f>SUM(IF($C14="MAT",SUMIF('P. Costo'!$A$61:$A$233,$B14,'P. Costo'!$I$61:$I$163),IF($C14="MO",SUMIF('P. Costo'!$A$61:$A$233,$B14,'P. Costo'!$L$61:$L$233),SUMIF('P. Costo'!$A$61:$A$233,$B14,'P. Costo'!$N$61:$N$233))),IF($C14="MAT",SUMIF('P. Costo'!$A$8:$A$58,$B14,'P. Costo'!$I$8:$I$58),IF($C14="MO",SUMIF('P. Costo'!$A$8:$A$58,$B14,'P. Costo'!$L$8:$L$58),SUMIF('P. Costo'!$A$8:$A$58,$B14,'P. Costo'!$N$8:$N$58))))</f>
        <v>8568681.1640000008</v>
      </c>
      <c r="Y14" s="1179">
        <f>IF($C14="MAT",SUMIF('Cert. Pto. 02'!$A$10:$A$194,'Resumen Pto #2'!$B14,'Cert. Pto. 02'!$T$10:$T$194),IF($C14="MO",SUMIF('Cert. Pto. 02'!$A$10:$A$194,$B14,'Cert. Pto. 02'!$U$10:$U$194),SUMIF('Cert. Pto. 02'!$A$10:$A$194,$B14,'Cert. Pto. 02'!$V$10:$V$194)))/IF($C14="MAT",SUMIF('Cert. Pto. 02'!$A$10:$A$194,'Resumen Pto #2'!$B14,'Cert. Pto. 02'!$I$10:$I$194),IF('Resumen Pto #2'!$C14="MO",SUMIF('Cert. Pto. 02'!$A$10:$A$194,$B14,'Cert. Pto. 02'!$J$10:$J$194),SUMIF('Cert. Pto. 02'!$A$10:$A$194,$B14,'Cert. Pto. 02'!$K$10:$K$194)))</f>
        <v>0.89584131294126468</v>
      </c>
      <c r="Z14" s="274">
        <f t="shared" ref="Z14" si="18">IF(Y14=100%,0,IF(OR(V14&lt;&gt;0,X14),X14-V14))</f>
        <v>-4563838.8459520806</v>
      </c>
      <c r="AA14" s="263">
        <f t="shared" ref="AA14" si="19">IF(OR(Z14&lt;0,X14),Z14/X14,0%)</f>
        <v>-0.532618586058068</v>
      </c>
      <c r="AB14" s="274">
        <f t="shared" ref="AB14" si="20">IF(Y14=100%,IF(OR(G14&lt;&gt;0,X14),X14-G14),0)</f>
        <v>0</v>
      </c>
    </row>
    <row r="15" spans="2:33" x14ac:dyDescent="0.35">
      <c r="B15" s="66" t="s">
        <v>55</v>
      </c>
      <c r="C15" s="160"/>
      <c r="D15" s="216">
        <f>IFERROR(VLOOKUP($B15&amp;$C15,'C. Gestión Pto #2'!$B$4:C$22,MATCH(D$5,'C. Gestión Pto #2'!$B$4:C$4,0),FALSE),0)</f>
        <v>0</v>
      </c>
      <c r="E15" s="216">
        <f>IFERROR(VLOOKUP($B15&amp;$C15,'C. Gestión Pto #2'!$B$4:D$22,MATCH(E$5,'C. Gestión Pto #2'!$B$4:D$4,0),FALSE),0)</f>
        <v>320000</v>
      </c>
      <c r="F15" s="216">
        <f>IFERROR(VLOOKUP($B15&amp;$C15,'C. Gestión Pto #2'!$B$4:E$22,MATCH(F$5,'C. Gestión Pto #2'!$B$4:E$4,0),FALSE),0)</f>
        <v>14684.619999999999</v>
      </c>
      <c r="G15" s="216">
        <f>IFERROR(VLOOKUP($B15&amp;$C15,'C. Gestión Pto #2'!$B$4:F$22,MATCH(G$5,'C. Gestión Pto #2'!$B$4:F$4,0),FALSE),0)</f>
        <v>181198.83</v>
      </c>
      <c r="H15" s="216">
        <f>IFERROR(VLOOKUP($B15&amp;$C15,'C. Gestión Pto #2'!$B$4:G$22,MATCH(H$5,'C. Gestión Pto #2'!$B$4:G$4,0),FALSE),0)</f>
        <v>217418.9</v>
      </c>
      <c r="I15" s="216">
        <f>IFERROR(VLOOKUP($B15&amp;$C15,'C. Gestión Pto #2'!$B$4:H$22,MATCH(I$5,'C. Gestión Pto #2'!$B$4:H$4,0),FALSE),0)</f>
        <v>263908.64999999997</v>
      </c>
      <c r="J15" s="216">
        <f>IFERROR(VLOOKUP($B15&amp;$C15,'C. Gestión Pto #2'!$B$4:I$22,MATCH(J$5,'C. Gestión Pto #2'!$B$4:I$4,0),FALSE),0)</f>
        <v>162641.49</v>
      </c>
      <c r="K15" s="216">
        <f>IFERROR(VLOOKUP($B15&amp;$C15,'C. Gestión Pto #2'!$B$4:J$22,MATCH(K$5,'C. Gestión Pto #2'!$B$4:J$4,0),FALSE),0)</f>
        <v>614099.15000000014</v>
      </c>
      <c r="L15" s="216">
        <f>IFERROR(VLOOKUP($B15&amp;$C15,'C. Gestión Pto #2'!$B$4:K$22,MATCH(L$5,'C. Gestión Pto #2'!$B$4:K$4,0),FALSE),0)</f>
        <v>409160.22</v>
      </c>
      <c r="M15" s="216">
        <f>IFERROR(VLOOKUP($B15&amp;$C15,'C. Gestión Pto #2'!$B$4:L$22,MATCH(M$5,'C. Gestión Pto #2'!$B$4:L$4,0),FALSE),0)</f>
        <v>639151.32999999996</v>
      </c>
      <c r="N15" s="216">
        <f>IFERROR(VLOOKUP($B15&amp;$C15,'C. Gestión Pto #2'!$B$4:M$22,MATCH(N$5,'C. Gestión Pto #2'!$B$4:M$4,0),FALSE),0)</f>
        <v>589301.63</v>
      </c>
      <c r="O15" s="216">
        <f>IFERROR(VLOOKUP($B15&amp;$C15,'C. Gestión Pto #2'!$B$4:N$22,MATCH(O$5,'C. Gestión Pto #2'!$B$4:N$4,0),FALSE),0)</f>
        <v>917395.4800000001</v>
      </c>
      <c r="P15" s="216">
        <f>IFERROR(VLOOKUP($B15&amp;$C15,'C. Gestión Pto #2'!$B$4:O$22,MATCH(P$5,'C. Gestión Pto #2'!$B$4:O$4,0),FALSE),0)</f>
        <v>1084990.74</v>
      </c>
      <c r="Q15" s="216">
        <f>IFERROR(VLOOKUP($B15&amp;$C15,'C. Gestión Pto #2'!$B$4:Q$22,MATCH(Q$5,'C. Gestión Pto #2'!$B$4:Q$4,0),FALSE),0)</f>
        <v>1932601.61</v>
      </c>
      <c r="R15" s="216">
        <f>IFERROR(VLOOKUP($B15&amp;$C15,'C. Gestión Pto #2'!$B$4:R$22,MATCH(R$5,'C. Gestión Pto #2'!$B$4:R$4,0),FALSE),0)</f>
        <v>579958.7699999999</v>
      </c>
      <c r="S15" s="216">
        <f>IFERROR(VLOOKUP($B15&amp;$C15,'C. Gestión Pto #2'!$B$4:S$22,MATCH(S$5,'C. Gestión Pto #2'!$B$4:S$4,0),FALSE),0)</f>
        <v>621749.04</v>
      </c>
      <c r="T15" s="216">
        <f>IFERROR(VLOOKUP($B15&amp;$C15,'C. Gestión Pto #2'!$B$4:T$22,MATCH(T$5,'C. Gestión Pto #2'!$B$4:T$4,0),FALSE),0)</f>
        <v>432348.33999999997</v>
      </c>
      <c r="U15" s="265"/>
      <c r="V15" s="216" cm="1">
        <f t="array" ref="V15">SUMPRODUCT($D15:$U15,TRANSPOSE('Indice CAC'!$D$2:$D$19))</f>
        <v>7606944.0273742117</v>
      </c>
      <c r="W15" s="266"/>
      <c r="X15" s="216">
        <f>SUM(IF($C15="MAT",SUMIF('P. Costo'!$A$61:$A$233,$B15,'P. Costo'!$I$61:$I$163),IF($C15="MO",SUMIF('P. Costo'!$A$61:$A$233,$B15,'P. Costo'!$L$61:$L$233),SUMIF('P. Costo'!$A$61:$A$233,$B15,'P. Costo'!$N$61:$N$233))),IF($C15="MAT",SUMIF('P. Costo'!$A$8:$A$58,$B15,'P. Costo'!$I$8:$I$58),IF($C15="MO",SUMIF('P. Costo'!$A$8:$A$58,$B15,'P. Costo'!$L$8:$L$58),SUMIF('P. Costo'!$A$8:$A$58,$B15,'P. Costo'!$N$8:$N$58))))</f>
        <v>13600000</v>
      </c>
      <c r="Y15" s="1179">
        <f>IF($C15="MAT",SUMIF('Cert. Pto. 02'!$A$10:$A$194,'Resumen Pto #2'!$B15,'Cert. Pto. 02'!$T$10:$T$194),IF($C15="MO",SUMIF('Cert. Pto. 02'!$A$10:$A$194,$B15,'Cert. Pto. 02'!$U$10:$U$194),SUMIF('Cert. Pto. 02'!$A$10:$A$194,$B15,'Cert. Pto. 02'!$V$10:$V$194)))/IF($C15="MAT",SUMIF('Cert. Pto. 02'!$A$10:$A$194,'Resumen Pto #2'!$B15,'Cert. Pto. 02'!$I$10:$I$194),IF('Resumen Pto #2'!$C15="MO",SUMIF('Cert. Pto. 02'!$A$10:$A$194,$B15,'Cert. Pto. 02'!$J$10:$J$194),SUMIF('Cert. Pto. 02'!$A$10:$A$194,$B15,'Cert. Pto. 02'!$K$10:$K$194)))</f>
        <v>0.65</v>
      </c>
      <c r="Z15" s="274">
        <f t="shared" si="15"/>
        <v>5993055.9726257883</v>
      </c>
      <c r="AA15" s="263">
        <f t="shared" si="16"/>
        <v>0.44066588034013149</v>
      </c>
      <c r="AB15" s="274">
        <f t="shared" si="17"/>
        <v>0</v>
      </c>
    </row>
    <row r="16" spans="2:33" x14ac:dyDescent="0.35">
      <c r="B16" s="66" t="s">
        <v>62</v>
      </c>
      <c r="C16" s="160" t="s">
        <v>60</v>
      </c>
      <c r="D16" s="216">
        <f>IFERROR(VLOOKUP($B16&amp;$C16,'C. Gestión Pto #2'!$B$4:C$22,MATCH(D$5,'C. Gestión Pto #2'!$B$4:C$4,0),FALSE),0)</f>
        <v>0</v>
      </c>
      <c r="E16" s="216">
        <f>IFERROR(VLOOKUP($B16&amp;$C16,'C. Gestión Pto #2'!$B$4:D$22,MATCH(E$5,'C. Gestión Pto #2'!$B$4:D$4,0),FALSE),0)</f>
        <v>0</v>
      </c>
      <c r="F16" s="216">
        <f>IFERROR(VLOOKUP($B16&amp;$C16,'C. Gestión Pto #2'!$B$4:E$22,MATCH(F$5,'C. Gestión Pto #2'!$B$4:E$4,0),FALSE),0)</f>
        <v>0</v>
      </c>
      <c r="G16" s="216">
        <f>IFERROR(VLOOKUP($B16&amp;$C16,'C. Gestión Pto #2'!$B$4:F$22,MATCH(G$5,'C. Gestión Pto #2'!$B$4:F$4,0),FALSE),0)</f>
        <v>0</v>
      </c>
      <c r="H16" s="216">
        <f>IFERROR(VLOOKUP($B16&amp;$C16,'C. Gestión Pto #2'!$B$4:G$22,MATCH(H$5,'C. Gestión Pto #2'!$B$4:G$4,0),FALSE),0)</f>
        <v>0</v>
      </c>
      <c r="I16" s="216">
        <f>IFERROR(VLOOKUP($B16&amp;$C16,'C. Gestión Pto #2'!$B$4:H$22,MATCH(I$5,'C. Gestión Pto #2'!$B$4:H$4,0),FALSE),0)</f>
        <v>0</v>
      </c>
      <c r="J16" s="216">
        <f>IFERROR(VLOOKUP($B16&amp;$C16,'C. Gestión Pto #2'!$B$4:I$22,MATCH(J$5,'C. Gestión Pto #2'!$B$4:I$4,0),FALSE),0)</f>
        <v>43528.94</v>
      </c>
      <c r="K16" s="216">
        <f>IFERROR(VLOOKUP($B16&amp;$C16,'C. Gestión Pto #2'!$B$4:J$22,MATCH(K$5,'C. Gestión Pto #2'!$B$4:J$4,0),FALSE),0)</f>
        <v>493967.79</v>
      </c>
      <c r="L16" s="216">
        <f>IFERROR(VLOOKUP($B16&amp;$C16,'C. Gestión Pto #2'!$B$4:K$22,MATCH(L$5,'C. Gestión Pto #2'!$B$4:K$4,0),FALSE),0)</f>
        <v>503642.81000000006</v>
      </c>
      <c r="M16" s="216">
        <f>IFERROR(VLOOKUP($B16&amp;$C16,'C. Gestión Pto #2'!$B$4:L$22,MATCH(M$5,'C. Gestión Pto #2'!$B$4:L$4,0),FALSE),0)</f>
        <v>343399.45</v>
      </c>
      <c r="N16" s="216">
        <f>IFERROR(VLOOKUP($B16&amp;$C16,'C. Gestión Pto #2'!$B$4:M$22,MATCH(N$5,'C. Gestión Pto #2'!$B$4:M$4,0),FALSE),0)</f>
        <v>13007537.219999999</v>
      </c>
      <c r="O16" s="216">
        <f>IFERROR(VLOOKUP($B16&amp;$C16,'C. Gestión Pto #2'!$B$4:N$22,MATCH(O$5,'C. Gestión Pto #2'!$B$4:N$4,0),FALSE),0)</f>
        <v>3518484.5700000003</v>
      </c>
      <c r="P16" s="216">
        <f>IFERROR(VLOOKUP($B16&amp;$C16,'C. Gestión Pto #2'!$B$4:O$22,MATCH(P$5,'C. Gestión Pto #2'!$B$4:O$4,0),FALSE),0)</f>
        <v>1477363.4699999997</v>
      </c>
      <c r="Q16" s="216">
        <f>IFERROR(VLOOKUP($B16&amp;$C16,'C. Gestión Pto #2'!$B$4:Q$22,MATCH(Q$5,'C. Gestión Pto #2'!$B$4:Q$4,0),FALSE),0)</f>
        <v>2864564.55</v>
      </c>
      <c r="R16" s="216">
        <f>IFERROR(VLOOKUP($B16&amp;$C16,'C. Gestión Pto #2'!$B$4:R$22,MATCH(R$5,'C. Gestión Pto #2'!$B$4:R$4,0),FALSE),0)</f>
        <v>6304561.5599999996</v>
      </c>
      <c r="S16" s="216">
        <f>IFERROR(VLOOKUP($B16&amp;$C16,'C. Gestión Pto #2'!$B$4:S$22,MATCH(S$5,'C. Gestión Pto #2'!$B$4:S$4,0),FALSE),0)</f>
        <v>6343465.5</v>
      </c>
      <c r="T16" s="216">
        <f>IFERROR(VLOOKUP($B16&amp;$C16,'C. Gestión Pto #2'!$B$4:T$22,MATCH(T$5,'C. Gestión Pto #2'!$B$4:T$4,0),FALSE),0)</f>
        <v>1587335.5399999998</v>
      </c>
      <c r="U16" s="265"/>
      <c r="V16" s="216" cm="1">
        <f t="array" ref="V16">SUMPRODUCT($D16:$U16,TRANSPOSE('Indice CAC'!$D$2:$D$19))</f>
        <v>30259046.269270539</v>
      </c>
      <c r="W16" s="266"/>
      <c r="X16" s="216">
        <f ca="1">SUM(IF($C16="MAT",SUMIF('P. Costo'!$A$61:$A$233,$B16,'P. Costo'!$I$61:$I$163),IF($C16="MO",SUMIF('P. Costo'!$A$61:$A$233,$B16,'P. Costo'!$L$61:$L$233),SUMIF('P. Costo'!$A$61:$A$233,$B16,'P. Costo'!$N$61:$N$233))),IF($C16="MAT",SUMIF('P. Costo'!$A$8:$A$58,$B16,'P. Costo'!$I$8:$I$58),IF($C16="MO",SUMIF('P. Costo'!$A$8:$A$58,$B16,'P. Costo'!$L$8:$L$58),SUMIF('P. Costo'!$A$8:$A$58,$B16,'P. Costo'!$N$8:$N$58))))</f>
        <v>65392824.667366937</v>
      </c>
      <c r="Y16" s="1179">
        <f>IF($C16="MAT",SUMIF('Cert. Pto. 02'!$A$10:$A$194,'Resumen Pto #2'!$B16,'Cert. Pto. 02'!$T$10:$T$194),IF($C16="MO",SUMIF('Cert. Pto. 02'!$A$10:$A$194,$B16,'Cert. Pto. 02'!$U$10:$U$194),SUMIF('Cert. Pto. 02'!$A$10:$A$194,$B16,'Cert. Pto. 02'!$V$10:$V$194)))/IF($C16="MAT",SUMIF('Cert. Pto. 02'!$A$10:$A$194,'Resumen Pto #2'!$B16,'Cert. Pto. 02'!$I$10:$I$194),IF('Resumen Pto #2'!$C16="MO",SUMIF('Cert. Pto. 02'!$A$10:$A$194,$B16,'Cert. Pto. 02'!$J$10:$J$194),SUMIF('Cert. Pto. 02'!$A$10:$A$194,$B16,'Cert. Pto. 02'!$K$10:$K$194)))</f>
        <v>0.31906124313931566</v>
      </c>
      <c r="Z16" s="274">
        <f t="shared" ref="Z16:Z29" ca="1" si="21">IF(Y16=100%,0,IF(OR(V16&lt;&gt;0,X16),X16-V16))</f>
        <v>35133778.398096398</v>
      </c>
      <c r="AA16" s="263">
        <f t="shared" ref="AA16:AA29" ca="1" si="22">IF(OR(Z16&lt;0,X16),Z16/X16,0%)</f>
        <v>0.5372726836133942</v>
      </c>
      <c r="AB16" s="274">
        <f t="shared" ref="AB16:AB28" si="23">IF(Y16=100%,IF(OR(G16&lt;&gt;0,X16),X16-G16),0)</f>
        <v>0</v>
      </c>
    </row>
    <row r="17" spans="2:31" x14ac:dyDescent="0.35">
      <c r="B17" s="66" t="s">
        <v>62</v>
      </c>
      <c r="C17" s="160" t="s">
        <v>61</v>
      </c>
      <c r="D17" s="216">
        <f>IFERROR(VLOOKUP($B17&amp;$C17,'C. Gestión Pto #2'!$B$4:C$22,MATCH(D$5,'C. Gestión Pto #2'!$B$4:C$4,0),FALSE),0)</f>
        <v>0</v>
      </c>
      <c r="E17" s="216">
        <f>IFERROR(VLOOKUP($B17&amp;$C17,'C. Gestión Pto #2'!$B$4:D$22,MATCH(E$5,'C. Gestión Pto #2'!$B$4:D$4,0),FALSE),0)</f>
        <v>0</v>
      </c>
      <c r="F17" s="216">
        <f>IFERROR(VLOOKUP($B17&amp;$C17,'C. Gestión Pto #2'!$B$4:E$22,MATCH(F$5,'C. Gestión Pto #2'!$B$4:E$4,0),FALSE),0)</f>
        <v>725487</v>
      </c>
      <c r="G17" s="216">
        <f>IFERROR(VLOOKUP($B17&amp;$C17,'C. Gestión Pto #2'!$B$4:F$22,MATCH(G$5,'C. Gestión Pto #2'!$B$4:F$4,0),FALSE),0)</f>
        <v>3309015.8200000003</v>
      </c>
      <c r="H17" s="216">
        <f>IFERROR(VLOOKUP($B17&amp;$C17,'C. Gestión Pto #2'!$B$4:G$22,MATCH(H$5,'C. Gestión Pto #2'!$B$4:G$4,0),FALSE),0)</f>
        <v>3592574</v>
      </c>
      <c r="I17" s="216">
        <f>IFERROR(VLOOKUP($B17&amp;$C17,'C. Gestión Pto #2'!$B$4:H$22,MATCH(I$5,'C. Gestión Pto #2'!$B$4:H$4,0),FALSE),0)</f>
        <v>3991998.6869188421</v>
      </c>
      <c r="J17" s="216">
        <f>IFERROR(VLOOKUP($B17&amp;$C17,'C. Gestión Pto #2'!$B$4:I$22,MATCH(J$5,'C. Gestión Pto #2'!$B$4:I$4,0),FALSE),0)</f>
        <v>4723373.5200560717</v>
      </c>
      <c r="K17" s="216">
        <f>IFERROR(VLOOKUP($B17&amp;$C17,'C. Gestión Pto #2'!$B$4:J$22,MATCH(K$5,'C. Gestión Pto #2'!$B$4:J$4,0),FALSE),0)</f>
        <v>6711151</v>
      </c>
      <c r="L17" s="216">
        <f>IFERROR(VLOOKUP($B17&amp;$C17,'C. Gestión Pto #2'!$B$4:K$22,MATCH(L$5,'C. Gestión Pto #2'!$B$4:K$4,0),FALSE),0)</f>
        <v>5712430.6100000013</v>
      </c>
      <c r="M17" s="216">
        <f>IFERROR(VLOOKUP($B17&amp;$C17,'C. Gestión Pto #2'!$B$4:L$22,MATCH(M$5,'C. Gestión Pto #2'!$B$4:L$4,0),FALSE),0)</f>
        <v>7745412.9502389869</v>
      </c>
      <c r="N17" s="216">
        <f>IFERROR(VLOOKUP($B17&amp;$C17,'C. Gestión Pto #2'!$B$4:M$22,MATCH(N$5,'C. Gestión Pto #2'!$B$4:M$4,0),FALSE),0)</f>
        <v>8032802.8257497745</v>
      </c>
      <c r="O17" s="216">
        <f>IFERROR(VLOOKUP($B17&amp;$C17,'C. Gestión Pto #2'!$B$4:N$22,MATCH(O$5,'C. Gestión Pto #2'!$B$4:N$4,0),FALSE),0)</f>
        <v>14055081.798555665</v>
      </c>
      <c r="P17" s="216">
        <f>IFERROR(VLOOKUP($B17&amp;$C17,'C. Gestión Pto #2'!$B$4:O$22,MATCH(P$5,'C. Gestión Pto #2'!$B$4:O$4,0),FALSE),0)</f>
        <v>20262004.756642431</v>
      </c>
      <c r="Q17" s="216">
        <f>IFERROR(VLOOKUP($B17&amp;$C17,'C. Gestión Pto #2'!$B$4:Q$22,MATCH(Q$5,'C. Gestión Pto #2'!$B$4:Q$4,0),FALSE),0)</f>
        <v>21581644.656030096</v>
      </c>
      <c r="R17" s="216">
        <f>IFERROR(VLOOKUP($B17&amp;$C17,'C. Gestión Pto #2'!$B$4:R$22,MATCH(R$5,'C. Gestión Pto #2'!$B$4:R$4,0),FALSE),0)</f>
        <v>21958232.083802946</v>
      </c>
      <c r="S17" s="216">
        <f>IFERROR(VLOOKUP($B17&amp;$C17,'C. Gestión Pto #2'!$B$4:S$22,MATCH(S$5,'C. Gestión Pto #2'!$B$4:S$4,0),FALSE),0)</f>
        <v>28378747.491170816</v>
      </c>
      <c r="T17" s="216">
        <f>IFERROR(VLOOKUP($B17&amp;$C17,'C. Gestión Pto #2'!$B$4:T$22,MATCH(T$5,'C. Gestión Pto #2'!$B$4:T$4,0),FALSE),0)</f>
        <v>1829165</v>
      </c>
      <c r="U17" s="265"/>
      <c r="V17" s="216" cm="1">
        <f t="array" ref="V17">SUMPRODUCT($D17:$U17,TRANSPOSE('Indice CAC'!$D$2:$D$19))</f>
        <v>128176176.48317984</v>
      </c>
      <c r="W17" s="266"/>
      <c r="X17" s="216">
        <f>SUM(IF($C17="MAT",SUMIF('P. Costo'!$A$61:$A$233,$B17,'P. Costo'!$I$61:$I$163),IF($C17="MO",SUMIF('P. Costo'!$A$61:$A$233,$B17,'P. Costo'!$L$61:$L$233),SUMIF('P. Costo'!$A$61:$A$233,$B17,'P. Costo'!$N$61:$N$233))),IF($C17="MAT",SUMIF('P. Costo'!$A$8:$A$58,$B17,'P. Costo'!$I$8:$I$58),IF($C17="MO",SUMIF('P. Costo'!$A$8:$A$58,$B17,'P. Costo'!$L$8:$L$58),SUMIF('P. Costo'!$A$8:$A$58,$B17,'P. Costo'!$N$8:$N$58))))</f>
        <v>132573667.88143596</v>
      </c>
      <c r="Y17" s="1179">
        <f>IF($C17="MAT",SUMIF('Cert. Pto. 02'!$A$10:$A$194,'Resumen Pto #2'!$B17,'Cert. Pto. 02'!$T$10:$T$194),IF($C17="MO",SUMIF('Cert. Pto. 02'!$A$10:$A$194,$B17,'Cert. Pto. 02'!$U$10:$U$194),SUMIF('Cert. Pto. 02'!$A$10:$A$194,$B17,'Cert. Pto. 02'!$V$10:$V$194)))/IF($C17="MAT",SUMIF('Cert. Pto. 02'!$A$10:$A$194,'Resumen Pto #2'!$B17,'Cert. Pto. 02'!$I$10:$I$194),IF('Resumen Pto #2'!$C17="MO",SUMIF('Cert. Pto. 02'!$A$10:$A$194,$B17,'Cert. Pto. 02'!$J$10:$J$194),SUMIF('Cert. Pto. 02'!$A$10:$A$194,$B17,'Cert. Pto. 02'!$K$10:$K$194)))</f>
        <v>0.42958141936883171</v>
      </c>
      <c r="Z17" s="274">
        <f t="shared" si="21"/>
        <v>4397491.3982561231</v>
      </c>
      <c r="AA17" s="263">
        <f t="shared" si="22"/>
        <v>3.3170172241058553E-2</v>
      </c>
      <c r="AB17" s="274">
        <f t="shared" si="23"/>
        <v>0</v>
      </c>
      <c r="AE17" s="267"/>
    </row>
    <row r="18" spans="2:31" x14ac:dyDescent="0.35">
      <c r="B18" s="66" t="s">
        <v>63</v>
      </c>
      <c r="C18" s="160" t="s">
        <v>60</v>
      </c>
      <c r="D18" s="216">
        <f>IFERROR(VLOOKUP($B18&amp;$C18,'C. Gestión Pto #2'!$B$4:C$22,MATCH(D$5,'C. Gestión Pto #2'!$B$4:C$4,0),FALSE),0)</f>
        <v>0</v>
      </c>
      <c r="E18" s="216">
        <f>IFERROR(VLOOKUP($B18&amp;$C18,'C. Gestión Pto #2'!$B$4:D$22,MATCH(E$5,'C. Gestión Pto #2'!$B$4:D$4,0),FALSE),0)</f>
        <v>0</v>
      </c>
      <c r="F18" s="216">
        <f>IFERROR(VLOOKUP($B18&amp;$C18,'C. Gestión Pto #2'!$B$4:E$22,MATCH(F$5,'C. Gestión Pto #2'!$B$4:E$4,0),FALSE),0)</f>
        <v>0</v>
      </c>
      <c r="G18" s="216">
        <f>IFERROR(VLOOKUP($B18&amp;$C18,'C. Gestión Pto #2'!$B$4:F$22,MATCH(G$5,'C. Gestión Pto #2'!$B$4:F$4,0),FALSE),0)</f>
        <v>0</v>
      </c>
      <c r="H18" s="216">
        <f>IFERROR(VLOOKUP($B18&amp;$C18,'C. Gestión Pto #2'!$B$4:G$22,MATCH(H$5,'C. Gestión Pto #2'!$B$4:G$4,0),FALSE),0)</f>
        <v>0</v>
      </c>
      <c r="I18" s="216">
        <f>IFERROR(VLOOKUP($B18&amp;$C18,'C. Gestión Pto #2'!$B$4:H$22,MATCH(I$5,'C. Gestión Pto #2'!$B$4:H$4,0),FALSE),0)</f>
        <v>0</v>
      </c>
      <c r="J18" s="216">
        <f>IFERROR(VLOOKUP($B18&amp;$C18,'C. Gestión Pto #2'!$B$4:I$22,MATCH(J$5,'C. Gestión Pto #2'!$B$4:I$4,0),FALSE),0)</f>
        <v>0</v>
      </c>
      <c r="K18" s="216">
        <f>IFERROR(VLOOKUP($B18&amp;$C18,'C. Gestión Pto #2'!$B$4:J$22,MATCH(K$5,'C. Gestión Pto #2'!$B$4:J$4,0),FALSE),0)</f>
        <v>0</v>
      </c>
      <c r="L18" s="216">
        <f>IFERROR(VLOOKUP($B18&amp;$C18,'C. Gestión Pto #2'!$B$4:K$22,MATCH(L$5,'C. Gestión Pto #2'!$B$4:K$4,0),FALSE),0)</f>
        <v>0</v>
      </c>
      <c r="M18" s="216">
        <f>IFERROR(VLOOKUP($B18&amp;$C18,'C. Gestión Pto #2'!$B$4:L$22,MATCH(M$5,'C. Gestión Pto #2'!$B$4:L$4,0),FALSE),0)</f>
        <v>0</v>
      </c>
      <c r="N18" s="216">
        <f>IFERROR(VLOOKUP($B18&amp;$C18,'C. Gestión Pto #2'!$B$4:M$22,MATCH(N$5,'C. Gestión Pto #2'!$B$4:M$4,0),FALSE),0)</f>
        <v>0</v>
      </c>
      <c r="O18" s="216">
        <f>IFERROR(VLOOKUP($B18&amp;$C18,'C. Gestión Pto #2'!$B$4:N$22,MATCH(O$5,'C. Gestión Pto #2'!$B$4:N$4,0),FALSE),0)</f>
        <v>0</v>
      </c>
      <c r="P18" s="216">
        <f>IFERROR(VLOOKUP($B18&amp;$C18,'C. Gestión Pto #2'!$B$4:O$22,MATCH(P$5,'C. Gestión Pto #2'!$B$4:O$4,0),FALSE),0)</f>
        <v>0</v>
      </c>
      <c r="Q18" s="216">
        <f>IFERROR(VLOOKUP($B18&amp;$C18,'C. Gestión Pto #2'!$B$4:Q$22,MATCH(Q$5,'C. Gestión Pto #2'!$B$4:Q$4,0),FALSE),0)</f>
        <v>7783423.7200000007</v>
      </c>
      <c r="R18" s="216">
        <f>IFERROR(VLOOKUP($B18&amp;$C18,'C. Gestión Pto #2'!$B$4:R$22,MATCH(R$5,'C. Gestión Pto #2'!$B$4:R$4,0),FALSE),0)</f>
        <v>0</v>
      </c>
      <c r="S18" s="216">
        <f>IFERROR(VLOOKUP($B18&amp;$C18,'C. Gestión Pto #2'!$B$4:S$22,MATCH(S$5,'C. Gestión Pto #2'!$B$4:S$4,0),FALSE),0)</f>
        <v>1583421.5</v>
      </c>
      <c r="T18" s="216">
        <f>IFERROR(VLOOKUP($B18&amp;$C18,'C. Gestión Pto #2'!$B$4:T$22,MATCH(T$5,'C. Gestión Pto #2'!$B$4:T$4,0),FALSE),0)</f>
        <v>0</v>
      </c>
      <c r="U18" s="265"/>
      <c r="V18" s="216" cm="1">
        <f t="array" ref="V18">SUMPRODUCT($D18:$U18,TRANSPOSE('Indice CAC'!$D$2:$D$19))</f>
        <v>7552799.6393511491</v>
      </c>
      <c r="W18" s="266"/>
      <c r="X18" s="216">
        <f ca="1">IF($C18="MAT",SUMIF('P. Costo'!$A$61:$A$233,$B18,'P. Costo'!$I$61:$I$163),IF($C18="MO",SUMIF('P. Costo'!$A$61:$A$233,$B18,'P. Costo'!$L$61:$L$233),SUMIF('P. Costo'!$A$61:$A$233,$B18,'P. Costo'!$N$61:$N$233)))</f>
        <v>13489970.347545855</v>
      </c>
      <c r="Y18" s="1179">
        <f>IF($C18="MAT",SUMIF('Cert. Pto. 02'!$A$10:$A$194,'Resumen Pto #2'!$B18,'Cert. Pto. 02'!$T$10:$T$194),IF($C18="MO",SUMIF('Cert. Pto. 02'!$A$10:$A$194,$B18,'Cert. Pto. 02'!$U$10:$U$194),SUMIF('Cert. Pto. 02'!$A$10:$A$194,$B18,'Cert. Pto. 02'!$V$10:$V$194)))/IF($C18="MAT",SUMIF('Cert. Pto. 02'!$A$10:$A$194,'Resumen Pto #2'!$B18,'Cert. Pto. 02'!$I$10:$I$194),IF('Resumen Pto #2'!$C18="MO",SUMIF('Cert. Pto. 02'!$A$10:$A$194,$B18,'Cert. Pto. 02'!$J$10:$J$194),SUMIF('Cert. Pto. 02'!$A$10:$A$194,$B18,'Cert. Pto. 02'!$K$10:$K$194)))</f>
        <v>9.1870847718350163E-2</v>
      </c>
      <c r="Z18" s="274">
        <f t="shared" ca="1" si="21"/>
        <v>5937170.7081947057</v>
      </c>
      <c r="AA18" s="263">
        <f t="shared" ca="1" si="22"/>
        <v>0.44011740242815417</v>
      </c>
      <c r="AB18" s="274">
        <f t="shared" si="23"/>
        <v>0</v>
      </c>
    </row>
    <row r="19" spans="2:31" x14ac:dyDescent="0.35">
      <c r="B19" s="66" t="s">
        <v>63</v>
      </c>
      <c r="C19" s="160" t="s">
        <v>61</v>
      </c>
      <c r="D19" s="216">
        <f>IFERROR(VLOOKUP($B19&amp;$C19,'C. Gestión Pto #2'!$B$4:C$22,MATCH(D$5,'C. Gestión Pto #2'!$B$4:C$4,0),FALSE),0)</f>
        <v>0</v>
      </c>
      <c r="E19" s="216">
        <f>IFERROR(VLOOKUP($B19&amp;$C19,'C. Gestión Pto #2'!$B$4:D$22,MATCH(E$5,'C. Gestión Pto #2'!$B$4:D$4,0),FALSE),0)</f>
        <v>0</v>
      </c>
      <c r="F19" s="216">
        <f>IFERROR(VLOOKUP($B19&amp;$C19,'C. Gestión Pto #2'!$B$4:E$22,MATCH(F$5,'C. Gestión Pto #2'!$B$4:E$4,0),FALSE),0)</f>
        <v>0</v>
      </c>
      <c r="G19" s="216">
        <f>IFERROR(VLOOKUP($B19&amp;$C19,'C. Gestión Pto #2'!$B$4:F$22,MATCH(G$5,'C. Gestión Pto #2'!$B$4:F$4,0),FALSE),0)</f>
        <v>0</v>
      </c>
      <c r="H19" s="216">
        <f>IFERROR(VLOOKUP($B19&amp;$C19,'C. Gestión Pto #2'!$B$4:G$22,MATCH(H$5,'C. Gestión Pto #2'!$B$4:G$4,0),FALSE),0)</f>
        <v>0</v>
      </c>
      <c r="I19" s="216">
        <f>IFERROR(VLOOKUP($B19&amp;$C19,'C. Gestión Pto #2'!$B$4:H$22,MATCH(I$5,'C. Gestión Pto #2'!$B$4:H$4,0),FALSE),0)</f>
        <v>0</v>
      </c>
      <c r="J19" s="216">
        <f>IFERROR(VLOOKUP($B19&amp;$C19,'C. Gestión Pto #2'!$B$4:I$22,MATCH(J$5,'C. Gestión Pto #2'!$B$4:I$4,0),FALSE),0)</f>
        <v>0</v>
      </c>
      <c r="K19" s="216">
        <f>IFERROR(VLOOKUP($B19&amp;$C19,'C. Gestión Pto #2'!$B$4:J$22,MATCH(K$5,'C. Gestión Pto #2'!$B$4:J$4,0),FALSE),0)</f>
        <v>0</v>
      </c>
      <c r="L19" s="216">
        <f>IFERROR(VLOOKUP($B19&amp;$C19,'C. Gestión Pto #2'!$B$4:K$22,MATCH(L$5,'C. Gestión Pto #2'!$B$4:K$4,0),FALSE),0)</f>
        <v>0</v>
      </c>
      <c r="M19" s="216">
        <f>IFERROR(VLOOKUP($B19&amp;$C19,'C. Gestión Pto #2'!$B$4:L$22,MATCH(M$5,'C. Gestión Pto #2'!$B$4:L$4,0),FALSE),0)</f>
        <v>0</v>
      </c>
      <c r="N19" s="216">
        <f>IFERROR(VLOOKUP($B19&amp;$C19,'C. Gestión Pto #2'!$B$4:M$22,MATCH(N$5,'C. Gestión Pto #2'!$B$4:M$4,0),FALSE),0)</f>
        <v>0</v>
      </c>
      <c r="O19" s="216">
        <f>IFERROR(VLOOKUP($B19&amp;$C19,'C. Gestión Pto #2'!$B$4:N$22,MATCH(O$5,'C. Gestión Pto #2'!$B$4:N$4,0),FALSE),0)</f>
        <v>0</v>
      </c>
      <c r="P19" s="216">
        <f>IFERROR(VLOOKUP($B19&amp;$C19,'C. Gestión Pto #2'!$B$4:O$22,MATCH(P$5,'C. Gestión Pto #2'!$B$4:O$4,0),FALSE),0)</f>
        <v>0</v>
      </c>
      <c r="Q19" s="216">
        <f>IFERROR(VLOOKUP($B19&amp;$C19,'C. Gestión Pto #2'!$B$4:Q$22,MATCH(Q$5,'C. Gestión Pto #2'!$B$4:Q$4,0),FALSE),0)</f>
        <v>0</v>
      </c>
      <c r="R19" s="216">
        <f>IFERROR(VLOOKUP($B19&amp;$C19,'C. Gestión Pto #2'!$B$4:R$22,MATCH(R$5,'C. Gestión Pto #2'!$B$4:R$4,0),FALSE),0)</f>
        <v>2400000</v>
      </c>
      <c r="S19" s="216">
        <f>IFERROR(VLOOKUP($B19&amp;$C19,'C. Gestión Pto #2'!$B$4:S$22,MATCH(S$5,'C. Gestión Pto #2'!$B$4:S$4,0),FALSE),0)</f>
        <v>7589829</v>
      </c>
      <c r="T19" s="216">
        <f>IFERROR(VLOOKUP($B19&amp;$C19,'C. Gestión Pto #2'!$B$4:T$22,MATCH(T$5,'C. Gestión Pto #2'!$B$4:T$4,0),FALSE),0)</f>
        <v>3175584</v>
      </c>
      <c r="U19" s="265"/>
      <c r="V19" s="216" cm="1">
        <f t="array" ref="V19">SUMPRODUCT($D19:$U19,TRANSPOSE('Indice CAC'!$D$2:$D$19))</f>
        <v>10896814.163907977</v>
      </c>
      <c r="W19" s="266"/>
      <c r="X19" s="216">
        <f>IF($C19="MAT",SUMIF('P. Costo'!$A$61:$A$233,$B19,'P. Costo'!$I$61:$I$163),IF($C19="MO",SUMIF('P. Costo'!$A$61:$A$233,$B19,'P. Costo'!$L$61:$L$233),SUMIF('P. Costo'!$A$61:$A$233,$B19,'P. Costo'!$N$61:$N$233)))</f>
        <v>38496186.260370173</v>
      </c>
      <c r="Y19" s="1179">
        <f>IF($C19="MAT",SUMIF('Cert. Pto. 02'!$A$10:$A$194,'Resumen Pto #2'!$B19,'Cert. Pto. 02'!$T$10:$T$194),IF($C19="MO",SUMIF('Cert. Pto. 02'!$A$10:$A$194,$B19,'Cert. Pto. 02'!$U$10:$U$194),SUMIF('Cert. Pto. 02'!$A$10:$A$194,$B19,'Cert. Pto. 02'!$V$10:$V$194)))/IF($C19="MAT",SUMIF('Cert. Pto. 02'!$A$10:$A$194,'Resumen Pto #2'!$B19,'Cert. Pto. 02'!$I$10:$I$194),IF('Resumen Pto #2'!$C19="MO",SUMIF('Cert. Pto. 02'!$A$10:$A$194,$B19,'Cert. Pto. 02'!$J$10:$J$194),SUMIF('Cert. Pto. 02'!$A$10:$A$194,$B19,'Cert. Pto. 02'!$K$10:$K$194)))</f>
        <v>4.5566874078801028E-2</v>
      </c>
      <c r="Z19" s="274">
        <f t="shared" si="21"/>
        <v>27599372.096462198</v>
      </c>
      <c r="AA19" s="263">
        <f t="shared" si="22"/>
        <v>0.71693782625096869</v>
      </c>
      <c r="AB19" s="274">
        <f t="shared" si="23"/>
        <v>0</v>
      </c>
    </row>
    <row r="20" spans="2:31" x14ac:dyDescent="0.35">
      <c r="B20" s="66" t="s">
        <v>64</v>
      </c>
      <c r="C20" s="166" t="s">
        <v>60</v>
      </c>
      <c r="D20" s="216">
        <f>IFERROR(VLOOKUP($B20&amp;$C20,'C. Gestión Pto #2'!$B$4:C$22,MATCH(D$5,'C. Gestión Pto #2'!$B$4:C$4,0),FALSE),0)</f>
        <v>0</v>
      </c>
      <c r="E20" s="216">
        <f>IFERROR(VLOOKUP($B20&amp;$C20,'C. Gestión Pto #2'!$B$4:D$22,MATCH(E$5,'C. Gestión Pto #2'!$B$4:D$4,0),FALSE),0)</f>
        <v>0</v>
      </c>
      <c r="F20" s="216">
        <f>IFERROR(VLOOKUP($B20&amp;$C20,'C. Gestión Pto #2'!$B$4:E$22,MATCH(F$5,'C. Gestión Pto #2'!$B$4:E$4,0),FALSE),0)</f>
        <v>0</v>
      </c>
      <c r="G20" s="216">
        <f>IFERROR(VLOOKUP($B20&amp;$C20,'C. Gestión Pto #2'!$B$4:F$22,MATCH(G$5,'C. Gestión Pto #2'!$B$4:F$4,0),FALSE),0)</f>
        <v>0</v>
      </c>
      <c r="H20" s="216">
        <f>IFERROR(VLOOKUP($B20&amp;$C20,'C. Gestión Pto #2'!$B$4:G$22,MATCH(H$5,'C. Gestión Pto #2'!$B$4:G$4,0),FALSE),0)</f>
        <v>0</v>
      </c>
      <c r="I20" s="216">
        <f>IFERROR(VLOOKUP($B20&amp;$C20,'C. Gestión Pto #2'!$B$4:H$22,MATCH(I$5,'C. Gestión Pto #2'!$B$4:H$4,0),FALSE),0)</f>
        <v>0</v>
      </c>
      <c r="J20" s="216">
        <f>IFERROR(VLOOKUP($B20&amp;$C20,'C. Gestión Pto #2'!$B$4:I$22,MATCH(J$5,'C. Gestión Pto #2'!$B$4:I$4,0),FALSE),0)</f>
        <v>0</v>
      </c>
      <c r="K20" s="216">
        <f>IFERROR(VLOOKUP($B20&amp;$C20,'C. Gestión Pto #2'!$B$4:J$22,MATCH(K$5,'C. Gestión Pto #2'!$B$4:J$4,0),FALSE),0)</f>
        <v>0</v>
      </c>
      <c r="L20" s="216">
        <f>IFERROR(VLOOKUP($B20&amp;$C20,'C. Gestión Pto #2'!$B$4:K$22,MATCH(L$5,'C. Gestión Pto #2'!$B$4:K$4,0),FALSE),0)</f>
        <v>0</v>
      </c>
      <c r="M20" s="216">
        <f>IFERROR(VLOOKUP($B20&amp;$C20,'C. Gestión Pto #2'!$B$4:L$22,MATCH(M$5,'C. Gestión Pto #2'!$B$4:L$4,0),FALSE),0)</f>
        <v>0</v>
      </c>
      <c r="N20" s="216">
        <f>IFERROR(VLOOKUP($B20&amp;$C20,'C. Gestión Pto #2'!$B$4:M$22,MATCH(N$5,'C. Gestión Pto #2'!$B$4:M$4,0),FALSE),0)</f>
        <v>0</v>
      </c>
      <c r="O20" s="216">
        <f>IFERROR(VLOOKUP($B20&amp;$C20,'C. Gestión Pto #2'!$B$4:N$22,MATCH(O$5,'C. Gestión Pto #2'!$B$4:N$4,0),FALSE),0)</f>
        <v>0</v>
      </c>
      <c r="P20" s="216">
        <f>IFERROR(VLOOKUP($B20&amp;$C20,'C. Gestión Pto #2'!$B$4:O$22,MATCH(P$5,'C. Gestión Pto #2'!$B$4:O$4,0),FALSE),0)</f>
        <v>0</v>
      </c>
      <c r="Q20" s="216">
        <f>IFERROR(VLOOKUP($B20&amp;$C20,'C. Gestión Pto #2'!$B$4:Q$22,MATCH(Q$5,'C. Gestión Pto #2'!$B$4:Q$4,0),FALSE),0)</f>
        <v>116399.22</v>
      </c>
      <c r="R20" s="216">
        <f>IFERROR(VLOOKUP($B20&amp;$C20,'C. Gestión Pto #2'!$B$4:R$22,MATCH(R$5,'C. Gestión Pto #2'!$B$4:R$4,0),FALSE),0)</f>
        <v>0</v>
      </c>
      <c r="S20" s="216">
        <f>IFERROR(VLOOKUP($B20&amp;$C20,'C. Gestión Pto #2'!$B$4:S$22,MATCH(S$5,'C. Gestión Pto #2'!$B$4:S$4,0),FALSE),0)</f>
        <v>46767.16</v>
      </c>
      <c r="T20" s="216">
        <f>IFERROR(VLOOKUP($B20&amp;$C20,'C. Gestión Pto #2'!$B$4:T$22,MATCH(T$5,'C. Gestión Pto #2'!$B$4:T$4,0),FALSE),0)</f>
        <v>0</v>
      </c>
      <c r="U20" s="265"/>
      <c r="V20" s="216" cm="1">
        <f t="array" ref="V20">SUMPRODUCT($D20:$U20,TRANSPOSE('Indice CAC'!$D$2:$D$19))</f>
        <v>132350.94908341311</v>
      </c>
      <c r="W20" s="266"/>
      <c r="X20" s="216">
        <f ca="1">IF($C20="MAT",SUMIF('P. Costo'!$A$61:$A$233,$B20,'P. Costo'!$I$61:$I$163),IF($C20="MO",SUMIF('P. Costo'!$A$61:$A$233,$B20,'P. Costo'!$L$61:$L$233),SUMIF('P. Costo'!$A$61:$A$233,$B20,'P. Costo'!$N$61:$N$233)))</f>
        <v>19488570.160900746</v>
      </c>
      <c r="Y20" s="1179">
        <f>IF($C20="MAT",SUMIF('Cert. Pto. 02'!$A$10:$A$194,'Resumen Pto #2'!$B20,'Cert. Pto. 02'!$T$10:$T$194),IF($C20="MO",SUMIF('Cert. Pto. 02'!$A$10:$A$194,$B20,'Cert. Pto. 02'!$U$10:$U$194),SUMIF('Cert. Pto. 02'!$A$10:$A$194,$B20,'Cert. Pto. 02'!$V$10:$V$194)))/IF($C20="MAT",SUMIF('Cert. Pto. 02'!$A$10:$A$194,'Resumen Pto #2'!$B20,'Cert. Pto. 02'!$I$10:$I$194),IF('Resumen Pto #2'!$C20="MO",SUMIF('Cert. Pto. 02'!$A$10:$A$194,$B20,'Cert. Pto. 02'!$J$10:$J$194),SUMIF('Cert. Pto. 02'!$A$10:$A$194,$B20,'Cert. Pto. 02'!$K$10:$K$194)))</f>
        <v>0</v>
      </c>
      <c r="Z20" s="274">
        <f t="shared" ca="1" si="21"/>
        <v>19356219.211817332</v>
      </c>
      <c r="AA20" s="263">
        <f t="shared" ca="1" si="22"/>
        <v>0.99320879120475725</v>
      </c>
      <c r="AB20" s="274">
        <f t="shared" si="23"/>
        <v>0</v>
      </c>
    </row>
    <row r="21" spans="2:31" x14ac:dyDescent="0.35">
      <c r="B21" s="66" t="s">
        <v>64</v>
      </c>
      <c r="C21" s="166" t="s">
        <v>61</v>
      </c>
      <c r="D21" s="216">
        <f>IFERROR(VLOOKUP($B21&amp;$C21,'C. Gestión Pto #2'!$B$4:C$22,MATCH(D$5,'C. Gestión Pto #2'!$B$4:C$4,0),FALSE),0)</f>
        <v>0</v>
      </c>
      <c r="E21" s="216">
        <f>IFERROR(VLOOKUP($B21&amp;$C21,'C. Gestión Pto #2'!$B$4:D$22,MATCH(E$5,'C. Gestión Pto #2'!$B$4:D$4,0),FALSE),0)</f>
        <v>0</v>
      </c>
      <c r="F21" s="216">
        <f>IFERROR(VLOOKUP($B21&amp;$C21,'C. Gestión Pto #2'!$B$4:E$22,MATCH(F$5,'C. Gestión Pto #2'!$B$4:E$4,0),FALSE),0)</f>
        <v>0</v>
      </c>
      <c r="G21" s="216">
        <f>IFERROR(VLOOKUP($B21&amp;$C21,'C. Gestión Pto #2'!$B$4:F$22,MATCH(G$5,'C. Gestión Pto #2'!$B$4:F$4,0),FALSE),0)</f>
        <v>0</v>
      </c>
      <c r="H21" s="216">
        <f>IFERROR(VLOOKUP($B21&amp;$C21,'C. Gestión Pto #2'!$B$4:G$22,MATCH(H$5,'C. Gestión Pto #2'!$B$4:G$4,0),FALSE),0)</f>
        <v>0</v>
      </c>
      <c r="I21" s="216">
        <f>IFERROR(VLOOKUP($B21&amp;$C21,'C. Gestión Pto #2'!$B$4:H$22,MATCH(I$5,'C. Gestión Pto #2'!$B$4:H$4,0),FALSE),0)</f>
        <v>0</v>
      </c>
      <c r="J21" s="216">
        <f>IFERROR(VLOOKUP($B21&amp;$C21,'C. Gestión Pto #2'!$B$4:I$22,MATCH(J$5,'C. Gestión Pto #2'!$B$4:I$4,0),FALSE),0)</f>
        <v>0</v>
      </c>
      <c r="K21" s="216">
        <f>IFERROR(VLOOKUP($B21&amp;$C21,'C. Gestión Pto #2'!$B$4:J$22,MATCH(K$5,'C. Gestión Pto #2'!$B$4:J$4,0),FALSE),0)</f>
        <v>0</v>
      </c>
      <c r="L21" s="216">
        <f>IFERROR(VLOOKUP($B21&amp;$C21,'C. Gestión Pto #2'!$B$4:K$22,MATCH(L$5,'C. Gestión Pto #2'!$B$4:K$4,0),FALSE),0)</f>
        <v>0</v>
      </c>
      <c r="M21" s="216">
        <f>IFERROR(VLOOKUP($B21&amp;$C21,'C. Gestión Pto #2'!$B$4:L$22,MATCH(M$5,'C. Gestión Pto #2'!$B$4:L$4,0),FALSE),0)</f>
        <v>0</v>
      </c>
      <c r="N21" s="216">
        <f>IFERROR(VLOOKUP($B21&amp;$C21,'C. Gestión Pto #2'!$B$4:M$22,MATCH(N$5,'C. Gestión Pto #2'!$B$4:M$4,0),FALSE),0)</f>
        <v>0</v>
      </c>
      <c r="O21" s="216">
        <f>IFERROR(VLOOKUP($B21&amp;$C21,'C. Gestión Pto #2'!$B$4:N$22,MATCH(O$5,'C. Gestión Pto #2'!$B$4:N$4,0),FALSE),0)</f>
        <v>0</v>
      </c>
      <c r="P21" s="216">
        <f>IFERROR(VLOOKUP($B21&amp;$C21,'C. Gestión Pto #2'!$B$4:O$22,MATCH(P$5,'C. Gestión Pto #2'!$B$4:O$4,0),FALSE),0)</f>
        <v>0</v>
      </c>
      <c r="Q21" s="216">
        <f>IFERROR(VLOOKUP($B21&amp;$C21,'C. Gestión Pto #2'!$B$4:Q$22,MATCH(Q$5,'C. Gestión Pto #2'!$B$4:Q$4,0),FALSE),0)</f>
        <v>0</v>
      </c>
      <c r="R21" s="216">
        <f>IFERROR(VLOOKUP($B21&amp;$C21,'C. Gestión Pto #2'!$B$4:R$22,MATCH(R$5,'C. Gestión Pto #2'!$B$4:R$4,0),FALSE),0)</f>
        <v>0</v>
      </c>
      <c r="S21" s="216">
        <f>IFERROR(VLOOKUP($B21&amp;$C21,'C. Gestión Pto #2'!$B$4:S$22,MATCH(S$5,'C. Gestión Pto #2'!$B$4:S$4,0),FALSE),0)</f>
        <v>0</v>
      </c>
      <c r="T21" s="216">
        <f>IFERROR(VLOOKUP($B21&amp;$C21,'C. Gestión Pto #2'!$B$4:T$22,MATCH(T$5,'C. Gestión Pto #2'!$B$4:T$4,0),FALSE),0)</f>
        <v>0</v>
      </c>
      <c r="U21" s="265"/>
      <c r="V21" s="216" cm="1">
        <f t="array" ref="V21">SUMPRODUCT($D21:$U21,TRANSPOSE('Indice CAC'!$D$2:$D$19))</f>
        <v>0</v>
      </c>
      <c r="W21" s="266"/>
      <c r="X21" s="216">
        <f>IF($C21="MAT",SUMIF('P. Costo'!$A$61:$A$233,$B21,'P. Costo'!$I$61:$I$163),IF($C21="MO",SUMIF('P. Costo'!$A$61:$A$233,$B21,'P. Costo'!$L$61:$L$233),SUMIF('P. Costo'!$A$61:$A$233,$B21,'P. Costo'!$N$61:$N$233)))</f>
        <v>40879544.621381879</v>
      </c>
      <c r="Y21" s="1179">
        <f>IF($C21="MAT",SUMIF('Cert. Pto. 02'!$A$10:$A$194,'Resumen Pto #2'!$B21,'Cert. Pto. 02'!$T$10:$T$194),IF($C21="MO",SUMIF('Cert. Pto. 02'!$A$10:$A$194,$B21,'Cert. Pto. 02'!$U$10:$U$194),SUMIF('Cert. Pto. 02'!$A$10:$A$194,$B21,'Cert. Pto. 02'!$V$10:$V$194)))/IF($C21="MAT",SUMIF('Cert. Pto. 02'!$A$10:$A$194,'Resumen Pto #2'!$B21,'Cert. Pto. 02'!$I$10:$I$194),IF('Resumen Pto #2'!$C21="MO",SUMIF('Cert. Pto. 02'!$A$10:$A$194,$B21,'Cert. Pto. 02'!$J$10:$J$194),SUMIF('Cert. Pto. 02'!$A$10:$A$194,$B21,'Cert. Pto. 02'!$K$10:$K$194)))</f>
        <v>0</v>
      </c>
      <c r="Z21" s="274">
        <f t="shared" si="21"/>
        <v>40879544.621381879</v>
      </c>
      <c r="AA21" s="263">
        <f t="shared" si="22"/>
        <v>1</v>
      </c>
      <c r="AB21" s="274">
        <f t="shared" si="23"/>
        <v>0</v>
      </c>
    </row>
    <row r="22" spans="2:31" x14ac:dyDescent="0.35">
      <c r="B22" s="66" t="s">
        <v>65</v>
      </c>
      <c r="C22" s="166" t="s">
        <v>60</v>
      </c>
      <c r="D22" s="216">
        <f>IFERROR(VLOOKUP($B22&amp;$C22,'C. Gestión Pto #2'!$B$4:C$22,MATCH(D$5,'C. Gestión Pto #2'!$B$4:C$4,0),FALSE),0)</f>
        <v>0</v>
      </c>
      <c r="E22" s="216">
        <f>IFERROR(VLOOKUP($B22&amp;$C22,'C. Gestión Pto #2'!$B$4:D$22,MATCH(E$5,'C. Gestión Pto #2'!$B$4:D$4,0),FALSE),0)</f>
        <v>0</v>
      </c>
      <c r="F22" s="216">
        <f>IFERROR(VLOOKUP($B22&amp;$C22,'C. Gestión Pto #2'!$B$4:E$22,MATCH(F$5,'C. Gestión Pto #2'!$B$4:E$4,0),FALSE),0)</f>
        <v>0</v>
      </c>
      <c r="G22" s="216">
        <f>IFERROR(VLOOKUP($B22&amp;$C22,'C. Gestión Pto #2'!$B$4:F$22,MATCH(G$5,'C. Gestión Pto #2'!$B$4:F$4,0),FALSE),0)</f>
        <v>0</v>
      </c>
      <c r="H22" s="216">
        <f>IFERROR(VLOOKUP($B22&amp;$C22,'C. Gestión Pto #2'!$B$4:G$22,MATCH(H$5,'C. Gestión Pto #2'!$B$4:G$4,0),FALSE),0)</f>
        <v>0</v>
      </c>
      <c r="I22" s="216">
        <f>IFERROR(VLOOKUP($B22&amp;$C22,'C. Gestión Pto #2'!$B$4:H$22,MATCH(I$5,'C. Gestión Pto #2'!$B$4:H$4,0),FALSE),0)</f>
        <v>0</v>
      </c>
      <c r="J22" s="216">
        <f>IFERROR(VLOOKUP($B22&amp;$C22,'C. Gestión Pto #2'!$B$4:I$22,MATCH(J$5,'C. Gestión Pto #2'!$B$4:I$4,0),FALSE),0)</f>
        <v>0</v>
      </c>
      <c r="K22" s="216">
        <f>IFERROR(VLOOKUP($B22&amp;$C22,'C. Gestión Pto #2'!$B$4:J$22,MATCH(K$5,'C. Gestión Pto #2'!$B$4:J$4,0),FALSE),0)</f>
        <v>0</v>
      </c>
      <c r="L22" s="216">
        <f>IFERROR(VLOOKUP($B22&amp;$C22,'C. Gestión Pto #2'!$B$4:K$22,MATCH(L$5,'C. Gestión Pto #2'!$B$4:K$4,0),FALSE),0)</f>
        <v>0</v>
      </c>
      <c r="M22" s="216">
        <f>IFERROR(VLOOKUP($B22&amp;$C22,'C. Gestión Pto #2'!$B$4:L$22,MATCH(M$5,'C. Gestión Pto #2'!$B$4:L$4,0),FALSE),0)</f>
        <v>0</v>
      </c>
      <c r="N22" s="216">
        <f>IFERROR(VLOOKUP($B22&amp;$C22,'C. Gestión Pto #2'!$B$4:M$22,MATCH(N$5,'C. Gestión Pto #2'!$B$4:M$4,0),FALSE),0)</f>
        <v>0</v>
      </c>
      <c r="O22" s="216">
        <f>IFERROR(VLOOKUP($B22&amp;$C22,'C. Gestión Pto #2'!$B$4:N$22,MATCH(O$5,'C. Gestión Pto #2'!$B$4:N$4,0),FALSE),0)</f>
        <v>0</v>
      </c>
      <c r="P22" s="216">
        <f>IFERROR(VLOOKUP($B22&amp;$C22,'C. Gestión Pto #2'!$B$4:O$22,MATCH(P$5,'C. Gestión Pto #2'!$B$4:O$4,0),FALSE),0)</f>
        <v>0</v>
      </c>
      <c r="Q22" s="216">
        <f>IFERROR(VLOOKUP($B22&amp;$C22,'C. Gestión Pto #2'!$B$4:Q$22,MATCH(Q$5,'C. Gestión Pto #2'!$B$4:Q$4,0),FALSE),0)</f>
        <v>0</v>
      </c>
      <c r="R22" s="216">
        <f>IFERROR(VLOOKUP($B22&amp;$C22,'C. Gestión Pto #2'!$B$4:R$22,MATCH(R$5,'C. Gestión Pto #2'!$B$4:R$4,0),FALSE),0)</f>
        <v>0</v>
      </c>
      <c r="S22" s="216">
        <f>IFERROR(VLOOKUP($B22&amp;$C22,'C. Gestión Pto #2'!$B$4:S$22,MATCH(S$5,'C. Gestión Pto #2'!$B$4:S$4,0),FALSE),0)</f>
        <v>2012146.6</v>
      </c>
      <c r="T22" s="216">
        <f>IFERROR(VLOOKUP($B22&amp;$C22,'C. Gestión Pto #2'!$B$4:T$22,MATCH(T$5,'C. Gestión Pto #2'!$B$4:T$4,0),FALSE),0)</f>
        <v>0</v>
      </c>
      <c r="U22" s="265"/>
      <c r="V22" s="216" cm="1">
        <f t="array" ref="V22">SUMPRODUCT($D22:$U22,TRANSPOSE('Indice CAC'!$D$2:$D$19))</f>
        <v>1690828.7346936027</v>
      </c>
      <c r="W22" s="266"/>
      <c r="X22" s="216">
        <f ca="1">IF($C22="MAT",SUMIF('P. Costo'!$A$61:$A$233,$B22,'P. Costo'!$I$61:$I$163),IF($C22="MO",SUMIF('P. Costo'!$A$61:$A$233,$B22,'P. Costo'!$L$61:$L$233),SUMIF('P. Costo'!$A$61:$A$233,$B22,'P. Costo'!$N$61:$N$233)))</f>
        <v>13983960.352426281</v>
      </c>
      <c r="Y22" s="1179">
        <f>IF($C22="MAT",SUMIF('Cert. Pto. 02'!$A$10:$A$194,'Resumen Pto #2'!$B22,'Cert. Pto. 02'!$T$10:$T$194),IF($C22="MO",SUMIF('Cert. Pto. 02'!$A$10:$A$194,$B22,'Cert. Pto. 02'!$U$10:$U$194),SUMIF('Cert. Pto. 02'!$A$10:$A$194,$B22,'Cert. Pto. 02'!$V$10:$V$194)))/IF($C22="MAT",SUMIF('Cert. Pto. 02'!$A$10:$A$194,'Resumen Pto #2'!$B22,'Cert. Pto. 02'!$I$10:$I$194),IF('Resumen Pto #2'!$C22="MO",SUMIF('Cert. Pto. 02'!$A$10:$A$194,$B22,'Cert. Pto. 02'!$J$10:$J$194),SUMIF('Cert. Pto. 02'!$A$10:$A$194,$B22,'Cert. Pto. 02'!$K$10:$K$194)))</f>
        <v>0</v>
      </c>
      <c r="Z22" s="274">
        <f t="shared" ca="1" si="21"/>
        <v>12293131.617732678</v>
      </c>
      <c r="AA22" s="263">
        <f t="shared" ca="1" si="22"/>
        <v>0.87908799137861993</v>
      </c>
      <c r="AB22" s="274">
        <f t="shared" si="23"/>
        <v>0</v>
      </c>
    </row>
    <row r="23" spans="2:31" x14ac:dyDescent="0.35">
      <c r="B23" s="66" t="s">
        <v>65</v>
      </c>
      <c r="C23" s="166" t="s">
        <v>61</v>
      </c>
      <c r="D23" s="216">
        <f>IFERROR(VLOOKUP($B23&amp;$C23,'C. Gestión Pto #2'!$B$4:C$22,MATCH(D$5,'C. Gestión Pto #2'!$B$4:C$4,0),FALSE),0)</f>
        <v>0</v>
      </c>
      <c r="E23" s="216">
        <f>IFERROR(VLOOKUP($B23&amp;$C23,'C. Gestión Pto #2'!$B$4:D$22,MATCH(E$5,'C. Gestión Pto #2'!$B$4:D$4,0),FALSE),0)</f>
        <v>0</v>
      </c>
      <c r="F23" s="216">
        <f>IFERROR(VLOOKUP($B23&amp;$C23,'C. Gestión Pto #2'!$B$4:E$22,MATCH(F$5,'C. Gestión Pto #2'!$B$4:E$4,0),FALSE),0)</f>
        <v>0</v>
      </c>
      <c r="G23" s="216">
        <f>IFERROR(VLOOKUP($B23&amp;$C23,'C. Gestión Pto #2'!$B$4:F$22,MATCH(G$5,'C. Gestión Pto #2'!$B$4:F$4,0),FALSE),0)</f>
        <v>0</v>
      </c>
      <c r="H23" s="216">
        <f>IFERROR(VLOOKUP($B23&amp;$C23,'C. Gestión Pto #2'!$B$4:G$22,MATCH(H$5,'C. Gestión Pto #2'!$B$4:G$4,0),FALSE),0)</f>
        <v>0</v>
      </c>
      <c r="I23" s="216">
        <f>IFERROR(VLOOKUP($B23&amp;$C23,'C. Gestión Pto #2'!$B$4:H$22,MATCH(I$5,'C. Gestión Pto #2'!$B$4:H$4,0),FALSE),0)</f>
        <v>0</v>
      </c>
      <c r="J23" s="216">
        <f>IFERROR(VLOOKUP($B23&amp;$C23,'C. Gestión Pto #2'!$B$4:I$22,MATCH(J$5,'C. Gestión Pto #2'!$B$4:I$4,0),FALSE),0)</f>
        <v>0</v>
      </c>
      <c r="K23" s="216">
        <f>IFERROR(VLOOKUP($B23&amp;$C23,'C. Gestión Pto #2'!$B$4:J$22,MATCH(K$5,'C. Gestión Pto #2'!$B$4:J$4,0),FALSE),0)</f>
        <v>0</v>
      </c>
      <c r="L23" s="216">
        <f>IFERROR(VLOOKUP($B23&amp;$C23,'C. Gestión Pto #2'!$B$4:K$22,MATCH(L$5,'C. Gestión Pto #2'!$B$4:K$4,0),FALSE),0)</f>
        <v>0</v>
      </c>
      <c r="M23" s="216">
        <f>IFERROR(VLOOKUP($B23&amp;$C23,'C. Gestión Pto #2'!$B$4:L$22,MATCH(M$5,'C. Gestión Pto #2'!$B$4:L$4,0),FALSE),0)</f>
        <v>0</v>
      </c>
      <c r="N23" s="216">
        <f>IFERROR(VLOOKUP($B23&amp;$C23,'C. Gestión Pto #2'!$B$4:M$22,MATCH(N$5,'C. Gestión Pto #2'!$B$4:M$4,0),FALSE),0)</f>
        <v>0</v>
      </c>
      <c r="O23" s="216">
        <f>IFERROR(VLOOKUP($B23&amp;$C23,'C. Gestión Pto #2'!$B$4:N$22,MATCH(O$5,'C. Gestión Pto #2'!$B$4:N$4,0),FALSE),0)</f>
        <v>0</v>
      </c>
      <c r="P23" s="216">
        <f>IFERROR(VLOOKUP($B23&amp;$C23,'C. Gestión Pto #2'!$B$4:O$22,MATCH(P$5,'C. Gestión Pto #2'!$B$4:O$4,0),FALSE),0)</f>
        <v>0</v>
      </c>
      <c r="Q23" s="216">
        <f>IFERROR(VLOOKUP($B23&amp;$C23,'C. Gestión Pto #2'!$B$4:Q$22,MATCH(Q$5,'C. Gestión Pto #2'!$B$4:Q$4,0),FALSE),0)</f>
        <v>0</v>
      </c>
      <c r="R23" s="216">
        <f>IFERROR(VLOOKUP($B23&amp;$C23,'C. Gestión Pto #2'!$B$4:R$22,MATCH(R$5,'C. Gestión Pto #2'!$B$4:R$4,0),FALSE),0)</f>
        <v>1940600</v>
      </c>
      <c r="S23" s="216">
        <f>IFERROR(VLOOKUP($B23&amp;$C23,'C. Gestión Pto #2'!$B$4:S$22,MATCH(S$5,'C. Gestión Pto #2'!$B$4:S$4,0),FALSE),0)</f>
        <v>0</v>
      </c>
      <c r="T23" s="216">
        <f>IFERROR(VLOOKUP($B23&amp;$C23,'C. Gestión Pto #2'!$B$4:T$22,MATCH(T$5,'C. Gestión Pto #2'!$B$4:T$4,0),FALSE),0)</f>
        <v>0</v>
      </c>
      <c r="U23" s="265"/>
      <c r="V23" s="216" cm="1">
        <f t="array" ref="V23">SUMPRODUCT($D23:$U23,TRANSPOSE('Indice CAC'!$D$2:$D$19))</f>
        <v>1531929.7712435098</v>
      </c>
      <c r="W23" s="266"/>
      <c r="X23" s="216">
        <f>IF($C23="MAT",SUMIF('P. Costo'!$A$61:$A$233,$B23,'P. Costo'!$I$61:$I$163),IF($C23="MO",SUMIF('P. Costo'!$A$61:$A$233,$B23,'P. Costo'!$L$61:$L$233),SUMIF('P. Costo'!$A$61:$A$233,$B23,'P. Costo'!$N$61:$N$233)))</f>
        <v>26733574.400345389</v>
      </c>
      <c r="Y23" s="1179">
        <f>IF($C23="MAT",SUMIF('Cert. Pto. 02'!$A$10:$A$194,'Resumen Pto #2'!$B23,'Cert. Pto. 02'!$T$10:$T$194),IF($C23="MO",SUMIF('Cert. Pto. 02'!$A$10:$A$194,$B23,'Cert. Pto. 02'!$U$10:$U$194),SUMIF('Cert. Pto. 02'!$A$10:$A$194,$B23,'Cert. Pto. 02'!$V$10:$V$194)))/IF($C23="MAT",SUMIF('Cert. Pto. 02'!$A$10:$A$194,'Resumen Pto #2'!$B23,'Cert. Pto. 02'!$I$10:$I$194),IF('Resumen Pto #2'!$C23="MO",SUMIF('Cert. Pto. 02'!$A$10:$A$194,$B23,'Cert. Pto. 02'!$J$10:$J$194),SUMIF('Cert. Pto. 02'!$A$10:$A$194,$B23,'Cert. Pto. 02'!$K$10:$K$194)))</f>
        <v>0</v>
      </c>
      <c r="Z23" s="274">
        <f t="shared" si="21"/>
        <v>25201644.62910188</v>
      </c>
      <c r="AA23" s="263">
        <f t="shared" si="22"/>
        <v>0.94269641057711617</v>
      </c>
      <c r="AB23" s="274">
        <f t="shared" si="23"/>
        <v>0</v>
      </c>
    </row>
    <row r="24" spans="2:31" x14ac:dyDescent="0.35">
      <c r="B24" s="66" t="s">
        <v>66</v>
      </c>
      <c r="C24" s="166" t="s">
        <v>60</v>
      </c>
      <c r="D24" s="216">
        <f>IFERROR(VLOOKUP($B24&amp;$C24,'C. Gestión Pto #2'!$B$4:C$22,MATCH(D$5,'C. Gestión Pto #2'!$B$4:C$4,0),FALSE),0)</f>
        <v>0</v>
      </c>
      <c r="E24" s="216">
        <f>IFERROR(VLOOKUP($B24&amp;$C24,'C. Gestión Pto #2'!$B$4:D$22,MATCH(E$5,'C. Gestión Pto #2'!$B$4:D$4,0),FALSE),0)</f>
        <v>0</v>
      </c>
      <c r="F24" s="216">
        <f>IFERROR(VLOOKUP($B24&amp;$C24,'C. Gestión Pto #2'!$B$4:E$22,MATCH(F$5,'C. Gestión Pto #2'!$B$4:E$4,0),FALSE),0)</f>
        <v>0</v>
      </c>
      <c r="G24" s="216">
        <f>IFERROR(VLOOKUP($B24&amp;$C24,'C. Gestión Pto #2'!$B$4:F$22,MATCH(G$5,'C. Gestión Pto #2'!$B$4:F$4,0),FALSE),0)</f>
        <v>0</v>
      </c>
      <c r="H24" s="216">
        <f>IFERROR(VLOOKUP($B24&amp;$C24,'C. Gestión Pto #2'!$B$4:G$22,MATCH(H$5,'C. Gestión Pto #2'!$B$4:G$4,0),FALSE),0)</f>
        <v>0</v>
      </c>
      <c r="I24" s="216">
        <f>IFERROR(VLOOKUP($B24&amp;$C24,'C. Gestión Pto #2'!$B$4:H$22,MATCH(I$5,'C. Gestión Pto #2'!$B$4:H$4,0),FALSE),0)</f>
        <v>0</v>
      </c>
      <c r="J24" s="216">
        <f>IFERROR(VLOOKUP($B24&amp;$C24,'C. Gestión Pto #2'!$B$4:I$22,MATCH(J$5,'C. Gestión Pto #2'!$B$4:I$4,0),FALSE),0)</f>
        <v>0</v>
      </c>
      <c r="K24" s="216">
        <f>IFERROR(VLOOKUP($B24&amp;$C24,'C. Gestión Pto #2'!$B$4:J$22,MATCH(K$5,'C. Gestión Pto #2'!$B$4:J$4,0),FALSE),0)</f>
        <v>299136.83</v>
      </c>
      <c r="L24" s="216">
        <f>IFERROR(VLOOKUP($B24&amp;$C24,'C. Gestión Pto #2'!$B$4:K$22,MATCH(L$5,'C. Gestión Pto #2'!$B$4:K$4,0),FALSE),0)</f>
        <v>1111962.1499999999</v>
      </c>
      <c r="M24" s="216">
        <f>IFERROR(VLOOKUP($B24&amp;$C24,'C. Gestión Pto #2'!$B$4:L$22,MATCH(M$5,'C. Gestión Pto #2'!$B$4:L$4,0),FALSE),0)</f>
        <v>159574.19</v>
      </c>
      <c r="N24" s="216">
        <f>IFERROR(VLOOKUP($B24&amp;$C24,'C. Gestión Pto #2'!$B$4:M$22,MATCH(N$5,'C. Gestión Pto #2'!$B$4:M$4,0),FALSE),0)</f>
        <v>1207451.04</v>
      </c>
      <c r="O24" s="216">
        <f>IFERROR(VLOOKUP($B24&amp;$C24,'C. Gestión Pto #2'!$B$4:N$22,MATCH(O$5,'C. Gestión Pto #2'!$B$4:N$4,0),FALSE),0)</f>
        <v>368352.18</v>
      </c>
      <c r="P24" s="216">
        <f>IFERROR(VLOOKUP($B24&amp;$C24,'C. Gestión Pto #2'!$B$4:O$22,MATCH(P$5,'C. Gestión Pto #2'!$B$4:O$4,0),FALSE),0)</f>
        <v>911386.19</v>
      </c>
      <c r="Q24" s="216">
        <f>IFERROR(VLOOKUP($B24&amp;$C24,'C. Gestión Pto #2'!$B$4:Q$22,MATCH(Q$5,'C. Gestión Pto #2'!$B$4:Q$4,0),FALSE),0)</f>
        <v>976118.41999999993</v>
      </c>
      <c r="R24" s="216">
        <f>IFERROR(VLOOKUP($B24&amp;$C24,'C. Gestión Pto #2'!$B$4:R$22,MATCH(R$5,'C. Gestión Pto #2'!$B$4:R$4,0),FALSE),0)</f>
        <v>210250.83</v>
      </c>
      <c r="S24" s="216">
        <f>IFERROR(VLOOKUP($B24&amp;$C24,'C. Gestión Pto #2'!$B$4:S$22,MATCH(S$5,'C. Gestión Pto #2'!$B$4:S$4,0),FALSE),0)</f>
        <v>574075.59</v>
      </c>
      <c r="T24" s="216">
        <f>IFERROR(VLOOKUP($B24&amp;$C24,'C. Gestión Pto #2'!$B$4:T$22,MATCH(T$5,'C. Gestión Pto #2'!$B$4:T$4,0),FALSE),0)</f>
        <v>76388.009999999995</v>
      </c>
      <c r="U24" s="265"/>
      <c r="V24" s="216" cm="1">
        <f t="array" ref="V24">SUMPRODUCT($D24:$U24,TRANSPOSE('Indice CAC'!$D$2:$D$19))</f>
        <v>4965352.8877237691</v>
      </c>
      <c r="W24" s="266"/>
      <c r="X24" s="216">
        <f ca="1">IF($C24="MAT",SUMIF('P. Costo'!$A$61:$A$233,$B24,'P. Costo'!$I$61:$I$163),IF($C24="MO",SUMIF('P. Costo'!$A$61:$A$233,$B24,'P. Costo'!$L$61:$L$233),SUMIF('P. Costo'!$A$61:$A$233,$B24,'P. Costo'!$N$61:$N$233)))</f>
        <v>25092459.829940617</v>
      </c>
      <c r="Y24" s="1179">
        <f>IF($C24="MAT",SUMIF('Cert. Pto. 02'!$A$10:$A$194,'Resumen Pto #2'!$B24,'Cert. Pto. 02'!$T$10:$T$194),IF($C24="MO",SUMIF('Cert. Pto. 02'!$A$10:$A$194,$B24,'Cert. Pto. 02'!$U$10:$U$194),SUMIF('Cert. Pto. 02'!$A$10:$A$194,$B24,'Cert. Pto. 02'!$V$10:$V$194)))/IF($C24="MAT",SUMIF('Cert. Pto. 02'!$A$10:$A$194,'Resumen Pto #2'!$B24,'Cert. Pto. 02'!$I$10:$I$194),IF('Resumen Pto #2'!$C24="MO",SUMIF('Cert. Pto. 02'!$A$10:$A$194,$B24,'Cert. Pto. 02'!$J$10:$J$194),SUMIF('Cert. Pto. 02'!$A$10:$A$194,$B24,'Cert. Pto. 02'!$K$10:$K$194)))</f>
        <v>0.28984006293251696</v>
      </c>
      <c r="Z24" s="274">
        <f t="shared" ca="1" si="21"/>
        <v>20127106.942216847</v>
      </c>
      <c r="AA24" s="263">
        <f t="shared" ca="1" si="22"/>
        <v>0.80211773092891225</v>
      </c>
      <c r="AB24" s="274">
        <f t="shared" si="23"/>
        <v>0</v>
      </c>
    </row>
    <row r="25" spans="2:31" x14ac:dyDescent="0.35">
      <c r="B25" s="66" t="s">
        <v>66</v>
      </c>
      <c r="C25" s="166" t="s">
        <v>61</v>
      </c>
      <c r="D25" s="216">
        <f>IFERROR(VLOOKUP($B25&amp;$C25,'C. Gestión Pto #2'!$B$4:C$22,MATCH(D$5,'C. Gestión Pto #2'!$B$4:C$4,0),FALSE),0)</f>
        <v>0</v>
      </c>
      <c r="E25" s="216">
        <f>IFERROR(VLOOKUP($B25&amp;$C25,'C. Gestión Pto #2'!$B$4:D$22,MATCH(E$5,'C. Gestión Pto #2'!$B$4:D$4,0),FALSE),0)</f>
        <v>0</v>
      </c>
      <c r="F25" s="216">
        <f>IFERROR(VLOOKUP($B25&amp;$C25,'C. Gestión Pto #2'!$B$4:E$22,MATCH(F$5,'C. Gestión Pto #2'!$B$4:E$4,0),FALSE),0)</f>
        <v>0</v>
      </c>
      <c r="G25" s="216">
        <f>IFERROR(VLOOKUP($B25&amp;$C25,'C. Gestión Pto #2'!$B$4:F$22,MATCH(G$5,'C. Gestión Pto #2'!$B$4:F$4,0),FALSE),0)</f>
        <v>0</v>
      </c>
      <c r="H25" s="216">
        <f>IFERROR(VLOOKUP($B25&amp;$C25,'C. Gestión Pto #2'!$B$4:G$22,MATCH(H$5,'C. Gestión Pto #2'!$B$4:G$4,0),FALSE),0)</f>
        <v>0</v>
      </c>
      <c r="I25" s="216">
        <f>IFERROR(VLOOKUP($B25&amp;$C25,'C. Gestión Pto #2'!$B$4:H$22,MATCH(I$5,'C. Gestión Pto #2'!$B$4:H$4,0),FALSE),0)</f>
        <v>0</v>
      </c>
      <c r="J25" s="216">
        <f>IFERROR(VLOOKUP($B25&amp;$C25,'C. Gestión Pto #2'!$B$4:I$22,MATCH(J$5,'C. Gestión Pto #2'!$B$4:I$4,0),FALSE),0)</f>
        <v>0</v>
      </c>
      <c r="K25" s="216">
        <f>IFERROR(VLOOKUP($B25&amp;$C25,'C. Gestión Pto #2'!$B$4:J$22,MATCH(K$5,'C. Gestión Pto #2'!$B$4:J$4,0),FALSE),0)</f>
        <v>500000</v>
      </c>
      <c r="L25" s="216">
        <f>IFERROR(VLOOKUP($B25&amp;$C25,'C. Gestión Pto #2'!$B$4:K$22,MATCH(L$5,'C. Gestión Pto #2'!$B$4:K$4,0),FALSE),0)</f>
        <v>450000</v>
      </c>
      <c r="M25" s="216">
        <f>IFERROR(VLOOKUP($B25&amp;$C25,'C. Gestión Pto #2'!$B$4:L$22,MATCH(M$5,'C. Gestión Pto #2'!$B$4:L$4,0),FALSE),0)</f>
        <v>1808487.9984120834</v>
      </c>
      <c r="N25" s="216">
        <f>IFERROR(VLOOKUP($B25&amp;$C25,'C. Gestión Pto #2'!$B$4:M$22,MATCH(N$5,'C. Gestión Pto #2'!$B$4:M$4,0),FALSE),0)</f>
        <v>1155022.7442295076</v>
      </c>
      <c r="O25" s="216">
        <f>IFERROR(VLOOKUP($B25&amp;$C25,'C. Gestión Pto #2'!$B$4:N$22,MATCH(O$5,'C. Gestión Pto #2'!$B$4:N$4,0),FALSE),0)</f>
        <v>2519333.7981726136</v>
      </c>
      <c r="P25" s="216">
        <f>IFERROR(VLOOKUP($B25&amp;$C25,'C. Gestión Pto #2'!$B$4:O$22,MATCH(P$5,'C. Gestión Pto #2'!$B$4:O$4,0),FALSE),0)</f>
        <v>3802812.4791382533</v>
      </c>
      <c r="Q25" s="216">
        <f>IFERROR(VLOOKUP($B25&amp;$C25,'C. Gestión Pto #2'!$B$4:Q$22,MATCH(Q$5,'C. Gestión Pto #2'!$B$4:Q$4,0),FALSE),0)</f>
        <v>4355561.0464389808</v>
      </c>
      <c r="R25" s="216">
        <f>IFERROR(VLOOKUP($B25&amp;$C25,'C. Gestión Pto #2'!$B$4:R$22,MATCH(R$5,'C. Gestión Pto #2'!$B$4:R$4,0),FALSE),0)</f>
        <v>2943587.5098051541</v>
      </c>
      <c r="S25" s="216">
        <f>IFERROR(VLOOKUP($B25&amp;$C25,'C. Gestión Pto #2'!$B$4:S$22,MATCH(S$5,'C. Gestión Pto #2'!$B$4:S$4,0),FALSE),0)</f>
        <v>4066285.0409726859</v>
      </c>
      <c r="T25" s="216">
        <f>IFERROR(VLOOKUP($B25&amp;$C25,'C. Gestión Pto #2'!$B$4:T$22,MATCH(T$5,'C. Gestión Pto #2'!$B$4:T$4,0),FALSE),0)</f>
        <v>0</v>
      </c>
      <c r="U25" s="265"/>
      <c r="V25" s="216" cm="1">
        <f t="array" ref="V25">SUMPRODUCT($D25:$U25,TRANSPOSE('Indice CAC'!$D$2:$D$19))</f>
        <v>17814883.241626117</v>
      </c>
      <c r="W25" s="266"/>
      <c r="X25" s="216">
        <f>IF($C25="MAT",SUMIF('P. Costo'!$A$61:$A$233,$B25,'P. Costo'!$I$61:$I$163),IF($C25="MO",SUMIF('P. Costo'!$A$61:$A$233,$B25,'P. Costo'!$L$61:$L$233),SUMIF('P. Costo'!$A$61:$A$233,$B25,'P. Costo'!$N$61:$N$233)))</f>
        <v>41278488.635223195</v>
      </c>
      <c r="Y25" s="1179">
        <f>IF($C25="MAT",SUMIF('Cert. Pto. 02'!$A$10:$A$194,'Resumen Pto #2'!$B25,'Cert. Pto. 02'!$T$10:$T$194),IF($C25="MO",SUMIF('Cert. Pto. 02'!$A$10:$A$194,$B25,'Cert. Pto. 02'!$U$10:$U$194),SUMIF('Cert. Pto. 02'!$A$10:$A$194,$B25,'Cert. Pto. 02'!$V$10:$V$194)))/IF($C25="MAT",SUMIF('Cert. Pto. 02'!$A$10:$A$194,'Resumen Pto #2'!$B25,'Cert. Pto. 02'!$I$10:$I$194),IF('Resumen Pto #2'!$C25="MO",SUMIF('Cert. Pto. 02'!$A$10:$A$194,$B25,'Cert. Pto. 02'!$J$10:$J$194),SUMIF('Cert. Pto. 02'!$A$10:$A$194,$B25,'Cert. Pto. 02'!$K$10:$K$194)))</f>
        <v>0.33069101297702824</v>
      </c>
      <c r="Z25" s="274">
        <f t="shared" si="21"/>
        <v>23463605.393597078</v>
      </c>
      <c r="AA25" s="263">
        <f t="shared" si="22"/>
        <v>0.56842210481455069</v>
      </c>
      <c r="AB25" s="274">
        <f t="shared" si="23"/>
        <v>0</v>
      </c>
    </row>
    <row r="26" spans="2:31" x14ac:dyDescent="0.35">
      <c r="B26" s="66" t="s">
        <v>67</v>
      </c>
      <c r="C26" s="166" t="s">
        <v>60</v>
      </c>
      <c r="D26" s="216">
        <f>IFERROR(VLOOKUP($B26&amp;$C26,'C. Gestión Pto #2'!$B$4:C$22,MATCH(D$5,'C. Gestión Pto #2'!$B$4:C$4,0),FALSE),0)</f>
        <v>0</v>
      </c>
      <c r="E26" s="216">
        <f>IFERROR(VLOOKUP($B26&amp;$C26,'C. Gestión Pto #2'!$B$4:D$22,MATCH(E$5,'C. Gestión Pto #2'!$B$4:D$4,0),FALSE),0)</f>
        <v>0</v>
      </c>
      <c r="F26" s="216">
        <f>IFERROR(VLOOKUP($B26&amp;$C26,'C. Gestión Pto #2'!$B$4:E$22,MATCH(F$5,'C. Gestión Pto #2'!$B$4:E$4,0),FALSE),0)</f>
        <v>0</v>
      </c>
      <c r="G26" s="216">
        <f>IFERROR(VLOOKUP($B26&amp;$C26,'C. Gestión Pto #2'!$B$4:F$22,MATCH(G$5,'C. Gestión Pto #2'!$B$4:F$4,0),FALSE),0)</f>
        <v>0</v>
      </c>
      <c r="H26" s="216">
        <f>IFERROR(VLOOKUP($B26&amp;$C26,'C. Gestión Pto #2'!$B$4:G$22,MATCH(H$5,'C. Gestión Pto #2'!$B$4:G$4,0),FALSE),0)</f>
        <v>0</v>
      </c>
      <c r="I26" s="216">
        <f>IFERROR(VLOOKUP($B26&amp;$C26,'C. Gestión Pto #2'!$B$4:H$22,MATCH(I$5,'C. Gestión Pto #2'!$B$4:H$4,0),FALSE),0)</f>
        <v>0</v>
      </c>
      <c r="J26" s="216">
        <f>IFERROR(VLOOKUP($B26&amp;$C26,'C. Gestión Pto #2'!$B$4:I$22,MATCH(J$5,'C. Gestión Pto #2'!$B$4:I$4,0),FALSE),0)</f>
        <v>0</v>
      </c>
      <c r="K26" s="216">
        <f>IFERROR(VLOOKUP($B26&amp;$C26,'C. Gestión Pto #2'!$B$4:J$22,MATCH(K$5,'C. Gestión Pto #2'!$B$4:J$4,0),FALSE),0)</f>
        <v>7851.24</v>
      </c>
      <c r="L26" s="216">
        <f>IFERROR(VLOOKUP($B26&amp;$C26,'C. Gestión Pto #2'!$B$4:K$22,MATCH(L$5,'C. Gestión Pto #2'!$B$4:K$4,0),FALSE),0)</f>
        <v>0</v>
      </c>
      <c r="M26" s="216">
        <f>IFERROR(VLOOKUP($B26&amp;$C26,'C. Gestión Pto #2'!$B$4:L$22,MATCH(M$5,'C. Gestión Pto #2'!$B$4:L$4,0),FALSE),0)</f>
        <v>0</v>
      </c>
      <c r="N26" s="216">
        <f>IFERROR(VLOOKUP($B26&amp;$C26,'C. Gestión Pto #2'!$B$4:M$22,MATCH(N$5,'C. Gestión Pto #2'!$B$4:M$4,0),FALSE),0)</f>
        <v>94814.9</v>
      </c>
      <c r="O26" s="216">
        <f>IFERROR(VLOOKUP($B26&amp;$C26,'C. Gestión Pto #2'!$B$4:N$22,MATCH(O$5,'C. Gestión Pto #2'!$B$4:N$4,0),FALSE),0)</f>
        <v>0</v>
      </c>
      <c r="P26" s="216">
        <f>IFERROR(VLOOKUP($B26&amp;$C26,'C. Gestión Pto #2'!$B$4:O$22,MATCH(P$5,'C. Gestión Pto #2'!$B$4:O$4,0),FALSE),0)</f>
        <v>4296617.49</v>
      </c>
      <c r="Q26" s="216">
        <f>IFERROR(VLOOKUP($B26&amp;$C26,'C. Gestión Pto #2'!$B$4:Q$22,MATCH(Q$5,'C. Gestión Pto #2'!$B$4:Q$4,0),FALSE),0)</f>
        <v>1787531.5</v>
      </c>
      <c r="R26" s="216">
        <f>IFERROR(VLOOKUP($B26&amp;$C26,'C. Gestión Pto #2'!$B$4:R$22,MATCH(R$5,'C. Gestión Pto #2'!$B$4:R$4,0),FALSE),0)</f>
        <v>675872.12999999989</v>
      </c>
      <c r="S26" s="216">
        <f>IFERROR(VLOOKUP($B26&amp;$C26,'C. Gestión Pto #2'!$B$4:S$22,MATCH(S$5,'C. Gestión Pto #2'!$B$4:S$4,0),FALSE),0)</f>
        <v>402485.08999999997</v>
      </c>
      <c r="T26" s="216">
        <f>IFERROR(VLOOKUP($B26&amp;$C26,'C. Gestión Pto #2'!$B$4:T$22,MATCH(T$5,'C. Gestión Pto #2'!$B$4:T$4,0),FALSE),0)</f>
        <v>633057</v>
      </c>
      <c r="U26" s="265"/>
      <c r="V26" s="216" cm="1">
        <f t="array" ref="V26">SUMPRODUCT($D26:$U26,TRANSPOSE('Indice CAC'!$D$2:$D$19))</f>
        <v>6425159.5891256146</v>
      </c>
      <c r="W26" s="266"/>
      <c r="X26" s="216">
        <f ca="1">IF($C26="MAT",SUMIF('P. Costo'!$A$61:$A$233,$B26,'P. Costo'!$I$61:$I$163),IF($C26="MO",SUMIF('P. Costo'!$A$61:$A$233,$B26,'P. Costo'!$L$61:$L$233),SUMIF('P. Costo'!$A$61:$A$233,$B26,'P. Costo'!$N$61:$N$233)))</f>
        <v>32568315.353200004</v>
      </c>
      <c r="Y26" s="1179">
        <f>IF($C26="MAT",SUMIF('Cert. Pto. 02'!$A$10:$A$194,'Resumen Pto #2'!$B26,'Cert. Pto. 02'!$T$10:$T$194),IF($C26="MO",SUMIF('Cert. Pto. 02'!$A$10:$A$194,$B26,'Cert. Pto. 02'!$U$10:$U$194),SUMIF('Cert. Pto. 02'!$A$10:$A$194,$B26,'Cert. Pto. 02'!$V$10:$V$194)))/IF($C26="MAT",SUMIF('Cert. Pto. 02'!$A$10:$A$194,'Resumen Pto #2'!$B26,'Cert. Pto. 02'!$I$10:$I$194),IF('Resumen Pto #2'!$C26="MO",SUMIF('Cert. Pto. 02'!$A$10:$A$194,$B26,'Cert. Pto. 02'!$J$10:$J$194),SUMIF('Cert. Pto. 02'!$A$10:$A$194,$B26,'Cert. Pto. 02'!$K$10:$K$194)))</f>
        <v>0.21719598193117701</v>
      </c>
      <c r="Z26" s="274">
        <f t="shared" ca="1" si="21"/>
        <v>26143155.764074389</v>
      </c>
      <c r="AA26" s="263">
        <f t="shared" ca="1" si="22"/>
        <v>0.80271747189114862</v>
      </c>
      <c r="AB26" s="274">
        <f t="shared" si="23"/>
        <v>0</v>
      </c>
    </row>
    <row r="27" spans="2:31" x14ac:dyDescent="0.35">
      <c r="B27" s="66" t="s">
        <v>67</v>
      </c>
      <c r="C27" s="166" t="s">
        <v>61</v>
      </c>
      <c r="D27" s="216">
        <f>IFERROR(VLOOKUP($B27&amp;$C27,'C. Gestión Pto #2'!$B$4:C$22,MATCH(D$5,'C. Gestión Pto #2'!$B$4:C$4,0),FALSE),0)</f>
        <v>0</v>
      </c>
      <c r="E27" s="216">
        <f>IFERROR(VLOOKUP($B27&amp;$C27,'C. Gestión Pto #2'!$B$4:D$22,MATCH(E$5,'C. Gestión Pto #2'!$B$4:D$4,0),FALSE),0)</f>
        <v>0</v>
      </c>
      <c r="F27" s="216">
        <f>IFERROR(VLOOKUP($B27&amp;$C27,'C. Gestión Pto #2'!$B$4:E$22,MATCH(F$5,'C. Gestión Pto #2'!$B$4:E$4,0),FALSE),0)</f>
        <v>0</v>
      </c>
      <c r="G27" s="216">
        <f>IFERROR(VLOOKUP($B27&amp;$C27,'C. Gestión Pto #2'!$B$4:F$22,MATCH(G$5,'C. Gestión Pto #2'!$B$4:F$4,0),FALSE),0)</f>
        <v>0</v>
      </c>
      <c r="H27" s="216">
        <f>IFERROR(VLOOKUP($B27&amp;$C27,'C. Gestión Pto #2'!$B$4:G$22,MATCH(H$5,'C. Gestión Pto #2'!$B$4:G$4,0),FALSE),0)</f>
        <v>0</v>
      </c>
      <c r="I27" s="216">
        <f>IFERROR(VLOOKUP($B27&amp;$C27,'C. Gestión Pto #2'!$B$4:H$22,MATCH(I$5,'C. Gestión Pto #2'!$B$4:H$4,0),FALSE),0)</f>
        <v>0</v>
      </c>
      <c r="J27" s="216">
        <f>IFERROR(VLOOKUP($B27&amp;$C27,'C. Gestión Pto #2'!$B$4:I$22,MATCH(J$5,'C. Gestión Pto #2'!$B$4:I$4,0),FALSE),0)</f>
        <v>0</v>
      </c>
      <c r="K27" s="216">
        <f>IFERROR(VLOOKUP($B27&amp;$C27,'C. Gestión Pto #2'!$B$4:J$22,MATCH(K$5,'C. Gestión Pto #2'!$B$4:J$4,0),FALSE),0)</f>
        <v>0</v>
      </c>
      <c r="L27" s="216">
        <f>IFERROR(VLOOKUP($B27&amp;$C27,'C. Gestión Pto #2'!$B$4:K$22,MATCH(L$5,'C. Gestión Pto #2'!$B$4:K$4,0),FALSE),0)</f>
        <v>0</v>
      </c>
      <c r="M27" s="216">
        <f>IFERROR(VLOOKUP($B27&amp;$C27,'C. Gestión Pto #2'!$B$4:L$22,MATCH(M$5,'C. Gestión Pto #2'!$B$4:L$4,0),FALSE),0)</f>
        <v>0</v>
      </c>
      <c r="N27" s="216">
        <f>IFERROR(VLOOKUP($B27&amp;$C27,'C. Gestión Pto #2'!$B$4:M$22,MATCH(N$5,'C. Gestión Pto #2'!$B$4:M$4,0),FALSE),0)</f>
        <v>495009.74752693181</v>
      </c>
      <c r="O27" s="216">
        <f>IFERROR(VLOOKUP($B27&amp;$C27,'C. Gestión Pto #2'!$B$4:N$22,MATCH(O$5,'C. Gestión Pto #2'!$B$4:N$4,0),FALSE),0)</f>
        <v>0</v>
      </c>
      <c r="P27" s="216">
        <f>IFERROR(VLOOKUP($B27&amp;$C27,'C. Gestión Pto #2'!$B$4:O$22,MATCH(P$5,'C. Gestión Pto #2'!$B$4:O$4,0),FALSE),0)</f>
        <v>3912286.3011631537</v>
      </c>
      <c r="Q27" s="216">
        <f>IFERROR(VLOOKUP($B27&amp;$C27,'C. Gestión Pto #2'!$B$4:Q$22,MATCH(Q$5,'C. Gestión Pto #2'!$B$4:Q$4,0),FALSE),0)</f>
        <v>4566137.8741323994</v>
      </c>
      <c r="R27" s="216">
        <f>IFERROR(VLOOKUP($B27&amp;$C27,'C. Gestión Pto #2'!$B$4:R$22,MATCH(R$5,'C. Gestión Pto #2'!$B$4:R$4,0),FALSE),0)</f>
        <v>4327360.7719840761</v>
      </c>
      <c r="S27" s="216">
        <f>IFERROR(VLOOKUP($B27&amp;$C27,'C. Gestión Pto #2'!$B$4:S$22,MATCH(S$5,'C. Gestión Pto #2'!$B$4:S$4,0),FALSE),0)</f>
        <v>6427831.2136152536</v>
      </c>
      <c r="T27" s="216">
        <f>IFERROR(VLOOKUP($B27&amp;$C27,'C. Gestión Pto #2'!$B$4:T$22,MATCH(T$5,'C. Gestión Pto #2'!$B$4:T$4,0),FALSE),0)</f>
        <v>0</v>
      </c>
      <c r="U27" s="265"/>
      <c r="V27" s="216" cm="1">
        <f t="array" ref="V27">SUMPRODUCT($D27:$U27,TRANSPOSE('Indice CAC'!$D$2:$D$19))</f>
        <v>16085672.47358419</v>
      </c>
      <c r="W27" s="266"/>
      <c r="X27" s="216">
        <f>IF($C27="MAT",SUMIF('P. Costo'!$A$61:$A$233,$B27,'P. Costo'!$I$61:$I$163),IF($C27="MO",SUMIF('P. Costo'!$A$61:$A$233,$B27,'P. Costo'!$L$61:$L$233),SUMIF('P. Costo'!$A$61:$A$233,$B27,'P. Costo'!$N$61:$N$233)))</f>
        <v>75115077.759660289</v>
      </c>
      <c r="Y27" s="1179">
        <f>IF($C27="MAT",SUMIF('Cert. Pto. 02'!$A$10:$A$194,'Resumen Pto #2'!$B27,'Cert. Pto. 02'!$T$10:$T$194),IF($C27="MO",SUMIF('Cert. Pto. 02'!$A$10:$A$194,$B27,'Cert. Pto. 02'!$U$10:$U$194),SUMIF('Cert. Pto. 02'!$A$10:$A$194,$B27,'Cert. Pto. 02'!$V$10:$V$194)))/IF($C27="MAT",SUMIF('Cert. Pto. 02'!$A$10:$A$194,'Resumen Pto #2'!$B27,'Cert. Pto. 02'!$I$10:$I$194),IF('Resumen Pto #2'!$C27="MO",SUMIF('Cert. Pto. 02'!$A$10:$A$194,$B27,'Cert. Pto. 02'!$J$10:$J$194),SUMIF('Cert. Pto. 02'!$A$10:$A$194,$B27,'Cert. Pto. 02'!$K$10:$K$194)))</f>
        <v>0.2560699154987503</v>
      </c>
      <c r="Z27" s="274">
        <f t="shared" si="21"/>
        <v>59029405.286076099</v>
      </c>
      <c r="AA27" s="263">
        <f t="shared" si="22"/>
        <v>0.78585294785885429</v>
      </c>
      <c r="AB27" s="274">
        <f t="shared" si="23"/>
        <v>0</v>
      </c>
    </row>
    <row r="28" spans="2:31" x14ac:dyDescent="0.35">
      <c r="B28" s="66" t="s">
        <v>68</v>
      </c>
      <c r="C28" s="166"/>
      <c r="D28" s="216">
        <f>IFERROR(VLOOKUP($B28&amp;$C28,'C. Gestión Pto #2'!$B$4:C$22,MATCH(D$5,'C. Gestión Pto #2'!$B$4:C$4,0),FALSE),0)</f>
        <v>0</v>
      </c>
      <c r="E28" s="216">
        <f>IFERROR(VLOOKUP($B28&amp;$C28,'C. Gestión Pto #2'!$B$4:D$22,MATCH(E$5,'C. Gestión Pto #2'!$B$4:D$4,0),FALSE),0)</f>
        <v>0</v>
      </c>
      <c r="F28" s="216">
        <f>IFERROR(VLOOKUP($B28&amp;$C28,'C. Gestión Pto #2'!$B$4:E$22,MATCH(F$5,'C. Gestión Pto #2'!$B$4:E$4,0),FALSE),0)</f>
        <v>0</v>
      </c>
      <c r="G28" s="216">
        <f>IFERROR(VLOOKUP($B28&amp;$C28,'C. Gestión Pto #2'!$B$4:F$22,MATCH(G$5,'C. Gestión Pto #2'!$B$4:F$4,0),FALSE),0)</f>
        <v>0</v>
      </c>
      <c r="H28" s="216">
        <f>IFERROR(VLOOKUP($B28&amp;$C28,'C. Gestión Pto #2'!$B$4:G$22,MATCH(H$5,'C. Gestión Pto #2'!$B$4:G$4,0),FALSE),0)</f>
        <v>0</v>
      </c>
      <c r="I28" s="216">
        <f>IFERROR(VLOOKUP($B28&amp;$C28,'C. Gestión Pto #2'!$B$4:H$22,MATCH(I$5,'C. Gestión Pto #2'!$B$4:H$4,0),FALSE),0)</f>
        <v>0</v>
      </c>
      <c r="J28" s="216">
        <f>IFERROR(VLOOKUP($B28&amp;$C28,'C. Gestión Pto #2'!$B$4:I$22,MATCH(J$5,'C. Gestión Pto #2'!$B$4:I$4,0),FALSE),0)</f>
        <v>0</v>
      </c>
      <c r="K28" s="216">
        <f>IFERROR(VLOOKUP($B28&amp;$C28,'C. Gestión Pto #2'!$B$4:J$22,MATCH(K$5,'C. Gestión Pto #2'!$B$4:J$4,0),FALSE),0)</f>
        <v>0</v>
      </c>
      <c r="L28" s="216">
        <f>IFERROR(VLOOKUP($B28&amp;$C28,'C. Gestión Pto #2'!$B$4:K$22,MATCH(L$5,'C. Gestión Pto #2'!$B$4:K$4,0),FALSE),0)</f>
        <v>0</v>
      </c>
      <c r="M28" s="216">
        <f>IFERROR(VLOOKUP($B28&amp;$C28,'C. Gestión Pto #2'!$B$4:L$22,MATCH(M$5,'C. Gestión Pto #2'!$B$4:L$4,0),FALSE),0)</f>
        <v>0</v>
      </c>
      <c r="N28" s="216">
        <f>IFERROR(VLOOKUP($B28&amp;$C28,'C. Gestión Pto #2'!$B$4:M$22,MATCH(N$5,'C. Gestión Pto #2'!$B$4:M$4,0),FALSE),0)</f>
        <v>0</v>
      </c>
      <c r="O28" s="216">
        <f>IFERROR(VLOOKUP($B28&amp;$C28,'C. Gestión Pto #2'!$B$4:N$22,MATCH(O$5,'C. Gestión Pto #2'!$B$4:N$4,0),FALSE),0)</f>
        <v>688325.58848080283</v>
      </c>
      <c r="P28" s="216">
        <f>IFERROR(VLOOKUP($B28&amp;$C28,'C. Gestión Pto #2'!$B$4:O$22,MATCH(P$5,'C. Gestión Pto #2'!$B$4:O$4,0),FALSE),0)</f>
        <v>711547.43969128944</v>
      </c>
      <c r="Q28" s="216">
        <f>IFERROR(VLOOKUP($B28&amp;$C28,'C. Gestión Pto #2'!$B$4:Q$22,MATCH(Q$5,'C. Gestión Pto #2'!$B$4:Q$4,0),FALSE),0)</f>
        <v>737537.19374460424</v>
      </c>
      <c r="R28" s="216">
        <f>IFERROR(VLOOKUP($B28&amp;$C28,'C. Gestión Pto #2'!$B$4:R$22,MATCH(R$5,'C. Gestión Pto #2'!$B$4:R$4,0),FALSE),0)</f>
        <v>761316.76355391066</v>
      </c>
      <c r="S28" s="216">
        <f>IFERROR(VLOOKUP($B28&amp;$C28,'C. Gestión Pto #2'!$B$4:S$22,MATCH(S$5,'C. Gestión Pto #2'!$B$4:S$4,0),FALSE),0)</f>
        <v>787253.60742308944</v>
      </c>
      <c r="T28" s="216">
        <f>IFERROR(VLOOKUP($B28&amp;$C28,'C. Gestión Pto #2'!$B$4:T$22,MATCH(T$5,'C. Gestión Pto #2'!$B$4:T$4,0),FALSE),0)</f>
        <v>0</v>
      </c>
      <c r="U28" s="265"/>
      <c r="V28" s="216" cm="1">
        <f t="array" ref="V28">SUMPRODUCT($D28:$U28,TRANSPOSE('Indice CAC'!$D$2:$D$19))</f>
        <v>3004359.0105522657</v>
      </c>
      <c r="W28" s="266"/>
      <c r="X28" s="216">
        <f>IF($C28="MAT",SUMIF('P. Costo'!$A$61:$A$233,$B28,'P. Costo'!$I$61:$I$163),IF($C28="MO",SUMIF('P. Costo'!$A$61:$A$233,$B28,'P. Costo'!$L$61:$L$233),SUM('P. Costo'!M164,'P. Costo'!M234,'P. Costo'!M19:M27)))</f>
        <v>7890286.6221500784</v>
      </c>
      <c r="Y28" s="1179">
        <f>'Cert. Pto. 02'!S196</f>
        <v>0.3265651276788622</v>
      </c>
      <c r="Z28" s="274">
        <f t="shared" si="21"/>
        <v>4885927.6115978127</v>
      </c>
      <c r="AA28" s="263">
        <f t="shared" si="22"/>
        <v>0.61923322251459767</v>
      </c>
      <c r="AB28" s="274">
        <f t="shared" si="23"/>
        <v>0</v>
      </c>
    </row>
    <row r="29" spans="2:31" x14ac:dyDescent="0.35">
      <c r="B29" s="873" t="s">
        <v>70</v>
      </c>
      <c r="C29" s="874"/>
      <c r="D29" s="256">
        <f>SUM(D13:D28)</f>
        <v>2128206</v>
      </c>
      <c r="E29" s="256">
        <f t="shared" ref="E29:I29" si="24">SUM(E13:E28)</f>
        <v>2823867.5980000002</v>
      </c>
      <c r="F29" s="256">
        <f t="shared" si="24"/>
        <v>3646478.5</v>
      </c>
      <c r="G29" s="256">
        <f t="shared" si="24"/>
        <v>7828840.6500000004</v>
      </c>
      <c r="H29" s="256">
        <f t="shared" si="24"/>
        <v>6869318.9000000004</v>
      </c>
      <c r="I29" s="256">
        <f t="shared" si="24"/>
        <v>8575533.336918842</v>
      </c>
      <c r="J29" s="256">
        <f t="shared" ref="J29:K29" si="25">SUM(J13:J28)</f>
        <v>10802907.953456072</v>
      </c>
      <c r="K29" s="256">
        <f t="shared" si="25"/>
        <v>12083703.5264</v>
      </c>
      <c r="L29" s="256">
        <f t="shared" ref="L29:M29" si="26">SUM(L13:L28)</f>
        <v>12202971.290000001</v>
      </c>
      <c r="M29" s="256">
        <f t="shared" si="26"/>
        <v>14407037.41865107</v>
      </c>
      <c r="N29" s="256">
        <f t="shared" ref="N29:O29" si="27">SUM(N13:N28)</f>
        <v>28687434.477506209</v>
      </c>
      <c r="O29" s="256">
        <f t="shared" si="27"/>
        <v>25755924.685209084</v>
      </c>
      <c r="P29" s="256">
        <f t="shared" ref="P29:Q29" si="28">SUM(P13:P28)</f>
        <v>41590843.027635127</v>
      </c>
      <c r="Q29" s="256">
        <f t="shared" si="28"/>
        <v>50789950.874426082</v>
      </c>
      <c r="R29" s="256">
        <f t="shared" ref="R29:S29" si="29">SUM(R13:R28)</f>
        <v>45880109.285899527</v>
      </c>
      <c r="S29" s="256">
        <f t="shared" si="29"/>
        <v>63634847.239935286</v>
      </c>
      <c r="T29" s="256">
        <f t="shared" ref="T29" si="30">SUM(T13:T28)</f>
        <v>8523877.8900000006</v>
      </c>
      <c r="U29" s="255"/>
      <c r="V29" s="256">
        <f>SUM(V13:V28)</f>
        <v>291633275.0280627</v>
      </c>
      <c r="W29" s="266"/>
      <c r="X29" s="256">
        <f ca="1">SUM(X13:X28)</f>
        <v>629479187.94994748</v>
      </c>
      <c r="Y29" s="1181"/>
      <c r="Z29" s="256">
        <f t="shared" ca="1" si="21"/>
        <v>337845912.92188478</v>
      </c>
      <c r="AA29" s="263">
        <f t="shared" ca="1" si="22"/>
        <v>0.53670704193122321</v>
      </c>
      <c r="AB29" s="256">
        <f>SUM(AB16:AB28)</f>
        <v>0</v>
      </c>
    </row>
    <row r="30" spans="2:31" x14ac:dyDescent="0.35">
      <c r="B30" s="148"/>
      <c r="C30" s="148"/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70"/>
      <c r="W30" s="271"/>
      <c r="X30" s="270"/>
      <c r="Y30" s="270"/>
      <c r="Z30" s="270"/>
      <c r="AA30" s="271"/>
      <c r="AB30" s="271"/>
    </row>
    <row r="31" spans="2:31" x14ac:dyDescent="0.35">
      <c r="B31" s="159" t="s">
        <v>71</v>
      </c>
      <c r="C31" s="148"/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70"/>
      <c r="W31" s="271"/>
      <c r="X31" s="270"/>
      <c r="Y31" s="270"/>
      <c r="Z31" s="270"/>
      <c r="AA31" s="271"/>
      <c r="AB31" s="271"/>
    </row>
    <row r="32" spans="2:31" x14ac:dyDescent="0.35">
      <c r="B32" s="66" t="s">
        <v>72</v>
      </c>
      <c r="C32" s="160"/>
      <c r="D32" s="216">
        <f>VLOOKUP($B32,'C. Gestión Pto #2'!$B$40:L$40,MATCH('Resumen Pto #2'!D$5,'C. Gestión Pto #2'!$B$26:L$26,0),0)</f>
        <v>0</v>
      </c>
      <c r="E32" s="216">
        <f>VLOOKUP($B32,'C. Gestión Pto #2'!$B$40:M$40,MATCH('Resumen Pto #2'!E$5,'C. Gestión Pto #2'!$B$26:M$26,0),0)</f>
        <v>0</v>
      </c>
      <c r="F32" s="216">
        <f>VLOOKUP($B32,'C. Gestión Pto #2'!$B$40:N$40,MATCH('Resumen Pto #2'!F$5,'C. Gestión Pto #2'!$B$26:N$26,0),0)</f>
        <v>0</v>
      </c>
      <c r="G32" s="216">
        <f>VLOOKUP($B32,'C. Gestión Pto #2'!$B$40:N$40,MATCH('Resumen Pto #2'!G$5,'C. Gestión Pto #2'!$B$26:N$26,0),0)</f>
        <v>0</v>
      </c>
      <c r="H32" s="216">
        <f>VLOOKUP($B32,'C. Gestión Pto #2'!$B$40:N$40,MATCH('Resumen Pto #2'!H$5,'C. Gestión Pto #2'!$B$26:N$26,0),0)</f>
        <v>0</v>
      </c>
      <c r="I32" s="216">
        <f>VLOOKUP($B32,'C. Gestión Pto #2'!$B$40:O$40,MATCH('Resumen Pto #2'!I$5,'C. Gestión Pto #2'!$B$26:O$26,0),0)</f>
        <v>0</v>
      </c>
      <c r="J32" s="216">
        <f>VLOOKUP($B32,'C. Gestión Pto #2'!$B$40:Q$40,MATCH('Resumen Pto #2'!J$5,'C. Gestión Pto #2'!$B$26:Q$26,0),0)</f>
        <v>0</v>
      </c>
      <c r="K32" s="216">
        <f>VLOOKUP($B32,'C. Gestión Pto #2'!$B$40:R$40,MATCH('Resumen Pto #2'!K$5,'C. Gestión Pto #2'!$B$26:R$26,0),0)</f>
        <v>0</v>
      </c>
      <c r="L32" s="216">
        <f>VLOOKUP($B32,'C. Gestión Pto #2'!$B$40:S$40,MATCH('Resumen Pto #2'!L$5,'C. Gestión Pto #2'!$B$26:S$26,0),0)</f>
        <v>0</v>
      </c>
      <c r="M32" s="216">
        <f>VLOOKUP($B32,'C. Gestión Pto #2'!$B$40:T$40,MATCH('Resumen Pto #2'!M$5,'C. Gestión Pto #2'!$B$26:T$26,0),0)</f>
        <v>0</v>
      </c>
      <c r="N32" s="216">
        <f>VLOOKUP($B32,'C. Gestión Pto #2'!$B$40:U$40,MATCH('Resumen Pto #2'!N$5,'C. Gestión Pto #2'!$B$26:U$26,0),0)</f>
        <v>0</v>
      </c>
      <c r="O32" s="216">
        <f>VLOOKUP($B32,'C. Gestión Pto #2'!$B$40:V$40,MATCH('Resumen Pto #2'!O$5,'C. Gestión Pto #2'!$B$26:V$26,0),0)</f>
        <v>2897224.5461486001</v>
      </c>
      <c r="P32" s="216">
        <f>VLOOKUP($B32,'C. Gestión Pto #2'!$B$40:W$40,MATCH('Resumen Pto #2'!P$5,'C. Gestión Pto #2'!$B$26:W$26,0),0)</f>
        <v>4034621.5311125824</v>
      </c>
      <c r="Q32" s="216">
        <f>VLOOKUP($B32,'C. Gestión Pto #2'!$B$40:X$40,MATCH('Resumen Pto #2'!Q$5,'C. Gestión Pto #2'!$B$26:X$26,0),0)</f>
        <v>2054329.6221242617</v>
      </c>
      <c r="R32" s="216">
        <f>VLOOKUP($B32,'C. Gestión Pto #2'!$B$40:Y$40,MATCH('Resumen Pto #2'!R$5,'C. Gestión Pto #2'!$B$26:Y$26,0),0)</f>
        <v>2194575.9691565987</v>
      </c>
      <c r="S32" s="216">
        <f>VLOOKUP($B32,'C. Gestión Pto #2'!$B$40:Z$40,MATCH('Resumen Pto #2'!S$5,'C. Gestión Pto #2'!$B$26:Z$26,0),0)</f>
        <v>2284148.6447303374</v>
      </c>
      <c r="T32" s="216">
        <f>VLOOKUP($B32,'C. Gestión Pto #2'!$B$40:AA$40,MATCH('Resumen Pto #2'!T$5,'C. Gestión Pto #2'!$B$26:AA$26,0),0)</f>
        <v>0</v>
      </c>
      <c r="U32" s="265"/>
      <c r="V32" s="216" cm="1">
        <f t="array" ref="V32">SUMPRODUCT($D32:$U32,TRANSPOSE('Indice CAC'!$D$2:$D$19))</f>
        <v>10994201.562224276</v>
      </c>
      <c r="X32" s="216">
        <f>SUM(GGBB!H6:H32)/17*6</f>
        <v>32809381.002758183</v>
      </c>
      <c r="Y32" s="1179">
        <v>0</v>
      </c>
      <c r="Z32" s="274">
        <f t="shared" ref="Z32:Z34" si="31">IF(Y32=100%,0,IF(OR(V32&lt;&gt;0,X32),X32-V32))</f>
        <v>21815179.440533906</v>
      </c>
      <c r="AA32" s="263">
        <f t="shared" ref="AA32:AA34" si="32">IF(OR(Z32&lt;0,X32),Z32/X32,0%)</f>
        <v>0.66490676671711579</v>
      </c>
      <c r="AB32" s="274">
        <f t="shared" ref="AB32:AB33" si="33">IF(Y32=100%,IF(OR(G32&lt;&gt;0,X32),X32-G32),0)</f>
        <v>0</v>
      </c>
    </row>
    <row r="33" spans="2:28" x14ac:dyDescent="0.35">
      <c r="B33" s="66" t="s">
        <v>73</v>
      </c>
      <c r="C33" s="160"/>
      <c r="D33" s="268">
        <f>VLOOKUP($B33,'C. Gestión Pto #2'!$B$46:L$46,MATCH('Resumen Pto #2'!D$5,'C. Gestión Pto #2'!$B$42:L$42,0),0)</f>
        <v>0</v>
      </c>
      <c r="E33" s="268">
        <f>VLOOKUP($B33,'C. Gestión Pto #2'!$B$46:M$46,MATCH('Resumen Pto #2'!E$5,'C. Gestión Pto #2'!$B$42:M$42,0),0)</f>
        <v>0</v>
      </c>
      <c r="F33" s="268">
        <f>VLOOKUP($B33,'C. Gestión Pto #2'!$B$46:N$46,MATCH('Resumen Pto #2'!F$5,'C. Gestión Pto #2'!$B$42:N$42,0),0)</f>
        <v>0</v>
      </c>
      <c r="G33" s="268">
        <f>VLOOKUP($B33,'C. Gestión Pto #2'!$B$46:N$46,MATCH('Resumen Pto #2'!G$5,'C. Gestión Pto #2'!$B$42:N$42,0),0)</f>
        <v>0</v>
      </c>
      <c r="H33" s="268">
        <f>VLOOKUP($B33,'C. Gestión Pto #2'!$B$46:N$46,MATCH('Resumen Pto #2'!H$5,'C. Gestión Pto #2'!$B$42:N$42,0),0)</f>
        <v>0</v>
      </c>
      <c r="I33" s="268">
        <f>VLOOKUP($B33,'C. Gestión Pto #2'!$B$46:O$46,MATCH('Resumen Pto #2'!I$5,'C. Gestión Pto #2'!$B$42:O$42,0),0)</f>
        <v>0</v>
      </c>
      <c r="J33" s="268">
        <f>VLOOKUP($B33,'C. Gestión Pto #2'!$B$46:Q$46,MATCH('Resumen Pto #2'!J$5,'C. Gestión Pto #2'!$B$42:Q$42,0),0)</f>
        <v>0</v>
      </c>
      <c r="K33" s="268">
        <f>VLOOKUP($B33,'C. Gestión Pto #2'!$B$46:R$46,MATCH('Resumen Pto #2'!K$5,'C. Gestión Pto #2'!$B$42:R$42,0),0)</f>
        <v>0</v>
      </c>
      <c r="L33" s="268">
        <f>VLOOKUP($B33,'C. Gestión Pto #2'!$B$46:S$46,MATCH('Resumen Pto #2'!L$5,'C. Gestión Pto #2'!$B$42:S$42,0),0)</f>
        <v>0</v>
      </c>
      <c r="M33" s="268">
        <f>VLOOKUP($B33,'C. Gestión Pto #2'!$B$46:T$46,MATCH('Resumen Pto #2'!M$5,'C. Gestión Pto #2'!$B$42:T$42,0),0)</f>
        <v>0</v>
      </c>
      <c r="N33" s="268">
        <f>VLOOKUP($B33,'C. Gestión Pto #2'!$B$46:U$46,MATCH('Resumen Pto #2'!N$5,'C. Gestión Pto #2'!$B$42:U$42,0),0)</f>
        <v>0</v>
      </c>
      <c r="O33" s="268">
        <f>VLOOKUP($B33,'C. Gestión Pto #2'!$B$46:V$46,MATCH('Resumen Pto #2'!O$5,'C. Gestión Pto #2'!$B$42:V$42,0),0)</f>
        <v>2992482.3548999997</v>
      </c>
      <c r="P33" s="268">
        <f>VLOOKUP($B33,'C. Gestión Pto #2'!$B$46:W$46,MATCH('Resumen Pto #2'!P$5,'C. Gestión Pto #2'!$B$42:W$42,0),0)</f>
        <v>4350156.4105809368</v>
      </c>
      <c r="Q33" s="268">
        <f>VLOOKUP($B33,'C. Gestión Pto #2'!$B$46:X$46,MATCH('Resumen Pto #2'!Q$5,'C. Gestión Pto #2'!$B$42:X$42,0),0)</f>
        <v>3484073.8068855698</v>
      </c>
      <c r="R33" s="268">
        <f>VLOOKUP($B33,'C. Gestión Pto #2'!$B$46:Y$46,MATCH('Resumen Pto #2'!R$5,'C. Gestión Pto #2'!$B$42:Y$42,0),0)</f>
        <v>3538872.3654952105</v>
      </c>
      <c r="S33" s="268">
        <f>VLOOKUP($B33,'C. Gestión Pto #2'!$B$46:Z$46,MATCH('Resumen Pto #2'!S$5,'C. Gestión Pto #2'!$B$42:Z$42,0),0)</f>
        <v>3226372.3404952101</v>
      </c>
      <c r="T33" s="268">
        <f>VLOOKUP($B33,'C. Gestión Pto #2'!$B$46:AA$46,MATCH('Resumen Pto #2'!T$5,'C. Gestión Pto #2'!$B$42:AA$42,0),0)</f>
        <v>0</v>
      </c>
      <c r="U33" s="265"/>
      <c r="V33" s="216" cm="1">
        <f t="array" ref="V33">SUMPRODUCT($D33:$U33,TRANSPOSE('Indice CAC'!$D$2:$D$19))</f>
        <v>14327114.79282889</v>
      </c>
      <c r="X33" s="268">
        <f>SUM(GGBB!H42:H48)/17*6</f>
        <v>29207080.569529414</v>
      </c>
      <c r="Y33" s="1179">
        <v>0</v>
      </c>
      <c r="Z33" s="274">
        <f t="shared" si="31"/>
        <v>14879965.776700525</v>
      </c>
      <c r="AA33" s="263">
        <f t="shared" si="32"/>
        <v>0.5094643314752999</v>
      </c>
      <c r="AB33" s="274">
        <f t="shared" si="33"/>
        <v>0</v>
      </c>
    </row>
    <row r="34" spans="2:28" x14ac:dyDescent="0.35">
      <c r="B34" s="587" t="s">
        <v>74</v>
      </c>
      <c r="C34" s="588"/>
      <c r="D34" s="249">
        <f>SUM(D32:D33)</f>
        <v>0</v>
      </c>
      <c r="E34" s="249">
        <f t="shared" ref="E34:H34" si="34">SUM(E32:E33)</f>
        <v>0</v>
      </c>
      <c r="F34" s="249">
        <f t="shared" si="34"/>
        <v>0</v>
      </c>
      <c r="G34" s="249">
        <f t="shared" si="34"/>
        <v>0</v>
      </c>
      <c r="H34" s="249">
        <f t="shared" si="34"/>
        <v>0</v>
      </c>
      <c r="I34" s="249">
        <f t="shared" ref="I34:J34" si="35">SUM(I32:I33)</f>
        <v>0</v>
      </c>
      <c r="J34" s="249">
        <f t="shared" si="35"/>
        <v>0</v>
      </c>
      <c r="K34" s="249">
        <f t="shared" ref="K34:L34" si="36">SUM(K32:K33)</f>
        <v>0</v>
      </c>
      <c r="L34" s="249">
        <f t="shared" si="36"/>
        <v>0</v>
      </c>
      <c r="M34" s="249">
        <f t="shared" ref="M34:N34" si="37">SUM(M32:M33)</f>
        <v>0</v>
      </c>
      <c r="N34" s="249">
        <f t="shared" si="37"/>
        <v>0</v>
      </c>
      <c r="O34" s="249">
        <f t="shared" ref="O34:Q34" si="38">SUM(O32:O33)</f>
        <v>5889706.9010485997</v>
      </c>
      <c r="P34" s="249">
        <f t="shared" si="38"/>
        <v>8384777.9416935192</v>
      </c>
      <c r="Q34" s="249">
        <f t="shared" si="38"/>
        <v>5538403.4290098315</v>
      </c>
      <c r="R34" s="249">
        <f t="shared" ref="R34:S34" si="39">SUM(R32:R33)</f>
        <v>5733448.3346518092</v>
      </c>
      <c r="S34" s="249">
        <f t="shared" si="39"/>
        <v>5510520.9852255471</v>
      </c>
      <c r="T34" s="249">
        <f t="shared" ref="T34" si="40">SUM(T32:T33)</f>
        <v>0</v>
      </c>
      <c r="U34" s="255"/>
      <c r="V34" s="249">
        <f>SUM(V32:V33)</f>
        <v>25321316.355053164</v>
      </c>
      <c r="X34" s="249">
        <f>SUM(X32:X33)</f>
        <v>62016461.572287597</v>
      </c>
      <c r="Y34" s="1182"/>
      <c r="Z34" s="256">
        <f t="shared" si="31"/>
        <v>36695145.217234433</v>
      </c>
      <c r="AA34" s="263">
        <f t="shared" si="32"/>
        <v>0.59170007909048239</v>
      </c>
      <c r="AB34" s="249">
        <f>SUM(AB32:AB33)</f>
        <v>0</v>
      </c>
    </row>
    <row r="35" spans="2:28" x14ac:dyDescent="0.35">
      <c r="Y35" s="260"/>
      <c r="Z35" s="260"/>
      <c r="AA35" s="260"/>
      <c r="AB35" s="260"/>
    </row>
    <row r="36" spans="2:28" x14ac:dyDescent="0.3">
      <c r="B36" s="251" t="s">
        <v>75</v>
      </c>
      <c r="C36" s="252"/>
      <c r="D36" s="253">
        <f>D29+D34</f>
        <v>2128206</v>
      </c>
      <c r="E36" s="253">
        <f t="shared" ref="E36:I36" si="41">E29+E34</f>
        <v>2823867.5980000002</v>
      </c>
      <c r="F36" s="253">
        <f t="shared" si="41"/>
        <v>3646478.5</v>
      </c>
      <c r="G36" s="253">
        <f t="shared" si="41"/>
        <v>7828840.6500000004</v>
      </c>
      <c r="H36" s="253">
        <f t="shared" si="41"/>
        <v>6869318.9000000004</v>
      </c>
      <c r="I36" s="253">
        <f t="shared" si="41"/>
        <v>8575533.336918842</v>
      </c>
      <c r="J36" s="253">
        <f t="shared" ref="J36:K36" si="42">J29+J34</f>
        <v>10802907.953456072</v>
      </c>
      <c r="K36" s="253">
        <f t="shared" si="42"/>
        <v>12083703.5264</v>
      </c>
      <c r="L36" s="253">
        <f t="shared" ref="L36:M36" si="43">L29+L34</f>
        <v>12202971.290000001</v>
      </c>
      <c r="M36" s="253">
        <f t="shared" si="43"/>
        <v>14407037.41865107</v>
      </c>
      <c r="N36" s="253">
        <f t="shared" ref="N36:O36" si="44">N29+N34</f>
        <v>28687434.477506209</v>
      </c>
      <c r="O36" s="253">
        <f t="shared" si="44"/>
        <v>31645631.586257685</v>
      </c>
      <c r="P36" s="253">
        <f t="shared" ref="P36:Q36" si="45">P29+P34</f>
        <v>49975620.969328649</v>
      </c>
      <c r="Q36" s="253">
        <f t="shared" si="45"/>
        <v>56328354.303435914</v>
      </c>
      <c r="R36" s="253">
        <f t="shared" ref="R36:S36" si="46">R29+R34</f>
        <v>51613557.620551333</v>
      </c>
      <c r="S36" s="253">
        <f t="shared" si="46"/>
        <v>69145368.225160837</v>
      </c>
      <c r="T36" s="253">
        <f t="shared" ref="T36" si="47">T29+T34</f>
        <v>8523877.8900000006</v>
      </c>
      <c r="V36" s="253">
        <f>V29+V34</f>
        <v>316954591.38311589</v>
      </c>
      <c r="X36" s="253">
        <f ca="1">X29+X34</f>
        <v>691495649.52223504</v>
      </c>
      <c r="Y36" s="260"/>
      <c r="Z36" s="260"/>
      <c r="AA36" s="260"/>
      <c r="AB36" s="260"/>
    </row>
    <row r="37" spans="2:28" x14ac:dyDescent="0.35">
      <c r="Y37" s="260"/>
      <c r="Z37" s="260"/>
      <c r="AA37" s="260"/>
      <c r="AB37" s="260"/>
    </row>
    <row r="38" spans="2:28" x14ac:dyDescent="0.3">
      <c r="B38" s="251" t="s">
        <v>76</v>
      </c>
      <c r="C38" s="252"/>
      <c r="D38" s="257">
        <f>SUM(D8,D10,-D36)</f>
        <v>-2128206</v>
      </c>
      <c r="E38" s="257">
        <f t="shared" ref="E38:K38" si="48">SUM(E8,E10,-E36)</f>
        <v>-2823867.5980000002</v>
      </c>
      <c r="F38" s="257">
        <f t="shared" si="48"/>
        <v>83566831.97247529</v>
      </c>
      <c r="G38" s="257">
        <f t="shared" si="48"/>
        <v>442765.63826443627</v>
      </c>
      <c r="H38" s="257">
        <f t="shared" si="48"/>
        <v>1310688.0917642806</v>
      </c>
      <c r="I38" s="257">
        <f t="shared" si="48"/>
        <v>911385.17408944108</v>
      </c>
      <c r="J38" s="257">
        <f t="shared" si="48"/>
        <v>-1936354.9564560726</v>
      </c>
      <c r="K38" s="257">
        <f t="shared" si="48"/>
        <v>-467729.65640000068</v>
      </c>
      <c r="L38" s="257">
        <f t="shared" ref="L38:M38" si="49">SUM(L8,L10,-L36)</f>
        <v>-978372.31000000052</v>
      </c>
      <c r="M38" s="257">
        <f t="shared" si="49"/>
        <v>-169328.31865107082</v>
      </c>
      <c r="N38" s="257">
        <f t="shared" ref="N38:O38" si="50">SUM(N8,N10,-N36)</f>
        <v>-15936303.477506209</v>
      </c>
      <c r="O38" s="257">
        <f t="shared" si="50"/>
        <v>-11088680.814457685</v>
      </c>
      <c r="P38" s="257">
        <f t="shared" ref="P38:Q38" si="51">SUM(P8,P10,-P36)</f>
        <v>-10151660.03932865</v>
      </c>
      <c r="Q38" s="257">
        <f t="shared" si="51"/>
        <v>-10259619.143435918</v>
      </c>
      <c r="R38" s="257">
        <f t="shared" ref="R38:S38" si="52">SUM(R8,R10,-R36)</f>
        <v>-20142578.150551334</v>
      </c>
      <c r="S38" s="257">
        <f t="shared" si="52"/>
        <v>3563062.380839169</v>
      </c>
      <c r="T38" s="257">
        <f t="shared" ref="T38" si="53">SUM(T8,T10,-T36)</f>
        <v>-8523877.8900000006</v>
      </c>
      <c r="V38" s="257">
        <f>SUM(V8,-V36)</f>
        <v>15837229.706684113</v>
      </c>
      <c r="X38" s="257">
        <f ca="1">SUM(X8,-X36)</f>
        <v>153349598.47776484</v>
      </c>
      <c r="Y38" s="260"/>
      <c r="Z38" s="260"/>
      <c r="AA38" s="260"/>
      <c r="AB38" s="260"/>
    </row>
    <row r="39" spans="2:28" x14ac:dyDescent="0.3">
      <c r="B39" s="251" t="s">
        <v>77</v>
      </c>
      <c r="C39" s="252"/>
      <c r="D39" s="258">
        <f>D38</f>
        <v>-2128206</v>
      </c>
      <c r="E39" s="258">
        <f>E38+D39</f>
        <v>-4952073.5980000002</v>
      </c>
      <c r="F39" s="258">
        <f t="shared" ref="F39:O39" si="54">F38+E39</f>
        <v>78614758.374475285</v>
      </c>
      <c r="G39" s="258">
        <f t="shared" si="54"/>
        <v>79057524.012739718</v>
      </c>
      <c r="H39" s="258">
        <f t="shared" si="54"/>
        <v>80368212.104504004</v>
      </c>
      <c r="I39" s="258">
        <f t="shared" si="54"/>
        <v>81279597.278593451</v>
      </c>
      <c r="J39" s="258">
        <f t="shared" si="54"/>
        <v>79343242.322137386</v>
      </c>
      <c r="K39" s="258">
        <f t="shared" si="54"/>
        <v>78875512.665737391</v>
      </c>
      <c r="L39" s="258">
        <f t="shared" si="54"/>
        <v>77897140.355737388</v>
      </c>
      <c r="M39" s="258">
        <f t="shared" si="54"/>
        <v>77727812.037086323</v>
      </c>
      <c r="N39" s="258">
        <f t="shared" si="54"/>
        <v>61791508.559580117</v>
      </c>
      <c r="O39" s="258">
        <f t="shared" si="54"/>
        <v>50702827.745122433</v>
      </c>
      <c r="P39" s="258">
        <f t="shared" ref="P39" si="55">P38+O39</f>
        <v>40551167.705793783</v>
      </c>
      <c r="Q39" s="258">
        <f t="shared" ref="Q39:T39" si="56">Q38+P39</f>
        <v>30291548.562357865</v>
      </c>
      <c r="R39" s="258">
        <f t="shared" si="56"/>
        <v>10148970.411806531</v>
      </c>
      <c r="S39" s="258">
        <f t="shared" si="56"/>
        <v>13712032.7926457</v>
      </c>
      <c r="T39" s="258">
        <f t="shared" si="56"/>
        <v>5188154.9026456997</v>
      </c>
      <c r="Y39" s="260"/>
      <c r="Z39" s="260"/>
      <c r="AA39" s="260"/>
      <c r="AB39" s="260"/>
    </row>
    <row r="40" spans="2:28" x14ac:dyDescent="0.35">
      <c r="Y40" s="260"/>
      <c r="Z40" s="260"/>
      <c r="AA40" s="260"/>
      <c r="AB40" s="260"/>
    </row>
    <row r="41" spans="2:28" x14ac:dyDescent="0.35">
      <c r="Y41" s="260"/>
      <c r="Z41" s="260"/>
      <c r="AA41" s="260"/>
      <c r="AB41" s="260"/>
    </row>
    <row r="42" spans="2:28" x14ac:dyDescent="0.35">
      <c r="Y42" s="260"/>
      <c r="Z42" s="260"/>
      <c r="AA42" s="260"/>
      <c r="AB42" s="260"/>
    </row>
  </sheetData>
  <conditionalFormatting sqref="D38:T39 V38:V39">
    <cfRule type="cellIs" dxfId="111" priority="19" operator="greaterThan">
      <formula>0</formula>
    </cfRule>
    <cfRule type="cellIs" dxfId="110" priority="20" operator="lessThan">
      <formula>0</formula>
    </cfRule>
  </conditionalFormatting>
  <conditionalFormatting sqref="X38:X39">
    <cfRule type="cellIs" dxfId="109" priority="3" operator="greaterThan">
      <formula>0</formula>
    </cfRule>
    <cfRule type="cellIs" dxfId="108" priority="4" operator="lessThan">
      <formula>0</formula>
    </cfRule>
  </conditionalFormatting>
  <conditionalFormatting sqref="AA7:AA10">
    <cfRule type="cellIs" dxfId="107" priority="25" operator="lessThan">
      <formula>0</formula>
    </cfRule>
    <cfRule type="cellIs" dxfId="106" priority="26" operator="greaterThan">
      <formula>0</formula>
    </cfRule>
  </conditionalFormatting>
  <conditionalFormatting sqref="AA13:AA29">
    <cfRule type="cellIs" dxfId="105" priority="11" operator="lessThan">
      <formula>0</formula>
    </cfRule>
    <cfRule type="cellIs" dxfId="104" priority="12" operator="greaterThan">
      <formula>0</formula>
    </cfRule>
  </conditionalFormatting>
  <conditionalFormatting sqref="AA32:AA34">
    <cfRule type="cellIs" dxfId="103" priority="9" operator="lessThan">
      <formula>0</formula>
    </cfRule>
    <cfRule type="cellIs" dxfId="102" priority="10" operator="greater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V29 AA10 V34:V39 AA8 X13:AB29 X7:AB7 X9:AB9 X32:X39 AA32:AB38 Y32:Y38 Z32:Z35 D5:T5 D34:U37 D13:U31 D38:T39" xr:uid="{07525552-697A-47BD-A856-03888CE13125}"/>
  </dataValidations>
  <pageMargins left="0.7" right="0.7" top="0.75" bottom="0.75" header="0.3" footer="0.3"/>
  <pageSetup paperSize="9" orientation="portrait" r:id="rId1"/>
  <ignoredErrors>
    <ignoredError sqref="AA10 AA29 AA34 D9:O9 V8:V9 AA8:AB8 Z9 AB9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0AE854-C4BE-4C7C-84E5-A111D38AD28E}">
          <x14:formula1>
            <xm:f>Listas!$C$1:$C$2</xm:f>
          </x14:formula1>
          <xm:sqref>C13:C28</xm:sqref>
        </x14:dataValidation>
        <x14:dataValidation type="list" allowBlank="1" showInputMessage="1" showErrorMessage="1" xr:uid="{A5087190-D85F-4FAF-B89D-11DB6FBEC46E}">
          <x14:formula1>
            <xm:f>Listas!$A:$A</xm:f>
          </x14:formula1>
          <xm:sqref>B13:B28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B70D-8DD6-4AF5-AD47-1D59A4BB3FBE}">
  <dimension ref="A1:Z55"/>
  <sheetViews>
    <sheetView topLeftCell="D1" zoomScale="110" zoomScaleNormal="110" workbookViewId="0">
      <selection activeCell="L22" sqref="L22"/>
    </sheetView>
  </sheetViews>
  <sheetFormatPr defaultColWidth="11.54296875" defaultRowHeight="12.75" customHeight="1" outlineLevelRow="1" x14ac:dyDescent="0.3"/>
  <cols>
    <col min="1" max="1" width="13.453125" style="882" customWidth="1"/>
    <col min="2" max="2" width="25.7265625" style="876" bestFit="1" customWidth="1"/>
    <col min="3" max="3" width="56.26953125" style="877" customWidth="1"/>
    <col min="4" max="4" width="4.1796875" style="878" bestFit="1" customWidth="1"/>
    <col min="5" max="5" width="9.54296875" style="879" customWidth="1"/>
    <col min="6" max="6" width="13.54296875" style="879" customWidth="1"/>
    <col min="7" max="7" width="13.26953125" style="879" bestFit="1" customWidth="1"/>
    <col min="8" max="8" width="11" style="880" bestFit="1" customWidth="1"/>
    <col min="9" max="9" width="11" style="880" customWidth="1"/>
    <col min="10" max="10" width="13.54296875" style="880" customWidth="1"/>
    <col min="11" max="11" width="11.7265625" style="880" bestFit="1" customWidth="1"/>
    <col min="12" max="12" width="12" style="914" bestFit="1" customWidth="1"/>
    <col min="13" max="13" width="11.1796875" style="882" customWidth="1"/>
    <col min="14" max="14" width="13.54296875" style="882" bestFit="1" customWidth="1"/>
    <col min="15" max="15" width="12.1796875" style="883" customWidth="1"/>
    <col min="16" max="16" width="10.81640625" style="882" bestFit="1" customWidth="1"/>
    <col min="17" max="17" width="12.26953125" style="882" customWidth="1"/>
    <col min="18" max="18" width="11.54296875" style="882" customWidth="1"/>
    <col min="19" max="19" width="12" style="882" bestFit="1" customWidth="1"/>
    <col min="20" max="20" width="12.1796875" style="882" customWidth="1"/>
    <col min="21" max="21" width="13.26953125" style="882" bestFit="1" customWidth="1"/>
    <col min="22" max="22" width="12" style="882" bestFit="1" customWidth="1"/>
    <col min="23" max="16384" width="11.54296875" style="882"/>
  </cols>
  <sheetData>
    <row r="1" spans="1:22" ht="12.75" customHeight="1" x14ac:dyDescent="0.3">
      <c r="K1" s="881" t="s">
        <v>192</v>
      </c>
      <c r="L1" s="881" t="s">
        <v>193</v>
      </c>
    </row>
    <row r="2" spans="1:22" ht="13" x14ac:dyDescent="0.3">
      <c r="K2" s="884">
        <v>1066.5</v>
      </c>
      <c r="L2" s="884">
        <v>1170</v>
      </c>
    </row>
    <row r="3" spans="1:22" s="890" customFormat="1" ht="13" x14ac:dyDescent="0.35">
      <c r="B3" s="885"/>
      <c r="C3" s="886"/>
      <c r="D3" s="887"/>
      <c r="E3" s="888"/>
      <c r="F3" s="888"/>
      <c r="G3" s="888"/>
      <c r="H3" s="888"/>
      <c r="I3" s="888"/>
      <c r="J3" s="888"/>
      <c r="K3" s="888"/>
      <c r="L3" s="889"/>
      <c r="O3" s="891"/>
    </row>
    <row r="4" spans="1:22" s="890" customFormat="1" ht="13" x14ac:dyDescent="0.3">
      <c r="B4" s="885"/>
      <c r="C4" s="886"/>
      <c r="D4" s="887"/>
      <c r="E4" s="888"/>
      <c r="F4" s="888"/>
      <c r="G4" s="888"/>
      <c r="H4" s="888"/>
      <c r="I4" s="888"/>
      <c r="J4" s="888"/>
      <c r="K4" s="892">
        <v>45667</v>
      </c>
      <c r="L4" s="889"/>
      <c r="N4" s="893" t="s">
        <v>714</v>
      </c>
      <c r="O4" s="894">
        <v>9</v>
      </c>
      <c r="P4" s="895"/>
      <c r="Q4" s="896"/>
      <c r="R4" s="897"/>
      <c r="S4" s="898">
        <v>45988</v>
      </c>
    </row>
    <row r="5" spans="1:22" s="890" customFormat="1" ht="13" x14ac:dyDescent="0.35">
      <c r="B5" s="885"/>
      <c r="C5" s="899" t="s">
        <v>194</v>
      </c>
      <c r="D5" s="887"/>
      <c r="E5" s="888"/>
      <c r="F5" s="888"/>
      <c r="G5" s="888"/>
      <c r="H5" s="900"/>
      <c r="I5" s="900"/>
      <c r="J5" s="900"/>
      <c r="K5" s="900"/>
      <c r="L5" s="889"/>
      <c r="N5" s="901"/>
      <c r="O5" s="902"/>
      <c r="P5" s="901"/>
      <c r="Q5" s="903"/>
      <c r="R5" s="903"/>
      <c r="S5" s="903"/>
    </row>
    <row r="6" spans="1:22" s="890" customFormat="1" ht="13" x14ac:dyDescent="0.3">
      <c r="B6" s="885"/>
      <c r="C6" s="899" t="s">
        <v>715</v>
      </c>
      <c r="D6" s="904"/>
      <c r="E6" s="905"/>
      <c r="F6" s="888"/>
      <c r="G6" s="888"/>
      <c r="H6" s="906"/>
      <c r="I6" s="906"/>
      <c r="J6" s="906"/>
      <c r="K6" s="906"/>
      <c r="L6" s="889"/>
      <c r="N6" s="1430" t="s">
        <v>716</v>
      </c>
      <c r="O6" s="1430"/>
      <c r="P6" s="1430"/>
      <c r="Q6" s="1431" t="s">
        <v>85</v>
      </c>
      <c r="R6" s="1431"/>
      <c r="S6" s="1431"/>
      <c r="T6" s="1432" t="s">
        <v>85</v>
      </c>
      <c r="U6" s="1433"/>
      <c r="V6" s="882"/>
    </row>
    <row r="7" spans="1:22" ht="13" x14ac:dyDescent="0.3">
      <c r="B7" s="909" t="s">
        <v>196</v>
      </c>
      <c r="C7" s="910" t="s">
        <v>198</v>
      </c>
      <c r="D7" s="911" t="s">
        <v>199</v>
      </c>
      <c r="E7" s="912" t="s">
        <v>200</v>
      </c>
      <c r="F7" s="913" t="s">
        <v>717</v>
      </c>
      <c r="G7" s="913" t="s">
        <v>718</v>
      </c>
      <c r="H7" s="913" t="s">
        <v>469</v>
      </c>
      <c r="I7" s="913" t="s">
        <v>719</v>
      </c>
      <c r="J7" s="913" t="s">
        <v>203</v>
      </c>
      <c r="K7" s="913" t="s">
        <v>165</v>
      </c>
      <c r="N7" s="907" t="s">
        <v>720</v>
      </c>
      <c r="O7" s="907" t="s">
        <v>721</v>
      </c>
      <c r="P7" s="907" t="s">
        <v>455</v>
      </c>
      <c r="Q7" s="908" t="s">
        <v>720</v>
      </c>
      <c r="R7" s="908" t="s">
        <v>721</v>
      </c>
      <c r="S7" s="908" t="s">
        <v>455</v>
      </c>
      <c r="T7" s="908" t="s">
        <v>202</v>
      </c>
      <c r="U7" s="908" t="s">
        <v>718</v>
      </c>
      <c r="V7" s="908" t="s">
        <v>87</v>
      </c>
    </row>
    <row r="8" spans="1:22" s="924" customFormat="1" ht="13" x14ac:dyDescent="0.3">
      <c r="B8" s="909">
        <v>1</v>
      </c>
      <c r="C8" s="915" t="s">
        <v>204</v>
      </c>
      <c r="D8" s="916"/>
      <c r="E8" s="917"/>
      <c r="F8" s="917"/>
      <c r="G8" s="917"/>
      <c r="H8" s="917"/>
      <c r="I8" s="917"/>
      <c r="J8" s="917"/>
      <c r="K8" s="917"/>
      <c r="L8" s="918">
        <f>SUM(K9:K17)</f>
        <v>19888202</v>
      </c>
      <c r="M8" s="919">
        <f>+L8/$L$46</f>
        <v>3.9704323183519713E-2</v>
      </c>
      <c r="N8" s="920"/>
      <c r="O8" s="921"/>
      <c r="P8" s="922"/>
      <c r="Q8" s="922"/>
      <c r="R8" s="922"/>
      <c r="S8" s="923"/>
      <c r="T8" s="923"/>
      <c r="U8" s="923"/>
      <c r="V8" s="923"/>
    </row>
    <row r="9" spans="1:22" ht="13" outlineLevel="1" x14ac:dyDescent="0.3">
      <c r="A9" s="1175"/>
      <c r="B9" s="925">
        <v>1.01</v>
      </c>
      <c r="C9" s="926" t="s">
        <v>722</v>
      </c>
      <c r="D9" s="927" t="s">
        <v>207</v>
      </c>
      <c r="E9" s="928">
        <v>1</v>
      </c>
      <c r="F9" s="928">
        <f>'01 (2)'!H9*'01 (2)'!$T$5</f>
        <v>0</v>
      </c>
      <c r="G9" s="928">
        <f>H9-F9</f>
        <v>0</v>
      </c>
      <c r="H9" s="929">
        <v>0</v>
      </c>
      <c r="I9" s="929">
        <f>E9*F9</f>
        <v>0</v>
      </c>
      <c r="J9" s="929">
        <f>E9*G9</f>
        <v>0</v>
      </c>
      <c r="K9" s="929">
        <f>E9*H9</f>
        <v>0</v>
      </c>
      <c r="M9" s="930"/>
      <c r="N9" s="931">
        <v>0</v>
      </c>
      <c r="O9" s="931"/>
      <c r="P9" s="932">
        <f>SUM(N9:O9)</f>
        <v>0</v>
      </c>
      <c r="Q9" s="933">
        <f>K9*N9</f>
        <v>0</v>
      </c>
      <c r="R9" s="933">
        <f>K9*O9</f>
        <v>0</v>
      </c>
      <c r="S9" s="933">
        <f>K9*P9</f>
        <v>0</v>
      </c>
      <c r="T9" s="933">
        <f>I9*P9</f>
        <v>0</v>
      </c>
      <c r="U9" s="933">
        <f>J9*P9</f>
        <v>0</v>
      </c>
      <c r="V9" s="933">
        <f>SUM(T9:U9)</f>
        <v>0</v>
      </c>
    </row>
    <row r="10" spans="1:22" ht="13" outlineLevel="1" x14ac:dyDescent="0.3">
      <c r="A10" s="1197" t="s">
        <v>57</v>
      </c>
      <c r="B10" s="934">
        <v>1.02</v>
      </c>
      <c r="C10" s="935" t="s">
        <v>208</v>
      </c>
      <c r="D10" s="936" t="s">
        <v>207</v>
      </c>
      <c r="E10" s="937">
        <v>3</v>
      </c>
      <c r="F10" s="937">
        <f>'01 (2)'!H10*'01 (2)'!$T$5</f>
        <v>33318.185678525384</v>
      </c>
      <c r="G10" s="937">
        <f t="shared" ref="G10:G17" si="0">H10-F10</f>
        <v>351662.81432147464</v>
      </c>
      <c r="H10" s="938">
        <v>384981</v>
      </c>
      <c r="I10" s="938">
        <f t="shared" ref="I10:I17" si="1">E10*F10</f>
        <v>99954.557035576145</v>
      </c>
      <c r="J10" s="938">
        <f t="shared" ref="J10:J17" si="2">E10*G10</f>
        <v>1054988.4429644239</v>
      </c>
      <c r="K10" s="938">
        <f t="shared" ref="K10:K17" si="3">E10*H10</f>
        <v>1154943</v>
      </c>
      <c r="M10" s="930"/>
      <c r="N10" s="939">
        <v>0.33</v>
      </c>
      <c r="O10" s="939">
        <v>0.67</v>
      </c>
      <c r="P10" s="940">
        <f>SUM(N10:O10)</f>
        <v>1</v>
      </c>
      <c r="Q10" s="933">
        <f t="shared" ref="Q10:Q17" si="4">K10*N10</f>
        <v>381131.19</v>
      </c>
      <c r="R10" s="933">
        <f t="shared" ref="R10:R17" si="5">K10*O10</f>
        <v>773811.81</v>
      </c>
      <c r="S10" s="933">
        <f t="shared" ref="S10:S17" si="6">K10*P10</f>
        <v>1154943</v>
      </c>
      <c r="T10" s="933">
        <f t="shared" ref="T10:T17" si="7">I10*P10</f>
        <v>99954.557035576145</v>
      </c>
      <c r="U10" s="933">
        <f t="shared" ref="U10:U45" si="8">J10*P10</f>
        <v>1054988.4429644239</v>
      </c>
      <c r="V10" s="933">
        <f t="shared" ref="V10:V45" si="9">SUM(T10:U10)</f>
        <v>1154943</v>
      </c>
    </row>
    <row r="11" spans="1:22" ht="13" outlineLevel="1" x14ac:dyDescent="0.3">
      <c r="A11" s="1176"/>
      <c r="B11" s="934">
        <v>1.03</v>
      </c>
      <c r="C11" s="935" t="s">
        <v>723</v>
      </c>
      <c r="D11" s="941" t="s">
        <v>207</v>
      </c>
      <c r="E11" s="942">
        <v>1</v>
      </c>
      <c r="F11" s="942">
        <f>'01 (2)'!H11*'01 (2)'!$T$5</f>
        <v>0</v>
      </c>
      <c r="G11" s="942">
        <f t="shared" si="0"/>
        <v>0</v>
      </c>
      <c r="H11" s="938">
        <v>0</v>
      </c>
      <c r="I11" s="938">
        <f t="shared" si="1"/>
        <v>0</v>
      </c>
      <c r="J11" s="938">
        <f t="shared" si="2"/>
        <v>0</v>
      </c>
      <c r="K11" s="938">
        <f t="shared" si="3"/>
        <v>0</v>
      </c>
      <c r="M11" s="930"/>
      <c r="N11" s="939">
        <v>0</v>
      </c>
      <c r="O11" s="939"/>
      <c r="P11" s="940">
        <f t="shared" ref="P11:P17" si="10">SUM(N11:O11)</f>
        <v>0</v>
      </c>
      <c r="Q11" s="933">
        <f t="shared" si="4"/>
        <v>0</v>
      </c>
      <c r="R11" s="933">
        <f t="shared" si="5"/>
        <v>0</v>
      </c>
      <c r="S11" s="933">
        <f t="shared" si="6"/>
        <v>0</v>
      </c>
      <c r="T11" s="933">
        <f t="shared" si="7"/>
        <v>0</v>
      </c>
      <c r="U11" s="933">
        <f t="shared" si="8"/>
        <v>0</v>
      </c>
      <c r="V11" s="933">
        <f t="shared" si="9"/>
        <v>0</v>
      </c>
    </row>
    <row r="12" spans="1:22" ht="26" outlineLevel="1" x14ac:dyDescent="0.3">
      <c r="A12" s="1200" t="s">
        <v>56</v>
      </c>
      <c r="B12" s="934">
        <v>1.04</v>
      </c>
      <c r="C12" s="935" t="s">
        <v>724</v>
      </c>
      <c r="D12" s="936" t="s">
        <v>211</v>
      </c>
      <c r="E12" s="937">
        <v>10</v>
      </c>
      <c r="F12" s="937">
        <f>'01 (2)'!H12*'01 (2)'!$T$5</f>
        <v>117720.75029341879</v>
      </c>
      <c r="G12" s="937">
        <f t="shared" si="0"/>
        <v>139276.24970658121</v>
      </c>
      <c r="H12" s="938">
        <v>256997</v>
      </c>
      <c r="I12" s="938">
        <f t="shared" si="1"/>
        <v>1177207.5029341879</v>
      </c>
      <c r="J12" s="938">
        <f t="shared" si="2"/>
        <v>1392762.4970658121</v>
      </c>
      <c r="K12" s="938">
        <f t="shared" si="3"/>
        <v>2569970</v>
      </c>
      <c r="M12" s="930"/>
      <c r="N12" s="939">
        <v>0.75</v>
      </c>
      <c r="O12" s="943">
        <v>0.25</v>
      </c>
      <c r="P12" s="940">
        <f t="shared" si="10"/>
        <v>1</v>
      </c>
      <c r="Q12" s="933">
        <f t="shared" si="4"/>
        <v>1927477.5</v>
      </c>
      <c r="R12" s="933">
        <f t="shared" si="5"/>
        <v>642492.5</v>
      </c>
      <c r="S12" s="933">
        <f t="shared" si="6"/>
        <v>2569970</v>
      </c>
      <c r="T12" s="933">
        <f t="shared" si="7"/>
        <v>1177207.5029341879</v>
      </c>
      <c r="U12" s="933">
        <f t="shared" si="8"/>
        <v>1392762.4970658121</v>
      </c>
      <c r="V12" s="933">
        <f t="shared" si="9"/>
        <v>2569970</v>
      </c>
    </row>
    <row r="13" spans="1:22" ht="13" outlineLevel="1" x14ac:dyDescent="0.3">
      <c r="A13" s="1176" t="s">
        <v>56</v>
      </c>
      <c r="B13" s="934">
        <v>1.05</v>
      </c>
      <c r="C13" s="935" t="s">
        <v>725</v>
      </c>
      <c r="D13" s="936" t="s">
        <v>207</v>
      </c>
      <c r="E13" s="937">
        <v>1</v>
      </c>
      <c r="F13" s="937">
        <f>'01 (2)'!H13*'01 (2)'!$T$5</f>
        <v>2770506.6932473364</v>
      </c>
      <c r="G13" s="937">
        <f t="shared" si="0"/>
        <v>7041825.3067526631</v>
      </c>
      <c r="H13" s="938">
        <v>9812332</v>
      </c>
      <c r="I13" s="938">
        <f t="shared" si="1"/>
        <v>2770506.6932473364</v>
      </c>
      <c r="J13" s="938">
        <f t="shared" si="2"/>
        <v>7041825.3067526631</v>
      </c>
      <c r="K13" s="938">
        <f t="shared" si="3"/>
        <v>9812332</v>
      </c>
      <c r="M13" s="930"/>
      <c r="N13" s="939">
        <v>0.85</v>
      </c>
      <c r="O13" s="939">
        <v>0.15</v>
      </c>
      <c r="P13" s="940">
        <f t="shared" si="10"/>
        <v>1</v>
      </c>
      <c r="Q13" s="933">
        <f t="shared" si="4"/>
        <v>8340482.2000000002</v>
      </c>
      <c r="R13" s="933">
        <f t="shared" si="5"/>
        <v>1471849.8</v>
      </c>
      <c r="S13" s="933">
        <f t="shared" si="6"/>
        <v>9812332</v>
      </c>
      <c r="T13" s="933">
        <f t="shared" si="7"/>
        <v>2770506.6932473364</v>
      </c>
      <c r="U13" s="933">
        <f t="shared" si="8"/>
        <v>7041825.3067526631</v>
      </c>
      <c r="V13" s="933">
        <f t="shared" si="9"/>
        <v>9812332</v>
      </c>
    </row>
    <row r="14" spans="1:22" ht="13" outlineLevel="1" x14ac:dyDescent="0.3">
      <c r="A14" s="1176" t="s">
        <v>69</v>
      </c>
      <c r="B14" s="934">
        <v>1.06</v>
      </c>
      <c r="C14" s="935" t="s">
        <v>213</v>
      </c>
      <c r="D14" s="936" t="s">
        <v>214</v>
      </c>
      <c r="E14" s="937">
        <v>4</v>
      </c>
      <c r="F14" s="937">
        <f>'01 (2)'!H14*'01 (2)'!$T$5</f>
        <v>0</v>
      </c>
      <c r="G14" s="937">
        <f t="shared" si="0"/>
        <v>442847</v>
      </c>
      <c r="H14" s="938">
        <v>442847</v>
      </c>
      <c r="I14" s="938">
        <f t="shared" si="1"/>
        <v>0</v>
      </c>
      <c r="J14" s="938">
        <f t="shared" si="2"/>
        <v>1771388</v>
      </c>
      <c r="K14" s="938">
        <f t="shared" si="3"/>
        <v>1771388</v>
      </c>
      <c r="M14" s="930"/>
      <c r="N14" s="939">
        <v>0.99999999999999989</v>
      </c>
      <c r="O14" s="939"/>
      <c r="P14" s="940">
        <f t="shared" si="10"/>
        <v>0.99999999999999989</v>
      </c>
      <c r="Q14" s="933">
        <f t="shared" si="4"/>
        <v>1771387.9999999998</v>
      </c>
      <c r="R14" s="933">
        <f t="shared" si="5"/>
        <v>0</v>
      </c>
      <c r="S14" s="933">
        <f t="shared" si="6"/>
        <v>1771387.9999999998</v>
      </c>
      <c r="T14" s="933">
        <f t="shared" si="7"/>
        <v>0</v>
      </c>
      <c r="U14" s="933">
        <f t="shared" si="8"/>
        <v>1771387.9999999998</v>
      </c>
      <c r="V14" s="933">
        <f t="shared" si="9"/>
        <v>1771387.9999999998</v>
      </c>
    </row>
    <row r="15" spans="1:22" ht="13" outlineLevel="1" x14ac:dyDescent="0.3">
      <c r="A15" s="1176" t="s">
        <v>56</v>
      </c>
      <c r="B15" s="934">
        <v>1.07</v>
      </c>
      <c r="C15" s="935" t="s">
        <v>215</v>
      </c>
      <c r="D15" s="936" t="s">
        <v>207</v>
      </c>
      <c r="E15" s="937">
        <v>1</v>
      </c>
      <c r="F15" s="937">
        <f>'01 (2)'!H15*'01 (2)'!$T$5</f>
        <v>1452672.8955837067</v>
      </c>
      <c r="G15" s="937">
        <f t="shared" si="0"/>
        <v>835309.10441629332</v>
      </c>
      <c r="H15" s="938">
        <v>2287982</v>
      </c>
      <c r="I15" s="938">
        <f t="shared" si="1"/>
        <v>1452672.8955837067</v>
      </c>
      <c r="J15" s="938">
        <f t="shared" si="2"/>
        <v>835309.10441629332</v>
      </c>
      <c r="K15" s="938">
        <f t="shared" si="3"/>
        <v>2287982</v>
      </c>
      <c r="M15" s="930"/>
      <c r="N15" s="939">
        <v>0.8</v>
      </c>
      <c r="O15" s="939">
        <v>0.2</v>
      </c>
      <c r="P15" s="940">
        <f t="shared" si="10"/>
        <v>1</v>
      </c>
      <c r="Q15" s="933">
        <f t="shared" si="4"/>
        <v>1830385.6</v>
      </c>
      <c r="R15" s="933">
        <f t="shared" si="5"/>
        <v>457596.4</v>
      </c>
      <c r="S15" s="933">
        <f t="shared" si="6"/>
        <v>2287982</v>
      </c>
      <c r="T15" s="933">
        <f t="shared" si="7"/>
        <v>1452672.8955837067</v>
      </c>
      <c r="U15" s="933">
        <f t="shared" si="8"/>
        <v>835309.10441629332</v>
      </c>
      <c r="V15" s="933">
        <f t="shared" si="9"/>
        <v>2287982</v>
      </c>
    </row>
    <row r="16" spans="1:22" ht="13" outlineLevel="1" x14ac:dyDescent="0.3">
      <c r="A16" s="1176" t="s">
        <v>56</v>
      </c>
      <c r="B16" s="934">
        <v>1.08</v>
      </c>
      <c r="C16" s="935" t="s">
        <v>216</v>
      </c>
      <c r="D16" s="936" t="s">
        <v>207</v>
      </c>
      <c r="E16" s="937">
        <v>1</v>
      </c>
      <c r="F16" s="937">
        <f>'01 (2)'!H16*'01 (2)'!$T$5</f>
        <v>913184.83307702362</v>
      </c>
      <c r="G16" s="937">
        <f t="shared" si="0"/>
        <v>895033.16692297638</v>
      </c>
      <c r="H16" s="938">
        <v>1808218</v>
      </c>
      <c r="I16" s="938">
        <f t="shared" si="1"/>
        <v>913184.83307702362</v>
      </c>
      <c r="J16" s="938">
        <f t="shared" si="2"/>
        <v>895033.16692297638</v>
      </c>
      <c r="K16" s="938">
        <f t="shared" si="3"/>
        <v>1808218</v>
      </c>
      <c r="M16" s="930"/>
      <c r="N16" s="939">
        <v>0.2</v>
      </c>
      <c r="O16" s="939">
        <v>0.8</v>
      </c>
      <c r="P16" s="940">
        <f t="shared" si="10"/>
        <v>1</v>
      </c>
      <c r="Q16" s="933">
        <f t="shared" si="4"/>
        <v>361643.60000000003</v>
      </c>
      <c r="R16" s="933">
        <f t="shared" si="5"/>
        <v>1446574.4000000001</v>
      </c>
      <c r="S16" s="933">
        <f t="shared" si="6"/>
        <v>1808218</v>
      </c>
      <c r="T16" s="933">
        <f t="shared" si="7"/>
        <v>913184.83307702362</v>
      </c>
      <c r="U16" s="933">
        <f t="shared" si="8"/>
        <v>895033.16692297638</v>
      </c>
      <c r="V16" s="933">
        <f t="shared" si="9"/>
        <v>1808218</v>
      </c>
    </row>
    <row r="17" spans="1:22" ht="13" outlineLevel="1" x14ac:dyDescent="0.3">
      <c r="A17" s="1197" t="s">
        <v>56</v>
      </c>
      <c r="B17" s="934">
        <v>1.0900000000000001</v>
      </c>
      <c r="C17" s="935" t="s">
        <v>217</v>
      </c>
      <c r="D17" s="936" t="s">
        <v>207</v>
      </c>
      <c r="E17" s="937">
        <v>1</v>
      </c>
      <c r="F17" s="937">
        <f>'01 (2)'!H17*'01 (2)'!$T$5</f>
        <v>0</v>
      </c>
      <c r="G17" s="937">
        <f t="shared" si="0"/>
        <v>483369</v>
      </c>
      <c r="H17" s="938">
        <v>483369</v>
      </c>
      <c r="I17" s="938">
        <f t="shared" si="1"/>
        <v>0</v>
      </c>
      <c r="J17" s="938">
        <f t="shared" si="2"/>
        <v>483369</v>
      </c>
      <c r="K17" s="938">
        <f t="shared" si="3"/>
        <v>483369</v>
      </c>
      <c r="M17" s="930"/>
      <c r="N17" s="939">
        <v>0.7</v>
      </c>
      <c r="O17" s="939">
        <v>0.3</v>
      </c>
      <c r="P17" s="940">
        <f t="shared" si="10"/>
        <v>1</v>
      </c>
      <c r="Q17" s="933">
        <f t="shared" si="4"/>
        <v>338358.3</v>
      </c>
      <c r="R17" s="933">
        <f t="shared" si="5"/>
        <v>145010.69999999998</v>
      </c>
      <c r="S17" s="933">
        <f t="shared" si="6"/>
        <v>483369</v>
      </c>
      <c r="T17" s="933">
        <f t="shared" si="7"/>
        <v>0</v>
      </c>
      <c r="U17" s="933">
        <f t="shared" si="8"/>
        <v>483369</v>
      </c>
      <c r="V17" s="933">
        <f t="shared" si="9"/>
        <v>483369</v>
      </c>
    </row>
    <row r="18" spans="1:22" s="924" customFormat="1" ht="13" x14ac:dyDescent="0.3">
      <c r="A18" s="1199"/>
      <c r="B18" s="909">
        <v>2</v>
      </c>
      <c r="C18" s="915" t="s">
        <v>231</v>
      </c>
      <c r="D18" s="916"/>
      <c r="E18" s="917"/>
      <c r="F18" s="917"/>
      <c r="G18" s="917"/>
      <c r="H18" s="917"/>
      <c r="I18" s="917"/>
      <c r="J18" s="917"/>
      <c r="K18" s="917"/>
      <c r="L18" s="918">
        <f>SUM(K19:K23)</f>
        <v>29649894</v>
      </c>
      <c r="M18" s="919">
        <f>+L18/$L$46</f>
        <v>5.9192327880273038E-2</v>
      </c>
      <c r="N18" s="920"/>
      <c r="O18" s="921"/>
      <c r="P18" s="922"/>
      <c r="Q18" s="922"/>
      <c r="R18" s="922"/>
      <c r="S18" s="923"/>
      <c r="T18" s="923"/>
      <c r="U18" s="923"/>
      <c r="V18" s="923"/>
    </row>
    <row r="19" spans="1:22" ht="13" outlineLevel="1" x14ac:dyDescent="0.3">
      <c r="A19" s="1198" t="s">
        <v>58</v>
      </c>
      <c r="B19" s="934">
        <v>2.0099999999999998</v>
      </c>
      <c r="C19" s="944" t="s">
        <v>232</v>
      </c>
      <c r="D19" s="945" t="s">
        <v>233</v>
      </c>
      <c r="E19" s="946">
        <v>308</v>
      </c>
      <c r="F19" s="946">
        <f>'01 (2)'!H19*'01 (2)'!$T$5</f>
        <v>0</v>
      </c>
      <c r="G19" s="946">
        <f t="shared" ref="G19:G23" si="11">H19-F19</f>
        <v>52801</v>
      </c>
      <c r="H19" s="938">
        <v>52801</v>
      </c>
      <c r="I19" s="938">
        <f>$E19*F19</f>
        <v>0</v>
      </c>
      <c r="J19" s="938">
        <f>$E19*G19</f>
        <v>16262708</v>
      </c>
      <c r="K19" s="938">
        <f>+H19*E19</f>
        <v>16262708</v>
      </c>
      <c r="M19" s="930"/>
      <c r="N19" s="931">
        <v>1</v>
      </c>
      <c r="O19" s="931"/>
      <c r="P19" s="932">
        <f>SUM(N19:O19)</f>
        <v>1</v>
      </c>
      <c r="Q19" s="947">
        <f>K19*N19</f>
        <v>16262708</v>
      </c>
      <c r="R19" s="947">
        <f>K19*O19</f>
        <v>0</v>
      </c>
      <c r="S19" s="947">
        <f>K19*P19</f>
        <v>16262708</v>
      </c>
      <c r="T19" s="947">
        <f>I19*P19</f>
        <v>0</v>
      </c>
      <c r="U19" s="933">
        <f t="shared" si="8"/>
        <v>16262708</v>
      </c>
      <c r="V19" s="933">
        <f t="shared" si="9"/>
        <v>16262708</v>
      </c>
    </row>
    <row r="20" spans="1:22" ht="13" outlineLevel="1" x14ac:dyDescent="0.3">
      <c r="A20" s="1176" t="s">
        <v>58</v>
      </c>
      <c r="B20" s="934">
        <v>2.02</v>
      </c>
      <c r="C20" s="944" t="s">
        <v>234</v>
      </c>
      <c r="D20" s="945" t="s">
        <v>207</v>
      </c>
      <c r="E20" s="946">
        <v>1</v>
      </c>
      <c r="F20" s="946">
        <f>'01 (2)'!H20*'01 (2)'!$T$5</f>
        <v>139936.3798498066</v>
      </c>
      <c r="G20" s="946">
        <f t="shared" si="11"/>
        <v>11484779.620150194</v>
      </c>
      <c r="H20" s="938">
        <v>11624716</v>
      </c>
      <c r="I20" s="938">
        <f t="shared" ref="I20:I23" si="12">$E20*F20</f>
        <v>139936.3798498066</v>
      </c>
      <c r="J20" s="938">
        <f t="shared" ref="J20:J23" si="13">$E20*G20</f>
        <v>11484779.620150194</v>
      </c>
      <c r="K20" s="938">
        <f>+H20*E20</f>
        <v>11624716</v>
      </c>
      <c r="M20" s="930"/>
      <c r="N20" s="939">
        <v>1</v>
      </c>
      <c r="O20" s="939"/>
      <c r="P20" s="940">
        <f>SUM(N20:O20)</f>
        <v>1</v>
      </c>
      <c r="Q20" s="948">
        <f>K20*N20</f>
        <v>11624716</v>
      </c>
      <c r="R20" s="948">
        <f>K20*O20</f>
        <v>0</v>
      </c>
      <c r="S20" s="948">
        <f>K20*P20</f>
        <v>11624716</v>
      </c>
      <c r="T20" s="948">
        <f t="shared" ref="T20:T45" si="14">I20*P20</f>
        <v>139936.3798498066</v>
      </c>
      <c r="U20" s="933">
        <f t="shared" si="8"/>
        <v>11484779.620150194</v>
      </c>
      <c r="V20" s="933">
        <f t="shared" si="9"/>
        <v>11624716</v>
      </c>
    </row>
    <row r="21" spans="1:22" ht="13" outlineLevel="1" x14ac:dyDescent="0.3">
      <c r="A21" s="1176" t="s">
        <v>58</v>
      </c>
      <c r="B21" s="934">
        <v>2.0299999999999998</v>
      </c>
      <c r="C21" s="944" t="s">
        <v>235</v>
      </c>
      <c r="D21" s="945" t="s">
        <v>233</v>
      </c>
      <c r="E21" s="946">
        <v>15</v>
      </c>
      <c r="F21" s="946">
        <f>'01 (2)'!H21*'01 (2)'!$T$5</f>
        <v>34650.913105666397</v>
      </c>
      <c r="G21" s="946">
        <f t="shared" si="11"/>
        <v>82847.086894333595</v>
      </c>
      <c r="H21" s="938">
        <v>117498</v>
      </c>
      <c r="I21" s="938">
        <f t="shared" si="12"/>
        <v>519763.69658499595</v>
      </c>
      <c r="J21" s="938">
        <f t="shared" si="13"/>
        <v>1242706.3034150039</v>
      </c>
      <c r="K21" s="938">
        <f>+H21*E21</f>
        <v>1762470</v>
      </c>
      <c r="M21" s="930"/>
      <c r="N21" s="939">
        <v>1</v>
      </c>
      <c r="O21" s="939"/>
      <c r="P21" s="940">
        <f t="shared" ref="P21:P23" si="15">SUM(N21:O21)</f>
        <v>1</v>
      </c>
      <c r="Q21" s="948">
        <f t="shared" ref="Q21:Q23" si="16">K21*N21</f>
        <v>1762470</v>
      </c>
      <c r="R21" s="948">
        <f t="shared" ref="R21:R23" si="17">K21*O21</f>
        <v>0</v>
      </c>
      <c r="S21" s="948">
        <f t="shared" ref="S21:S23" si="18">K21*P21</f>
        <v>1762470</v>
      </c>
      <c r="T21" s="948">
        <f t="shared" si="14"/>
        <v>519763.69658499595</v>
      </c>
      <c r="U21" s="933">
        <f t="shared" si="8"/>
        <v>1242706.3034150039</v>
      </c>
      <c r="V21" s="933">
        <f t="shared" si="9"/>
        <v>1762470</v>
      </c>
    </row>
    <row r="22" spans="1:22" ht="26" outlineLevel="1" x14ac:dyDescent="0.3">
      <c r="A22" s="1176"/>
      <c r="B22" s="949">
        <v>2.04</v>
      </c>
      <c r="C22" s="950" t="s">
        <v>726</v>
      </c>
      <c r="D22" s="951" t="s">
        <v>238</v>
      </c>
      <c r="E22" s="952">
        <v>0</v>
      </c>
      <c r="F22" s="946">
        <f>'01 (2)'!H22*'01 (2)'!$T$5</f>
        <v>0</v>
      </c>
      <c r="G22" s="946">
        <f t="shared" si="11"/>
        <v>28536</v>
      </c>
      <c r="H22" s="938">
        <v>28536</v>
      </c>
      <c r="I22" s="938">
        <f t="shared" si="12"/>
        <v>0</v>
      </c>
      <c r="J22" s="938">
        <f t="shared" si="13"/>
        <v>0</v>
      </c>
      <c r="K22" s="938">
        <f>+H22*E22</f>
        <v>0</v>
      </c>
      <c r="M22" s="930"/>
      <c r="N22" s="939">
        <v>0</v>
      </c>
      <c r="O22" s="939"/>
      <c r="P22" s="940">
        <f t="shared" si="15"/>
        <v>0</v>
      </c>
      <c r="Q22" s="948">
        <f t="shared" si="16"/>
        <v>0</v>
      </c>
      <c r="R22" s="948">
        <f t="shared" si="17"/>
        <v>0</v>
      </c>
      <c r="S22" s="948">
        <f t="shared" si="18"/>
        <v>0</v>
      </c>
      <c r="T22" s="948">
        <f t="shared" si="14"/>
        <v>0</v>
      </c>
      <c r="U22" s="933">
        <f t="shared" si="8"/>
        <v>0</v>
      </c>
      <c r="V22" s="933">
        <f t="shared" si="9"/>
        <v>0</v>
      </c>
    </row>
    <row r="23" spans="1:22" ht="13" outlineLevel="1" x14ac:dyDescent="0.3">
      <c r="A23" s="1176"/>
      <c r="B23" s="953">
        <v>2.0499999999999998</v>
      </c>
      <c r="C23" s="954" t="s">
        <v>727</v>
      </c>
      <c r="D23" s="955" t="s">
        <v>207</v>
      </c>
      <c r="E23" s="956">
        <v>0</v>
      </c>
      <c r="F23" s="946">
        <f>'01 (2)'!H23*'01 (2)'!$T$5</f>
        <v>0</v>
      </c>
      <c r="G23" s="946">
        <f t="shared" si="11"/>
        <v>0</v>
      </c>
      <c r="H23" s="938">
        <v>0</v>
      </c>
      <c r="I23" s="938">
        <f t="shared" si="12"/>
        <v>0</v>
      </c>
      <c r="J23" s="938">
        <f t="shared" si="13"/>
        <v>0</v>
      </c>
      <c r="K23" s="938">
        <f>+H23*E23</f>
        <v>0</v>
      </c>
      <c r="M23" s="930"/>
      <c r="N23" s="957">
        <v>0</v>
      </c>
      <c r="O23" s="957"/>
      <c r="P23" s="940">
        <f t="shared" si="15"/>
        <v>0</v>
      </c>
      <c r="Q23" s="948">
        <f t="shared" si="16"/>
        <v>0</v>
      </c>
      <c r="R23" s="948">
        <f t="shared" si="17"/>
        <v>0</v>
      </c>
      <c r="S23" s="948">
        <f t="shared" si="18"/>
        <v>0</v>
      </c>
      <c r="T23" s="948">
        <f t="shared" si="14"/>
        <v>0</v>
      </c>
      <c r="U23" s="933">
        <f t="shared" si="8"/>
        <v>0</v>
      </c>
      <c r="V23" s="933">
        <f t="shared" si="9"/>
        <v>0</v>
      </c>
    </row>
    <row r="24" spans="1:22" s="924" customFormat="1" ht="13" x14ac:dyDescent="0.3">
      <c r="A24" s="1199"/>
      <c r="B24" s="909">
        <v>3</v>
      </c>
      <c r="C24" s="915" t="s">
        <v>240</v>
      </c>
      <c r="D24" s="916"/>
      <c r="E24" s="917"/>
      <c r="F24" s="917"/>
      <c r="G24" s="917"/>
      <c r="H24" s="917"/>
      <c r="I24" s="917"/>
      <c r="J24" s="917"/>
      <c r="K24" s="917"/>
      <c r="L24" s="918">
        <f>SUM(K25:K45)</f>
        <v>451369624</v>
      </c>
      <c r="M24" s="919">
        <f>+L24/$L$46</f>
        <v>0.90110334893620725</v>
      </c>
      <c r="N24" s="920"/>
      <c r="O24" s="921"/>
      <c r="P24" s="922"/>
      <c r="Q24" s="922"/>
      <c r="R24" s="922"/>
      <c r="S24" s="923"/>
      <c r="T24" s="923"/>
      <c r="U24" s="923"/>
      <c r="V24" s="923"/>
    </row>
    <row r="25" spans="1:22" ht="13" outlineLevel="1" x14ac:dyDescent="0.3">
      <c r="A25" s="1176" t="s">
        <v>59</v>
      </c>
      <c r="B25" s="934">
        <v>3.01</v>
      </c>
      <c r="C25" s="958" t="s">
        <v>241</v>
      </c>
      <c r="D25" s="941" t="s">
        <v>233</v>
      </c>
      <c r="E25" s="942">
        <v>13</v>
      </c>
      <c r="F25" s="942">
        <f>'01 (2)'!H25*'01 (2)'!$T$5</f>
        <v>153396.92686393086</v>
      </c>
      <c r="G25" s="942">
        <f t="shared" ref="G25:G45" si="19">H25-F25</f>
        <v>139742.07313606914</v>
      </c>
      <c r="H25" s="938">
        <v>293139</v>
      </c>
      <c r="I25" s="938">
        <f t="shared" ref="I25" si="20">$E25*F25</f>
        <v>1994160.0492311011</v>
      </c>
      <c r="J25" s="938">
        <f t="shared" ref="J25" si="21">$E25*G25</f>
        <v>1816646.9507688989</v>
      </c>
      <c r="K25" s="938">
        <f t="shared" ref="K25:K45" si="22">+H25*E25</f>
        <v>3810807</v>
      </c>
      <c r="M25" s="930"/>
      <c r="N25" s="939">
        <v>1</v>
      </c>
      <c r="O25" s="939"/>
      <c r="P25" s="940">
        <f>SUM(N25:O25)</f>
        <v>1</v>
      </c>
      <c r="Q25" s="933">
        <f>K25*N25</f>
        <v>3810807</v>
      </c>
      <c r="R25" s="933">
        <f>K25*O25</f>
        <v>0</v>
      </c>
      <c r="S25" s="933">
        <f>K25*P25</f>
        <v>3810807</v>
      </c>
      <c r="T25" s="948">
        <f t="shared" si="14"/>
        <v>1994160.0492311011</v>
      </c>
      <c r="U25" s="933">
        <f t="shared" si="8"/>
        <v>1816646.9507688989</v>
      </c>
      <c r="V25" s="933">
        <f t="shared" si="9"/>
        <v>3810807</v>
      </c>
    </row>
    <row r="26" spans="1:22" ht="13" outlineLevel="1" x14ac:dyDescent="0.3">
      <c r="A26" s="1176" t="s">
        <v>59</v>
      </c>
      <c r="B26" s="934">
        <v>3.02</v>
      </c>
      <c r="C26" s="958" t="s">
        <v>242</v>
      </c>
      <c r="D26" s="941" t="s">
        <v>243</v>
      </c>
      <c r="E26" s="942">
        <v>18</v>
      </c>
      <c r="F26" s="942">
        <f>'01 (2)'!H26*'01 (2)'!$T$5</f>
        <v>120706.18438565198</v>
      </c>
      <c r="G26" s="942">
        <f t="shared" si="19"/>
        <v>339990.81561434804</v>
      </c>
      <c r="H26" s="938">
        <v>460697</v>
      </c>
      <c r="I26" s="938">
        <f t="shared" ref="I26:I45" si="23">$E26*F26</f>
        <v>2172711.3189417357</v>
      </c>
      <c r="J26" s="938">
        <f t="shared" ref="J26:J45" si="24">$E26*G26</f>
        <v>6119834.6810582653</v>
      </c>
      <c r="K26" s="938">
        <f t="shared" si="22"/>
        <v>8292546</v>
      </c>
      <c r="M26" s="930"/>
      <c r="N26" s="939">
        <v>1</v>
      </c>
      <c r="O26" s="939"/>
      <c r="P26" s="940">
        <f>SUM(N26:O26)</f>
        <v>1</v>
      </c>
      <c r="Q26" s="933">
        <f>K26*N26</f>
        <v>8292546</v>
      </c>
      <c r="R26" s="933">
        <f t="shared" ref="R26:R45" si="25">K26*O26</f>
        <v>0</v>
      </c>
      <c r="S26" s="933">
        <f t="shared" ref="S26:S45" si="26">K26*P26</f>
        <v>8292546</v>
      </c>
      <c r="T26" s="948">
        <f t="shared" si="14"/>
        <v>2172711.3189417357</v>
      </c>
      <c r="U26" s="933">
        <f t="shared" si="8"/>
        <v>6119834.6810582653</v>
      </c>
      <c r="V26" s="933">
        <f t="shared" si="9"/>
        <v>8292546.0000000009</v>
      </c>
    </row>
    <row r="27" spans="1:22" ht="13" outlineLevel="1" x14ac:dyDescent="0.3">
      <c r="A27" s="1176" t="s">
        <v>59</v>
      </c>
      <c r="B27" s="934">
        <v>3.03</v>
      </c>
      <c r="C27" s="958" t="s">
        <v>244</v>
      </c>
      <c r="D27" s="941" t="s">
        <v>233</v>
      </c>
      <c r="E27" s="942">
        <v>12</v>
      </c>
      <c r="F27" s="942">
        <f>'01 (2)'!H27*'01 (2)'!$T$5</f>
        <v>535853.10405744985</v>
      </c>
      <c r="G27" s="942">
        <f t="shared" si="19"/>
        <v>491825.89594255015</v>
      </c>
      <c r="H27" s="938">
        <v>1027679</v>
      </c>
      <c r="I27" s="938">
        <f t="shared" si="23"/>
        <v>6430237.2486893982</v>
      </c>
      <c r="J27" s="938">
        <f t="shared" si="24"/>
        <v>5901910.7513106018</v>
      </c>
      <c r="K27" s="938">
        <f t="shared" si="22"/>
        <v>12332148</v>
      </c>
      <c r="M27" s="930"/>
      <c r="N27" s="939">
        <v>1</v>
      </c>
      <c r="O27" s="943"/>
      <c r="P27" s="940">
        <f t="shared" ref="P27:P45" si="27">SUM(N27:O27)</f>
        <v>1</v>
      </c>
      <c r="Q27" s="933">
        <f t="shared" ref="Q27:Q45" si="28">K27*N27</f>
        <v>12332148</v>
      </c>
      <c r="R27" s="933">
        <f t="shared" si="25"/>
        <v>0</v>
      </c>
      <c r="S27" s="933">
        <f t="shared" si="26"/>
        <v>12332148</v>
      </c>
      <c r="T27" s="948">
        <f t="shared" si="14"/>
        <v>6430237.2486893982</v>
      </c>
      <c r="U27" s="933">
        <f t="shared" si="8"/>
        <v>5901910.7513106018</v>
      </c>
      <c r="V27" s="933">
        <f t="shared" si="9"/>
        <v>12332148</v>
      </c>
    </row>
    <row r="28" spans="1:22" ht="13" outlineLevel="1" x14ac:dyDescent="0.3">
      <c r="A28" s="1176" t="s">
        <v>59</v>
      </c>
      <c r="B28" s="934">
        <v>3.04</v>
      </c>
      <c r="C28" s="958" t="s">
        <v>245</v>
      </c>
      <c r="D28" s="941" t="s">
        <v>233</v>
      </c>
      <c r="E28" s="942">
        <v>7</v>
      </c>
      <c r="F28" s="942">
        <f>'01 (2)'!H28*'01 (2)'!$T$5</f>
        <v>570669.3267154299</v>
      </c>
      <c r="G28" s="942">
        <f t="shared" si="19"/>
        <v>389531.6732845701</v>
      </c>
      <c r="H28" s="938">
        <v>960201</v>
      </c>
      <c r="I28" s="938">
        <f t="shared" si="23"/>
        <v>3994685.2870080094</v>
      </c>
      <c r="J28" s="938">
        <f t="shared" si="24"/>
        <v>2726721.7129919906</v>
      </c>
      <c r="K28" s="938">
        <f t="shared" si="22"/>
        <v>6721407</v>
      </c>
      <c r="M28" s="930"/>
      <c r="N28" s="939">
        <v>1</v>
      </c>
      <c r="O28" s="943"/>
      <c r="P28" s="940">
        <f t="shared" si="27"/>
        <v>1</v>
      </c>
      <c r="Q28" s="933">
        <f t="shared" si="28"/>
        <v>6721407</v>
      </c>
      <c r="R28" s="933">
        <f t="shared" si="25"/>
        <v>0</v>
      </c>
      <c r="S28" s="933">
        <f t="shared" si="26"/>
        <v>6721407</v>
      </c>
      <c r="T28" s="948">
        <f t="shared" si="14"/>
        <v>3994685.2870080094</v>
      </c>
      <c r="U28" s="933">
        <f t="shared" si="8"/>
        <v>2726721.7129919906</v>
      </c>
      <c r="V28" s="933">
        <f t="shared" si="9"/>
        <v>6721407</v>
      </c>
    </row>
    <row r="29" spans="1:22" ht="13" outlineLevel="1" x14ac:dyDescent="0.3">
      <c r="A29" s="1176" t="s">
        <v>59</v>
      </c>
      <c r="B29" s="934">
        <v>3.05</v>
      </c>
      <c r="C29" s="958" t="s">
        <v>246</v>
      </c>
      <c r="D29" s="941" t="s">
        <v>233</v>
      </c>
      <c r="E29" s="942">
        <v>38</v>
      </c>
      <c r="F29" s="942">
        <f>'01 (2)'!H29*'01 (2)'!$T$5</f>
        <v>444731.81651766622</v>
      </c>
      <c r="G29" s="942">
        <f t="shared" si="19"/>
        <v>269542.18348233378</v>
      </c>
      <c r="H29" s="938">
        <v>714274</v>
      </c>
      <c r="I29" s="938">
        <f t="shared" si="23"/>
        <v>16899809.027671315</v>
      </c>
      <c r="J29" s="938">
        <f t="shared" si="24"/>
        <v>10242602.972328683</v>
      </c>
      <c r="K29" s="938">
        <f t="shared" si="22"/>
        <v>27142412</v>
      </c>
      <c r="M29" s="930"/>
      <c r="N29" s="939">
        <v>1</v>
      </c>
      <c r="O29" s="939"/>
      <c r="P29" s="940">
        <f t="shared" si="27"/>
        <v>1</v>
      </c>
      <c r="Q29" s="933">
        <f t="shared" si="28"/>
        <v>27142412</v>
      </c>
      <c r="R29" s="933">
        <f t="shared" si="25"/>
        <v>0</v>
      </c>
      <c r="S29" s="933">
        <f t="shared" si="26"/>
        <v>27142412</v>
      </c>
      <c r="T29" s="948">
        <f t="shared" si="14"/>
        <v>16899809.027671315</v>
      </c>
      <c r="U29" s="933">
        <f t="shared" si="8"/>
        <v>10242602.972328683</v>
      </c>
      <c r="V29" s="933">
        <f t="shared" si="9"/>
        <v>27142412</v>
      </c>
    </row>
    <row r="30" spans="1:22" ht="13" outlineLevel="1" x14ac:dyDescent="0.3">
      <c r="A30" s="1176" t="s">
        <v>59</v>
      </c>
      <c r="B30" s="934">
        <v>3.06</v>
      </c>
      <c r="C30" s="958" t="s">
        <v>247</v>
      </c>
      <c r="D30" s="941" t="s">
        <v>233</v>
      </c>
      <c r="E30" s="942">
        <v>51</v>
      </c>
      <c r="F30" s="942">
        <f>'01 (2)'!H30*'01 (2)'!$T$5</f>
        <v>366556.52117368154</v>
      </c>
      <c r="G30" s="942">
        <f t="shared" si="19"/>
        <v>268369.47882631846</v>
      </c>
      <c r="H30" s="938">
        <v>634926</v>
      </c>
      <c r="I30" s="938">
        <f t="shared" si="23"/>
        <v>18694382.579857759</v>
      </c>
      <c r="J30" s="938">
        <f t="shared" si="24"/>
        <v>13686843.420142241</v>
      </c>
      <c r="K30" s="938">
        <f t="shared" si="22"/>
        <v>32381226</v>
      </c>
      <c r="M30" s="930"/>
      <c r="N30" s="939">
        <v>1</v>
      </c>
      <c r="O30" s="939"/>
      <c r="P30" s="940">
        <f t="shared" si="27"/>
        <v>1</v>
      </c>
      <c r="Q30" s="933">
        <f t="shared" si="28"/>
        <v>32381226</v>
      </c>
      <c r="R30" s="933">
        <f t="shared" si="25"/>
        <v>0</v>
      </c>
      <c r="S30" s="933">
        <f t="shared" si="26"/>
        <v>32381226</v>
      </c>
      <c r="T30" s="948">
        <f t="shared" si="14"/>
        <v>18694382.579857759</v>
      </c>
      <c r="U30" s="933">
        <f t="shared" si="8"/>
        <v>13686843.420142241</v>
      </c>
      <c r="V30" s="933">
        <f t="shared" si="9"/>
        <v>32381226</v>
      </c>
    </row>
    <row r="31" spans="1:22" ht="13" outlineLevel="1" x14ac:dyDescent="0.3">
      <c r="A31" s="1176" t="s">
        <v>59</v>
      </c>
      <c r="B31" s="934">
        <v>3.07</v>
      </c>
      <c r="C31" s="958" t="s">
        <v>248</v>
      </c>
      <c r="D31" s="941" t="s">
        <v>233</v>
      </c>
      <c r="E31" s="942">
        <v>16</v>
      </c>
      <c r="F31" s="942">
        <f>'01 (2)'!H31*'01 (2)'!$T$5</f>
        <v>846538.75576750457</v>
      </c>
      <c r="G31" s="942">
        <f t="shared" si="19"/>
        <v>442746.24423249543</v>
      </c>
      <c r="H31" s="938">
        <v>1289285</v>
      </c>
      <c r="I31" s="938">
        <f t="shared" si="23"/>
        <v>13544620.092280073</v>
      </c>
      <c r="J31" s="938">
        <f t="shared" si="24"/>
        <v>7083939.9077199269</v>
      </c>
      <c r="K31" s="938">
        <f t="shared" si="22"/>
        <v>20628560</v>
      </c>
      <c r="M31" s="930"/>
      <c r="N31" s="939">
        <v>1</v>
      </c>
      <c r="O31" s="939"/>
      <c r="P31" s="940">
        <f t="shared" si="27"/>
        <v>1</v>
      </c>
      <c r="Q31" s="933">
        <f t="shared" si="28"/>
        <v>20628560</v>
      </c>
      <c r="R31" s="933">
        <f t="shared" si="25"/>
        <v>0</v>
      </c>
      <c r="S31" s="933">
        <f t="shared" si="26"/>
        <v>20628560</v>
      </c>
      <c r="T31" s="948">
        <f t="shared" si="14"/>
        <v>13544620.092280073</v>
      </c>
      <c r="U31" s="933">
        <f t="shared" si="8"/>
        <v>7083939.9077199269</v>
      </c>
      <c r="V31" s="933">
        <f t="shared" si="9"/>
        <v>20628560</v>
      </c>
    </row>
    <row r="32" spans="1:22" ht="13" outlineLevel="1" x14ac:dyDescent="0.3">
      <c r="A32" s="1176" t="s">
        <v>59</v>
      </c>
      <c r="B32" s="934">
        <v>3.08</v>
      </c>
      <c r="C32" s="958" t="s">
        <v>249</v>
      </c>
      <c r="D32" s="941" t="s">
        <v>233</v>
      </c>
      <c r="E32" s="942">
        <v>7</v>
      </c>
      <c r="F32" s="942">
        <f>'01 (2)'!H32*'01 (2)'!$T$5</f>
        <v>704684.11873368942</v>
      </c>
      <c r="G32" s="942">
        <f t="shared" si="19"/>
        <v>391541.88126631058</v>
      </c>
      <c r="H32" s="938">
        <v>1096226</v>
      </c>
      <c r="I32" s="938">
        <f t="shared" si="23"/>
        <v>4932788.8311358262</v>
      </c>
      <c r="J32" s="938">
        <f t="shared" si="24"/>
        <v>2740793.1688641738</v>
      </c>
      <c r="K32" s="938">
        <f t="shared" si="22"/>
        <v>7673582</v>
      </c>
      <c r="M32" s="930"/>
      <c r="N32" s="939">
        <v>1</v>
      </c>
      <c r="O32" s="939"/>
      <c r="P32" s="940">
        <f t="shared" si="27"/>
        <v>1</v>
      </c>
      <c r="Q32" s="933">
        <f t="shared" si="28"/>
        <v>7673582</v>
      </c>
      <c r="R32" s="933">
        <f t="shared" si="25"/>
        <v>0</v>
      </c>
      <c r="S32" s="933">
        <f t="shared" si="26"/>
        <v>7673582</v>
      </c>
      <c r="T32" s="948">
        <f t="shared" si="14"/>
        <v>4932788.8311358262</v>
      </c>
      <c r="U32" s="933">
        <f t="shared" si="8"/>
        <v>2740793.1688641738</v>
      </c>
      <c r="V32" s="933">
        <f t="shared" si="9"/>
        <v>7673582</v>
      </c>
    </row>
    <row r="33" spans="1:22" ht="13" outlineLevel="1" x14ac:dyDescent="0.3">
      <c r="A33" s="1176" t="s">
        <v>59</v>
      </c>
      <c r="B33" s="934">
        <v>3.09</v>
      </c>
      <c r="C33" s="935" t="s">
        <v>250</v>
      </c>
      <c r="D33" s="945" t="s">
        <v>233</v>
      </c>
      <c r="E33" s="937">
        <v>90</v>
      </c>
      <c r="F33" s="942">
        <f>'01 (2)'!H33*'01 (2)'!$T$5</f>
        <v>496553.35544606321</v>
      </c>
      <c r="G33" s="942">
        <f t="shared" si="19"/>
        <v>307469.64455393679</v>
      </c>
      <c r="H33" s="938">
        <v>804023</v>
      </c>
      <c r="I33" s="938">
        <f t="shared" si="23"/>
        <v>44689801.990145691</v>
      </c>
      <c r="J33" s="938">
        <f t="shared" si="24"/>
        <v>27672268.009854309</v>
      </c>
      <c r="K33" s="938">
        <f t="shared" si="22"/>
        <v>72362070</v>
      </c>
      <c r="M33" s="930"/>
      <c r="N33" s="939">
        <v>0.1333</v>
      </c>
      <c r="O33" s="1375">
        <v>0.86670000000000003</v>
      </c>
      <c r="P33" s="940">
        <f t="shared" si="27"/>
        <v>1</v>
      </c>
      <c r="Q33" s="933">
        <f t="shared" si="28"/>
        <v>9645863.9309999999</v>
      </c>
      <c r="R33" s="933">
        <f t="shared" si="25"/>
        <v>62716206.068999998</v>
      </c>
      <c r="S33" s="933">
        <f t="shared" si="26"/>
        <v>72362070</v>
      </c>
      <c r="T33" s="948">
        <f t="shared" si="14"/>
        <v>44689801.990145691</v>
      </c>
      <c r="U33" s="933">
        <f t="shared" si="8"/>
        <v>27672268.009854309</v>
      </c>
      <c r="V33" s="933">
        <f t="shared" si="9"/>
        <v>72362070</v>
      </c>
    </row>
    <row r="34" spans="1:22" ht="13" outlineLevel="1" x14ac:dyDescent="0.3">
      <c r="A34" s="1176" t="s">
        <v>59</v>
      </c>
      <c r="B34" s="934">
        <v>3.1</v>
      </c>
      <c r="C34" s="935" t="s">
        <v>251</v>
      </c>
      <c r="D34" s="945" t="s">
        <v>233</v>
      </c>
      <c r="E34" s="937">
        <v>32</v>
      </c>
      <c r="F34" s="942">
        <f>'01 (2)'!H34*'01 (2)'!$T$5</f>
        <v>506115.01361099578</v>
      </c>
      <c r="G34" s="942">
        <f t="shared" si="19"/>
        <v>382617.98638900422</v>
      </c>
      <c r="H34" s="938">
        <v>888733</v>
      </c>
      <c r="I34" s="938">
        <f t="shared" si="23"/>
        <v>16195680.435551865</v>
      </c>
      <c r="J34" s="938">
        <f>$E34*G34</f>
        <v>12243775.564448135</v>
      </c>
      <c r="K34" s="938">
        <f t="shared" si="22"/>
        <v>28439456</v>
      </c>
      <c r="M34" s="930"/>
      <c r="N34" s="939">
        <v>1.0028000000000001</v>
      </c>
      <c r="O34" s="939">
        <v>-2.8E-3</v>
      </c>
      <c r="P34" s="940">
        <f t="shared" si="27"/>
        <v>1.0000000000000002</v>
      </c>
      <c r="Q34" s="933">
        <f t="shared" si="28"/>
        <v>28519086.476800002</v>
      </c>
      <c r="R34" s="933">
        <f t="shared" si="25"/>
        <v>-79630.476800000004</v>
      </c>
      <c r="S34" s="933">
        <f t="shared" si="26"/>
        <v>28439456.000000007</v>
      </c>
      <c r="T34" s="948">
        <f t="shared" si="14"/>
        <v>16195680.435551869</v>
      </c>
      <c r="U34" s="933">
        <f t="shared" si="8"/>
        <v>12243775.564448137</v>
      </c>
      <c r="V34" s="933">
        <f t="shared" si="9"/>
        <v>28439456.000000007</v>
      </c>
    </row>
    <row r="35" spans="1:22" ht="13" outlineLevel="1" x14ac:dyDescent="0.3">
      <c r="A35" s="1176" t="s">
        <v>59</v>
      </c>
      <c r="B35" s="934">
        <v>3.11</v>
      </c>
      <c r="C35" s="935" t="s">
        <v>252</v>
      </c>
      <c r="D35" s="945" t="s">
        <v>233</v>
      </c>
      <c r="E35" s="937">
        <v>46</v>
      </c>
      <c r="F35" s="942">
        <f>'01 (2)'!H35*'01 (2)'!$T$5</f>
        <v>756873.90654893627</v>
      </c>
      <c r="G35" s="942">
        <f t="shared" si="19"/>
        <v>737813.09345106373</v>
      </c>
      <c r="H35" s="938">
        <v>1494687</v>
      </c>
      <c r="I35" s="938">
        <f t="shared" si="23"/>
        <v>34816199.701251067</v>
      </c>
      <c r="J35" s="938">
        <f t="shared" si="24"/>
        <v>33939402.298748933</v>
      </c>
      <c r="K35" s="938">
        <f t="shared" si="22"/>
        <v>68755602</v>
      </c>
      <c r="M35" s="930"/>
      <c r="N35" s="939">
        <v>0.58240000000000003</v>
      </c>
      <c r="O35" s="1375">
        <v>0.41759999999999997</v>
      </c>
      <c r="P35" s="940">
        <f t="shared" si="27"/>
        <v>1</v>
      </c>
      <c r="Q35" s="933">
        <f t="shared" si="28"/>
        <v>40043262.604800001</v>
      </c>
      <c r="R35" s="933">
        <f t="shared" si="25"/>
        <v>28712339.395199999</v>
      </c>
      <c r="S35" s="933">
        <f t="shared" si="26"/>
        <v>68755602</v>
      </c>
      <c r="T35" s="948">
        <f t="shared" si="14"/>
        <v>34816199.701251067</v>
      </c>
      <c r="U35" s="933">
        <f t="shared" si="8"/>
        <v>33939402.298748933</v>
      </c>
      <c r="V35" s="933">
        <f t="shared" si="9"/>
        <v>68755602</v>
      </c>
    </row>
    <row r="36" spans="1:22" ht="13" outlineLevel="1" x14ac:dyDescent="0.3">
      <c r="A36" s="1176" t="s">
        <v>59</v>
      </c>
      <c r="B36" s="934">
        <v>3.12</v>
      </c>
      <c r="C36" s="935" t="s">
        <v>253</v>
      </c>
      <c r="D36" s="945" t="s">
        <v>233</v>
      </c>
      <c r="E36" s="937">
        <v>31</v>
      </c>
      <c r="F36" s="942">
        <f>'01 (2)'!H36*'01 (2)'!$T$5</f>
        <v>753999.69116638449</v>
      </c>
      <c r="G36" s="942">
        <f t="shared" si="19"/>
        <v>919385.30883361551</v>
      </c>
      <c r="H36" s="938">
        <v>1673385</v>
      </c>
      <c r="I36" s="938">
        <f t="shared" si="23"/>
        <v>23373990.426157918</v>
      </c>
      <c r="J36" s="938">
        <f t="shared" si="24"/>
        <v>28500944.573842082</v>
      </c>
      <c r="K36" s="938">
        <f t="shared" si="22"/>
        <v>51874935</v>
      </c>
      <c r="M36" s="930"/>
      <c r="N36" s="939">
        <v>1</v>
      </c>
      <c r="O36" s="939"/>
      <c r="P36" s="940">
        <f t="shared" si="27"/>
        <v>1</v>
      </c>
      <c r="Q36" s="933">
        <f t="shared" si="28"/>
        <v>51874935</v>
      </c>
      <c r="R36" s="933">
        <f t="shared" si="25"/>
        <v>0</v>
      </c>
      <c r="S36" s="933">
        <f t="shared" si="26"/>
        <v>51874935</v>
      </c>
      <c r="T36" s="948">
        <f t="shared" si="14"/>
        <v>23373990.426157918</v>
      </c>
      <c r="U36" s="933">
        <f t="shared" si="8"/>
        <v>28500944.573842082</v>
      </c>
      <c r="V36" s="933">
        <f t="shared" si="9"/>
        <v>51874935</v>
      </c>
    </row>
    <row r="37" spans="1:22" ht="13" outlineLevel="1" x14ac:dyDescent="0.3">
      <c r="A37" s="1176" t="s">
        <v>59</v>
      </c>
      <c r="B37" s="934">
        <v>3.13</v>
      </c>
      <c r="C37" s="935" t="s">
        <v>254</v>
      </c>
      <c r="D37" s="945" t="s">
        <v>233</v>
      </c>
      <c r="E37" s="937">
        <v>24</v>
      </c>
      <c r="F37" s="942">
        <f>'01 (2)'!H37*'01 (2)'!$T$5</f>
        <v>547021.00339230476</v>
      </c>
      <c r="G37" s="942">
        <f t="shared" si="19"/>
        <v>491992.99660769524</v>
      </c>
      <c r="H37" s="938">
        <v>1039014</v>
      </c>
      <c r="I37" s="938">
        <f t="shared" si="23"/>
        <v>13128504.081415314</v>
      </c>
      <c r="J37" s="938">
        <f t="shared" si="24"/>
        <v>11807831.918584686</v>
      </c>
      <c r="K37" s="938">
        <f t="shared" si="22"/>
        <v>24936336</v>
      </c>
      <c r="M37" s="930"/>
      <c r="N37" s="939">
        <v>0.65190000000000003</v>
      </c>
      <c r="O37" s="1375">
        <v>0.34810000000000002</v>
      </c>
      <c r="P37" s="940">
        <f t="shared" si="27"/>
        <v>1</v>
      </c>
      <c r="Q37" s="933">
        <f t="shared" si="28"/>
        <v>16255997.4384</v>
      </c>
      <c r="R37" s="933">
        <f t="shared" si="25"/>
        <v>8680338.5615999997</v>
      </c>
      <c r="S37" s="933">
        <f t="shared" si="26"/>
        <v>24936336</v>
      </c>
      <c r="T37" s="948">
        <f t="shared" si="14"/>
        <v>13128504.081415314</v>
      </c>
      <c r="U37" s="933">
        <f t="shared" si="8"/>
        <v>11807831.918584686</v>
      </c>
      <c r="V37" s="933">
        <f t="shared" si="9"/>
        <v>24936336</v>
      </c>
    </row>
    <row r="38" spans="1:22" ht="13" outlineLevel="1" x14ac:dyDescent="0.3">
      <c r="A38" s="1176" t="s">
        <v>59</v>
      </c>
      <c r="B38" s="934">
        <v>3.14</v>
      </c>
      <c r="C38" s="935" t="s">
        <v>255</v>
      </c>
      <c r="D38" s="945" t="s">
        <v>233</v>
      </c>
      <c r="E38" s="937">
        <v>39</v>
      </c>
      <c r="F38" s="942">
        <f>'01 (2)'!H38*'01 (2)'!$T$5</f>
        <v>712523.96374924516</v>
      </c>
      <c r="G38" s="942">
        <f t="shared" si="19"/>
        <v>440736.03625075484</v>
      </c>
      <c r="H38" s="938">
        <v>1153260</v>
      </c>
      <c r="I38" s="938">
        <f t="shared" si="23"/>
        <v>27788434.586220562</v>
      </c>
      <c r="J38" s="938">
        <f t="shared" si="24"/>
        <v>17188705.413779438</v>
      </c>
      <c r="K38" s="938">
        <f t="shared" si="22"/>
        <v>44977140</v>
      </c>
      <c r="M38" s="930"/>
      <c r="N38" s="939">
        <v>0.81889999999999996</v>
      </c>
      <c r="O38" s="1375">
        <v>0.18110000000000001</v>
      </c>
      <c r="P38" s="940">
        <f t="shared" si="27"/>
        <v>1</v>
      </c>
      <c r="Q38" s="933">
        <f t="shared" si="28"/>
        <v>36831779.945999995</v>
      </c>
      <c r="R38" s="933">
        <f t="shared" si="25"/>
        <v>8145360.0540000005</v>
      </c>
      <c r="S38" s="933">
        <f t="shared" si="26"/>
        <v>44977140</v>
      </c>
      <c r="T38" s="948">
        <f t="shared" si="14"/>
        <v>27788434.586220562</v>
      </c>
      <c r="U38" s="933">
        <f t="shared" si="8"/>
        <v>17188705.413779438</v>
      </c>
      <c r="V38" s="933">
        <f t="shared" si="9"/>
        <v>44977140</v>
      </c>
    </row>
    <row r="39" spans="1:22" ht="13" outlineLevel="1" x14ac:dyDescent="0.3">
      <c r="A39" s="1176" t="s">
        <v>59</v>
      </c>
      <c r="B39" s="934">
        <v>3.16</v>
      </c>
      <c r="C39" s="935" t="s">
        <v>256</v>
      </c>
      <c r="D39" s="945" t="s">
        <v>233</v>
      </c>
      <c r="E39" s="937">
        <v>4</v>
      </c>
      <c r="F39" s="942">
        <f>'01 (2)'!H39*'01 (2)'!$T$5</f>
        <v>724547.87506375182</v>
      </c>
      <c r="G39" s="942">
        <f t="shared" si="19"/>
        <v>529616.12493624818</v>
      </c>
      <c r="H39" s="938">
        <v>1254164</v>
      </c>
      <c r="I39" s="938">
        <f t="shared" si="23"/>
        <v>2898191.5002550073</v>
      </c>
      <c r="J39" s="938">
        <f t="shared" si="24"/>
        <v>2118464.4997449927</v>
      </c>
      <c r="K39" s="938">
        <f t="shared" si="22"/>
        <v>5016656</v>
      </c>
      <c r="M39" s="930"/>
      <c r="N39" s="939">
        <v>0.63250000000000006</v>
      </c>
      <c r="O39" s="1375">
        <v>0.36749999999999999</v>
      </c>
      <c r="P39" s="940">
        <f t="shared" si="27"/>
        <v>1</v>
      </c>
      <c r="Q39" s="933">
        <f t="shared" si="28"/>
        <v>3173034.9200000004</v>
      </c>
      <c r="R39" s="933">
        <f t="shared" si="25"/>
        <v>1843621.08</v>
      </c>
      <c r="S39" s="933">
        <f t="shared" si="26"/>
        <v>5016656</v>
      </c>
      <c r="T39" s="948">
        <f t="shared" si="14"/>
        <v>2898191.5002550073</v>
      </c>
      <c r="U39" s="933">
        <f t="shared" si="8"/>
        <v>2118464.4997449927</v>
      </c>
      <c r="V39" s="933">
        <f t="shared" si="9"/>
        <v>5016656</v>
      </c>
    </row>
    <row r="40" spans="1:22" ht="13" outlineLevel="1" x14ac:dyDescent="0.3">
      <c r="A40" s="1176" t="s">
        <v>59</v>
      </c>
      <c r="B40" s="934">
        <v>3.17</v>
      </c>
      <c r="C40" s="935" t="s">
        <v>257</v>
      </c>
      <c r="D40" s="945" t="s">
        <v>233</v>
      </c>
      <c r="E40" s="937">
        <v>10</v>
      </c>
      <c r="F40" s="942">
        <f>'01 (2)'!H40*'01 (2)'!$T$5</f>
        <v>554645.97389313474</v>
      </c>
      <c r="G40" s="942">
        <f t="shared" si="19"/>
        <v>556889.02610686526</v>
      </c>
      <c r="H40" s="938">
        <v>1111535</v>
      </c>
      <c r="I40" s="938">
        <f t="shared" si="23"/>
        <v>5546459.7389313476</v>
      </c>
      <c r="J40" s="938">
        <f t="shared" si="24"/>
        <v>5568890.2610686524</v>
      </c>
      <c r="K40" s="938">
        <f t="shared" si="22"/>
        <v>11115350</v>
      </c>
      <c r="M40" s="930"/>
      <c r="N40" s="939">
        <v>0.56400000000000006</v>
      </c>
      <c r="O40" s="1375">
        <v>0.436</v>
      </c>
      <c r="P40" s="940">
        <f t="shared" si="27"/>
        <v>1</v>
      </c>
      <c r="Q40" s="933">
        <f t="shared" si="28"/>
        <v>6269057.4000000004</v>
      </c>
      <c r="R40" s="933">
        <f t="shared" si="25"/>
        <v>4846292.5999999996</v>
      </c>
      <c r="S40" s="933">
        <f t="shared" si="26"/>
        <v>11115350</v>
      </c>
      <c r="T40" s="948">
        <f t="shared" si="14"/>
        <v>5546459.7389313476</v>
      </c>
      <c r="U40" s="933">
        <f t="shared" si="8"/>
        <v>5568890.2610686524</v>
      </c>
      <c r="V40" s="933">
        <f t="shared" si="9"/>
        <v>11115350</v>
      </c>
    </row>
    <row r="41" spans="1:22" ht="13" outlineLevel="1" x14ac:dyDescent="0.3">
      <c r="A41" s="1176" t="s">
        <v>59</v>
      </c>
      <c r="B41" s="934">
        <v>3.18</v>
      </c>
      <c r="C41" s="935" t="s">
        <v>728</v>
      </c>
      <c r="D41" s="945" t="s">
        <v>233</v>
      </c>
      <c r="E41" s="937">
        <v>6</v>
      </c>
      <c r="F41" s="942">
        <f>'01 (2)'!H41*'01 (2)'!$T$5</f>
        <v>547021.00339230476</v>
      </c>
      <c r="G41" s="942">
        <f t="shared" si="19"/>
        <v>491992.99660769524</v>
      </c>
      <c r="H41" s="938">
        <v>1039014</v>
      </c>
      <c r="I41" s="938">
        <f t="shared" si="23"/>
        <v>3282126.0203538286</v>
      </c>
      <c r="J41" s="938">
        <f t="shared" si="24"/>
        <v>2951957.9796461714</v>
      </c>
      <c r="K41" s="938">
        <f t="shared" si="22"/>
        <v>6234084</v>
      </c>
      <c r="M41" s="930"/>
      <c r="N41" s="939">
        <v>0</v>
      </c>
      <c r="O41" s="1375">
        <v>1</v>
      </c>
      <c r="P41" s="940">
        <f t="shared" si="27"/>
        <v>1</v>
      </c>
      <c r="Q41" s="933">
        <f t="shared" si="28"/>
        <v>0</v>
      </c>
      <c r="R41" s="933">
        <f t="shared" si="25"/>
        <v>6234084</v>
      </c>
      <c r="S41" s="933">
        <f t="shared" si="26"/>
        <v>6234084</v>
      </c>
      <c r="T41" s="948">
        <f t="shared" si="14"/>
        <v>3282126.0203538286</v>
      </c>
      <c r="U41" s="933">
        <f t="shared" si="8"/>
        <v>2951957.9796461714</v>
      </c>
      <c r="V41" s="933">
        <f t="shared" si="9"/>
        <v>6234084</v>
      </c>
    </row>
    <row r="42" spans="1:22" ht="13" outlineLevel="1" x14ac:dyDescent="0.3">
      <c r="A42" s="1176" t="s">
        <v>59</v>
      </c>
      <c r="B42" s="934">
        <v>3.19</v>
      </c>
      <c r="C42" s="959" t="s">
        <v>259</v>
      </c>
      <c r="D42" s="945" t="s">
        <v>207</v>
      </c>
      <c r="E42" s="960">
        <v>1</v>
      </c>
      <c r="F42" s="942">
        <f>'01 (2)'!H42*'01 (2)'!$T$5</f>
        <v>0</v>
      </c>
      <c r="G42" s="942">
        <f t="shared" si="19"/>
        <v>11272951</v>
      </c>
      <c r="H42" s="938">
        <v>11272951</v>
      </c>
      <c r="I42" s="938">
        <f t="shared" si="23"/>
        <v>0</v>
      </c>
      <c r="J42" s="938">
        <f t="shared" si="24"/>
        <v>11272951</v>
      </c>
      <c r="K42" s="938">
        <f t="shared" si="22"/>
        <v>11272951</v>
      </c>
      <c r="M42" s="930"/>
      <c r="N42" s="939">
        <v>0.65</v>
      </c>
      <c r="O42" s="1375">
        <v>0.35</v>
      </c>
      <c r="P42" s="940">
        <f t="shared" si="27"/>
        <v>1</v>
      </c>
      <c r="Q42" s="933">
        <f t="shared" si="28"/>
        <v>7327418.1500000004</v>
      </c>
      <c r="R42" s="933">
        <f t="shared" si="25"/>
        <v>3945532.8499999996</v>
      </c>
      <c r="S42" s="933">
        <f t="shared" si="26"/>
        <v>11272951</v>
      </c>
      <c r="T42" s="948">
        <f t="shared" si="14"/>
        <v>0</v>
      </c>
      <c r="U42" s="933">
        <f t="shared" si="8"/>
        <v>11272951</v>
      </c>
      <c r="V42" s="933">
        <f t="shared" si="9"/>
        <v>11272951</v>
      </c>
    </row>
    <row r="43" spans="1:22" ht="13" outlineLevel="1" x14ac:dyDescent="0.3">
      <c r="A43" s="1176" t="s">
        <v>59</v>
      </c>
      <c r="B43" s="934">
        <v>3.2</v>
      </c>
      <c r="C43" s="959" t="s">
        <v>260</v>
      </c>
      <c r="D43" s="945" t="s">
        <v>243</v>
      </c>
      <c r="E43" s="946">
        <v>15</v>
      </c>
      <c r="F43" s="942">
        <f>'01 (2)'!H43*'01 (2)'!$T$5</f>
        <v>0</v>
      </c>
      <c r="G43" s="942">
        <f t="shared" si="19"/>
        <v>304811</v>
      </c>
      <c r="H43" s="938">
        <v>304811</v>
      </c>
      <c r="I43" s="938">
        <f t="shared" si="23"/>
        <v>0</v>
      </c>
      <c r="J43" s="938">
        <f t="shared" si="24"/>
        <v>4572165</v>
      </c>
      <c r="K43" s="938">
        <f t="shared" si="22"/>
        <v>4572165</v>
      </c>
      <c r="M43" s="930"/>
      <c r="N43" s="939">
        <v>0.8</v>
      </c>
      <c r="O43" s="1375">
        <v>0.2</v>
      </c>
      <c r="P43" s="940">
        <f t="shared" si="27"/>
        <v>1</v>
      </c>
      <c r="Q43" s="933">
        <f t="shared" si="28"/>
        <v>3657732</v>
      </c>
      <c r="R43" s="933">
        <f t="shared" si="25"/>
        <v>914433</v>
      </c>
      <c r="S43" s="933">
        <f t="shared" si="26"/>
        <v>4572165</v>
      </c>
      <c r="T43" s="948">
        <f t="shared" si="14"/>
        <v>0</v>
      </c>
      <c r="U43" s="933">
        <f t="shared" si="8"/>
        <v>4572165</v>
      </c>
      <c r="V43" s="933">
        <f t="shared" si="9"/>
        <v>4572165</v>
      </c>
    </row>
    <row r="44" spans="1:22" ht="13" outlineLevel="1" x14ac:dyDescent="0.3">
      <c r="A44" s="1176" t="s">
        <v>59</v>
      </c>
      <c r="B44" s="934">
        <v>3.21</v>
      </c>
      <c r="C44" s="961" t="s">
        <v>261</v>
      </c>
      <c r="D44" s="951" t="s">
        <v>207</v>
      </c>
      <c r="E44" s="952">
        <v>3</v>
      </c>
      <c r="F44" s="942">
        <f>'01 (2)'!H44*'01 (2)'!$T$5</f>
        <v>68288.512795655333</v>
      </c>
      <c r="G44" s="942">
        <f t="shared" si="19"/>
        <v>0.48720434466667939</v>
      </c>
      <c r="H44" s="938">
        <v>68289</v>
      </c>
      <c r="I44" s="938">
        <f t="shared" si="23"/>
        <v>204865.53838696599</v>
      </c>
      <c r="J44" s="938">
        <f t="shared" si="24"/>
        <v>1.4616130340000382</v>
      </c>
      <c r="K44" s="938">
        <f t="shared" si="22"/>
        <v>204867</v>
      </c>
      <c r="M44" s="930"/>
      <c r="N44" s="939">
        <v>1</v>
      </c>
      <c r="O44" s="943"/>
      <c r="P44" s="940">
        <f t="shared" si="27"/>
        <v>1</v>
      </c>
      <c r="Q44" s="933">
        <f t="shared" si="28"/>
        <v>204867</v>
      </c>
      <c r="R44" s="933">
        <f t="shared" si="25"/>
        <v>0</v>
      </c>
      <c r="S44" s="933">
        <f t="shared" si="26"/>
        <v>204867</v>
      </c>
      <c r="T44" s="948">
        <f t="shared" si="14"/>
        <v>204865.53838696599</v>
      </c>
      <c r="U44" s="933">
        <f t="shared" si="8"/>
        <v>1.4616130340000382</v>
      </c>
      <c r="V44" s="933">
        <f t="shared" si="9"/>
        <v>204867</v>
      </c>
    </row>
    <row r="45" spans="1:22" ht="13" outlineLevel="1" x14ac:dyDescent="0.3">
      <c r="A45" s="1176" t="s">
        <v>59</v>
      </c>
      <c r="B45" s="934">
        <v>3.22</v>
      </c>
      <c r="C45" s="962" t="s">
        <v>729</v>
      </c>
      <c r="D45" s="963" t="s">
        <v>238</v>
      </c>
      <c r="E45" s="956">
        <v>78</v>
      </c>
      <c r="F45" s="942">
        <f>'01 (2)'!H45*'01 (2)'!$T$5</f>
        <v>9397.4369862507483</v>
      </c>
      <c r="G45" s="942">
        <f t="shared" si="19"/>
        <v>24260.563013749252</v>
      </c>
      <c r="H45" s="938">
        <v>33658</v>
      </c>
      <c r="I45" s="938">
        <f t="shared" si="23"/>
        <v>733000.08492755832</v>
      </c>
      <c r="J45" s="938">
        <f t="shared" si="24"/>
        <v>1892323.9150724416</v>
      </c>
      <c r="K45" s="938">
        <f t="shared" si="22"/>
        <v>2625324</v>
      </c>
      <c r="M45" s="930"/>
      <c r="N45" s="939">
        <v>1</v>
      </c>
      <c r="O45" s="943"/>
      <c r="P45" s="940">
        <f t="shared" si="27"/>
        <v>1</v>
      </c>
      <c r="Q45" s="933">
        <f t="shared" si="28"/>
        <v>2625324</v>
      </c>
      <c r="R45" s="933">
        <f t="shared" si="25"/>
        <v>0</v>
      </c>
      <c r="S45" s="933">
        <f t="shared" si="26"/>
        <v>2625324</v>
      </c>
      <c r="T45" s="948">
        <f t="shared" si="14"/>
        <v>733000.08492755832</v>
      </c>
      <c r="U45" s="933">
        <f t="shared" si="8"/>
        <v>1892323.9150724416</v>
      </c>
      <c r="V45" s="933">
        <f t="shared" si="9"/>
        <v>2625324</v>
      </c>
    </row>
    <row r="46" spans="1:22" s="970" customFormat="1" ht="13" x14ac:dyDescent="0.3">
      <c r="A46" s="1199"/>
      <c r="B46" s="909"/>
      <c r="C46" s="964" t="s">
        <v>452</v>
      </c>
      <c r="D46" s="916"/>
      <c r="E46" s="917"/>
      <c r="F46" s="917"/>
      <c r="G46" s="917"/>
      <c r="H46" s="917"/>
      <c r="I46" s="917"/>
      <c r="J46" s="917"/>
      <c r="K46" s="965">
        <f>SUM(K8:K45)</f>
        <v>500907720</v>
      </c>
      <c r="L46" s="966">
        <f>SUM(L8:L45)</f>
        <v>500907720</v>
      </c>
      <c r="M46" s="930">
        <f>+L46/$L$46</f>
        <v>1</v>
      </c>
      <c r="N46" s="967"/>
      <c r="O46" s="968"/>
      <c r="P46" s="968"/>
      <c r="Q46" s="968">
        <f>+SUM(Q8:Q45)</f>
        <v>370011807.25699991</v>
      </c>
      <c r="R46" s="968">
        <f t="shared" ref="R46" si="29">+SUM(R8:R45)</f>
        <v>130895912.743</v>
      </c>
      <c r="S46" s="969">
        <f>+SUM(S8:S45)</f>
        <v>500907720</v>
      </c>
      <c r="T46" s="969">
        <f t="shared" ref="T46:U46" si="30">SUM(T9:T45)</f>
        <v>248393875.09672502</v>
      </c>
      <c r="U46" s="969">
        <f t="shared" si="30"/>
        <v>252513844.90327498</v>
      </c>
      <c r="V46" s="969">
        <f>SUM(V9:V45)</f>
        <v>500907720</v>
      </c>
    </row>
    <row r="47" spans="1:22" s="970" customFormat="1" ht="13" x14ac:dyDescent="0.3">
      <c r="B47" s="971"/>
      <c r="C47" s="972"/>
      <c r="D47" s="973"/>
      <c r="E47" s="974"/>
      <c r="F47" s="974"/>
      <c r="G47" s="974"/>
      <c r="H47" s="975"/>
      <c r="I47" s="975"/>
      <c r="J47" s="975"/>
      <c r="K47" s="975"/>
      <c r="L47" s="976"/>
      <c r="M47" s="930"/>
      <c r="N47" s="977"/>
      <c r="O47" s="977"/>
      <c r="P47" s="977"/>
      <c r="Q47" s="977"/>
      <c r="R47" s="1040"/>
      <c r="S47" s="1040"/>
    </row>
    <row r="48" spans="1:22" s="970" customFormat="1" ht="13" x14ac:dyDescent="0.3">
      <c r="B48" s="979"/>
      <c r="C48" s="980"/>
      <c r="D48" s="981"/>
      <c r="E48" s="888"/>
      <c r="F48" s="888"/>
      <c r="G48" s="888"/>
      <c r="H48" s="982"/>
      <c r="I48" s="982"/>
      <c r="J48" s="982"/>
      <c r="K48" s="982"/>
      <c r="L48" s="983"/>
      <c r="M48" s="930"/>
      <c r="N48" s="977"/>
      <c r="O48" s="977"/>
      <c r="P48" s="977"/>
      <c r="Q48" s="977"/>
      <c r="R48" s="978"/>
      <c r="S48" s="1374">
        <f>S46/L46</f>
        <v>1</v>
      </c>
    </row>
    <row r="49" spans="1:26" s="924" customFormat="1" ht="15" customHeight="1" x14ac:dyDescent="0.3">
      <c r="F49" s="909">
        <v>3</v>
      </c>
      <c r="G49" s="915" t="s">
        <v>980</v>
      </c>
      <c r="H49" s="916"/>
      <c r="I49" s="917"/>
      <c r="J49" s="917"/>
      <c r="K49" s="917"/>
      <c r="L49" s="918">
        <f>SUM(K50:K53)</f>
        <v>-87820038.226199985</v>
      </c>
      <c r="M49" s="919">
        <v>-0.17532179026148764</v>
      </c>
      <c r="N49" s="920"/>
      <c r="O49" s="921"/>
      <c r="P49" s="1394"/>
      <c r="Q49" s="922"/>
      <c r="R49" s="922"/>
      <c r="S49" s="923"/>
      <c r="Z49" s="1399">
        <f>+N47</f>
        <v>0</v>
      </c>
    </row>
    <row r="50" spans="1:26" ht="15" customHeight="1" outlineLevel="1" x14ac:dyDescent="0.3">
      <c r="F50" s="1176" t="str">
        <f>A35</f>
        <v>Hormigón</v>
      </c>
      <c r="G50" s="958">
        <v>3.1</v>
      </c>
      <c r="H50" s="941" t="s">
        <v>251</v>
      </c>
      <c r="I50" s="942">
        <v>0</v>
      </c>
      <c r="J50" s="1400">
        <v>888733</v>
      </c>
      <c r="K50" s="938">
        <v>0</v>
      </c>
      <c r="M50" s="930"/>
      <c r="N50" s="939"/>
      <c r="O50" s="939">
        <v>1</v>
      </c>
      <c r="P50" s="1395">
        <f t="shared" ref="P50:P53" si="31">+N50+O50</f>
        <v>1</v>
      </c>
      <c r="Q50" s="933">
        <f>+K50*N50</f>
        <v>0</v>
      </c>
      <c r="R50" s="933">
        <f>+K50*O50</f>
        <v>0</v>
      </c>
      <c r="S50" s="933">
        <f>+K50*P50</f>
        <v>0</v>
      </c>
      <c r="Z50" s="1041">
        <f>+S54</f>
        <v>-87820038.226199985</v>
      </c>
    </row>
    <row r="51" spans="1:26" ht="15" customHeight="1" outlineLevel="1" x14ac:dyDescent="0.3">
      <c r="F51" s="1176" t="str">
        <f>A34</f>
        <v>Hormigón</v>
      </c>
      <c r="G51" s="958">
        <v>3.09</v>
      </c>
      <c r="H51" s="941" t="s">
        <v>250</v>
      </c>
      <c r="I51" s="942">
        <v>-75.680999999999997</v>
      </c>
      <c r="J51" s="1400">
        <v>804023</v>
      </c>
      <c r="K51" s="938">
        <v>-60849264.662999995</v>
      </c>
      <c r="M51" s="930"/>
      <c r="N51" s="939"/>
      <c r="O51" s="939">
        <v>1</v>
      </c>
      <c r="P51" s="1395">
        <f t="shared" si="31"/>
        <v>1</v>
      </c>
      <c r="Q51" s="933">
        <f>+K51*N51</f>
        <v>0</v>
      </c>
      <c r="R51" s="933">
        <f>+K51*O51</f>
        <v>-60849264.662999995</v>
      </c>
      <c r="S51" s="933">
        <f>+K51*P51</f>
        <v>-60849264.662999995</v>
      </c>
      <c r="Z51" s="1401">
        <v>93845459</v>
      </c>
    </row>
    <row r="52" spans="1:26" ht="15" customHeight="1" outlineLevel="1" x14ac:dyDescent="0.3">
      <c r="F52" s="1176" t="str">
        <f>A36</f>
        <v>Hormigón</v>
      </c>
      <c r="G52" s="958">
        <v>3.11</v>
      </c>
      <c r="H52" s="958" t="s">
        <v>252</v>
      </c>
      <c r="I52" s="942">
        <v>-13.873599999999996</v>
      </c>
      <c r="J52" s="1400">
        <v>1494687</v>
      </c>
      <c r="K52" s="938">
        <v>-20736689.563199993</v>
      </c>
      <c r="M52" s="930"/>
      <c r="N52" s="939"/>
      <c r="O52" s="939">
        <v>1</v>
      </c>
      <c r="P52" s="1395">
        <f t="shared" si="31"/>
        <v>1</v>
      </c>
      <c r="Q52" s="933">
        <f>+K52*N52</f>
        <v>0</v>
      </c>
      <c r="R52" s="933">
        <f>+K52*O52</f>
        <v>-20736689.563199993</v>
      </c>
      <c r="S52" s="933">
        <f>+K52*P52</f>
        <v>-20736689.563199993</v>
      </c>
      <c r="Z52" s="1041">
        <f>+Z49+Z50+Z51</f>
        <v>6025420.7738000154</v>
      </c>
    </row>
    <row r="53" spans="1:26" ht="15" customHeight="1" outlineLevel="1" x14ac:dyDescent="0.3">
      <c r="F53" s="1176" t="str">
        <f>A42</f>
        <v>Hormigón</v>
      </c>
      <c r="G53" s="958">
        <v>3.18</v>
      </c>
      <c r="H53" s="958" t="s">
        <v>982</v>
      </c>
      <c r="I53" s="942">
        <v>-6</v>
      </c>
      <c r="J53" s="1400">
        <v>1039014</v>
      </c>
      <c r="K53" s="938">
        <v>-6234084</v>
      </c>
      <c r="M53" s="930"/>
      <c r="N53" s="939"/>
      <c r="O53" s="943">
        <v>1</v>
      </c>
      <c r="P53" s="1395">
        <f t="shared" si="31"/>
        <v>1</v>
      </c>
      <c r="Q53" s="933">
        <f>+K53*N53</f>
        <v>0</v>
      </c>
      <c r="R53" s="933">
        <f>+K53*O53</f>
        <v>-6234084</v>
      </c>
      <c r="S53" s="933">
        <f>+K53*P53</f>
        <v>-6234084</v>
      </c>
    </row>
    <row r="54" spans="1:26" s="970" customFormat="1" ht="35.25" customHeight="1" x14ac:dyDescent="0.3">
      <c r="F54" s="909"/>
      <c r="G54" s="964" t="s">
        <v>981</v>
      </c>
      <c r="H54" s="916"/>
      <c r="I54" s="917"/>
      <c r="J54" s="917"/>
      <c r="K54" s="965"/>
      <c r="L54" s="966">
        <f>SUM(L49:L53)</f>
        <v>-87820038.226199985</v>
      </c>
      <c r="M54" s="930"/>
      <c r="N54" s="967"/>
      <c r="O54" s="968"/>
      <c r="P54" s="1396"/>
      <c r="Q54" s="968">
        <f>SUM(Q51:Q53)</f>
        <v>0</v>
      </c>
      <c r="R54" s="968">
        <f>SUM(R50:R53)</f>
        <v>-87820038.226199985</v>
      </c>
      <c r="S54" s="968">
        <f>SUM(S50:S53)</f>
        <v>-87820038.226199985</v>
      </c>
      <c r="Z54" s="970">
        <f>+R54*0.4</f>
        <v>-35128015.290479995</v>
      </c>
    </row>
    <row r="55" spans="1:26" s="970" customFormat="1" ht="15" customHeight="1" x14ac:dyDescent="0.3">
      <c r="A55" s="971"/>
      <c r="B55" s="972"/>
      <c r="C55" s="973"/>
      <c r="D55" s="974"/>
      <c r="E55" s="975"/>
      <c r="F55" s="975"/>
      <c r="G55" s="976"/>
      <c r="H55" s="930"/>
      <c r="N55" s="977"/>
      <c r="O55" s="977"/>
      <c r="P55" s="1397"/>
      <c r="Q55" s="977"/>
      <c r="R55" s="1398">
        <f>+R54/L54</f>
        <v>1</v>
      </c>
      <c r="S55" s="1152">
        <f>+S54/L54</f>
        <v>1</v>
      </c>
    </row>
  </sheetData>
  <mergeCells count="3">
    <mergeCell ref="N6:P6"/>
    <mergeCell ref="Q6:S6"/>
    <mergeCell ref="T6:U6"/>
  </mergeCells>
  <conditionalFormatting sqref="D3:D11 D18:D32 H54 C55">
    <cfRule type="cellIs" dxfId="101" priority="10" operator="equal">
      <formula>"x"</formula>
    </cfRule>
  </conditionalFormatting>
  <conditionalFormatting sqref="D46:D48">
    <cfRule type="cellIs" dxfId="100" priority="11" operator="equal">
      <formula>"x"</formula>
    </cfRule>
  </conditionalFormatting>
  <conditionalFormatting sqref="H49:H51">
    <cfRule type="cellIs" dxfId="99" priority="1" operator="equal">
      <formula>"x"</formula>
    </cfRule>
  </conditionalFormatting>
  <conditionalFormatting sqref="P9:P17 P19:P23 P25:P45">
    <cfRule type="cellIs" dxfId="98" priority="8" operator="lessThan">
      <formula>1</formula>
    </cfRule>
  </conditionalFormatting>
  <conditionalFormatting sqref="P50:P53">
    <cfRule type="cellIs" dxfId="97" priority="3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24E5-6D48-4AA4-BE6D-903634516BEE}">
  <dimension ref="A1:V225"/>
  <sheetViews>
    <sheetView zoomScale="72" zoomScaleNormal="72" workbookViewId="0">
      <selection activeCell="A17" sqref="A17"/>
    </sheetView>
  </sheetViews>
  <sheetFormatPr defaultColWidth="11.54296875" defaultRowHeight="12.75" customHeight="1" x14ac:dyDescent="0.3"/>
  <cols>
    <col min="1" max="1" width="11.54296875" style="882"/>
    <col min="2" max="2" width="7" style="876" bestFit="1" customWidth="1"/>
    <col min="3" max="3" width="56.26953125" style="877" customWidth="1"/>
    <col min="4" max="4" width="4.1796875" style="878" bestFit="1" customWidth="1"/>
    <col min="5" max="5" width="7" style="879" bestFit="1" customWidth="1"/>
    <col min="6" max="6" width="9.7265625" style="879" customWidth="1"/>
    <col min="7" max="7" width="13" style="879" bestFit="1" customWidth="1"/>
    <col min="8" max="8" width="14.26953125" style="880" bestFit="1" customWidth="1"/>
    <col min="9" max="10" width="14.26953125" style="880" customWidth="1"/>
    <col min="11" max="11" width="15.7265625" style="880" bestFit="1" customWidth="1"/>
    <col min="12" max="12" width="14.81640625" style="914" bestFit="1" customWidth="1"/>
    <col min="13" max="13" width="10.7265625" style="1041" customWidth="1"/>
    <col min="14" max="14" width="12.81640625" style="1041" bestFit="1" customWidth="1"/>
    <col min="15" max="15" width="12.26953125" style="1041" bestFit="1" customWidth="1"/>
    <col min="16" max="16" width="10.81640625" style="1041" bestFit="1" customWidth="1"/>
    <col min="17" max="17" width="11.7265625" style="1041" customWidth="1"/>
    <col min="18" max="18" width="10.7265625" style="1041" customWidth="1"/>
    <col min="19" max="19" width="13.7265625" style="1041" customWidth="1"/>
    <col min="20" max="20" width="12.1796875" style="882" customWidth="1"/>
    <col min="21" max="21" width="13" style="882" bestFit="1" customWidth="1"/>
    <col min="22" max="22" width="12" style="882" bestFit="1" customWidth="1"/>
    <col min="23" max="16384" width="11.54296875" style="882"/>
  </cols>
  <sheetData>
    <row r="1" spans="1:22" ht="12.75" customHeight="1" x14ac:dyDescent="0.3">
      <c r="K1" s="881" t="s">
        <v>192</v>
      </c>
      <c r="L1" s="881" t="s">
        <v>193</v>
      </c>
    </row>
    <row r="2" spans="1:22" ht="13" x14ac:dyDescent="0.3">
      <c r="K2" s="884">
        <v>1066.5</v>
      </c>
      <c r="L2" s="884">
        <v>1170</v>
      </c>
    </row>
    <row r="3" spans="1:22" s="890" customFormat="1" ht="13" x14ac:dyDescent="0.35">
      <c r="B3" s="885"/>
      <c r="C3" s="886"/>
      <c r="D3" s="887"/>
      <c r="E3" s="888"/>
      <c r="F3" s="888"/>
      <c r="G3" s="888"/>
      <c r="H3" s="888"/>
      <c r="I3" s="1417"/>
      <c r="J3" s="1417"/>
      <c r="K3" s="888"/>
      <c r="L3" s="889"/>
      <c r="M3" s="1042"/>
      <c r="N3" s="1042"/>
      <c r="O3" s="1042"/>
      <c r="P3" s="1419"/>
      <c r="Q3" s="1042"/>
      <c r="R3" s="1042"/>
      <c r="S3" s="1042"/>
      <c r="T3" s="1418"/>
      <c r="U3" s="1418"/>
      <c r="V3" s="1418"/>
    </row>
    <row r="4" spans="1:22" s="890" customFormat="1" ht="13" x14ac:dyDescent="0.35">
      <c r="B4" s="885"/>
      <c r="C4" s="886"/>
      <c r="D4" s="887"/>
      <c r="E4" s="888"/>
      <c r="F4" s="888"/>
      <c r="G4" s="888"/>
      <c r="H4" s="888"/>
      <c r="I4" s="888"/>
      <c r="J4" s="888"/>
      <c r="K4" s="983">
        <v>45667</v>
      </c>
      <c r="L4" s="889"/>
      <c r="M4" s="1042"/>
      <c r="N4" s="1042"/>
      <c r="O4" s="1042"/>
      <c r="P4" s="1042"/>
      <c r="Q4" s="1042"/>
      <c r="R4" s="1042"/>
      <c r="S4" s="1042"/>
    </row>
    <row r="5" spans="1:22" s="890" customFormat="1" ht="13" x14ac:dyDescent="0.3">
      <c r="B5" s="885"/>
      <c r="C5" s="1043" t="s">
        <v>194</v>
      </c>
      <c r="D5" s="887"/>
      <c r="E5" s="888"/>
      <c r="F5" s="888"/>
      <c r="G5" s="888"/>
      <c r="H5" s="900"/>
      <c r="I5" s="900"/>
      <c r="J5" s="900"/>
      <c r="K5" s="900"/>
      <c r="L5" s="889"/>
      <c r="M5" s="1042"/>
      <c r="N5" s="1044" t="s">
        <v>714</v>
      </c>
      <c r="O5" s="1045">
        <v>13</v>
      </c>
      <c r="P5" s="1046"/>
      <c r="Q5" s="1046"/>
      <c r="R5" s="1047"/>
      <c r="S5" s="898">
        <v>46108</v>
      </c>
    </row>
    <row r="6" spans="1:22" s="890" customFormat="1" ht="13" x14ac:dyDescent="0.35">
      <c r="B6" s="885"/>
      <c r="C6" s="1043" t="s">
        <v>195</v>
      </c>
      <c r="D6" s="887"/>
      <c r="E6" s="888"/>
      <c r="F6" s="888"/>
      <c r="G6" s="888"/>
      <c r="H6" s="906"/>
      <c r="I6" s="906"/>
      <c r="J6" s="906"/>
      <c r="K6" s="906"/>
      <c r="L6" s="889"/>
      <c r="M6" s="1042"/>
      <c r="N6" s="1042"/>
      <c r="O6" s="1042"/>
      <c r="P6" s="1042"/>
      <c r="Q6" s="1042"/>
      <c r="R6" s="1042"/>
      <c r="S6" s="1042"/>
    </row>
    <row r="7" spans="1:22" s="890" customFormat="1" ht="13" x14ac:dyDescent="0.35">
      <c r="B7" s="885"/>
      <c r="C7" s="1048" t="s">
        <v>730</v>
      </c>
      <c r="D7" s="904"/>
      <c r="E7" s="905"/>
      <c r="F7" s="905"/>
      <c r="G7" s="905"/>
      <c r="H7" s="1049"/>
      <c r="I7" s="906"/>
      <c r="J7" s="906"/>
      <c r="K7" s="906"/>
      <c r="L7" s="889"/>
      <c r="M7" s="1042"/>
      <c r="N7" s="1434" t="s">
        <v>716</v>
      </c>
      <c r="O7" s="1434"/>
      <c r="P7" s="1434"/>
      <c r="Q7" s="1434" t="s">
        <v>85</v>
      </c>
      <c r="R7" s="1434"/>
      <c r="S7" s="1434"/>
      <c r="T7" s="1434" t="s">
        <v>85</v>
      </c>
      <c r="U7" s="1434"/>
    </row>
    <row r="8" spans="1:22" ht="13" x14ac:dyDescent="0.3">
      <c r="B8" s="909" t="s">
        <v>196</v>
      </c>
      <c r="C8" s="910" t="s">
        <v>198</v>
      </c>
      <c r="D8" s="911" t="s">
        <v>199</v>
      </c>
      <c r="E8" s="912" t="s">
        <v>200</v>
      </c>
      <c r="F8" s="913" t="s">
        <v>717</v>
      </c>
      <c r="G8" s="913" t="s">
        <v>203</v>
      </c>
      <c r="H8" s="913" t="s">
        <v>469</v>
      </c>
      <c r="I8" s="913" t="s">
        <v>717</v>
      </c>
      <c r="J8" s="913" t="s">
        <v>203</v>
      </c>
      <c r="K8" s="913" t="s">
        <v>165</v>
      </c>
      <c r="N8" s="1050" t="s">
        <v>720</v>
      </c>
      <c r="O8" s="1050" t="s">
        <v>721</v>
      </c>
      <c r="P8" s="1050" t="s">
        <v>455</v>
      </c>
      <c r="Q8" s="1050" t="s">
        <v>720</v>
      </c>
      <c r="R8" s="1050" t="s">
        <v>721</v>
      </c>
      <c r="S8" s="1050" t="s">
        <v>455</v>
      </c>
      <c r="T8" s="1050" t="s">
        <v>202</v>
      </c>
      <c r="U8" s="1050" t="s">
        <v>203</v>
      </c>
      <c r="V8" s="1050" t="s">
        <v>87</v>
      </c>
    </row>
    <row r="9" spans="1:22" ht="12.75" customHeight="1" x14ac:dyDescent="0.3">
      <c r="A9" s="1201"/>
      <c r="B9" s="909">
        <v>4</v>
      </c>
      <c r="C9" s="915" t="s">
        <v>263</v>
      </c>
      <c r="D9" s="916"/>
      <c r="E9" s="917"/>
      <c r="F9" s="917"/>
      <c r="G9" s="917"/>
      <c r="H9" s="917"/>
      <c r="I9" s="917"/>
      <c r="J9" s="917"/>
      <c r="K9" s="917"/>
      <c r="L9" s="918">
        <f>+SUM(K10:K23)</f>
        <v>51045774</v>
      </c>
      <c r="M9" s="1051">
        <f>+L9/$L$195</f>
        <v>6.0420265274428106E-2</v>
      </c>
      <c r="N9" s="1052"/>
      <c r="O9" s="1053"/>
      <c r="P9" s="1053"/>
      <c r="Q9" s="1054"/>
      <c r="R9" s="1054"/>
      <c r="S9" s="1055"/>
      <c r="T9" s="1055"/>
      <c r="U9" s="1055"/>
      <c r="V9" s="1055"/>
    </row>
    <row r="10" spans="1:22" ht="12.75" customHeight="1" x14ac:dyDescent="0.3">
      <c r="A10" s="1177" t="s">
        <v>62</v>
      </c>
      <c r="B10" s="925">
        <v>4.01</v>
      </c>
      <c r="C10" s="926" t="s">
        <v>264</v>
      </c>
      <c r="D10" s="1056" t="s">
        <v>238</v>
      </c>
      <c r="E10" s="1057">
        <v>621</v>
      </c>
      <c r="F10" s="1315">
        <f>'01 (2)'!H47*'01 (2)'!$T$5</f>
        <v>8784.0014413232911</v>
      </c>
      <c r="G10" s="1057">
        <f>H10-F10</f>
        <v>13355.998558676709</v>
      </c>
      <c r="H10" s="929">
        <v>22140</v>
      </c>
      <c r="I10" s="1062">
        <f>E10*F10</f>
        <v>5454864.8950617639</v>
      </c>
      <c r="J10" s="1062">
        <f>E10*G10</f>
        <v>8294075.1049382361</v>
      </c>
      <c r="K10" s="938">
        <f t="shared" ref="K10:K73" si="0">+H10*E10</f>
        <v>13748940</v>
      </c>
      <c r="L10" s="1058"/>
      <c r="M10" s="1051"/>
      <c r="N10" s="1059">
        <v>0.85</v>
      </c>
      <c r="O10" s="1059">
        <v>0.02</v>
      </c>
      <c r="P10" s="1060">
        <f>SUM(N10:O10)</f>
        <v>0.87</v>
      </c>
      <c r="Q10" s="933">
        <f>K10*N10</f>
        <v>11686599</v>
      </c>
      <c r="R10" s="933">
        <f>K10*O10</f>
        <v>274978.8</v>
      </c>
      <c r="S10" s="933">
        <f>K10*P10</f>
        <v>11961577.800000001</v>
      </c>
      <c r="T10" s="933">
        <f>I10*P10</f>
        <v>4745732.4587037349</v>
      </c>
      <c r="U10" s="933">
        <f>J10*P10</f>
        <v>7215845.3412962649</v>
      </c>
      <c r="V10" s="933">
        <f>SUM(T10:U10)</f>
        <v>11961577.800000001</v>
      </c>
    </row>
    <row r="11" spans="1:22" ht="12.75" customHeight="1" x14ac:dyDescent="0.3">
      <c r="A11" s="1177" t="s">
        <v>62</v>
      </c>
      <c r="B11" s="934">
        <v>4.0199999999999996</v>
      </c>
      <c r="C11" s="1061" t="s">
        <v>265</v>
      </c>
      <c r="D11" s="945" t="s">
        <v>238</v>
      </c>
      <c r="E11" s="946">
        <v>780</v>
      </c>
      <c r="F11" s="1315">
        <f>'01 (2)'!H48*'01 (2)'!$T$5</f>
        <v>11080.959602141853</v>
      </c>
      <c r="G11" s="1315">
        <f t="shared" ref="G11:G23" si="1">H11-F11</f>
        <v>13356.040397858147</v>
      </c>
      <c r="H11" s="1062">
        <v>24437</v>
      </c>
      <c r="I11" s="1062">
        <f t="shared" ref="I11:I23" si="2">E11*F11</f>
        <v>8643148.4896706454</v>
      </c>
      <c r="J11" s="1062">
        <f t="shared" ref="J11:J23" si="3">E11*G11</f>
        <v>10417711.510329355</v>
      </c>
      <c r="K11" s="938">
        <f t="shared" si="0"/>
        <v>19060860</v>
      </c>
      <c r="L11" s="1058"/>
      <c r="M11" s="1051"/>
      <c r="N11" s="1063">
        <v>0.85</v>
      </c>
      <c r="O11" s="1063">
        <v>0.05</v>
      </c>
      <c r="P11" s="1060">
        <f t="shared" ref="P11:P23" si="4">SUM(N11:O11)</f>
        <v>0.9</v>
      </c>
      <c r="Q11" s="933">
        <f t="shared" ref="Q11:Q23" si="5">K11*N11</f>
        <v>16201731</v>
      </c>
      <c r="R11" s="933">
        <f t="shared" ref="R11:R23" si="6">K11*O11</f>
        <v>953043</v>
      </c>
      <c r="S11" s="933">
        <f t="shared" ref="S11:S23" si="7">K11*P11</f>
        <v>17154774</v>
      </c>
      <c r="T11" s="933">
        <f t="shared" ref="T11:T23" si="8">I11*P11</f>
        <v>7778833.6407035813</v>
      </c>
      <c r="U11" s="933">
        <f t="shared" ref="U11:U23" si="9">J11*P11</f>
        <v>9375940.3592964187</v>
      </c>
      <c r="V11" s="933">
        <f t="shared" ref="V11:V23" si="10">SUM(T11:U11)</f>
        <v>17154774</v>
      </c>
    </row>
    <row r="12" spans="1:22" ht="12.75" customHeight="1" x14ac:dyDescent="0.3">
      <c r="A12" s="1177" t="s">
        <v>62</v>
      </c>
      <c r="B12" s="934">
        <v>4.03</v>
      </c>
      <c r="C12" s="935" t="s">
        <v>266</v>
      </c>
      <c r="D12" s="945" t="s">
        <v>238</v>
      </c>
      <c r="E12" s="946">
        <v>56</v>
      </c>
      <c r="F12" s="1315">
        <f>'01 (2)'!H49*'01 (2)'!$T$5</f>
        <v>8602.342582159521</v>
      </c>
      <c r="G12" s="1315">
        <f t="shared" si="1"/>
        <v>14645.657417840479</v>
      </c>
      <c r="H12" s="1062">
        <v>23248</v>
      </c>
      <c r="I12" s="1062">
        <f t="shared" si="2"/>
        <v>481731.18460093316</v>
      </c>
      <c r="J12" s="1062">
        <f t="shared" si="3"/>
        <v>820156.81539906678</v>
      </c>
      <c r="K12" s="938">
        <f t="shared" si="0"/>
        <v>1301888</v>
      </c>
      <c r="L12" s="1058"/>
      <c r="M12" s="1051"/>
      <c r="N12" s="1063">
        <v>1</v>
      </c>
      <c r="O12" s="1063"/>
      <c r="P12" s="1060">
        <f t="shared" si="4"/>
        <v>1</v>
      </c>
      <c r="Q12" s="933">
        <f t="shared" si="5"/>
        <v>1301888</v>
      </c>
      <c r="R12" s="933">
        <f t="shared" si="6"/>
        <v>0</v>
      </c>
      <c r="S12" s="933">
        <f t="shared" si="7"/>
        <v>1301888</v>
      </c>
      <c r="T12" s="933">
        <f t="shared" si="8"/>
        <v>481731.18460093316</v>
      </c>
      <c r="U12" s="933">
        <f t="shared" si="9"/>
        <v>820156.81539906678</v>
      </c>
      <c r="V12" s="933">
        <f t="shared" si="10"/>
        <v>1301888</v>
      </c>
    </row>
    <row r="13" spans="1:22" ht="12.75" customHeight="1" x14ac:dyDescent="0.3">
      <c r="A13" s="1177" t="s">
        <v>62</v>
      </c>
      <c r="B13" s="934">
        <v>4.04</v>
      </c>
      <c r="C13" s="935" t="s">
        <v>267</v>
      </c>
      <c r="D13" s="945" t="s">
        <v>238</v>
      </c>
      <c r="E13" s="946">
        <v>42</v>
      </c>
      <c r="F13" s="1315">
        <f>'01 (2)'!H50*'01 (2)'!$T$5</f>
        <v>15390.194706979844</v>
      </c>
      <c r="G13" s="1315">
        <f t="shared" si="1"/>
        <v>13355.805293020156</v>
      </c>
      <c r="H13" s="1062">
        <v>28746</v>
      </c>
      <c r="I13" s="1062">
        <f t="shared" si="2"/>
        <v>646388.1776931535</v>
      </c>
      <c r="J13" s="1062">
        <f t="shared" si="3"/>
        <v>560943.8223068465</v>
      </c>
      <c r="K13" s="938">
        <f t="shared" si="0"/>
        <v>1207332</v>
      </c>
      <c r="L13" s="1058"/>
      <c r="M13" s="1051"/>
      <c r="N13" s="1063">
        <v>0.7</v>
      </c>
      <c r="O13" s="1063">
        <v>0.15</v>
      </c>
      <c r="P13" s="1060">
        <f t="shared" si="4"/>
        <v>0.85</v>
      </c>
      <c r="Q13" s="933">
        <f t="shared" si="5"/>
        <v>845132.39999999991</v>
      </c>
      <c r="R13" s="933">
        <f t="shared" si="6"/>
        <v>181099.8</v>
      </c>
      <c r="S13" s="933">
        <f t="shared" si="7"/>
        <v>1026232.2</v>
      </c>
      <c r="T13" s="933">
        <f t="shared" si="8"/>
        <v>549429.95103918051</v>
      </c>
      <c r="U13" s="933">
        <f t="shared" si="9"/>
        <v>476802.2489608195</v>
      </c>
      <c r="V13" s="933">
        <f t="shared" si="10"/>
        <v>1026232.2</v>
      </c>
    </row>
    <row r="14" spans="1:22" ht="12.75" customHeight="1" x14ac:dyDescent="0.3">
      <c r="A14" s="1177" t="s">
        <v>62</v>
      </c>
      <c r="B14" s="934">
        <v>4.05</v>
      </c>
      <c r="C14" s="935" t="s">
        <v>268</v>
      </c>
      <c r="D14" s="945" t="s">
        <v>238</v>
      </c>
      <c r="E14" s="946">
        <v>70</v>
      </c>
      <c r="F14" s="1315">
        <f>'01 (2)'!H51*'01 (2)'!$T$5</f>
        <v>22413.730819882203</v>
      </c>
      <c r="G14" s="1315">
        <f t="shared" si="1"/>
        <v>14519.269180117797</v>
      </c>
      <c r="H14" s="1062">
        <v>36933</v>
      </c>
      <c r="I14" s="1062">
        <f t="shared" si="2"/>
        <v>1568961.1573917542</v>
      </c>
      <c r="J14" s="1062">
        <f t="shared" si="3"/>
        <v>1016348.8426082458</v>
      </c>
      <c r="K14" s="938">
        <f t="shared" si="0"/>
        <v>2585310</v>
      </c>
      <c r="L14" s="1058"/>
      <c r="M14" s="1051"/>
      <c r="N14" s="1063">
        <v>0.1</v>
      </c>
      <c r="O14" s="1063"/>
      <c r="P14" s="1060">
        <f t="shared" si="4"/>
        <v>0.1</v>
      </c>
      <c r="Q14" s="933">
        <f t="shared" si="5"/>
        <v>258531</v>
      </c>
      <c r="R14" s="933">
        <f t="shared" si="6"/>
        <v>0</v>
      </c>
      <c r="S14" s="933">
        <f t="shared" si="7"/>
        <v>258531</v>
      </c>
      <c r="T14" s="933">
        <f t="shared" si="8"/>
        <v>156896.11573917544</v>
      </c>
      <c r="U14" s="933">
        <f t="shared" si="9"/>
        <v>101634.88426082459</v>
      </c>
      <c r="V14" s="933">
        <f t="shared" si="10"/>
        <v>258531.00000000003</v>
      </c>
    </row>
    <row r="15" spans="1:22" ht="12.75" customHeight="1" x14ac:dyDescent="0.3">
      <c r="A15" s="1177" t="s">
        <v>62</v>
      </c>
      <c r="B15" s="934">
        <v>4.0599999999999996</v>
      </c>
      <c r="C15" s="935" t="s">
        <v>269</v>
      </c>
      <c r="D15" s="945" t="s">
        <v>238</v>
      </c>
      <c r="E15" s="946">
        <v>5</v>
      </c>
      <c r="F15" s="1315">
        <f>'01 (2)'!H52*'01 (2)'!$T$5</f>
        <v>15316.290487069633</v>
      </c>
      <c r="G15" s="1315">
        <f t="shared" si="1"/>
        <v>13355.709512930367</v>
      </c>
      <c r="H15" s="1062">
        <v>28672</v>
      </c>
      <c r="I15" s="1062">
        <f t="shared" si="2"/>
        <v>76581.452435348168</v>
      </c>
      <c r="J15" s="1062">
        <f t="shared" si="3"/>
        <v>66778.547564651832</v>
      </c>
      <c r="K15" s="938">
        <f t="shared" si="0"/>
        <v>143360</v>
      </c>
      <c r="L15" s="1058"/>
      <c r="M15" s="1051"/>
      <c r="N15" s="1063">
        <v>0.1</v>
      </c>
      <c r="O15" s="1063"/>
      <c r="P15" s="1060">
        <f t="shared" si="4"/>
        <v>0.1</v>
      </c>
      <c r="Q15" s="933">
        <f t="shared" si="5"/>
        <v>14336</v>
      </c>
      <c r="R15" s="933">
        <f t="shared" si="6"/>
        <v>0</v>
      </c>
      <c r="S15" s="933">
        <f t="shared" si="7"/>
        <v>14336</v>
      </c>
      <c r="T15" s="933">
        <f t="shared" si="8"/>
        <v>7658.1452435348174</v>
      </c>
      <c r="U15" s="933">
        <f t="shared" si="9"/>
        <v>6677.8547564651835</v>
      </c>
      <c r="V15" s="933">
        <f t="shared" si="10"/>
        <v>14336</v>
      </c>
    </row>
    <row r="16" spans="1:22" ht="12.75" customHeight="1" x14ac:dyDescent="0.3">
      <c r="A16" s="1177" t="s">
        <v>62</v>
      </c>
      <c r="B16" s="934">
        <v>4.07</v>
      </c>
      <c r="C16" s="935" t="s">
        <v>731</v>
      </c>
      <c r="D16" s="945" t="s">
        <v>238</v>
      </c>
      <c r="E16" s="960">
        <v>193</v>
      </c>
      <c r="F16" s="1315">
        <f>'01 (2)'!H53*'01 (2)'!$T$5</f>
        <v>4301.1712910797605</v>
      </c>
      <c r="G16" s="1316">
        <f t="shared" si="1"/>
        <v>14309.828708920239</v>
      </c>
      <c r="H16" s="1062">
        <v>18611</v>
      </c>
      <c r="I16" s="1062">
        <f t="shared" si="2"/>
        <v>830126.0591783938</v>
      </c>
      <c r="J16" s="1062">
        <f t="shared" si="3"/>
        <v>2761796.9408216062</v>
      </c>
      <c r="K16" s="938">
        <f t="shared" si="0"/>
        <v>3591923</v>
      </c>
      <c r="L16" s="1058"/>
      <c r="M16" s="1051"/>
      <c r="N16" s="1063">
        <v>0</v>
      </c>
      <c r="O16" s="1063"/>
      <c r="P16" s="1060">
        <f t="shared" si="4"/>
        <v>0</v>
      </c>
      <c r="Q16" s="933">
        <f t="shared" si="5"/>
        <v>0</v>
      </c>
      <c r="R16" s="933">
        <f t="shared" si="6"/>
        <v>0</v>
      </c>
      <c r="S16" s="933">
        <f t="shared" si="7"/>
        <v>0</v>
      </c>
      <c r="T16" s="933">
        <f t="shared" si="8"/>
        <v>0</v>
      </c>
      <c r="U16" s="933">
        <f t="shared" si="9"/>
        <v>0</v>
      </c>
      <c r="V16" s="933">
        <f t="shared" si="10"/>
        <v>0</v>
      </c>
    </row>
    <row r="17" spans="1:22" ht="12.75" customHeight="1" x14ac:dyDescent="0.3">
      <c r="A17" s="1177" t="s">
        <v>62</v>
      </c>
      <c r="B17" s="934">
        <v>4.08</v>
      </c>
      <c r="C17" s="935" t="s">
        <v>271</v>
      </c>
      <c r="D17" s="945" t="s">
        <v>211</v>
      </c>
      <c r="E17" s="960">
        <v>61</v>
      </c>
      <c r="F17" s="1315">
        <f>'01 (2)'!H54*'01 (2)'!$T$5</f>
        <v>12119.804946576249</v>
      </c>
      <c r="G17" s="1316">
        <f t="shared" si="1"/>
        <v>16458.195053423751</v>
      </c>
      <c r="H17" s="1062">
        <v>28578</v>
      </c>
      <c r="I17" s="1062">
        <f t="shared" si="2"/>
        <v>739308.10174115119</v>
      </c>
      <c r="J17" s="1062">
        <f t="shared" si="3"/>
        <v>1003949.8982588488</v>
      </c>
      <c r="K17" s="938">
        <f t="shared" si="0"/>
        <v>1743258</v>
      </c>
      <c r="L17" s="1058"/>
      <c r="M17" s="1051"/>
      <c r="N17" s="1063">
        <v>0.60000000000000009</v>
      </c>
      <c r="O17" s="1063">
        <v>0.4</v>
      </c>
      <c r="P17" s="1060">
        <f t="shared" si="4"/>
        <v>1</v>
      </c>
      <c r="Q17" s="933">
        <f t="shared" si="5"/>
        <v>1045954.8000000002</v>
      </c>
      <c r="R17" s="933">
        <f t="shared" si="6"/>
        <v>697303.20000000007</v>
      </c>
      <c r="S17" s="933">
        <f t="shared" si="7"/>
        <v>1743258</v>
      </c>
      <c r="T17" s="933">
        <f t="shared" si="8"/>
        <v>739308.10174115119</v>
      </c>
      <c r="U17" s="933">
        <f t="shared" si="9"/>
        <v>1003949.8982588488</v>
      </c>
      <c r="V17" s="933">
        <f t="shared" si="10"/>
        <v>1743258</v>
      </c>
    </row>
    <row r="18" spans="1:22" ht="12.75" customHeight="1" x14ac:dyDescent="0.3">
      <c r="A18" s="1177" t="s">
        <v>62</v>
      </c>
      <c r="B18" s="934">
        <v>4.09</v>
      </c>
      <c r="C18" s="935" t="s">
        <v>272</v>
      </c>
      <c r="D18" s="945" t="s">
        <v>207</v>
      </c>
      <c r="E18" s="960">
        <v>1</v>
      </c>
      <c r="F18" s="1315">
        <f>'01 (2)'!H55*'01 (2)'!$T$5</f>
        <v>81044.529090862925</v>
      </c>
      <c r="G18" s="1316">
        <f t="shared" si="1"/>
        <v>199778.47090913708</v>
      </c>
      <c r="H18" s="1062">
        <v>280823</v>
      </c>
      <c r="I18" s="1062">
        <f t="shared" si="2"/>
        <v>81044.529090862925</v>
      </c>
      <c r="J18" s="1062">
        <f t="shared" si="3"/>
        <v>199778.47090913708</v>
      </c>
      <c r="K18" s="938">
        <f t="shared" si="0"/>
        <v>280823</v>
      </c>
      <c r="L18" s="1058"/>
      <c r="M18" s="1051"/>
      <c r="N18" s="1063">
        <v>0</v>
      </c>
      <c r="O18" s="1063"/>
      <c r="P18" s="1060">
        <f t="shared" si="4"/>
        <v>0</v>
      </c>
      <c r="Q18" s="933">
        <f t="shared" si="5"/>
        <v>0</v>
      </c>
      <c r="R18" s="933">
        <f t="shared" si="6"/>
        <v>0</v>
      </c>
      <c r="S18" s="933">
        <f t="shared" si="7"/>
        <v>0</v>
      </c>
      <c r="T18" s="933">
        <f t="shared" si="8"/>
        <v>0</v>
      </c>
      <c r="U18" s="933">
        <f t="shared" si="9"/>
        <v>0</v>
      </c>
      <c r="V18" s="933">
        <f t="shared" si="10"/>
        <v>0</v>
      </c>
    </row>
    <row r="19" spans="1:22" ht="12.75" customHeight="1" x14ac:dyDescent="0.3">
      <c r="A19" s="1177" t="s">
        <v>62</v>
      </c>
      <c r="B19" s="934">
        <v>4.0999999999999996</v>
      </c>
      <c r="C19" s="935" t="s">
        <v>273</v>
      </c>
      <c r="D19" s="945" t="s">
        <v>207</v>
      </c>
      <c r="E19" s="960">
        <v>1</v>
      </c>
      <c r="F19" s="1315">
        <f>'01 (2)'!H56*'01 (2)'!$T$5</f>
        <v>202488.77023956008</v>
      </c>
      <c r="G19" s="1316">
        <f t="shared" si="1"/>
        <v>598725.22976043995</v>
      </c>
      <c r="H19" s="1062">
        <v>801214</v>
      </c>
      <c r="I19" s="1062">
        <f t="shared" si="2"/>
        <v>202488.77023956008</v>
      </c>
      <c r="J19" s="1062">
        <f t="shared" si="3"/>
        <v>598725.22976043995</v>
      </c>
      <c r="K19" s="938">
        <f t="shared" si="0"/>
        <v>801214</v>
      </c>
      <c r="L19" s="1058"/>
      <c r="M19" s="1051"/>
      <c r="N19" s="1063">
        <v>0</v>
      </c>
      <c r="O19" s="1063"/>
      <c r="P19" s="1060">
        <f t="shared" si="4"/>
        <v>0</v>
      </c>
      <c r="Q19" s="933">
        <f t="shared" si="5"/>
        <v>0</v>
      </c>
      <c r="R19" s="933">
        <f t="shared" si="6"/>
        <v>0</v>
      </c>
      <c r="S19" s="933">
        <f t="shared" si="7"/>
        <v>0</v>
      </c>
      <c r="T19" s="933">
        <f t="shared" si="8"/>
        <v>0</v>
      </c>
      <c r="U19" s="933">
        <f t="shared" si="9"/>
        <v>0</v>
      </c>
      <c r="V19" s="933">
        <f t="shared" si="10"/>
        <v>0</v>
      </c>
    </row>
    <row r="20" spans="1:22" ht="12.75" customHeight="1" x14ac:dyDescent="0.3">
      <c r="A20" s="1177" t="s">
        <v>62</v>
      </c>
      <c r="B20" s="934">
        <v>4.1100000000000003</v>
      </c>
      <c r="C20" s="935" t="s">
        <v>274</v>
      </c>
      <c r="D20" s="945" t="s">
        <v>207</v>
      </c>
      <c r="E20" s="960">
        <v>1</v>
      </c>
      <c r="F20" s="1315">
        <f>'01 (2)'!H57*'01 (2)'!$T$5</f>
        <v>171579.18721603585</v>
      </c>
      <c r="G20" s="1316">
        <f t="shared" si="1"/>
        <v>353654.81278396415</v>
      </c>
      <c r="H20" s="1062">
        <v>525234</v>
      </c>
      <c r="I20" s="1062">
        <f t="shared" si="2"/>
        <v>171579.18721603585</v>
      </c>
      <c r="J20" s="1062">
        <f t="shared" si="3"/>
        <v>353654.81278396415</v>
      </c>
      <c r="K20" s="938">
        <f t="shared" si="0"/>
        <v>525234</v>
      </c>
      <c r="L20" s="1058"/>
      <c r="M20" s="1051"/>
      <c r="N20" s="1063">
        <v>0</v>
      </c>
      <c r="O20" s="1063"/>
      <c r="P20" s="1060">
        <f t="shared" si="4"/>
        <v>0</v>
      </c>
      <c r="Q20" s="933">
        <f t="shared" si="5"/>
        <v>0</v>
      </c>
      <c r="R20" s="933">
        <f t="shared" si="6"/>
        <v>0</v>
      </c>
      <c r="S20" s="933">
        <f t="shared" si="7"/>
        <v>0</v>
      </c>
      <c r="T20" s="933">
        <f t="shared" si="8"/>
        <v>0</v>
      </c>
      <c r="U20" s="933">
        <f t="shared" si="9"/>
        <v>0</v>
      </c>
      <c r="V20" s="933">
        <f t="shared" si="10"/>
        <v>0</v>
      </c>
    </row>
    <row r="21" spans="1:22" ht="12.75" customHeight="1" x14ac:dyDescent="0.3">
      <c r="A21" s="1177" t="s">
        <v>62</v>
      </c>
      <c r="B21" s="934">
        <v>4.12</v>
      </c>
      <c r="C21" s="935" t="s">
        <v>275</v>
      </c>
      <c r="D21" s="945" t="s">
        <v>243</v>
      </c>
      <c r="E21" s="960">
        <v>3</v>
      </c>
      <c r="F21" s="1315">
        <f>'01 (2)'!H58*'01 (2)'!$T$5</f>
        <v>161909.86098324734</v>
      </c>
      <c r="G21" s="1316">
        <f t="shared" si="1"/>
        <v>75874.139016752655</v>
      </c>
      <c r="H21" s="1062">
        <v>237784</v>
      </c>
      <c r="I21" s="1062">
        <f t="shared" si="2"/>
        <v>485729.58294974203</v>
      </c>
      <c r="J21" s="1062">
        <f t="shared" si="3"/>
        <v>227622.41705025797</v>
      </c>
      <c r="K21" s="938">
        <f t="shared" si="0"/>
        <v>713352</v>
      </c>
      <c r="L21" s="1058"/>
      <c r="M21" s="1051"/>
      <c r="N21" s="1063">
        <v>0</v>
      </c>
      <c r="O21" s="1063"/>
      <c r="P21" s="1060">
        <f t="shared" si="4"/>
        <v>0</v>
      </c>
      <c r="Q21" s="933">
        <f t="shared" si="5"/>
        <v>0</v>
      </c>
      <c r="R21" s="933">
        <f t="shared" si="6"/>
        <v>0</v>
      </c>
      <c r="S21" s="933">
        <f t="shared" si="7"/>
        <v>0</v>
      </c>
      <c r="T21" s="933">
        <f t="shared" si="8"/>
        <v>0</v>
      </c>
      <c r="U21" s="933">
        <f t="shared" si="9"/>
        <v>0</v>
      </c>
      <c r="V21" s="933">
        <f t="shared" si="10"/>
        <v>0</v>
      </c>
    </row>
    <row r="22" spans="1:22" ht="12.75" customHeight="1" x14ac:dyDescent="0.3">
      <c r="A22" s="1177" t="s">
        <v>62</v>
      </c>
      <c r="B22" s="934">
        <v>4.13</v>
      </c>
      <c r="C22" s="935" t="s">
        <v>732</v>
      </c>
      <c r="D22" s="945" t="s">
        <v>211</v>
      </c>
      <c r="E22" s="960">
        <v>40</v>
      </c>
      <c r="F22" s="1315">
        <f>'01 (2)'!H59*'01 (2)'!$T$5</f>
        <v>48976.243624532479</v>
      </c>
      <c r="G22" s="1316">
        <f t="shared" si="1"/>
        <v>49049.756375467521</v>
      </c>
      <c r="H22" s="1062">
        <v>98026</v>
      </c>
      <c r="I22" s="1062">
        <f t="shared" si="2"/>
        <v>1959049.7449812992</v>
      </c>
      <c r="J22" s="1062">
        <f t="shared" si="3"/>
        <v>1961990.2550187008</v>
      </c>
      <c r="K22" s="938">
        <f t="shared" si="0"/>
        <v>3921040</v>
      </c>
      <c r="L22" s="1058"/>
      <c r="M22" s="1051"/>
      <c r="N22" s="1063">
        <v>0</v>
      </c>
      <c r="O22" s="1063"/>
      <c r="P22" s="1060">
        <f t="shared" si="4"/>
        <v>0</v>
      </c>
      <c r="Q22" s="933">
        <f t="shared" si="5"/>
        <v>0</v>
      </c>
      <c r="R22" s="933">
        <f t="shared" si="6"/>
        <v>0</v>
      </c>
      <c r="S22" s="933">
        <f t="shared" si="7"/>
        <v>0</v>
      </c>
      <c r="T22" s="933">
        <f t="shared" si="8"/>
        <v>0</v>
      </c>
      <c r="U22" s="933">
        <f t="shared" si="9"/>
        <v>0</v>
      </c>
      <c r="V22" s="933">
        <f t="shared" si="10"/>
        <v>0</v>
      </c>
    </row>
    <row r="23" spans="1:22" ht="12.75" customHeight="1" x14ac:dyDescent="0.3">
      <c r="A23" s="1177" t="s">
        <v>62</v>
      </c>
      <c r="B23" s="934">
        <v>4.1399999999999997</v>
      </c>
      <c r="C23" s="962" t="s">
        <v>277</v>
      </c>
      <c r="D23" s="955" t="s">
        <v>243</v>
      </c>
      <c r="E23" s="1065">
        <v>8</v>
      </c>
      <c r="F23" s="1315">
        <f>'01 (2)'!H60*'01 (2)'!$T$5</f>
        <v>31913.84026600049</v>
      </c>
      <c r="G23" s="1317">
        <f t="shared" si="1"/>
        <v>145741.15973399952</v>
      </c>
      <c r="H23" s="1062">
        <v>177655</v>
      </c>
      <c r="I23" s="1062">
        <f t="shared" si="2"/>
        <v>255310.72212800392</v>
      </c>
      <c r="J23" s="1062">
        <f t="shared" si="3"/>
        <v>1165929.2778719962</v>
      </c>
      <c r="K23" s="938">
        <f t="shared" si="0"/>
        <v>1421240</v>
      </c>
      <c r="L23" s="1058"/>
      <c r="M23" s="1051"/>
      <c r="N23" s="1063">
        <v>0</v>
      </c>
      <c r="O23" s="1063"/>
      <c r="P23" s="1060">
        <f t="shared" si="4"/>
        <v>0</v>
      </c>
      <c r="Q23" s="933">
        <f t="shared" si="5"/>
        <v>0</v>
      </c>
      <c r="R23" s="933">
        <f t="shared" si="6"/>
        <v>0</v>
      </c>
      <c r="S23" s="933">
        <f t="shared" si="7"/>
        <v>0</v>
      </c>
      <c r="T23" s="933">
        <f t="shared" si="8"/>
        <v>0</v>
      </c>
      <c r="U23" s="933">
        <f t="shared" si="9"/>
        <v>0</v>
      </c>
      <c r="V23" s="933">
        <f t="shared" si="10"/>
        <v>0</v>
      </c>
    </row>
    <row r="24" spans="1:22" ht="12.75" customHeight="1" x14ac:dyDescent="0.3">
      <c r="A24" s="1201"/>
      <c r="B24" s="909">
        <v>5</v>
      </c>
      <c r="C24" s="964" t="s">
        <v>278</v>
      </c>
      <c r="D24" s="916"/>
      <c r="E24" s="917"/>
      <c r="F24" s="917"/>
      <c r="G24" s="917"/>
      <c r="H24" s="917"/>
      <c r="I24" s="917"/>
      <c r="J24" s="917"/>
      <c r="K24" s="917"/>
      <c r="L24" s="918">
        <f>+SUM(K25:K31)</f>
        <v>19239698</v>
      </c>
      <c r="M24" s="1051">
        <f>+L24/$L$195</f>
        <v>2.2773043993022494E-2</v>
      </c>
      <c r="N24" s="1052"/>
      <c r="O24" s="1053"/>
      <c r="P24" s="1053"/>
      <c r="Q24" s="1054"/>
      <c r="R24" s="1054"/>
      <c r="S24" s="1055"/>
      <c r="T24" s="1055"/>
      <c r="U24" s="1055"/>
      <c r="V24" s="1055"/>
    </row>
    <row r="25" spans="1:22" ht="12.75" customHeight="1" x14ac:dyDescent="0.3">
      <c r="A25" s="1177" t="s">
        <v>62</v>
      </c>
      <c r="B25" s="925">
        <v>5.01</v>
      </c>
      <c r="C25" s="926" t="s">
        <v>279</v>
      </c>
      <c r="D25" s="1056" t="s">
        <v>211</v>
      </c>
      <c r="E25" s="1066">
        <v>136</v>
      </c>
      <c r="F25" s="1315">
        <f>'01 (2)'!H62*'01 (2)'!$T$5</f>
        <v>1078.9961612375057</v>
      </c>
      <c r="G25" s="1057">
        <f t="shared" ref="G25:G89" si="11">H25-F25</f>
        <v>5417.0038387624945</v>
      </c>
      <c r="H25" s="1062">
        <v>6496</v>
      </c>
      <c r="I25" s="1062">
        <f t="shared" ref="I25:I31" si="12">E25*F25</f>
        <v>146743.47792830077</v>
      </c>
      <c r="J25" s="1062">
        <f t="shared" ref="J25:J31" si="13">E25*G25</f>
        <v>736712.52207169926</v>
      </c>
      <c r="K25" s="938">
        <f t="shared" si="0"/>
        <v>883456</v>
      </c>
      <c r="L25" s="1058"/>
      <c r="M25" s="1051"/>
      <c r="N25" s="1063">
        <v>0</v>
      </c>
      <c r="O25" s="1063"/>
      <c r="P25" s="1064">
        <f>SUM(N25:O25)</f>
        <v>0</v>
      </c>
      <c r="Q25" s="933">
        <f t="shared" ref="Q25:Q31" si="14">K25*N25</f>
        <v>0</v>
      </c>
      <c r="R25" s="933">
        <f t="shared" ref="R25:R31" si="15">K25*O25</f>
        <v>0</v>
      </c>
      <c r="S25" s="933">
        <f t="shared" ref="S25:S31" si="16">K25*P25</f>
        <v>0</v>
      </c>
      <c r="T25" s="933">
        <f t="shared" ref="T25:T31" si="17">I25*P25</f>
        <v>0</v>
      </c>
      <c r="U25" s="933">
        <f t="shared" ref="U25:U31" si="18">J25*P25</f>
        <v>0</v>
      </c>
      <c r="V25" s="933">
        <f t="shared" ref="V25:V31" si="19">SUM(T25:U25)</f>
        <v>0</v>
      </c>
    </row>
    <row r="26" spans="1:22" ht="12.75" customHeight="1" x14ac:dyDescent="0.3">
      <c r="A26" s="1177" t="s">
        <v>62</v>
      </c>
      <c r="B26" s="934">
        <v>5.0199999999999996</v>
      </c>
      <c r="C26" s="1067" t="s">
        <v>733</v>
      </c>
      <c r="D26" s="945" t="s">
        <v>238</v>
      </c>
      <c r="E26" s="946">
        <v>77</v>
      </c>
      <c r="F26" s="1315">
        <f>'01 (2)'!H63*'01 (2)'!$T$5</f>
        <v>17576.485894784921</v>
      </c>
      <c r="G26" s="1318">
        <f t="shared" si="11"/>
        <v>15693.514105215079</v>
      </c>
      <c r="H26" s="1068">
        <v>33270</v>
      </c>
      <c r="I26" s="1062">
        <f t="shared" si="12"/>
        <v>1353389.4138984389</v>
      </c>
      <c r="J26" s="1062">
        <f t="shared" si="13"/>
        <v>1208400.5861015611</v>
      </c>
      <c r="K26" s="1062">
        <f t="shared" si="0"/>
        <v>2561790</v>
      </c>
      <c r="L26" s="1058"/>
      <c r="M26" s="1051"/>
      <c r="N26" s="1063">
        <v>0</v>
      </c>
      <c r="O26" s="1063"/>
      <c r="P26" s="1064">
        <f t="shared" ref="P26:P31" si="20">SUM(N26:O26)</f>
        <v>0</v>
      </c>
      <c r="Q26" s="933">
        <f t="shared" si="14"/>
        <v>0</v>
      </c>
      <c r="R26" s="933">
        <f t="shared" si="15"/>
        <v>0</v>
      </c>
      <c r="S26" s="933">
        <f t="shared" si="16"/>
        <v>0</v>
      </c>
      <c r="T26" s="933">
        <f t="shared" si="17"/>
        <v>0</v>
      </c>
      <c r="U26" s="933">
        <f t="shared" si="18"/>
        <v>0</v>
      </c>
      <c r="V26" s="933">
        <f t="shared" si="19"/>
        <v>0</v>
      </c>
    </row>
    <row r="27" spans="1:22" ht="12.75" customHeight="1" x14ac:dyDescent="0.3">
      <c r="A27" s="1177" t="s">
        <v>62</v>
      </c>
      <c r="B27" s="934">
        <v>5.03</v>
      </c>
      <c r="C27" s="935" t="s">
        <v>734</v>
      </c>
      <c r="D27" s="945" t="s">
        <v>238</v>
      </c>
      <c r="E27" s="946">
        <v>107</v>
      </c>
      <c r="F27" s="1315">
        <f>'01 (2)'!H64*'01 (2)'!$T$5</f>
        <v>1078.9961612375057</v>
      </c>
      <c r="G27" s="1318">
        <f t="shared" si="11"/>
        <v>5417.0038387624945</v>
      </c>
      <c r="H27" s="1068">
        <v>6496</v>
      </c>
      <c r="I27" s="1062">
        <f t="shared" si="12"/>
        <v>115452.5892524131</v>
      </c>
      <c r="J27" s="1062">
        <f t="shared" si="13"/>
        <v>579619.41074758687</v>
      </c>
      <c r="K27" s="938">
        <f t="shared" si="0"/>
        <v>695072</v>
      </c>
      <c r="L27" s="1058"/>
      <c r="M27" s="1051"/>
      <c r="N27" s="1063">
        <v>0</v>
      </c>
      <c r="O27" s="1063"/>
      <c r="P27" s="1064">
        <f t="shared" si="20"/>
        <v>0</v>
      </c>
      <c r="Q27" s="933">
        <f t="shared" si="14"/>
        <v>0</v>
      </c>
      <c r="R27" s="933">
        <f t="shared" si="15"/>
        <v>0</v>
      </c>
      <c r="S27" s="933">
        <f t="shared" si="16"/>
        <v>0</v>
      </c>
      <c r="T27" s="933">
        <f t="shared" si="17"/>
        <v>0</v>
      </c>
      <c r="U27" s="933">
        <f t="shared" si="18"/>
        <v>0</v>
      </c>
      <c r="V27" s="933">
        <f t="shared" si="19"/>
        <v>0</v>
      </c>
    </row>
    <row r="28" spans="1:22" ht="12.75" customHeight="1" x14ac:dyDescent="0.3">
      <c r="A28" s="1177" t="s">
        <v>62</v>
      </c>
      <c r="B28" s="934">
        <v>5.04</v>
      </c>
      <c r="C28" s="935" t="s">
        <v>282</v>
      </c>
      <c r="D28" s="945" t="s">
        <v>238</v>
      </c>
      <c r="E28" s="946">
        <v>186</v>
      </c>
      <c r="F28" s="1315">
        <f>'01 (2)'!H65*'01 (2)'!$T$5</f>
        <v>4831.670014357037</v>
      </c>
      <c r="G28" s="1318">
        <f t="shared" si="11"/>
        <v>0.32998564296303812</v>
      </c>
      <c r="H28" s="1068">
        <v>4832</v>
      </c>
      <c r="I28" s="1062">
        <f t="shared" si="12"/>
        <v>898690.62267040892</v>
      </c>
      <c r="J28" s="1062">
        <f t="shared" si="13"/>
        <v>61.37732959112509</v>
      </c>
      <c r="K28" s="938">
        <f t="shared" si="0"/>
        <v>898752</v>
      </c>
      <c r="L28" s="1058"/>
      <c r="M28" s="1051"/>
      <c r="N28" s="1063">
        <v>0</v>
      </c>
      <c r="O28" s="1063"/>
      <c r="P28" s="1064">
        <f t="shared" si="20"/>
        <v>0</v>
      </c>
      <c r="Q28" s="933">
        <f t="shared" si="14"/>
        <v>0</v>
      </c>
      <c r="R28" s="933">
        <f t="shared" si="15"/>
        <v>0</v>
      </c>
      <c r="S28" s="933">
        <f t="shared" si="16"/>
        <v>0</v>
      </c>
      <c r="T28" s="933">
        <f t="shared" si="17"/>
        <v>0</v>
      </c>
      <c r="U28" s="933">
        <f t="shared" si="18"/>
        <v>0</v>
      </c>
      <c r="V28" s="933">
        <f t="shared" si="19"/>
        <v>0</v>
      </c>
    </row>
    <row r="29" spans="1:22" ht="12.75" customHeight="1" x14ac:dyDescent="0.3">
      <c r="A29" s="1177" t="s">
        <v>62</v>
      </c>
      <c r="B29" s="934">
        <v>5.05</v>
      </c>
      <c r="C29" s="935" t="s">
        <v>283</v>
      </c>
      <c r="D29" s="945" t="s">
        <v>238</v>
      </c>
      <c r="E29" s="946">
        <v>186</v>
      </c>
      <c r="F29" s="1315">
        <f>'01 (2)'!H66*'01 (2)'!$T$5</f>
        <v>1674.7219820950108</v>
      </c>
      <c r="G29" s="1318">
        <f t="shared" si="11"/>
        <v>2459.2780179049892</v>
      </c>
      <c r="H29" s="1068">
        <v>4134</v>
      </c>
      <c r="I29" s="1062">
        <f t="shared" si="12"/>
        <v>311498.28866967204</v>
      </c>
      <c r="J29" s="1062">
        <f t="shared" si="13"/>
        <v>457425.71133032796</v>
      </c>
      <c r="K29" s="938">
        <f t="shared" si="0"/>
        <v>768924</v>
      </c>
      <c r="L29" s="1058"/>
      <c r="M29" s="1051"/>
      <c r="N29" s="1063">
        <v>1</v>
      </c>
      <c r="O29" s="1063"/>
      <c r="P29" s="1064">
        <f t="shared" si="20"/>
        <v>1</v>
      </c>
      <c r="Q29" s="933">
        <f t="shared" si="14"/>
        <v>768924</v>
      </c>
      <c r="R29" s="933">
        <f t="shared" si="15"/>
        <v>0</v>
      </c>
      <c r="S29" s="933">
        <f t="shared" si="16"/>
        <v>768924</v>
      </c>
      <c r="T29" s="933">
        <f t="shared" si="17"/>
        <v>311498.28866967204</v>
      </c>
      <c r="U29" s="933">
        <f t="shared" si="18"/>
        <v>457425.71133032796</v>
      </c>
      <c r="V29" s="933">
        <f t="shared" si="19"/>
        <v>768924</v>
      </c>
    </row>
    <row r="30" spans="1:22" ht="12.75" customHeight="1" x14ac:dyDescent="0.3">
      <c r="A30" s="1177" t="s">
        <v>62</v>
      </c>
      <c r="B30" s="934">
        <v>5.0599999999999996</v>
      </c>
      <c r="C30" s="935" t="s">
        <v>735</v>
      </c>
      <c r="D30" s="1069" t="s">
        <v>238</v>
      </c>
      <c r="E30" s="946">
        <v>390</v>
      </c>
      <c r="F30" s="1315">
        <f>'01 (2)'!H67*'01 (2)'!$T$5</f>
        <v>15623.543017586595</v>
      </c>
      <c r="G30" s="1318">
        <f t="shared" si="11"/>
        <v>12563.456982413405</v>
      </c>
      <c r="H30" s="1068">
        <v>28187</v>
      </c>
      <c r="I30" s="1062">
        <f t="shared" si="12"/>
        <v>6093181.7768587722</v>
      </c>
      <c r="J30" s="1062">
        <f t="shared" si="13"/>
        <v>4899748.2231412278</v>
      </c>
      <c r="K30" s="938">
        <f t="shared" si="0"/>
        <v>10992930</v>
      </c>
      <c r="L30" s="1070"/>
      <c r="M30" s="1051"/>
      <c r="N30" s="1063">
        <v>0</v>
      </c>
      <c r="O30" s="1063"/>
      <c r="P30" s="1064">
        <f t="shared" si="20"/>
        <v>0</v>
      </c>
      <c r="Q30" s="933">
        <f t="shared" si="14"/>
        <v>0</v>
      </c>
      <c r="R30" s="933">
        <f t="shared" si="15"/>
        <v>0</v>
      </c>
      <c r="S30" s="933">
        <f t="shared" si="16"/>
        <v>0</v>
      </c>
      <c r="T30" s="933">
        <f t="shared" si="17"/>
        <v>0</v>
      </c>
      <c r="U30" s="933">
        <f t="shared" si="18"/>
        <v>0</v>
      </c>
      <c r="V30" s="933">
        <f t="shared" si="19"/>
        <v>0</v>
      </c>
    </row>
    <row r="31" spans="1:22" ht="12.75" customHeight="1" x14ac:dyDescent="0.3">
      <c r="A31" s="1177" t="s">
        <v>62</v>
      </c>
      <c r="B31" s="934">
        <v>5.07</v>
      </c>
      <c r="C31" s="935" t="s">
        <v>285</v>
      </c>
      <c r="D31" s="1069" t="s">
        <v>207</v>
      </c>
      <c r="E31" s="946">
        <v>1</v>
      </c>
      <c r="F31" s="1315">
        <f>'01 (2)'!H68*'01 (2)'!$T$5</f>
        <v>0</v>
      </c>
      <c r="G31" s="1318">
        <f t="shared" si="11"/>
        <v>2438774</v>
      </c>
      <c r="H31" s="1068">
        <v>2438774</v>
      </c>
      <c r="I31" s="1062">
        <f t="shared" si="12"/>
        <v>0</v>
      </c>
      <c r="J31" s="1062">
        <f t="shared" si="13"/>
        <v>2438774</v>
      </c>
      <c r="K31" s="938">
        <f t="shared" si="0"/>
        <v>2438774</v>
      </c>
      <c r="L31" s="1071"/>
      <c r="M31" s="1051"/>
      <c r="N31" s="1063">
        <v>0</v>
      </c>
      <c r="O31" s="1063"/>
      <c r="P31" s="1064">
        <f t="shared" si="20"/>
        <v>0</v>
      </c>
      <c r="Q31" s="933">
        <f t="shared" si="14"/>
        <v>0</v>
      </c>
      <c r="R31" s="933">
        <f t="shared" si="15"/>
        <v>0</v>
      </c>
      <c r="S31" s="933">
        <f t="shared" si="16"/>
        <v>0</v>
      </c>
      <c r="T31" s="933">
        <f t="shared" si="17"/>
        <v>0</v>
      </c>
      <c r="U31" s="933">
        <f t="shared" si="18"/>
        <v>0</v>
      </c>
      <c r="V31" s="933">
        <f t="shared" si="19"/>
        <v>0</v>
      </c>
    </row>
    <row r="32" spans="1:22" ht="12.75" customHeight="1" x14ac:dyDescent="0.3">
      <c r="A32" s="1201"/>
      <c r="B32" s="909">
        <v>6</v>
      </c>
      <c r="C32" s="915" t="s">
        <v>286</v>
      </c>
      <c r="D32" s="916"/>
      <c r="E32" s="917"/>
      <c r="F32" s="917"/>
      <c r="G32" s="917"/>
      <c r="H32" s="917"/>
      <c r="I32" s="917"/>
      <c r="J32" s="917"/>
      <c r="K32" s="917"/>
      <c r="L32" s="918">
        <f>+SUM(K33)</f>
        <v>1722875</v>
      </c>
      <c r="M32" s="1051">
        <f>+L32/$L$195</f>
        <v>2.0392787958251023E-3</v>
      </c>
      <c r="N32" s="1052"/>
      <c r="O32" s="1053"/>
      <c r="P32" s="1053"/>
      <c r="Q32" s="1054"/>
      <c r="R32" s="1054"/>
      <c r="S32" s="1055"/>
      <c r="T32" s="1055"/>
      <c r="U32" s="1055"/>
      <c r="V32" s="1055"/>
    </row>
    <row r="33" spans="1:22" ht="12.75" customHeight="1" x14ac:dyDescent="0.3">
      <c r="A33" s="1177" t="s">
        <v>62</v>
      </c>
      <c r="B33" s="1072">
        <v>6.02</v>
      </c>
      <c r="C33" s="962" t="s">
        <v>287</v>
      </c>
      <c r="D33" s="1073" t="s">
        <v>211</v>
      </c>
      <c r="E33" s="1074">
        <v>55</v>
      </c>
      <c r="F33" s="1315">
        <f>'01 (2)'!H70*'01 (2)'!$T$5</f>
        <v>19854.334381523917</v>
      </c>
      <c r="G33" s="1318">
        <f t="shared" si="11"/>
        <v>11470.665618476083</v>
      </c>
      <c r="H33" s="938">
        <v>31325</v>
      </c>
      <c r="I33" s="1062">
        <f>E33*F33</f>
        <v>1091988.3909838155</v>
      </c>
      <c r="J33" s="1062">
        <f>E33*G33</f>
        <v>630886.60901618458</v>
      </c>
      <c r="K33" s="938">
        <f t="shared" si="0"/>
        <v>1722875</v>
      </c>
      <c r="L33" s="1070"/>
      <c r="M33" s="1051"/>
      <c r="N33" s="1063">
        <v>0</v>
      </c>
      <c r="O33" s="1063"/>
      <c r="P33" s="1064">
        <f>SUM(N33:O33)</f>
        <v>0</v>
      </c>
      <c r="Q33" s="933">
        <f>K33*N33</f>
        <v>0</v>
      </c>
      <c r="R33" s="933">
        <f>K33*O33</f>
        <v>0</v>
      </c>
      <c r="S33" s="933">
        <f>K33*P33</f>
        <v>0</v>
      </c>
      <c r="T33" s="933">
        <f>I33*P33</f>
        <v>0</v>
      </c>
      <c r="U33" s="933">
        <f>J33*P33</f>
        <v>0</v>
      </c>
      <c r="V33" s="933">
        <f>SUM(T33:U33)</f>
        <v>0</v>
      </c>
    </row>
    <row r="34" spans="1:22" ht="12.75" customHeight="1" x14ac:dyDescent="0.3">
      <c r="A34" s="1201"/>
      <c r="B34" s="909">
        <v>7</v>
      </c>
      <c r="C34" s="964" t="s">
        <v>288</v>
      </c>
      <c r="D34" s="916"/>
      <c r="E34" s="917"/>
      <c r="F34" s="917"/>
      <c r="G34" s="917"/>
      <c r="H34" s="917"/>
      <c r="I34" s="917"/>
      <c r="J34" s="917"/>
      <c r="K34" s="917"/>
      <c r="L34" s="918">
        <f>+SUM(K35:K40)</f>
        <v>92324467</v>
      </c>
      <c r="M34" s="1051">
        <f>+L34/$L$195</f>
        <v>0.10927973758337338</v>
      </c>
      <c r="N34" s="1052"/>
      <c r="O34" s="1053"/>
      <c r="P34" s="1053"/>
      <c r="Q34" s="1054"/>
      <c r="R34" s="1054"/>
      <c r="S34" s="1055"/>
      <c r="T34" s="1055"/>
      <c r="U34" s="1055"/>
      <c r="V34" s="1055"/>
    </row>
    <row r="35" spans="1:22" ht="12.75" customHeight="1" x14ac:dyDescent="0.3">
      <c r="A35" s="1177" t="s">
        <v>62</v>
      </c>
      <c r="B35" s="925">
        <v>7.01</v>
      </c>
      <c r="C35" s="1075" t="s">
        <v>289</v>
      </c>
      <c r="D35" s="1056" t="s">
        <v>238</v>
      </c>
      <c r="E35" s="1057">
        <v>879</v>
      </c>
      <c r="F35" s="1315">
        <f>'01 (2)'!H72*'01 (2)'!$T$5</f>
        <v>5343.2062701015047</v>
      </c>
      <c r="G35" s="1318">
        <f t="shared" si="11"/>
        <v>14599.793729898494</v>
      </c>
      <c r="H35" s="929">
        <v>19943</v>
      </c>
      <c r="I35" s="1062">
        <f t="shared" ref="I35:I40" si="21">E35*F35</f>
        <v>4696678.3114192225</v>
      </c>
      <c r="J35" s="1062">
        <f t="shared" ref="J35:J40" si="22">E35*G35</f>
        <v>12833218.688580776</v>
      </c>
      <c r="K35" s="929">
        <f t="shared" si="0"/>
        <v>17529897</v>
      </c>
      <c r="L35" s="1076"/>
      <c r="M35" s="1051"/>
      <c r="N35" s="1063">
        <v>0</v>
      </c>
      <c r="O35" s="1063"/>
      <c r="P35" s="1064">
        <f t="shared" ref="P35:P40" si="23">SUM(N35:O35)</f>
        <v>0</v>
      </c>
      <c r="Q35" s="933">
        <f t="shared" ref="Q35:Q40" si="24">K35*N35</f>
        <v>0</v>
      </c>
      <c r="R35" s="933">
        <f t="shared" ref="R35:R40" si="25">K35*O35</f>
        <v>0</v>
      </c>
      <c r="S35" s="933">
        <f t="shared" ref="S35:S40" si="26">K35*P35</f>
        <v>0</v>
      </c>
      <c r="T35" s="933">
        <f t="shared" ref="T35:T40" si="27">I35*P35</f>
        <v>0</v>
      </c>
      <c r="U35" s="933">
        <f t="shared" ref="U35:U40" si="28">J35*P35</f>
        <v>0</v>
      </c>
      <c r="V35" s="933">
        <f t="shared" ref="V35:V40" si="29">SUM(T35:U35)</f>
        <v>0</v>
      </c>
    </row>
    <row r="36" spans="1:22" ht="12.75" customHeight="1" x14ac:dyDescent="0.3">
      <c r="A36" s="1177" t="s">
        <v>62</v>
      </c>
      <c r="B36" s="934">
        <v>7.02</v>
      </c>
      <c r="C36" s="1077" t="s">
        <v>736</v>
      </c>
      <c r="D36" s="945" t="s">
        <v>238</v>
      </c>
      <c r="E36" s="946">
        <v>716</v>
      </c>
      <c r="F36" s="1315">
        <f>'01 (2)'!H73*'01 (2)'!$T$5</f>
        <v>5343.2062701015047</v>
      </c>
      <c r="G36" s="1318">
        <f t="shared" si="11"/>
        <v>21423.793729898494</v>
      </c>
      <c r="H36" s="938">
        <v>26767</v>
      </c>
      <c r="I36" s="1062">
        <f t="shared" si="21"/>
        <v>3825735.6893926775</v>
      </c>
      <c r="J36" s="1062">
        <f t="shared" si="22"/>
        <v>15339436.310607322</v>
      </c>
      <c r="K36" s="938">
        <f t="shared" si="0"/>
        <v>19165172</v>
      </c>
      <c r="L36" s="1070"/>
      <c r="M36" s="1051"/>
      <c r="N36" s="1063">
        <v>0.4</v>
      </c>
      <c r="O36" s="1063">
        <v>0.15</v>
      </c>
      <c r="P36" s="1064">
        <f t="shared" si="23"/>
        <v>0.55000000000000004</v>
      </c>
      <c r="Q36" s="933">
        <f t="shared" si="24"/>
        <v>7666068.8000000007</v>
      </c>
      <c r="R36" s="933">
        <f t="shared" si="25"/>
        <v>2874775.8</v>
      </c>
      <c r="S36" s="933">
        <f t="shared" si="26"/>
        <v>10540844.600000001</v>
      </c>
      <c r="T36" s="933">
        <f t="shared" si="27"/>
        <v>2104154.6291659726</v>
      </c>
      <c r="U36" s="933">
        <f t="shared" si="28"/>
        <v>8436689.970834028</v>
      </c>
      <c r="V36" s="933">
        <f t="shared" si="29"/>
        <v>10540844.600000001</v>
      </c>
    </row>
    <row r="37" spans="1:22" ht="12.75" customHeight="1" x14ac:dyDescent="0.3">
      <c r="A37" s="1177" t="s">
        <v>62</v>
      </c>
      <c r="B37" s="934">
        <v>7.03</v>
      </c>
      <c r="C37" s="935" t="s">
        <v>291</v>
      </c>
      <c r="D37" s="945" t="s">
        <v>238</v>
      </c>
      <c r="E37" s="946">
        <v>1439</v>
      </c>
      <c r="F37" s="1315">
        <f>'01 (2)'!H74*'01 (2)'!$T$5</f>
        <v>7095.6693399343267</v>
      </c>
      <c r="G37" s="1318">
        <f t="shared" si="11"/>
        <v>15867.330660065672</v>
      </c>
      <c r="H37" s="938">
        <v>22963</v>
      </c>
      <c r="I37" s="1062">
        <f t="shared" si="21"/>
        <v>10210668.180165496</v>
      </c>
      <c r="J37" s="1062">
        <f t="shared" si="22"/>
        <v>22833088.819834504</v>
      </c>
      <c r="K37" s="938">
        <f t="shared" si="0"/>
        <v>33043757</v>
      </c>
      <c r="L37" s="1070"/>
      <c r="M37" s="1051"/>
      <c r="N37" s="1063">
        <v>0.1</v>
      </c>
      <c r="O37" s="1063">
        <v>0.7</v>
      </c>
      <c r="P37" s="1064">
        <f t="shared" si="23"/>
        <v>0.79999999999999993</v>
      </c>
      <c r="Q37" s="933">
        <f t="shared" si="24"/>
        <v>3304375.7</v>
      </c>
      <c r="R37" s="933">
        <f t="shared" si="25"/>
        <v>23130629.899999999</v>
      </c>
      <c r="S37" s="933">
        <f t="shared" si="26"/>
        <v>26435005.599999998</v>
      </c>
      <c r="T37" s="933">
        <f t="shared" si="27"/>
        <v>8168534.5441323956</v>
      </c>
      <c r="U37" s="933">
        <f t="shared" si="28"/>
        <v>18266471.055867601</v>
      </c>
      <c r="V37" s="933">
        <f t="shared" si="29"/>
        <v>26435005.599999998</v>
      </c>
    </row>
    <row r="38" spans="1:22" ht="12.75" customHeight="1" x14ac:dyDescent="0.3">
      <c r="A38" s="1177" t="s">
        <v>62</v>
      </c>
      <c r="B38" s="1072">
        <v>7.04</v>
      </c>
      <c r="C38" s="1078" t="s">
        <v>292</v>
      </c>
      <c r="D38" s="945" t="s">
        <v>211</v>
      </c>
      <c r="E38" s="946">
        <v>347</v>
      </c>
      <c r="F38" s="1315">
        <f>'01 (2)'!H75*'01 (2)'!$T$5</f>
        <v>0</v>
      </c>
      <c r="G38" s="1318">
        <f t="shared" si="11"/>
        <v>16909</v>
      </c>
      <c r="H38" s="938">
        <v>16909</v>
      </c>
      <c r="I38" s="1062">
        <f t="shared" si="21"/>
        <v>0</v>
      </c>
      <c r="J38" s="1062">
        <f t="shared" si="22"/>
        <v>5867423</v>
      </c>
      <c r="K38" s="938">
        <f t="shared" si="0"/>
        <v>5867423</v>
      </c>
      <c r="L38" s="1070"/>
      <c r="M38" s="1051"/>
      <c r="N38" s="1063">
        <v>0.1</v>
      </c>
      <c r="O38" s="1063">
        <v>0.7</v>
      </c>
      <c r="P38" s="1064">
        <f t="shared" si="23"/>
        <v>0.79999999999999993</v>
      </c>
      <c r="Q38" s="933">
        <f t="shared" si="24"/>
        <v>586742.30000000005</v>
      </c>
      <c r="R38" s="933">
        <f t="shared" si="25"/>
        <v>4107196.0999999996</v>
      </c>
      <c r="S38" s="933">
        <f t="shared" si="26"/>
        <v>4693938.3999999994</v>
      </c>
      <c r="T38" s="933">
        <f t="shared" si="27"/>
        <v>0</v>
      </c>
      <c r="U38" s="933">
        <f t="shared" si="28"/>
        <v>4693938.3999999994</v>
      </c>
      <c r="V38" s="933">
        <f t="shared" si="29"/>
        <v>4693938.3999999994</v>
      </c>
    </row>
    <row r="39" spans="1:22" ht="12.75" customHeight="1" x14ac:dyDescent="0.3">
      <c r="A39" s="1177" t="s">
        <v>62</v>
      </c>
      <c r="B39" s="934">
        <v>7.05</v>
      </c>
      <c r="C39" s="1078" t="s">
        <v>293</v>
      </c>
      <c r="D39" s="945" t="s">
        <v>294</v>
      </c>
      <c r="E39" s="946">
        <v>132</v>
      </c>
      <c r="F39" s="1315">
        <f>'01 (2)'!H76*'01 (2)'!$T$5</f>
        <v>1555.6574891962473</v>
      </c>
      <c r="G39" s="1318">
        <f t="shared" si="11"/>
        <v>17828.342510803752</v>
      </c>
      <c r="H39" s="938">
        <v>19384</v>
      </c>
      <c r="I39" s="1062">
        <f t="shared" si="21"/>
        <v>205346.78857390463</v>
      </c>
      <c r="J39" s="1062">
        <f t="shared" si="22"/>
        <v>2353341.2114260951</v>
      </c>
      <c r="K39" s="938">
        <f t="shared" si="0"/>
        <v>2558688</v>
      </c>
      <c r="L39" s="1070"/>
      <c r="M39" s="1051"/>
      <c r="N39" s="1063">
        <v>0.1</v>
      </c>
      <c r="O39" s="1063">
        <v>0.7</v>
      </c>
      <c r="P39" s="1064">
        <f t="shared" si="23"/>
        <v>0.79999999999999993</v>
      </c>
      <c r="Q39" s="933">
        <f t="shared" si="24"/>
        <v>255868.80000000002</v>
      </c>
      <c r="R39" s="933">
        <f t="shared" si="25"/>
        <v>1791081.5999999999</v>
      </c>
      <c r="S39" s="933">
        <f t="shared" si="26"/>
        <v>2046950.3999999999</v>
      </c>
      <c r="T39" s="933">
        <f t="shared" si="27"/>
        <v>164277.43085912371</v>
      </c>
      <c r="U39" s="933">
        <f t="shared" si="28"/>
        <v>1882672.9691408759</v>
      </c>
      <c r="V39" s="933">
        <f t="shared" si="29"/>
        <v>2046950.3999999994</v>
      </c>
    </row>
    <row r="40" spans="1:22" ht="12.75" customHeight="1" x14ac:dyDescent="0.3">
      <c r="A40" s="1177" t="s">
        <v>62</v>
      </c>
      <c r="B40" s="1072">
        <v>7.06</v>
      </c>
      <c r="C40" s="935" t="s">
        <v>295</v>
      </c>
      <c r="D40" s="945" t="s">
        <v>238</v>
      </c>
      <c r="E40" s="946">
        <v>710</v>
      </c>
      <c r="F40" s="1315">
        <f>'01 (2)'!H77*'01 (2)'!$T$5</f>
        <v>5343.2062701015047</v>
      </c>
      <c r="G40" s="1318">
        <f t="shared" si="11"/>
        <v>14599.793729898494</v>
      </c>
      <c r="H40" s="938">
        <v>19943</v>
      </c>
      <c r="I40" s="1062">
        <f t="shared" si="21"/>
        <v>3793676.4517720682</v>
      </c>
      <c r="J40" s="1062">
        <f t="shared" si="22"/>
        <v>10365853.54822793</v>
      </c>
      <c r="K40" s="938">
        <f t="shared" si="0"/>
        <v>14159530</v>
      </c>
      <c r="L40" s="1070"/>
      <c r="M40" s="1051"/>
      <c r="N40" s="1063">
        <v>0.05</v>
      </c>
      <c r="O40" s="1063">
        <v>0.2</v>
      </c>
      <c r="P40" s="1064">
        <f t="shared" si="23"/>
        <v>0.25</v>
      </c>
      <c r="Q40" s="933">
        <f t="shared" si="24"/>
        <v>707976.5</v>
      </c>
      <c r="R40" s="933">
        <f t="shared" si="25"/>
        <v>2831906</v>
      </c>
      <c r="S40" s="933">
        <f t="shared" si="26"/>
        <v>3539882.5</v>
      </c>
      <c r="T40" s="933">
        <f t="shared" si="27"/>
        <v>948419.11294301704</v>
      </c>
      <c r="U40" s="933">
        <f t="shared" si="28"/>
        <v>2591463.3870569826</v>
      </c>
      <c r="V40" s="933">
        <f t="shared" si="29"/>
        <v>3539882.4999999995</v>
      </c>
    </row>
    <row r="41" spans="1:22" ht="12.75" customHeight="1" x14ac:dyDescent="0.3">
      <c r="A41" s="1201"/>
      <c r="B41" s="909">
        <v>8</v>
      </c>
      <c r="C41" s="915" t="s">
        <v>296</v>
      </c>
      <c r="D41" s="916"/>
      <c r="E41" s="917"/>
      <c r="F41" s="917"/>
      <c r="G41" s="917"/>
      <c r="H41" s="917"/>
      <c r="I41" s="917"/>
      <c r="J41" s="917"/>
      <c r="K41" s="917"/>
      <c r="L41" s="918">
        <f>+SUM(K42:K49)</f>
        <v>49520833</v>
      </c>
      <c r="M41" s="1051">
        <f>+L41/$L$195</f>
        <v>5.8615270805192479E-2</v>
      </c>
      <c r="N41" s="1052"/>
      <c r="O41" s="1053"/>
      <c r="P41" s="1053"/>
      <c r="Q41" s="1054"/>
      <c r="R41" s="1054"/>
      <c r="S41" s="1055"/>
      <c r="T41" s="1055"/>
      <c r="U41" s="1055"/>
      <c r="V41" s="1055"/>
    </row>
    <row r="42" spans="1:22" ht="12.75" customHeight="1" x14ac:dyDescent="0.3">
      <c r="A42" s="1177" t="s">
        <v>62</v>
      </c>
      <c r="B42" s="925">
        <v>8.01</v>
      </c>
      <c r="C42" s="926" t="s">
        <v>297</v>
      </c>
      <c r="D42" s="1056" t="s">
        <v>238</v>
      </c>
      <c r="E42" s="1057">
        <v>107</v>
      </c>
      <c r="F42" s="1315">
        <f>'01 (2)'!H79*'01 (2)'!$T$5</f>
        <v>41234.595713093258</v>
      </c>
      <c r="G42" s="1318">
        <f t="shared" si="11"/>
        <v>17345.404286906742</v>
      </c>
      <c r="H42" s="1062">
        <v>58580</v>
      </c>
      <c r="I42" s="1062">
        <f t="shared" ref="I42:I49" si="30">E42*F42</f>
        <v>4412101.7413009787</v>
      </c>
      <c r="J42" s="1062">
        <f t="shared" ref="J42:J49" si="31">E42*G42</f>
        <v>1855958.2586990213</v>
      </c>
      <c r="K42" s="1062">
        <f t="shared" si="0"/>
        <v>6268060</v>
      </c>
      <c r="L42" s="1058"/>
      <c r="M42" s="1051"/>
      <c r="N42" s="1063">
        <v>0</v>
      </c>
      <c r="O42" s="1063"/>
      <c r="P42" s="1064">
        <f t="shared" ref="P42:P49" si="32">SUM(N42:O42)</f>
        <v>0</v>
      </c>
      <c r="Q42" s="933">
        <f t="shared" ref="Q42:Q49" si="33">K42*N42</f>
        <v>0</v>
      </c>
      <c r="R42" s="933">
        <f t="shared" ref="R42:R49" si="34">K42*O42</f>
        <v>0</v>
      </c>
      <c r="S42" s="933">
        <f t="shared" ref="S42:S49" si="35">K42*P42</f>
        <v>0</v>
      </c>
      <c r="T42" s="933">
        <f t="shared" ref="T42:T49" si="36">I42*P42</f>
        <v>0</v>
      </c>
      <c r="U42" s="933">
        <f t="shared" ref="U42:U49" si="37">J42*P42</f>
        <v>0</v>
      </c>
      <c r="V42" s="933">
        <f t="shared" ref="V42:V49" si="38">SUM(T42:U42)</f>
        <v>0</v>
      </c>
    </row>
    <row r="43" spans="1:22" ht="12.75" customHeight="1" x14ac:dyDescent="0.3">
      <c r="A43" s="1177" t="s">
        <v>62</v>
      </c>
      <c r="B43" s="1079">
        <v>8.02</v>
      </c>
      <c r="C43" s="1080" t="s">
        <v>298</v>
      </c>
      <c r="D43" s="1081" t="s">
        <v>238</v>
      </c>
      <c r="E43" s="952">
        <v>258</v>
      </c>
      <c r="F43" s="1319">
        <f>'01 (2)'!H80*'01 (2)'!$T$5</f>
        <v>29375.015079304198</v>
      </c>
      <c r="G43" s="1318">
        <f t="shared" si="11"/>
        <v>9353.9849206958024</v>
      </c>
      <c r="H43" s="1062">
        <v>38729</v>
      </c>
      <c r="I43" s="1062">
        <f t="shared" si="30"/>
        <v>7578753.8904604828</v>
      </c>
      <c r="J43" s="1062">
        <f t="shared" si="31"/>
        <v>2413328.1095395172</v>
      </c>
      <c r="K43" s="1062">
        <f t="shared" si="0"/>
        <v>9992082</v>
      </c>
      <c r="L43" s="1058"/>
      <c r="M43" s="1051"/>
      <c r="N43" s="1063">
        <v>0</v>
      </c>
      <c r="O43" s="1063"/>
      <c r="P43" s="1064">
        <f t="shared" si="32"/>
        <v>0</v>
      </c>
      <c r="Q43" s="933">
        <f t="shared" si="33"/>
        <v>0</v>
      </c>
      <c r="R43" s="933">
        <f t="shared" si="34"/>
        <v>0</v>
      </c>
      <c r="S43" s="933">
        <f t="shared" si="35"/>
        <v>0</v>
      </c>
      <c r="T43" s="933">
        <f t="shared" si="36"/>
        <v>0</v>
      </c>
      <c r="U43" s="933">
        <f t="shared" si="37"/>
        <v>0</v>
      </c>
      <c r="V43" s="933">
        <f t="shared" si="38"/>
        <v>0</v>
      </c>
    </row>
    <row r="44" spans="1:22" ht="12.75" customHeight="1" x14ac:dyDescent="0.3">
      <c r="A44" s="1177" t="s">
        <v>62</v>
      </c>
      <c r="B44" s="934">
        <v>8.0299999999999994</v>
      </c>
      <c r="C44" s="935" t="s">
        <v>299</v>
      </c>
      <c r="D44" s="945" t="s">
        <v>238</v>
      </c>
      <c r="E44" s="946">
        <v>425</v>
      </c>
      <c r="F44" s="1315">
        <f>'01 (2)'!H81*'01 (2)'!$T$5</f>
        <v>9286.4855326197103</v>
      </c>
      <c r="G44" s="1318">
        <f t="shared" si="11"/>
        <v>13656.51446738029</v>
      </c>
      <c r="H44" s="1062">
        <v>22943</v>
      </c>
      <c r="I44" s="1062">
        <f t="shared" si="30"/>
        <v>3946756.3513633767</v>
      </c>
      <c r="J44" s="1062">
        <f t="shared" si="31"/>
        <v>5804018.6486366233</v>
      </c>
      <c r="K44" s="1062">
        <f t="shared" si="0"/>
        <v>9750775</v>
      </c>
      <c r="L44" s="1058"/>
      <c r="M44" s="1051"/>
      <c r="N44" s="1063">
        <v>0</v>
      </c>
      <c r="O44" s="1063"/>
      <c r="P44" s="1064">
        <f t="shared" si="32"/>
        <v>0</v>
      </c>
      <c r="Q44" s="933">
        <f t="shared" si="33"/>
        <v>0</v>
      </c>
      <c r="R44" s="933">
        <f t="shared" si="34"/>
        <v>0</v>
      </c>
      <c r="S44" s="933">
        <f t="shared" si="35"/>
        <v>0</v>
      </c>
      <c r="T44" s="933">
        <f t="shared" si="36"/>
        <v>0</v>
      </c>
      <c r="U44" s="933">
        <f t="shared" si="37"/>
        <v>0</v>
      </c>
      <c r="V44" s="933">
        <f t="shared" si="38"/>
        <v>0</v>
      </c>
    </row>
    <row r="45" spans="1:22" ht="12.75" customHeight="1" x14ac:dyDescent="0.3">
      <c r="A45" s="1177" t="s">
        <v>62</v>
      </c>
      <c r="B45" s="1079">
        <v>8.0399999999999991</v>
      </c>
      <c r="C45" s="935" t="s">
        <v>300</v>
      </c>
      <c r="D45" s="945" t="s">
        <v>238</v>
      </c>
      <c r="E45" s="946">
        <v>200</v>
      </c>
      <c r="F45" s="1315">
        <f>'01 (2)'!H82*'01 (2)'!$T$5</f>
        <v>32611.107142055716</v>
      </c>
      <c r="G45" s="1318">
        <f t="shared" si="11"/>
        <v>7743.8928579442836</v>
      </c>
      <c r="H45" s="1062">
        <v>40355</v>
      </c>
      <c r="I45" s="1062">
        <f t="shared" si="30"/>
        <v>6522221.4284111429</v>
      </c>
      <c r="J45" s="1062">
        <f t="shared" si="31"/>
        <v>1548778.5715888566</v>
      </c>
      <c r="K45" s="1062">
        <f t="shared" si="0"/>
        <v>8071000</v>
      </c>
      <c r="L45" s="1058"/>
      <c r="M45" s="1051"/>
      <c r="N45" s="1063">
        <v>0</v>
      </c>
      <c r="O45" s="1063"/>
      <c r="P45" s="1064">
        <f t="shared" si="32"/>
        <v>0</v>
      </c>
      <c r="Q45" s="933">
        <f t="shared" si="33"/>
        <v>0</v>
      </c>
      <c r="R45" s="933">
        <f t="shared" si="34"/>
        <v>0</v>
      </c>
      <c r="S45" s="933">
        <f t="shared" si="35"/>
        <v>0</v>
      </c>
      <c r="T45" s="933">
        <f t="shared" si="36"/>
        <v>0</v>
      </c>
      <c r="U45" s="933">
        <f t="shared" si="37"/>
        <v>0</v>
      </c>
      <c r="V45" s="933">
        <f t="shared" si="38"/>
        <v>0</v>
      </c>
    </row>
    <row r="46" spans="1:22" ht="12.75" customHeight="1" x14ac:dyDescent="0.3">
      <c r="A46" s="1177" t="s">
        <v>62</v>
      </c>
      <c r="B46" s="934">
        <v>8.0500000000000007</v>
      </c>
      <c r="C46" s="935" t="s">
        <v>737</v>
      </c>
      <c r="D46" s="945" t="s">
        <v>238</v>
      </c>
      <c r="E46" s="946">
        <v>77</v>
      </c>
      <c r="F46" s="1315">
        <f>'01 (2)'!H83*'01 (2)'!$T$5</f>
        <v>10973.623633656098</v>
      </c>
      <c r="G46" s="1318">
        <f t="shared" si="11"/>
        <v>20541.376366343902</v>
      </c>
      <c r="H46" s="1062">
        <v>31515</v>
      </c>
      <c r="I46" s="1062">
        <f t="shared" si="30"/>
        <v>844969.0197915195</v>
      </c>
      <c r="J46" s="1062">
        <f t="shared" si="31"/>
        <v>1581685.9802084805</v>
      </c>
      <c r="K46" s="1062">
        <f t="shared" si="0"/>
        <v>2426655</v>
      </c>
      <c r="L46" s="1058"/>
      <c r="M46" s="1051"/>
      <c r="N46" s="1063">
        <v>0</v>
      </c>
      <c r="O46" s="1063"/>
      <c r="P46" s="1064">
        <f t="shared" si="32"/>
        <v>0</v>
      </c>
      <c r="Q46" s="933">
        <f t="shared" si="33"/>
        <v>0</v>
      </c>
      <c r="R46" s="933">
        <f t="shared" si="34"/>
        <v>0</v>
      </c>
      <c r="S46" s="933">
        <f t="shared" si="35"/>
        <v>0</v>
      </c>
      <c r="T46" s="933">
        <f t="shared" si="36"/>
        <v>0</v>
      </c>
      <c r="U46" s="933">
        <f t="shared" si="37"/>
        <v>0</v>
      </c>
      <c r="V46" s="933">
        <f t="shared" si="38"/>
        <v>0</v>
      </c>
    </row>
    <row r="47" spans="1:22" ht="12.75" customHeight="1" x14ac:dyDescent="0.3">
      <c r="A47" s="1177" t="s">
        <v>62</v>
      </c>
      <c r="B47" s="1079">
        <v>8.06</v>
      </c>
      <c r="C47" s="935" t="s">
        <v>738</v>
      </c>
      <c r="D47" s="945" t="s">
        <v>238</v>
      </c>
      <c r="E47" s="946">
        <v>77</v>
      </c>
      <c r="F47" s="1315">
        <f>'01 (2)'!H84*'01 (2)'!$T$5</f>
        <v>9849.9099101567354</v>
      </c>
      <c r="G47" s="1318">
        <f t="shared" si="11"/>
        <v>9833.0900898432646</v>
      </c>
      <c r="H47" s="1062">
        <v>19683</v>
      </c>
      <c r="I47" s="1062">
        <f t="shared" si="30"/>
        <v>758443.06308206858</v>
      </c>
      <c r="J47" s="1062">
        <f t="shared" si="31"/>
        <v>757147.93691793142</v>
      </c>
      <c r="K47" s="1062">
        <f t="shared" si="0"/>
        <v>1515591</v>
      </c>
      <c r="L47" s="1058"/>
      <c r="M47" s="1051"/>
      <c r="N47" s="1063">
        <v>0</v>
      </c>
      <c r="O47" s="1063"/>
      <c r="P47" s="1064">
        <f t="shared" si="32"/>
        <v>0</v>
      </c>
      <c r="Q47" s="933">
        <f t="shared" si="33"/>
        <v>0</v>
      </c>
      <c r="R47" s="933">
        <f t="shared" si="34"/>
        <v>0</v>
      </c>
      <c r="S47" s="933">
        <f t="shared" si="35"/>
        <v>0</v>
      </c>
      <c r="T47" s="933">
        <f t="shared" si="36"/>
        <v>0</v>
      </c>
      <c r="U47" s="933">
        <f t="shared" si="37"/>
        <v>0</v>
      </c>
      <c r="V47" s="933">
        <f t="shared" si="38"/>
        <v>0</v>
      </c>
    </row>
    <row r="48" spans="1:22" ht="12.75" customHeight="1" x14ac:dyDescent="0.3">
      <c r="A48" s="1177" t="s">
        <v>62</v>
      </c>
      <c r="B48" s="934">
        <v>8.07</v>
      </c>
      <c r="C48" s="935" t="s">
        <v>303</v>
      </c>
      <c r="D48" s="945" t="s">
        <v>238</v>
      </c>
      <c r="E48" s="946">
        <v>442</v>
      </c>
      <c r="F48" s="1315">
        <f>'01 (2)'!H85*'01 (2)'!$T$5</f>
        <v>3621.7105831021031</v>
      </c>
      <c r="G48" s="1318">
        <f t="shared" si="11"/>
        <v>10713.289416897896</v>
      </c>
      <c r="H48" s="1062">
        <v>14335</v>
      </c>
      <c r="I48" s="1062">
        <f t="shared" si="30"/>
        <v>1600796.0777311295</v>
      </c>
      <c r="J48" s="1062">
        <f t="shared" si="31"/>
        <v>4735273.9222688703</v>
      </c>
      <c r="K48" s="1062">
        <f t="shared" si="0"/>
        <v>6336070</v>
      </c>
      <c r="L48" s="1058"/>
      <c r="M48" s="1051"/>
      <c r="N48" s="1063">
        <v>0</v>
      </c>
      <c r="O48" s="1063"/>
      <c r="P48" s="1064">
        <f t="shared" si="32"/>
        <v>0</v>
      </c>
      <c r="Q48" s="933">
        <f t="shared" si="33"/>
        <v>0</v>
      </c>
      <c r="R48" s="933">
        <f t="shared" si="34"/>
        <v>0</v>
      </c>
      <c r="S48" s="933">
        <f t="shared" si="35"/>
        <v>0</v>
      </c>
      <c r="T48" s="933">
        <f t="shared" si="36"/>
        <v>0</v>
      </c>
      <c r="U48" s="933">
        <f t="shared" si="37"/>
        <v>0</v>
      </c>
      <c r="V48" s="933">
        <f t="shared" si="38"/>
        <v>0</v>
      </c>
    </row>
    <row r="49" spans="1:22" ht="12.75" customHeight="1" x14ac:dyDescent="0.3">
      <c r="A49" s="1177" t="s">
        <v>62</v>
      </c>
      <c r="B49" s="1079">
        <v>8.08</v>
      </c>
      <c r="C49" s="935" t="s">
        <v>304</v>
      </c>
      <c r="D49" s="945" t="s">
        <v>238</v>
      </c>
      <c r="E49" s="946">
        <v>360</v>
      </c>
      <c r="F49" s="1315">
        <f>'01 (2)'!H86*'01 (2)'!$T$5</f>
        <v>3621.7105831021031</v>
      </c>
      <c r="G49" s="1318">
        <f t="shared" si="11"/>
        <v>10713.289416897896</v>
      </c>
      <c r="H49" s="1062">
        <v>14335</v>
      </c>
      <c r="I49" s="1062">
        <f t="shared" si="30"/>
        <v>1303815.809916757</v>
      </c>
      <c r="J49" s="1062">
        <f t="shared" si="31"/>
        <v>3856784.190083243</v>
      </c>
      <c r="K49" s="1062">
        <f t="shared" si="0"/>
        <v>5160600</v>
      </c>
      <c r="L49" s="1058"/>
      <c r="M49" s="1051"/>
      <c r="N49" s="1063">
        <v>0</v>
      </c>
      <c r="O49" s="1063"/>
      <c r="P49" s="1064">
        <f t="shared" si="32"/>
        <v>0</v>
      </c>
      <c r="Q49" s="933">
        <f t="shared" si="33"/>
        <v>0</v>
      </c>
      <c r="R49" s="933">
        <f t="shared" si="34"/>
        <v>0</v>
      </c>
      <c r="S49" s="933">
        <f t="shared" si="35"/>
        <v>0</v>
      </c>
      <c r="T49" s="933">
        <f t="shared" si="36"/>
        <v>0</v>
      </c>
      <c r="U49" s="933">
        <f t="shared" si="37"/>
        <v>0</v>
      </c>
      <c r="V49" s="933">
        <f t="shared" si="38"/>
        <v>0</v>
      </c>
    </row>
    <row r="50" spans="1:22" ht="12.75" customHeight="1" x14ac:dyDescent="0.3">
      <c r="A50" s="1201"/>
      <c r="B50" s="909">
        <v>9</v>
      </c>
      <c r="C50" s="915" t="s">
        <v>305</v>
      </c>
      <c r="D50" s="916"/>
      <c r="E50" s="917"/>
      <c r="F50" s="917"/>
      <c r="G50" s="917"/>
      <c r="H50" s="917"/>
      <c r="I50" s="917"/>
      <c r="J50" s="917"/>
      <c r="K50" s="917"/>
      <c r="L50" s="918">
        <f>+SUM(K51:K53)</f>
        <v>4852846</v>
      </c>
      <c r="M50" s="1051">
        <f>+L50/$L$195</f>
        <v>5.7440649769743392E-3</v>
      </c>
      <c r="N50" s="1052"/>
      <c r="O50" s="1053"/>
      <c r="P50" s="1053"/>
      <c r="Q50" s="1054"/>
      <c r="R50" s="1054"/>
      <c r="S50" s="1055"/>
      <c r="T50" s="1055"/>
      <c r="U50" s="1055"/>
      <c r="V50" s="1055"/>
    </row>
    <row r="51" spans="1:22" ht="12.75" customHeight="1" x14ac:dyDescent="0.3">
      <c r="A51" s="1177" t="s">
        <v>62</v>
      </c>
      <c r="B51" s="925">
        <v>9.01</v>
      </c>
      <c r="C51" s="926" t="s">
        <v>306</v>
      </c>
      <c r="D51" s="1082" t="s">
        <v>207</v>
      </c>
      <c r="E51" s="1057">
        <v>1</v>
      </c>
      <c r="F51" s="1315">
        <f>'01 (2)'!H88*'01 (2)'!$T$5</f>
        <v>241430.21317619082</v>
      </c>
      <c r="G51" s="1318">
        <f t="shared" si="11"/>
        <v>1867879.7868238091</v>
      </c>
      <c r="H51" s="938">
        <v>2109310</v>
      </c>
      <c r="I51" s="1062">
        <f t="shared" ref="I51:I53" si="39">E51*F51</f>
        <v>241430.21317619082</v>
      </c>
      <c r="J51" s="1062">
        <f t="shared" ref="J51:J53" si="40">E51*G51</f>
        <v>1867879.7868238091</v>
      </c>
      <c r="K51" s="938">
        <f t="shared" si="0"/>
        <v>2109310</v>
      </c>
      <c r="L51" s="1071"/>
      <c r="M51" s="1051"/>
      <c r="N51" s="1063">
        <v>0</v>
      </c>
      <c r="O51" s="1063"/>
      <c r="P51" s="1064">
        <f t="shared" ref="P51:P53" si="41">SUM(N51:O51)</f>
        <v>0</v>
      </c>
      <c r="Q51" s="933">
        <f t="shared" ref="Q51:Q53" si="42">K51*N51</f>
        <v>0</v>
      </c>
      <c r="R51" s="933">
        <f t="shared" ref="R51:R53" si="43">K51*O51</f>
        <v>0</v>
      </c>
      <c r="S51" s="933">
        <f>K51*P51</f>
        <v>0</v>
      </c>
      <c r="T51" s="933">
        <f t="shared" ref="T51:T53" si="44">I51*P51</f>
        <v>0</v>
      </c>
      <c r="U51" s="933">
        <f t="shared" ref="U51:U53" si="45">J51*P51</f>
        <v>0</v>
      </c>
      <c r="V51" s="933">
        <f t="shared" ref="V51:V53" si="46">SUM(T51:U51)</f>
        <v>0</v>
      </c>
    </row>
    <row r="52" spans="1:22" ht="12.75" customHeight="1" x14ac:dyDescent="0.3">
      <c r="A52" s="1177" t="s">
        <v>62</v>
      </c>
      <c r="B52" s="934">
        <v>9.02</v>
      </c>
      <c r="C52" s="935" t="s">
        <v>307</v>
      </c>
      <c r="D52" s="1083" t="s">
        <v>294</v>
      </c>
      <c r="E52" s="946">
        <v>81</v>
      </c>
      <c r="F52" s="946">
        <f>'01 (2)'!H89*'01 (2)'!$T$5</f>
        <v>3455.7320313009845</v>
      </c>
      <c r="G52" s="1318">
        <f t="shared" si="11"/>
        <v>24566.267968699016</v>
      </c>
      <c r="H52" s="938">
        <v>28022</v>
      </c>
      <c r="I52" s="1062">
        <f t="shared" si="39"/>
        <v>279914.29453537974</v>
      </c>
      <c r="J52" s="1062">
        <f t="shared" si="40"/>
        <v>1989867.7054646204</v>
      </c>
      <c r="K52" s="938">
        <f t="shared" si="0"/>
        <v>2269782</v>
      </c>
      <c r="L52" s="1071"/>
      <c r="M52" s="1084"/>
      <c r="N52" s="1063">
        <v>0</v>
      </c>
      <c r="O52" s="1063"/>
      <c r="P52" s="1064">
        <f t="shared" si="41"/>
        <v>0</v>
      </c>
      <c r="Q52" s="933">
        <f t="shared" si="42"/>
        <v>0</v>
      </c>
      <c r="R52" s="933">
        <f t="shared" si="43"/>
        <v>0</v>
      </c>
      <c r="S52" s="933">
        <f>K52*P52</f>
        <v>0</v>
      </c>
      <c r="T52" s="933">
        <f t="shared" si="44"/>
        <v>0</v>
      </c>
      <c r="U52" s="933">
        <f t="shared" si="45"/>
        <v>0</v>
      </c>
      <c r="V52" s="933">
        <f t="shared" si="46"/>
        <v>0</v>
      </c>
    </row>
    <row r="53" spans="1:22" ht="12.75" customHeight="1" x14ac:dyDescent="0.3">
      <c r="A53" s="1177" t="s">
        <v>62</v>
      </c>
      <c r="B53" s="953">
        <v>9.0299999999999994</v>
      </c>
      <c r="C53" s="962" t="s">
        <v>308</v>
      </c>
      <c r="D53" s="1085" t="s">
        <v>211</v>
      </c>
      <c r="E53" s="956">
        <v>46</v>
      </c>
      <c r="F53" s="952">
        <f>'01 (2)'!H90*'01 (2)'!$T$5</f>
        <v>812.89634066057499</v>
      </c>
      <c r="G53" s="1318">
        <f t="shared" si="11"/>
        <v>9486.1036593394256</v>
      </c>
      <c r="H53" s="938">
        <v>10299</v>
      </c>
      <c r="I53" s="1062">
        <f t="shared" si="39"/>
        <v>37393.231670386449</v>
      </c>
      <c r="J53" s="1062">
        <f t="shared" si="40"/>
        <v>436360.76832961355</v>
      </c>
      <c r="K53" s="938">
        <f t="shared" si="0"/>
        <v>473754</v>
      </c>
      <c r="L53" s="1071"/>
      <c r="M53" s="1084"/>
      <c r="N53" s="1063">
        <v>0</v>
      </c>
      <c r="O53" s="1063"/>
      <c r="P53" s="1064">
        <f t="shared" si="41"/>
        <v>0</v>
      </c>
      <c r="Q53" s="933">
        <f t="shared" si="42"/>
        <v>0</v>
      </c>
      <c r="R53" s="933">
        <f t="shared" si="43"/>
        <v>0</v>
      </c>
      <c r="S53" s="933">
        <f>K53*P53</f>
        <v>0</v>
      </c>
      <c r="T53" s="933">
        <f t="shared" si="44"/>
        <v>0</v>
      </c>
      <c r="U53" s="933">
        <f t="shared" si="45"/>
        <v>0</v>
      </c>
      <c r="V53" s="933">
        <f t="shared" si="46"/>
        <v>0</v>
      </c>
    </row>
    <row r="54" spans="1:22" ht="12.75" customHeight="1" x14ac:dyDescent="0.3">
      <c r="A54" s="1201"/>
      <c r="B54" s="909">
        <v>10</v>
      </c>
      <c r="C54" s="964" t="s">
        <v>309</v>
      </c>
      <c r="D54" s="916"/>
      <c r="E54" s="917"/>
      <c r="F54" s="917"/>
      <c r="G54" s="917"/>
      <c r="H54" s="917"/>
      <c r="I54" s="917"/>
      <c r="J54" s="917"/>
      <c r="K54" s="917"/>
      <c r="L54" s="918">
        <f>+SUM(K55:K58)</f>
        <v>4184652</v>
      </c>
      <c r="M54" s="1051">
        <f>+L54/$L$195</f>
        <v>4.9531580013100814E-3</v>
      </c>
      <c r="N54" s="1052"/>
      <c r="O54" s="1053"/>
      <c r="P54" s="1053"/>
      <c r="Q54" s="1054"/>
      <c r="R54" s="1054"/>
      <c r="S54" s="1055"/>
      <c r="T54" s="1055"/>
      <c r="U54" s="1055"/>
      <c r="V54" s="1055"/>
    </row>
    <row r="55" spans="1:22" ht="12.75" customHeight="1" x14ac:dyDescent="0.3">
      <c r="A55" s="1177" t="s">
        <v>62</v>
      </c>
      <c r="B55" s="934">
        <v>10.01</v>
      </c>
      <c r="C55" s="935" t="s">
        <v>739</v>
      </c>
      <c r="D55" s="1086" t="s">
        <v>207</v>
      </c>
      <c r="E55" s="937">
        <v>1</v>
      </c>
      <c r="F55" s="937">
        <f>'01 (2)'!H92*'01 (2)'!$T$5</f>
        <v>266545.48542820307</v>
      </c>
      <c r="G55" s="1318">
        <f t="shared" si="11"/>
        <v>1577986.5145717969</v>
      </c>
      <c r="H55" s="938">
        <v>1844532</v>
      </c>
      <c r="I55" s="1062">
        <f t="shared" ref="I55:I58" si="47">E55*F55</f>
        <v>266545.48542820307</v>
      </c>
      <c r="J55" s="1062">
        <f t="shared" ref="J55:J58" si="48">E55*G55</f>
        <v>1577986.5145717969</v>
      </c>
      <c r="K55" s="938">
        <f t="shared" si="0"/>
        <v>1844532</v>
      </c>
      <c r="L55" s="1087"/>
      <c r="M55" s="1051"/>
      <c r="N55" s="1063">
        <v>0</v>
      </c>
      <c r="O55" s="1063">
        <v>0.75</v>
      </c>
      <c r="P55" s="1064">
        <f t="shared" ref="P55:P58" si="49">SUM(N55:O55)</f>
        <v>0.75</v>
      </c>
      <c r="Q55" s="933">
        <f t="shared" ref="Q55:Q58" si="50">K55*N55</f>
        <v>0</v>
      </c>
      <c r="R55" s="933">
        <f t="shared" ref="R55:R58" si="51">K55*O55</f>
        <v>1383399</v>
      </c>
      <c r="S55" s="933">
        <f t="shared" ref="S55:S58" si="52">K55*P55</f>
        <v>1383399</v>
      </c>
      <c r="T55" s="933">
        <f t="shared" ref="T55:T58" si="53">I55*P55</f>
        <v>199909.11407115229</v>
      </c>
      <c r="U55" s="933">
        <f t="shared" ref="U55:U58" si="54">J55*P55</f>
        <v>1183489.8859288476</v>
      </c>
      <c r="V55" s="933">
        <f t="shared" ref="V55:V58" si="55">SUM(T55:U55)</f>
        <v>1383399</v>
      </c>
    </row>
    <row r="56" spans="1:22" ht="12.75" customHeight="1" x14ac:dyDescent="0.3">
      <c r="A56" s="1177" t="s">
        <v>62</v>
      </c>
      <c r="B56" s="934">
        <v>10.02</v>
      </c>
      <c r="C56" s="935" t="s">
        <v>740</v>
      </c>
      <c r="D56" s="1086" t="s">
        <v>207</v>
      </c>
      <c r="E56" s="937">
        <v>1</v>
      </c>
      <c r="F56" s="937">
        <f>'01 (2)'!H93*'01 (2)'!$T$5</f>
        <v>266545.48542820307</v>
      </c>
      <c r="G56" s="1318">
        <f t="shared" si="11"/>
        <v>948391.51457179687</v>
      </c>
      <c r="H56" s="938">
        <v>1214937</v>
      </c>
      <c r="I56" s="1062">
        <f t="shared" si="47"/>
        <v>266545.48542820307</v>
      </c>
      <c r="J56" s="1062">
        <f t="shared" si="48"/>
        <v>948391.51457179687</v>
      </c>
      <c r="K56" s="938">
        <f t="shared" si="0"/>
        <v>1214937</v>
      </c>
      <c r="M56" s="1051"/>
      <c r="N56" s="1063">
        <v>0</v>
      </c>
      <c r="O56" s="1063"/>
      <c r="P56" s="1064">
        <f t="shared" si="49"/>
        <v>0</v>
      </c>
      <c r="Q56" s="933">
        <f t="shared" si="50"/>
        <v>0</v>
      </c>
      <c r="R56" s="933">
        <f t="shared" si="51"/>
        <v>0</v>
      </c>
      <c r="S56" s="933">
        <f t="shared" si="52"/>
        <v>0</v>
      </c>
      <c r="T56" s="933">
        <f t="shared" si="53"/>
        <v>0</v>
      </c>
      <c r="U56" s="933">
        <f t="shared" si="54"/>
        <v>0</v>
      </c>
      <c r="V56" s="933">
        <f t="shared" si="55"/>
        <v>0</v>
      </c>
    </row>
    <row r="57" spans="1:22" ht="12.75" customHeight="1" x14ac:dyDescent="0.3">
      <c r="A57" s="1177" t="s">
        <v>62</v>
      </c>
      <c r="B57" s="934">
        <v>10.029999999999999</v>
      </c>
      <c r="C57" s="935" t="s">
        <v>741</v>
      </c>
      <c r="D57" s="1086" t="s">
        <v>207</v>
      </c>
      <c r="E57" s="937">
        <v>1</v>
      </c>
      <c r="F57" s="937">
        <f>'01 (2)'!H94*'01 (2)'!$T$5</f>
        <v>66636.371357050768</v>
      </c>
      <c r="G57" s="1318">
        <f t="shared" si="11"/>
        <v>473196.62864294922</v>
      </c>
      <c r="H57" s="938">
        <v>539833</v>
      </c>
      <c r="I57" s="1062">
        <f t="shared" si="47"/>
        <v>66636.371357050768</v>
      </c>
      <c r="J57" s="1062">
        <f t="shared" si="48"/>
        <v>473196.62864294922</v>
      </c>
      <c r="K57" s="938">
        <f t="shared" si="0"/>
        <v>539833</v>
      </c>
      <c r="M57" s="1051"/>
      <c r="N57" s="1063">
        <v>0</v>
      </c>
      <c r="O57" s="1063"/>
      <c r="P57" s="1064">
        <f t="shared" si="49"/>
        <v>0</v>
      </c>
      <c r="Q57" s="933">
        <f t="shared" si="50"/>
        <v>0</v>
      </c>
      <c r="R57" s="933">
        <f t="shared" si="51"/>
        <v>0</v>
      </c>
      <c r="S57" s="933">
        <f t="shared" si="52"/>
        <v>0</v>
      </c>
      <c r="T57" s="933">
        <f t="shared" si="53"/>
        <v>0</v>
      </c>
      <c r="U57" s="933">
        <f t="shared" si="54"/>
        <v>0</v>
      </c>
      <c r="V57" s="933">
        <f t="shared" si="55"/>
        <v>0</v>
      </c>
    </row>
    <row r="58" spans="1:22" ht="12.75" customHeight="1" x14ac:dyDescent="0.3">
      <c r="A58" s="1177" t="s">
        <v>62</v>
      </c>
      <c r="B58" s="934">
        <v>10.039999999999999</v>
      </c>
      <c r="C58" s="935" t="s">
        <v>742</v>
      </c>
      <c r="D58" s="945" t="s">
        <v>243</v>
      </c>
      <c r="E58" s="946">
        <v>10</v>
      </c>
      <c r="F58" s="946">
        <f>'01 (2)'!H95*'01 (2)'!$T$5</f>
        <v>26654.548542820303</v>
      </c>
      <c r="G58" s="1318">
        <f t="shared" si="11"/>
        <v>31880.451457179697</v>
      </c>
      <c r="H58" s="938">
        <v>58535</v>
      </c>
      <c r="I58" s="1062">
        <f t="shared" si="47"/>
        <v>266545.48542820301</v>
      </c>
      <c r="J58" s="1062">
        <f t="shared" si="48"/>
        <v>318804.51457179699</v>
      </c>
      <c r="K58" s="938">
        <f t="shared" si="0"/>
        <v>585350</v>
      </c>
      <c r="L58" s="1058"/>
      <c r="M58" s="1051"/>
      <c r="N58" s="1063">
        <v>0</v>
      </c>
      <c r="O58" s="1063"/>
      <c r="P58" s="1064">
        <f t="shared" si="49"/>
        <v>0</v>
      </c>
      <c r="Q58" s="933">
        <f t="shared" si="50"/>
        <v>0</v>
      </c>
      <c r="R58" s="933">
        <f t="shared" si="51"/>
        <v>0</v>
      </c>
      <c r="S58" s="933">
        <f t="shared" si="52"/>
        <v>0</v>
      </c>
      <c r="T58" s="933">
        <f t="shared" si="53"/>
        <v>0</v>
      </c>
      <c r="U58" s="933">
        <f t="shared" si="54"/>
        <v>0</v>
      </c>
      <c r="V58" s="933">
        <f t="shared" si="55"/>
        <v>0</v>
      </c>
    </row>
    <row r="59" spans="1:22" ht="12.75" customHeight="1" x14ac:dyDescent="0.3">
      <c r="A59" s="1201"/>
      <c r="B59" s="909">
        <v>11</v>
      </c>
      <c r="C59" s="915" t="s">
        <v>314</v>
      </c>
      <c r="D59" s="916"/>
      <c r="E59" s="917"/>
      <c r="F59" s="917"/>
      <c r="G59" s="917"/>
      <c r="H59" s="917"/>
      <c r="I59" s="917"/>
      <c r="J59" s="917"/>
      <c r="K59" s="917"/>
      <c r="L59" s="918">
        <f>+SUM(K60:K70)</f>
        <v>31170783</v>
      </c>
      <c r="M59" s="1051">
        <f>+L59/$L$195</f>
        <v>3.6895257532418527E-2</v>
      </c>
      <c r="N59" s="1052"/>
      <c r="O59" s="1053"/>
      <c r="P59" s="1053"/>
      <c r="Q59" s="1054"/>
      <c r="R59" s="1054"/>
      <c r="S59" s="1055"/>
      <c r="T59" s="1055"/>
      <c r="U59" s="1055"/>
      <c r="V59" s="1055"/>
    </row>
    <row r="60" spans="1:22" ht="12.75" customHeight="1" x14ac:dyDescent="0.3">
      <c r="A60" s="1177" t="s">
        <v>65</v>
      </c>
      <c r="B60" s="925">
        <v>11.01</v>
      </c>
      <c r="C60" s="926" t="s">
        <v>315</v>
      </c>
      <c r="D60" s="1082" t="s">
        <v>238</v>
      </c>
      <c r="E60" s="1057">
        <v>0</v>
      </c>
      <c r="F60" s="1315">
        <f>'01 (2)'!H97*'01 (2)'!$T$5</f>
        <v>0</v>
      </c>
      <c r="G60" s="1318">
        <f t="shared" si="11"/>
        <v>0</v>
      </c>
      <c r="H60" s="938">
        <v>0</v>
      </c>
      <c r="I60" s="1062">
        <f t="shared" ref="I60:I70" si="56">E60*F60</f>
        <v>0</v>
      </c>
      <c r="J60" s="1062">
        <f t="shared" ref="J60:J70" si="57">E60*G60</f>
        <v>0</v>
      </c>
      <c r="K60" s="938">
        <f t="shared" si="0"/>
        <v>0</v>
      </c>
      <c r="L60" s="1070"/>
      <c r="M60" s="1084"/>
      <c r="N60" s="1063">
        <v>0</v>
      </c>
      <c r="O60" s="1063"/>
      <c r="P60" s="1064">
        <f t="shared" ref="P60:P70" si="58">SUM(N60:O60)</f>
        <v>0</v>
      </c>
      <c r="Q60" s="933">
        <f t="shared" ref="Q60:Q70" si="59">K60*N60</f>
        <v>0</v>
      </c>
      <c r="R60" s="933">
        <f t="shared" ref="R60:R70" si="60">K60*O60</f>
        <v>0</v>
      </c>
      <c r="S60" s="933">
        <f t="shared" ref="S60:S70" si="61">K60*P60</f>
        <v>0</v>
      </c>
      <c r="T60" s="933">
        <f t="shared" ref="T60:T70" si="62">I60*P60</f>
        <v>0</v>
      </c>
      <c r="U60" s="933">
        <f t="shared" ref="U60:U70" si="63">J60*P60</f>
        <v>0</v>
      </c>
      <c r="V60" s="933">
        <f t="shared" ref="V60:V70" si="64">SUM(T60:U60)</f>
        <v>0</v>
      </c>
    </row>
    <row r="61" spans="1:22" ht="12.75" customHeight="1" x14ac:dyDescent="0.3">
      <c r="A61" s="1177" t="s">
        <v>65</v>
      </c>
      <c r="B61" s="934">
        <v>11.02</v>
      </c>
      <c r="C61" s="935" t="s">
        <v>316</v>
      </c>
      <c r="D61" s="1083" t="s">
        <v>238</v>
      </c>
      <c r="E61" s="946">
        <v>39</v>
      </c>
      <c r="F61" s="946">
        <f>'01 (2)'!H98*'01 (2)'!$T$5</f>
        <v>5419.3089377371671</v>
      </c>
      <c r="G61" s="1318">
        <f t="shared" si="11"/>
        <v>13860.691062262833</v>
      </c>
      <c r="H61" s="938">
        <v>19280</v>
      </c>
      <c r="I61" s="1062">
        <f t="shared" si="56"/>
        <v>211353.0485717495</v>
      </c>
      <c r="J61" s="1062">
        <f t="shared" si="57"/>
        <v>540566.95142825053</v>
      </c>
      <c r="K61" s="938">
        <f t="shared" si="0"/>
        <v>751920</v>
      </c>
      <c r="L61" s="1071"/>
      <c r="M61" s="1084"/>
      <c r="N61" s="1063">
        <v>0</v>
      </c>
      <c r="O61" s="1063"/>
      <c r="P61" s="1064">
        <f t="shared" si="58"/>
        <v>0</v>
      </c>
      <c r="Q61" s="933">
        <f t="shared" si="59"/>
        <v>0</v>
      </c>
      <c r="R61" s="933">
        <f t="shared" si="60"/>
        <v>0</v>
      </c>
      <c r="S61" s="933">
        <f t="shared" si="61"/>
        <v>0</v>
      </c>
      <c r="T61" s="933">
        <f t="shared" si="62"/>
        <v>0</v>
      </c>
      <c r="U61" s="933">
        <f t="shared" si="63"/>
        <v>0</v>
      </c>
      <c r="V61" s="933">
        <f t="shared" si="64"/>
        <v>0</v>
      </c>
    </row>
    <row r="62" spans="1:22" ht="12.75" customHeight="1" x14ac:dyDescent="0.3">
      <c r="A62" s="1177" t="s">
        <v>65</v>
      </c>
      <c r="B62" s="934">
        <v>11.03</v>
      </c>
      <c r="C62" s="935" t="s">
        <v>743</v>
      </c>
      <c r="D62" s="1083" t="s">
        <v>238</v>
      </c>
      <c r="E62" s="946">
        <v>48</v>
      </c>
      <c r="F62" s="946">
        <f>'01 (2)'!H99*'01 (2)'!$T$5</f>
        <v>9537.3954216696766</v>
      </c>
      <c r="G62" s="1318">
        <f t="shared" si="11"/>
        <v>15824.604578330323</v>
      </c>
      <c r="H62" s="938">
        <v>25362</v>
      </c>
      <c r="I62" s="1062">
        <f t="shared" si="56"/>
        <v>457794.98024014448</v>
      </c>
      <c r="J62" s="1062">
        <f t="shared" si="57"/>
        <v>759581.01975985547</v>
      </c>
      <c r="K62" s="938">
        <f t="shared" si="0"/>
        <v>1217376</v>
      </c>
      <c r="L62" s="1071"/>
      <c r="M62" s="1084"/>
      <c r="N62" s="1063">
        <v>0</v>
      </c>
      <c r="O62" s="1063"/>
      <c r="P62" s="1064">
        <f t="shared" si="58"/>
        <v>0</v>
      </c>
      <c r="Q62" s="933">
        <f t="shared" si="59"/>
        <v>0</v>
      </c>
      <c r="R62" s="933">
        <f t="shared" si="60"/>
        <v>0</v>
      </c>
      <c r="S62" s="933">
        <f t="shared" si="61"/>
        <v>0</v>
      </c>
      <c r="T62" s="933">
        <f t="shared" si="62"/>
        <v>0</v>
      </c>
      <c r="U62" s="933">
        <f t="shared" si="63"/>
        <v>0</v>
      </c>
      <c r="V62" s="933">
        <f t="shared" si="64"/>
        <v>0</v>
      </c>
    </row>
    <row r="63" spans="1:22" ht="12.75" customHeight="1" x14ac:dyDescent="0.3">
      <c r="A63" s="1177" t="s">
        <v>65</v>
      </c>
      <c r="B63" s="934">
        <v>11.04</v>
      </c>
      <c r="C63" s="935" t="s">
        <v>744</v>
      </c>
      <c r="D63" s="945" t="s">
        <v>238</v>
      </c>
      <c r="E63" s="946">
        <v>174</v>
      </c>
      <c r="F63" s="946">
        <f>'01 (2)'!H100*'01 (2)'!$T$5</f>
        <v>1737.1289355426702</v>
      </c>
      <c r="G63" s="1318">
        <f t="shared" si="11"/>
        <v>17426.871064457329</v>
      </c>
      <c r="H63" s="938">
        <v>19164</v>
      </c>
      <c r="I63" s="1062">
        <f t="shared" si="56"/>
        <v>302260.43478442461</v>
      </c>
      <c r="J63" s="1062">
        <f t="shared" si="57"/>
        <v>3032275.5652155755</v>
      </c>
      <c r="K63" s="938">
        <f t="shared" si="0"/>
        <v>3334536</v>
      </c>
      <c r="L63" s="1058"/>
      <c r="M63" s="1051"/>
      <c r="N63" s="1063">
        <v>0</v>
      </c>
      <c r="O63" s="1063"/>
      <c r="P63" s="1064">
        <f t="shared" si="58"/>
        <v>0</v>
      </c>
      <c r="Q63" s="933">
        <f t="shared" si="59"/>
        <v>0</v>
      </c>
      <c r="R63" s="933">
        <f t="shared" si="60"/>
        <v>0</v>
      </c>
      <c r="S63" s="933">
        <f t="shared" si="61"/>
        <v>0</v>
      </c>
      <c r="T63" s="933">
        <f t="shared" si="62"/>
        <v>0</v>
      </c>
      <c r="U63" s="933">
        <f t="shared" si="63"/>
        <v>0</v>
      </c>
      <c r="V63" s="933">
        <f t="shared" si="64"/>
        <v>0</v>
      </c>
    </row>
    <row r="64" spans="1:22" ht="12.75" customHeight="1" x14ac:dyDescent="0.3">
      <c r="A64" s="1177" t="s">
        <v>65</v>
      </c>
      <c r="B64" s="934">
        <v>11.05</v>
      </c>
      <c r="C64" s="935" t="s">
        <v>745</v>
      </c>
      <c r="D64" s="1083" t="s">
        <v>238</v>
      </c>
      <c r="E64" s="946">
        <v>92</v>
      </c>
      <c r="F64" s="946">
        <f>'01 (2)'!H101*'01 (2)'!$T$5</f>
        <v>1737.1289355426702</v>
      </c>
      <c r="G64" s="1318">
        <f t="shared" si="11"/>
        <v>17426.871064457329</v>
      </c>
      <c r="H64" s="938">
        <v>19164</v>
      </c>
      <c r="I64" s="1062">
        <f t="shared" si="56"/>
        <v>159815.86206992567</v>
      </c>
      <c r="J64" s="1062">
        <f t="shared" si="57"/>
        <v>1603272.1379300742</v>
      </c>
      <c r="K64" s="938">
        <f t="shared" si="0"/>
        <v>1763088</v>
      </c>
      <c r="L64" s="1070"/>
      <c r="M64" s="1084"/>
      <c r="N64" s="1063">
        <v>0</v>
      </c>
      <c r="O64" s="1063"/>
      <c r="P64" s="1064">
        <f t="shared" si="58"/>
        <v>0</v>
      </c>
      <c r="Q64" s="933">
        <f t="shared" si="59"/>
        <v>0</v>
      </c>
      <c r="R64" s="933">
        <f t="shared" si="60"/>
        <v>0</v>
      </c>
      <c r="S64" s="933">
        <f t="shared" si="61"/>
        <v>0</v>
      </c>
      <c r="T64" s="933">
        <f t="shared" si="62"/>
        <v>0</v>
      </c>
      <c r="U64" s="933">
        <f t="shared" si="63"/>
        <v>0</v>
      </c>
      <c r="V64" s="933">
        <f t="shared" si="64"/>
        <v>0</v>
      </c>
    </row>
    <row r="65" spans="1:22" ht="12.75" customHeight="1" x14ac:dyDescent="0.3">
      <c r="A65" s="1177" t="s">
        <v>65</v>
      </c>
      <c r="B65" s="934">
        <v>11.06</v>
      </c>
      <c r="C65" s="935" t="s">
        <v>320</v>
      </c>
      <c r="D65" s="945" t="s">
        <v>238</v>
      </c>
      <c r="E65" s="946">
        <v>8</v>
      </c>
      <c r="F65" s="946">
        <f>'01 (2)'!H102*'01 (2)'!$T$5</f>
        <v>3695.6638172814528</v>
      </c>
      <c r="G65" s="1318">
        <f t="shared" si="11"/>
        <v>10347.336182718547</v>
      </c>
      <c r="H65" s="938">
        <v>14043</v>
      </c>
      <c r="I65" s="1062">
        <f t="shared" si="56"/>
        <v>29565.310538251622</v>
      </c>
      <c r="J65" s="1062">
        <f t="shared" si="57"/>
        <v>82778.689461748378</v>
      </c>
      <c r="K65" s="938">
        <f t="shared" si="0"/>
        <v>112344</v>
      </c>
      <c r="L65" s="1058"/>
      <c r="M65" s="1051"/>
      <c r="N65" s="1063">
        <v>0</v>
      </c>
      <c r="O65" s="1063"/>
      <c r="P65" s="1064">
        <f t="shared" si="58"/>
        <v>0</v>
      </c>
      <c r="Q65" s="933">
        <f t="shared" si="59"/>
        <v>0</v>
      </c>
      <c r="R65" s="933">
        <f t="shared" si="60"/>
        <v>0</v>
      </c>
      <c r="S65" s="933">
        <f t="shared" si="61"/>
        <v>0</v>
      </c>
      <c r="T65" s="933">
        <f t="shared" si="62"/>
        <v>0</v>
      </c>
      <c r="U65" s="933">
        <f t="shared" si="63"/>
        <v>0</v>
      </c>
      <c r="V65" s="933">
        <f t="shared" si="64"/>
        <v>0</v>
      </c>
    </row>
    <row r="66" spans="1:22" ht="12.75" customHeight="1" x14ac:dyDescent="0.3">
      <c r="A66" s="1177" t="s">
        <v>65</v>
      </c>
      <c r="B66" s="934">
        <v>11.07</v>
      </c>
      <c r="C66" s="935" t="s">
        <v>746</v>
      </c>
      <c r="D66" s="1083" t="s">
        <v>238</v>
      </c>
      <c r="E66" s="946">
        <v>46</v>
      </c>
      <c r="F66" s="946">
        <f>'01 (2)'!H103*'01 (2)'!$T$5</f>
        <v>10264.393290782971</v>
      </c>
      <c r="G66" s="1318">
        <f t="shared" si="11"/>
        <v>16365.606709217029</v>
      </c>
      <c r="H66" s="938">
        <v>26630</v>
      </c>
      <c r="I66" s="1062">
        <f t="shared" si="56"/>
        <v>472162.09137601667</v>
      </c>
      <c r="J66" s="1062">
        <f t="shared" si="57"/>
        <v>752817.90862398327</v>
      </c>
      <c r="K66" s="938">
        <f t="shared" si="0"/>
        <v>1224980</v>
      </c>
      <c r="L66" s="1071"/>
      <c r="M66" s="1084"/>
      <c r="N66" s="1063">
        <v>0</v>
      </c>
      <c r="O66" s="1063"/>
      <c r="P66" s="1064">
        <f t="shared" si="58"/>
        <v>0</v>
      </c>
      <c r="Q66" s="933">
        <f t="shared" si="59"/>
        <v>0</v>
      </c>
      <c r="R66" s="933">
        <f t="shared" si="60"/>
        <v>0</v>
      </c>
      <c r="S66" s="933">
        <f t="shared" si="61"/>
        <v>0</v>
      </c>
      <c r="T66" s="933">
        <f t="shared" si="62"/>
        <v>0</v>
      </c>
      <c r="U66" s="933">
        <f t="shared" si="63"/>
        <v>0</v>
      </c>
      <c r="V66" s="933">
        <f t="shared" si="64"/>
        <v>0</v>
      </c>
    </row>
    <row r="67" spans="1:22" ht="12.75" customHeight="1" x14ac:dyDescent="0.3">
      <c r="A67" s="1177" t="s">
        <v>65</v>
      </c>
      <c r="B67" s="934">
        <v>11.08</v>
      </c>
      <c r="C67" s="935" t="s">
        <v>747</v>
      </c>
      <c r="D67" s="1083" t="s">
        <v>238</v>
      </c>
      <c r="E67" s="946">
        <v>562</v>
      </c>
      <c r="F67" s="946">
        <f>'01 (2)'!H104*'01 (2)'!$T$5</f>
        <v>9537.3954216696766</v>
      </c>
      <c r="G67" s="1318">
        <f t="shared" si="11"/>
        <v>15824.604578330323</v>
      </c>
      <c r="H67" s="938">
        <v>25362</v>
      </c>
      <c r="I67" s="1062">
        <f t="shared" si="56"/>
        <v>5360016.2269783579</v>
      </c>
      <c r="J67" s="1062">
        <f t="shared" si="57"/>
        <v>8893427.7730216421</v>
      </c>
      <c r="K67" s="938">
        <f t="shared" si="0"/>
        <v>14253444</v>
      </c>
      <c r="L67" s="1071"/>
      <c r="M67" s="1084"/>
      <c r="N67" s="1063">
        <v>0</v>
      </c>
      <c r="O67" s="1063"/>
      <c r="P67" s="1064">
        <f t="shared" si="58"/>
        <v>0</v>
      </c>
      <c r="Q67" s="933">
        <f t="shared" si="59"/>
        <v>0</v>
      </c>
      <c r="R67" s="933">
        <f t="shared" si="60"/>
        <v>0</v>
      </c>
      <c r="S67" s="933">
        <f t="shared" si="61"/>
        <v>0</v>
      </c>
      <c r="T67" s="933">
        <f t="shared" si="62"/>
        <v>0</v>
      </c>
      <c r="U67" s="933">
        <f t="shared" si="63"/>
        <v>0</v>
      </c>
      <c r="V67" s="933">
        <f t="shared" si="64"/>
        <v>0</v>
      </c>
    </row>
    <row r="68" spans="1:22" ht="12.75" customHeight="1" x14ac:dyDescent="0.3">
      <c r="A68" s="1177" t="s">
        <v>65</v>
      </c>
      <c r="B68" s="934">
        <v>11.09</v>
      </c>
      <c r="C68" s="935" t="s">
        <v>748</v>
      </c>
      <c r="D68" s="1088" t="s">
        <v>238</v>
      </c>
      <c r="E68" s="952">
        <v>73</v>
      </c>
      <c r="F68" s="952">
        <f>'01 (2)'!H105*'01 (2)'!$T$5</f>
        <v>9537.3954216696766</v>
      </c>
      <c r="G68" s="1318">
        <f t="shared" si="11"/>
        <v>20571.604578330323</v>
      </c>
      <c r="H68" s="938">
        <v>30109</v>
      </c>
      <c r="I68" s="1062">
        <f t="shared" si="56"/>
        <v>696229.86578188639</v>
      </c>
      <c r="J68" s="1062">
        <f t="shared" si="57"/>
        <v>1501727.1342181135</v>
      </c>
      <c r="K68" s="938">
        <f t="shared" si="0"/>
        <v>2197957</v>
      </c>
      <c r="L68" s="1071"/>
      <c r="M68" s="1084"/>
      <c r="N68" s="1063">
        <v>0</v>
      </c>
      <c r="O68" s="1063"/>
      <c r="P68" s="1064">
        <f t="shared" si="58"/>
        <v>0</v>
      </c>
      <c r="Q68" s="933">
        <f t="shared" si="59"/>
        <v>0</v>
      </c>
      <c r="R68" s="933">
        <f t="shared" si="60"/>
        <v>0</v>
      </c>
      <c r="S68" s="933">
        <f t="shared" si="61"/>
        <v>0</v>
      </c>
      <c r="T68" s="933">
        <f t="shared" si="62"/>
        <v>0</v>
      </c>
      <c r="U68" s="933">
        <f t="shared" si="63"/>
        <v>0</v>
      </c>
      <c r="V68" s="933">
        <f t="shared" si="64"/>
        <v>0</v>
      </c>
    </row>
    <row r="69" spans="1:22" ht="12.75" customHeight="1" x14ac:dyDescent="0.3">
      <c r="A69" s="1177" t="s">
        <v>65</v>
      </c>
      <c r="B69" s="934">
        <v>11.1</v>
      </c>
      <c r="C69" s="935" t="s">
        <v>749</v>
      </c>
      <c r="D69" s="1088" t="s">
        <v>238</v>
      </c>
      <c r="E69" s="952">
        <v>143</v>
      </c>
      <c r="F69" s="952">
        <f>'01 (2)'!H106*'01 (2)'!$T$5</f>
        <v>9537.3954216696766</v>
      </c>
      <c r="G69" s="1318">
        <f t="shared" si="11"/>
        <v>15824.604578330323</v>
      </c>
      <c r="H69" s="938">
        <v>25362</v>
      </c>
      <c r="I69" s="1062">
        <f t="shared" si="56"/>
        <v>1363847.5452987638</v>
      </c>
      <c r="J69" s="1062">
        <f t="shared" si="57"/>
        <v>2262918.4547012364</v>
      </c>
      <c r="K69" s="938">
        <f t="shared" si="0"/>
        <v>3626766</v>
      </c>
      <c r="L69" s="1071"/>
      <c r="M69" s="1084"/>
      <c r="N69" s="1063">
        <v>0</v>
      </c>
      <c r="O69" s="1063"/>
      <c r="P69" s="1064">
        <f t="shared" si="58"/>
        <v>0</v>
      </c>
      <c r="Q69" s="933">
        <f t="shared" si="59"/>
        <v>0</v>
      </c>
      <c r="R69" s="933">
        <f t="shared" si="60"/>
        <v>0</v>
      </c>
      <c r="S69" s="933">
        <f t="shared" si="61"/>
        <v>0</v>
      </c>
      <c r="T69" s="933">
        <f t="shared" si="62"/>
        <v>0</v>
      </c>
      <c r="U69" s="933">
        <f t="shared" si="63"/>
        <v>0</v>
      </c>
      <c r="V69" s="933">
        <f t="shared" si="64"/>
        <v>0</v>
      </c>
    </row>
    <row r="70" spans="1:22" ht="12.75" customHeight="1" x14ac:dyDescent="0.3">
      <c r="A70" s="1177" t="s">
        <v>65</v>
      </c>
      <c r="B70" s="934">
        <v>11.11</v>
      </c>
      <c r="C70" s="935" t="s">
        <v>750</v>
      </c>
      <c r="D70" s="1085" t="s">
        <v>238</v>
      </c>
      <c r="E70" s="956">
        <v>106</v>
      </c>
      <c r="F70" s="952">
        <f>'01 (2)'!H107*'01 (2)'!$T$5</f>
        <v>9537.3954216696766</v>
      </c>
      <c r="G70" s="1318">
        <f t="shared" si="11"/>
        <v>15824.604578330323</v>
      </c>
      <c r="H70" s="938">
        <v>25362</v>
      </c>
      <c r="I70" s="1062">
        <f t="shared" si="56"/>
        <v>1010963.9146969857</v>
      </c>
      <c r="J70" s="1062">
        <f t="shared" si="57"/>
        <v>1677408.0853030144</v>
      </c>
      <c r="K70" s="938">
        <f t="shared" si="0"/>
        <v>2688372</v>
      </c>
      <c r="L70" s="1071"/>
      <c r="M70" s="1084"/>
      <c r="N70" s="1063">
        <v>0</v>
      </c>
      <c r="O70" s="1063"/>
      <c r="P70" s="1064">
        <f t="shared" si="58"/>
        <v>0</v>
      </c>
      <c r="Q70" s="933">
        <f t="shared" si="59"/>
        <v>0</v>
      </c>
      <c r="R70" s="933">
        <f t="shared" si="60"/>
        <v>0</v>
      </c>
      <c r="S70" s="933">
        <f t="shared" si="61"/>
        <v>0</v>
      </c>
      <c r="T70" s="933">
        <f t="shared" si="62"/>
        <v>0</v>
      </c>
      <c r="U70" s="933">
        <f t="shared" si="63"/>
        <v>0</v>
      </c>
      <c r="V70" s="933">
        <f t="shared" si="64"/>
        <v>0</v>
      </c>
    </row>
    <row r="71" spans="1:22" ht="12.75" customHeight="1" x14ac:dyDescent="0.3">
      <c r="A71" s="1201"/>
      <c r="B71" s="909">
        <v>12</v>
      </c>
      <c r="C71" s="915" t="s">
        <v>326</v>
      </c>
      <c r="D71" s="916"/>
      <c r="E71" s="917"/>
      <c r="F71" s="917"/>
      <c r="G71" s="917"/>
      <c r="H71" s="917"/>
      <c r="I71" s="917"/>
      <c r="J71" s="917"/>
      <c r="K71" s="917"/>
      <c r="L71" s="918">
        <f>+SUM(K72:K74)</f>
        <v>8990052</v>
      </c>
      <c r="M71" s="1051">
        <f>+L71/$L$195</f>
        <v>1.0641063580912749E-2</v>
      </c>
      <c r="N71" s="1052"/>
      <c r="O71" s="1053"/>
      <c r="P71" s="1053"/>
      <c r="Q71" s="1054"/>
      <c r="R71" s="1054"/>
      <c r="S71" s="1055"/>
      <c r="T71" s="1055"/>
      <c r="U71" s="1055"/>
      <c r="V71" s="1055"/>
    </row>
    <row r="72" spans="1:22" ht="12.75" customHeight="1" x14ac:dyDescent="0.3">
      <c r="A72" s="1177" t="s">
        <v>65</v>
      </c>
      <c r="B72" s="925">
        <f>+B71+0.01</f>
        <v>12.01</v>
      </c>
      <c r="C72" s="926" t="s">
        <v>327</v>
      </c>
      <c r="D72" s="1082" t="s">
        <v>211</v>
      </c>
      <c r="E72" s="1057">
        <v>19</v>
      </c>
      <c r="F72" s="1315">
        <f>'01 (2)'!H109*'01 (2)'!$T$5</f>
        <v>1078.9961612375057</v>
      </c>
      <c r="G72" s="1318">
        <f t="shared" si="11"/>
        <v>5417.0038387624945</v>
      </c>
      <c r="H72" s="938">
        <v>6496</v>
      </c>
      <c r="I72" s="1062">
        <f t="shared" ref="I72:I74" si="65">E72*F72</f>
        <v>20500.927063512609</v>
      </c>
      <c r="J72" s="1062">
        <f t="shared" ref="J72:J74" si="66">E72*G72</f>
        <v>102923.0729364874</v>
      </c>
      <c r="K72" s="938">
        <f t="shared" si="0"/>
        <v>123424</v>
      </c>
      <c r="M72" s="1051"/>
      <c r="N72" s="1063">
        <v>0</v>
      </c>
      <c r="O72" s="1063"/>
      <c r="P72" s="1064">
        <f t="shared" ref="P72:P74" si="67">SUM(N72:O72)</f>
        <v>0</v>
      </c>
      <c r="Q72" s="933">
        <f t="shared" ref="Q72:Q74" si="68">K72*N72</f>
        <v>0</v>
      </c>
      <c r="R72" s="933">
        <f t="shared" ref="R72:R74" si="69">K72*O72</f>
        <v>0</v>
      </c>
      <c r="S72" s="933">
        <f t="shared" ref="S72:S74" si="70">K72*P72</f>
        <v>0</v>
      </c>
      <c r="T72" s="933">
        <f t="shared" ref="T72:T74" si="71">I72*P72</f>
        <v>0</v>
      </c>
      <c r="U72" s="933">
        <f t="shared" ref="U72:U74" si="72">J72*P72</f>
        <v>0</v>
      </c>
      <c r="V72" s="933">
        <f t="shared" ref="V72:V74" si="73">SUM(T72:U72)</f>
        <v>0</v>
      </c>
    </row>
    <row r="73" spans="1:22" ht="12.75" customHeight="1" x14ac:dyDescent="0.3">
      <c r="A73" s="1177" t="s">
        <v>65</v>
      </c>
      <c r="B73" s="1079">
        <v>12.02</v>
      </c>
      <c r="C73" s="935" t="s">
        <v>328</v>
      </c>
      <c r="D73" s="1089" t="s">
        <v>211</v>
      </c>
      <c r="E73" s="946">
        <v>626</v>
      </c>
      <c r="F73" s="946">
        <f>'01 (2)'!H110*'01 (2)'!$T$5</f>
        <v>4664.545994993553</v>
      </c>
      <c r="G73" s="1318">
        <f t="shared" si="11"/>
        <v>4394.454005006447</v>
      </c>
      <c r="H73" s="938">
        <v>9059</v>
      </c>
      <c r="I73" s="1062">
        <f t="shared" si="65"/>
        <v>2920005.7928659641</v>
      </c>
      <c r="J73" s="1062">
        <f t="shared" si="66"/>
        <v>2750928.2071340359</v>
      </c>
      <c r="K73" s="938">
        <f t="shared" si="0"/>
        <v>5670934</v>
      </c>
      <c r="M73" s="1051"/>
      <c r="N73" s="1063">
        <v>0</v>
      </c>
      <c r="O73" s="1063"/>
      <c r="P73" s="1064">
        <f t="shared" si="67"/>
        <v>0</v>
      </c>
      <c r="Q73" s="933">
        <f t="shared" si="68"/>
        <v>0</v>
      </c>
      <c r="R73" s="933">
        <f t="shared" si="69"/>
        <v>0</v>
      </c>
      <c r="S73" s="933">
        <f t="shared" si="70"/>
        <v>0</v>
      </c>
      <c r="T73" s="933">
        <f t="shared" si="71"/>
        <v>0</v>
      </c>
      <c r="U73" s="933">
        <f t="shared" si="72"/>
        <v>0</v>
      </c>
      <c r="V73" s="933">
        <f t="shared" si="73"/>
        <v>0</v>
      </c>
    </row>
    <row r="74" spans="1:22" ht="12.75" customHeight="1" x14ac:dyDescent="0.3">
      <c r="A74" s="1177" t="s">
        <v>65</v>
      </c>
      <c r="B74" s="1079">
        <v>12.03</v>
      </c>
      <c r="C74" s="1080" t="s">
        <v>751</v>
      </c>
      <c r="D74" s="1089" t="s">
        <v>211</v>
      </c>
      <c r="E74" s="956">
        <v>386</v>
      </c>
      <c r="F74" s="952">
        <f>'01 (2)'!H111*'01 (2)'!$T$5</f>
        <v>1421.1448880253238</v>
      </c>
      <c r="G74" s="1318">
        <f t="shared" si="11"/>
        <v>6857.8551119746762</v>
      </c>
      <c r="H74" s="938">
        <v>8279</v>
      </c>
      <c r="I74" s="1062">
        <f t="shared" si="65"/>
        <v>548561.92677777493</v>
      </c>
      <c r="J74" s="1062">
        <f t="shared" si="66"/>
        <v>2647132.0732222251</v>
      </c>
      <c r="K74" s="938">
        <f t="shared" ref="K74:K137" si="74">+H74*E74</f>
        <v>3195694</v>
      </c>
      <c r="M74" s="1051"/>
      <c r="N74" s="1063">
        <v>0</v>
      </c>
      <c r="O74" s="1063"/>
      <c r="P74" s="1064">
        <f t="shared" si="67"/>
        <v>0</v>
      </c>
      <c r="Q74" s="933">
        <f t="shared" si="68"/>
        <v>0</v>
      </c>
      <c r="R74" s="933">
        <f t="shared" si="69"/>
        <v>0</v>
      </c>
      <c r="S74" s="933">
        <f t="shared" si="70"/>
        <v>0</v>
      </c>
      <c r="T74" s="933">
        <f t="shared" si="71"/>
        <v>0</v>
      </c>
      <c r="U74" s="933">
        <f t="shared" si="72"/>
        <v>0</v>
      </c>
      <c r="V74" s="933">
        <f t="shared" si="73"/>
        <v>0</v>
      </c>
    </row>
    <row r="75" spans="1:22" ht="12.75" customHeight="1" x14ac:dyDescent="0.3">
      <c r="A75" s="1201"/>
      <c r="B75" s="909">
        <v>13</v>
      </c>
      <c r="C75" s="915" t="s">
        <v>330</v>
      </c>
      <c r="D75" s="916"/>
      <c r="E75" s="917"/>
      <c r="F75" s="917"/>
      <c r="G75" s="917"/>
      <c r="H75" s="917"/>
      <c r="I75" s="917"/>
      <c r="J75" s="917"/>
      <c r="K75" s="917"/>
      <c r="L75" s="918">
        <f>+SUM(K76:K79)</f>
        <v>14836279</v>
      </c>
      <c r="M75" s="1051">
        <f>+L75/$L$195</f>
        <v>1.7560942711250239E-2</v>
      </c>
      <c r="N75" s="1052"/>
      <c r="O75" s="1053"/>
      <c r="P75" s="1053"/>
      <c r="Q75" s="1054"/>
      <c r="R75" s="1054"/>
      <c r="S75" s="1055"/>
      <c r="T75" s="1055"/>
      <c r="U75" s="1055"/>
      <c r="V75" s="1055"/>
    </row>
    <row r="76" spans="1:22" ht="12.75" customHeight="1" x14ac:dyDescent="0.3">
      <c r="A76" s="1177" t="s">
        <v>65</v>
      </c>
      <c r="B76" s="1090">
        <v>13.01</v>
      </c>
      <c r="C76" s="1091" t="s">
        <v>752</v>
      </c>
      <c r="D76" s="1092" t="s">
        <v>238</v>
      </c>
      <c r="E76" s="928">
        <v>413</v>
      </c>
      <c r="F76" s="1096">
        <f>'01 (2)'!H113*'01 (2)'!$T$5</f>
        <v>9537.3954216696766</v>
      </c>
      <c r="G76" s="1318">
        <f t="shared" si="11"/>
        <v>20571.604578330323</v>
      </c>
      <c r="H76" s="938">
        <v>30109</v>
      </c>
      <c r="I76" s="1062">
        <f t="shared" ref="I76:I79" si="75">E76*F76</f>
        <v>3938944.3091495764</v>
      </c>
      <c r="J76" s="1062">
        <f t="shared" ref="J76:J79" si="76">E76*G76</f>
        <v>8496072.6908504236</v>
      </c>
      <c r="K76" s="938">
        <f t="shared" si="74"/>
        <v>12435017</v>
      </c>
      <c r="M76" s="1051"/>
      <c r="N76" s="1063">
        <v>0</v>
      </c>
      <c r="O76" s="1063"/>
      <c r="P76" s="1064">
        <f t="shared" ref="P76:P79" si="77">SUM(N76:O76)</f>
        <v>0</v>
      </c>
      <c r="Q76" s="933">
        <f t="shared" ref="Q76:Q78" si="78">K76*N76</f>
        <v>0</v>
      </c>
      <c r="R76" s="933">
        <f t="shared" ref="R76:R79" si="79">K76*O76</f>
        <v>0</v>
      </c>
      <c r="S76" s="933">
        <f t="shared" ref="S76:S79" si="80">K76*P76</f>
        <v>0</v>
      </c>
      <c r="T76" s="933">
        <f t="shared" ref="T76:T79" si="81">I76*P76</f>
        <v>0</v>
      </c>
      <c r="U76" s="933">
        <f t="shared" ref="U76:U79" si="82">J76*P76</f>
        <v>0</v>
      </c>
      <c r="V76" s="933">
        <f t="shared" ref="V76:V79" si="83">SUM(T76:U76)</f>
        <v>0</v>
      </c>
    </row>
    <row r="77" spans="1:22" ht="12.75" customHeight="1" x14ac:dyDescent="0.3">
      <c r="A77" s="1177" t="s">
        <v>65</v>
      </c>
      <c r="B77" s="1093">
        <v>13.02</v>
      </c>
      <c r="C77" s="1094" t="s">
        <v>753</v>
      </c>
      <c r="D77" s="1095" t="s">
        <v>238</v>
      </c>
      <c r="E77" s="1096">
        <v>18</v>
      </c>
      <c r="F77" s="1096">
        <f>'01 (2)'!H114*'01 (2)'!$T$5</f>
        <v>9537.3954216696766</v>
      </c>
      <c r="G77" s="1318">
        <f t="shared" si="11"/>
        <v>20571.604578330323</v>
      </c>
      <c r="H77" s="938">
        <v>30109</v>
      </c>
      <c r="I77" s="1062">
        <f t="shared" si="75"/>
        <v>171673.11759005417</v>
      </c>
      <c r="J77" s="1062">
        <f t="shared" si="76"/>
        <v>370288.88240994583</v>
      </c>
      <c r="K77" s="938">
        <f t="shared" si="74"/>
        <v>541962</v>
      </c>
      <c r="M77" s="1051"/>
      <c r="N77" s="1063">
        <v>0</v>
      </c>
      <c r="O77" s="1063"/>
      <c r="P77" s="1064">
        <f t="shared" si="77"/>
        <v>0</v>
      </c>
      <c r="Q77" s="933">
        <f t="shared" si="78"/>
        <v>0</v>
      </c>
      <c r="R77" s="933">
        <f t="shared" si="79"/>
        <v>0</v>
      </c>
      <c r="S77" s="933">
        <f t="shared" si="80"/>
        <v>0</v>
      </c>
      <c r="T77" s="933">
        <f t="shared" si="81"/>
        <v>0</v>
      </c>
      <c r="U77" s="933">
        <f t="shared" si="82"/>
        <v>0</v>
      </c>
      <c r="V77" s="933">
        <f t="shared" si="83"/>
        <v>0</v>
      </c>
    </row>
    <row r="78" spans="1:22" ht="12.75" customHeight="1" x14ac:dyDescent="0.3">
      <c r="A78" s="1177" t="s">
        <v>65</v>
      </c>
      <c r="B78" s="1072">
        <v>13.03</v>
      </c>
      <c r="C78" s="1094" t="s">
        <v>754</v>
      </c>
      <c r="D78" s="1083" t="s">
        <v>238</v>
      </c>
      <c r="E78" s="946">
        <v>20</v>
      </c>
      <c r="F78" s="946">
        <f>'01 (2)'!H115*'01 (2)'!$T$5</f>
        <v>48655.607397382621</v>
      </c>
      <c r="G78" s="1318">
        <f t="shared" si="11"/>
        <v>44309.392602617379</v>
      </c>
      <c r="H78" s="938">
        <v>92965</v>
      </c>
      <c r="I78" s="1062">
        <f t="shared" si="75"/>
        <v>973112.14794765238</v>
      </c>
      <c r="J78" s="1062">
        <f t="shared" si="76"/>
        <v>886187.85205234762</v>
      </c>
      <c r="K78" s="938">
        <f t="shared" si="74"/>
        <v>1859300</v>
      </c>
      <c r="L78" s="1071"/>
      <c r="M78" s="1084"/>
      <c r="N78" s="1063">
        <v>0</v>
      </c>
      <c r="O78" s="1063"/>
      <c r="P78" s="1064">
        <f t="shared" si="77"/>
        <v>0</v>
      </c>
      <c r="Q78" s="933">
        <f t="shared" si="78"/>
        <v>0</v>
      </c>
      <c r="R78" s="933">
        <f t="shared" si="79"/>
        <v>0</v>
      </c>
      <c r="S78" s="933">
        <f t="shared" si="80"/>
        <v>0</v>
      </c>
      <c r="T78" s="933">
        <f t="shared" si="81"/>
        <v>0</v>
      </c>
      <c r="U78" s="933">
        <f t="shared" si="82"/>
        <v>0</v>
      </c>
      <c r="V78" s="933">
        <f t="shared" si="83"/>
        <v>0</v>
      </c>
    </row>
    <row r="79" spans="1:22" ht="12.75" customHeight="1" x14ac:dyDescent="0.3">
      <c r="A79" s="1177" t="s">
        <v>65</v>
      </c>
      <c r="B79" s="1072">
        <v>13.04</v>
      </c>
      <c r="C79" s="935" t="s">
        <v>755</v>
      </c>
      <c r="D79" s="1083" t="s">
        <v>238</v>
      </c>
      <c r="E79" s="946">
        <v>0</v>
      </c>
      <c r="F79" s="946">
        <f>'01 (2)'!H116*'01 (2)'!$T$5</f>
        <v>0</v>
      </c>
      <c r="G79" s="1318">
        <f t="shared" si="11"/>
        <v>0</v>
      </c>
      <c r="H79" s="938">
        <v>0</v>
      </c>
      <c r="I79" s="1062">
        <f t="shared" si="75"/>
        <v>0</v>
      </c>
      <c r="J79" s="1062">
        <f t="shared" si="76"/>
        <v>0</v>
      </c>
      <c r="K79" s="938">
        <f t="shared" si="74"/>
        <v>0</v>
      </c>
      <c r="L79" s="1071"/>
      <c r="M79" s="1084"/>
      <c r="N79" s="1063">
        <v>0</v>
      </c>
      <c r="O79" s="1063"/>
      <c r="P79" s="1064">
        <f t="shared" si="77"/>
        <v>0</v>
      </c>
      <c r="Q79" s="933">
        <f>K79*N79</f>
        <v>0</v>
      </c>
      <c r="R79" s="933">
        <f t="shared" si="79"/>
        <v>0</v>
      </c>
      <c r="S79" s="933">
        <f t="shared" si="80"/>
        <v>0</v>
      </c>
      <c r="T79" s="933">
        <f t="shared" si="81"/>
        <v>0</v>
      </c>
      <c r="U79" s="933">
        <f t="shared" si="82"/>
        <v>0</v>
      </c>
      <c r="V79" s="933">
        <f t="shared" si="83"/>
        <v>0</v>
      </c>
    </row>
    <row r="80" spans="1:22" ht="12.75" customHeight="1" x14ac:dyDescent="0.3">
      <c r="A80" s="1201"/>
      <c r="B80" s="909">
        <v>14</v>
      </c>
      <c r="C80" s="915" t="s">
        <v>335</v>
      </c>
      <c r="D80" s="916"/>
      <c r="E80" s="917"/>
      <c r="F80" s="917"/>
      <c r="G80" s="917"/>
      <c r="H80" s="917"/>
      <c r="I80" s="917"/>
      <c r="J80" s="917"/>
      <c r="K80" s="917"/>
      <c r="L80" s="918">
        <f>+SUM(K81:K87)</f>
        <v>33813897</v>
      </c>
      <c r="M80" s="1051">
        <f>+L80/$L$195</f>
        <v>4.0023776046616291E-2</v>
      </c>
      <c r="N80" s="1052"/>
      <c r="O80" s="1053"/>
      <c r="P80" s="1053"/>
      <c r="Q80" s="1054"/>
      <c r="R80" s="1054"/>
      <c r="S80" s="1055"/>
      <c r="T80" s="1055"/>
      <c r="U80" s="1055"/>
      <c r="V80" s="1055"/>
    </row>
    <row r="81" spans="1:22" ht="12.75" customHeight="1" x14ac:dyDescent="0.3">
      <c r="A81" s="1177" t="s">
        <v>63</v>
      </c>
      <c r="B81" s="925">
        <f>+B80+0.01</f>
        <v>14.01</v>
      </c>
      <c r="C81" s="926" t="s">
        <v>336</v>
      </c>
      <c r="D81" s="1092" t="s">
        <v>238</v>
      </c>
      <c r="E81" s="928">
        <v>460</v>
      </c>
      <c r="F81" s="1096">
        <f>'01 (2)'!H118*'01 (2)'!$T$5</f>
        <v>7746.1221582000926</v>
      </c>
      <c r="G81" s="1318">
        <f t="shared" si="11"/>
        <v>15877.877841799907</v>
      </c>
      <c r="H81" s="938">
        <v>23624</v>
      </c>
      <c r="I81" s="1062">
        <f t="shared" ref="I81:I87" si="84">E81*F81</f>
        <v>3563216.1927720425</v>
      </c>
      <c r="J81" s="1062">
        <f t="shared" ref="J81:J87" si="85">E81*G81</f>
        <v>7303823.8072279571</v>
      </c>
      <c r="K81" s="938">
        <f t="shared" si="74"/>
        <v>10867040</v>
      </c>
      <c r="M81" s="1051"/>
      <c r="N81" s="1063">
        <v>0</v>
      </c>
      <c r="O81" s="1063"/>
      <c r="P81" s="1064">
        <f t="shared" ref="P81:P87" si="86">SUM(N81:O81)</f>
        <v>0</v>
      </c>
      <c r="Q81" s="933">
        <f t="shared" ref="Q81:Q87" si="87">K81*N81</f>
        <v>0</v>
      </c>
      <c r="R81" s="933">
        <f t="shared" ref="R81:R87" si="88">K81*O81</f>
        <v>0</v>
      </c>
      <c r="S81" s="933">
        <f t="shared" ref="S81:S87" si="89">K81*P81</f>
        <v>0</v>
      </c>
      <c r="T81" s="933">
        <f t="shared" ref="T81:T87" si="90">I81*P81</f>
        <v>0</v>
      </c>
      <c r="U81" s="933">
        <f t="shared" ref="U81:U87" si="91">J81*P81</f>
        <v>0</v>
      </c>
      <c r="V81" s="933">
        <f t="shared" ref="V81:V87" si="92">SUM(T81:U81)</f>
        <v>0</v>
      </c>
    </row>
    <row r="82" spans="1:22" ht="12.75" customHeight="1" x14ac:dyDescent="0.3">
      <c r="A82" s="1177" t="s">
        <v>63</v>
      </c>
      <c r="B82" s="1079">
        <v>14.02</v>
      </c>
      <c r="C82" s="1080" t="s">
        <v>337</v>
      </c>
      <c r="D82" s="1095" t="s">
        <v>211</v>
      </c>
      <c r="E82" s="1096">
        <v>434</v>
      </c>
      <c r="F82" s="1096">
        <f>'01 (2)'!H119*'01 (2)'!$T$5</f>
        <v>0</v>
      </c>
      <c r="G82" s="1318">
        <f t="shared" si="11"/>
        <v>16659</v>
      </c>
      <c r="H82" s="938">
        <v>16659</v>
      </c>
      <c r="I82" s="1062">
        <f t="shared" si="84"/>
        <v>0</v>
      </c>
      <c r="J82" s="1062">
        <f t="shared" si="85"/>
        <v>7230006</v>
      </c>
      <c r="K82" s="938">
        <f t="shared" si="74"/>
        <v>7230006</v>
      </c>
      <c r="M82" s="1051"/>
      <c r="N82" s="1063">
        <v>0</v>
      </c>
      <c r="O82" s="1063"/>
      <c r="P82" s="1064">
        <f t="shared" si="86"/>
        <v>0</v>
      </c>
      <c r="Q82" s="933">
        <f t="shared" si="87"/>
        <v>0</v>
      </c>
      <c r="R82" s="933">
        <f t="shared" si="88"/>
        <v>0</v>
      </c>
      <c r="S82" s="933">
        <f t="shared" si="89"/>
        <v>0</v>
      </c>
      <c r="T82" s="933">
        <f t="shared" si="90"/>
        <v>0</v>
      </c>
      <c r="U82" s="933">
        <f t="shared" si="91"/>
        <v>0</v>
      </c>
      <c r="V82" s="933">
        <f t="shared" si="92"/>
        <v>0</v>
      </c>
    </row>
    <row r="83" spans="1:22" ht="12.75" customHeight="1" x14ac:dyDescent="0.3">
      <c r="A83" s="1177" t="s">
        <v>63</v>
      </c>
      <c r="B83" s="934">
        <v>14.03</v>
      </c>
      <c r="C83" s="935" t="s">
        <v>338</v>
      </c>
      <c r="D83" s="1086" t="s">
        <v>238</v>
      </c>
      <c r="E83" s="937">
        <v>115</v>
      </c>
      <c r="F83" s="937">
        <f>'01 (2)'!H120*'01 (2)'!$T$5</f>
        <v>14222.782877261718</v>
      </c>
      <c r="G83" s="1318">
        <f t="shared" si="11"/>
        <v>21594.217122738282</v>
      </c>
      <c r="H83" s="938">
        <v>35817</v>
      </c>
      <c r="I83" s="1062">
        <f t="shared" si="84"/>
        <v>1635620.0308850976</v>
      </c>
      <c r="J83" s="1062">
        <f t="shared" si="85"/>
        <v>2483334.9691149024</v>
      </c>
      <c r="K83" s="938">
        <f t="shared" si="74"/>
        <v>4118955</v>
      </c>
      <c r="M83" s="1051"/>
      <c r="N83" s="1063">
        <v>0.1</v>
      </c>
      <c r="O83" s="1063">
        <v>0.1</v>
      </c>
      <c r="P83" s="1064">
        <f t="shared" si="86"/>
        <v>0.2</v>
      </c>
      <c r="Q83" s="933">
        <f t="shared" si="87"/>
        <v>411895.5</v>
      </c>
      <c r="R83" s="933">
        <f t="shared" si="88"/>
        <v>411895.5</v>
      </c>
      <c r="S83" s="933">
        <f t="shared" si="89"/>
        <v>823791</v>
      </c>
      <c r="T83" s="933">
        <f t="shared" si="90"/>
        <v>327124.00617701956</v>
      </c>
      <c r="U83" s="933">
        <f t="shared" si="91"/>
        <v>496666.9938229805</v>
      </c>
      <c r="V83" s="933">
        <f t="shared" si="92"/>
        <v>823791</v>
      </c>
    </row>
    <row r="84" spans="1:22" ht="12.75" customHeight="1" x14ac:dyDescent="0.3">
      <c r="A84" s="1177" t="s">
        <v>63</v>
      </c>
      <c r="B84" s="1079">
        <v>14.04</v>
      </c>
      <c r="C84" s="935" t="s">
        <v>339</v>
      </c>
      <c r="D84" s="1086" t="s">
        <v>238</v>
      </c>
      <c r="E84" s="937">
        <v>89</v>
      </c>
      <c r="F84" s="937">
        <f>'01 (2)'!H121*'01 (2)'!$T$5</f>
        <v>19537.857069328093</v>
      </c>
      <c r="G84" s="1318">
        <f t="shared" si="11"/>
        <v>21594.142930671907</v>
      </c>
      <c r="H84" s="938">
        <v>41132</v>
      </c>
      <c r="I84" s="1062">
        <f t="shared" si="84"/>
        <v>1738869.2791702002</v>
      </c>
      <c r="J84" s="1062">
        <f t="shared" si="85"/>
        <v>1921878.7208297998</v>
      </c>
      <c r="K84" s="938">
        <f t="shared" si="74"/>
        <v>3660748</v>
      </c>
      <c r="M84" s="1051"/>
      <c r="N84" s="1063">
        <v>0.1</v>
      </c>
      <c r="O84" s="1063">
        <v>0.1</v>
      </c>
      <c r="P84" s="1064">
        <f t="shared" si="86"/>
        <v>0.2</v>
      </c>
      <c r="Q84" s="933">
        <f t="shared" si="87"/>
        <v>366074.80000000005</v>
      </c>
      <c r="R84" s="933">
        <f t="shared" si="88"/>
        <v>366074.80000000005</v>
      </c>
      <c r="S84" s="933">
        <f t="shared" si="89"/>
        <v>732149.60000000009</v>
      </c>
      <c r="T84" s="933">
        <f t="shared" si="90"/>
        <v>347773.85583404009</v>
      </c>
      <c r="U84" s="933">
        <f t="shared" si="91"/>
        <v>384375.74416596</v>
      </c>
      <c r="V84" s="933">
        <f t="shared" si="92"/>
        <v>732149.60000000009</v>
      </c>
    </row>
    <row r="85" spans="1:22" ht="12.75" customHeight="1" x14ac:dyDescent="0.3">
      <c r="A85" s="1177" t="s">
        <v>63</v>
      </c>
      <c r="B85" s="934">
        <v>14.05</v>
      </c>
      <c r="C85" s="935" t="s">
        <v>340</v>
      </c>
      <c r="D85" s="1086" t="s">
        <v>211</v>
      </c>
      <c r="E85" s="937">
        <v>530</v>
      </c>
      <c r="F85" s="937">
        <f>'01 (2)'!H122*'01 (2)'!$T$5</f>
        <v>1416.5184138234417</v>
      </c>
      <c r="G85" s="1318">
        <f t="shared" si="11"/>
        <v>7857.4815861765583</v>
      </c>
      <c r="H85" s="938">
        <v>9274</v>
      </c>
      <c r="I85" s="1062">
        <f t="shared" si="84"/>
        <v>750754.7593264241</v>
      </c>
      <c r="J85" s="1062">
        <f t="shared" si="85"/>
        <v>4164465.240673576</v>
      </c>
      <c r="K85" s="938">
        <f t="shared" si="74"/>
        <v>4915220</v>
      </c>
      <c r="M85" s="1051"/>
      <c r="N85" s="1063">
        <v>0</v>
      </c>
      <c r="O85" s="1063"/>
      <c r="P85" s="1064">
        <f t="shared" si="86"/>
        <v>0</v>
      </c>
      <c r="Q85" s="933">
        <f t="shared" si="87"/>
        <v>0</v>
      </c>
      <c r="R85" s="933">
        <f t="shared" si="88"/>
        <v>0</v>
      </c>
      <c r="S85" s="933">
        <f t="shared" si="89"/>
        <v>0</v>
      </c>
      <c r="T85" s="933">
        <f t="shared" si="90"/>
        <v>0</v>
      </c>
      <c r="U85" s="933">
        <f t="shared" si="91"/>
        <v>0</v>
      </c>
      <c r="V85" s="933">
        <f t="shared" si="92"/>
        <v>0</v>
      </c>
    </row>
    <row r="86" spans="1:22" ht="12.75" customHeight="1" x14ac:dyDescent="0.3">
      <c r="A86" s="1177" t="s">
        <v>63</v>
      </c>
      <c r="B86" s="1079">
        <v>14.06</v>
      </c>
      <c r="C86" s="935" t="s">
        <v>341</v>
      </c>
      <c r="D86" s="1086" t="s">
        <v>211</v>
      </c>
      <c r="E86" s="937">
        <v>56</v>
      </c>
      <c r="F86" s="937">
        <f>'01 (2)'!H123*'01 (2)'!$T$5</f>
        <v>1416.5184138234417</v>
      </c>
      <c r="G86" s="1318">
        <f t="shared" si="11"/>
        <v>7857.4815861765583</v>
      </c>
      <c r="H86" s="938">
        <v>9274</v>
      </c>
      <c r="I86" s="1062">
        <f t="shared" si="84"/>
        <v>79325.031174112737</v>
      </c>
      <c r="J86" s="1062">
        <f t="shared" si="85"/>
        <v>440018.96882588725</v>
      </c>
      <c r="K86" s="938">
        <f t="shared" si="74"/>
        <v>519344</v>
      </c>
      <c r="M86" s="1051"/>
      <c r="N86" s="1063">
        <v>0</v>
      </c>
      <c r="O86" s="1063"/>
      <c r="P86" s="1064">
        <f t="shared" si="86"/>
        <v>0</v>
      </c>
      <c r="Q86" s="933">
        <f t="shared" si="87"/>
        <v>0</v>
      </c>
      <c r="R86" s="933">
        <f t="shared" si="88"/>
        <v>0</v>
      </c>
      <c r="S86" s="933">
        <f t="shared" si="89"/>
        <v>0</v>
      </c>
      <c r="T86" s="933">
        <f t="shared" si="90"/>
        <v>0</v>
      </c>
      <c r="U86" s="933">
        <f t="shared" si="91"/>
        <v>0</v>
      </c>
      <c r="V86" s="933">
        <f t="shared" si="92"/>
        <v>0</v>
      </c>
    </row>
    <row r="87" spans="1:22" ht="12.75" customHeight="1" x14ac:dyDescent="0.3">
      <c r="A87" s="1177" t="s">
        <v>63</v>
      </c>
      <c r="B87" s="934">
        <v>14.07</v>
      </c>
      <c r="C87" s="935" t="s">
        <v>342</v>
      </c>
      <c r="D87" s="1086" t="s">
        <v>238</v>
      </c>
      <c r="E87" s="937">
        <v>469</v>
      </c>
      <c r="F87" s="937">
        <f>'01 (2)'!H124*'01 (2)'!$T$5</f>
        <v>1420.8181526023616</v>
      </c>
      <c r="G87" s="1318">
        <f t="shared" si="11"/>
        <v>3915.1818473976382</v>
      </c>
      <c r="H87" s="938">
        <v>5336</v>
      </c>
      <c r="I87" s="1062">
        <f t="shared" si="84"/>
        <v>666363.71357050759</v>
      </c>
      <c r="J87" s="1062">
        <f t="shared" si="85"/>
        <v>1836220.2864294923</v>
      </c>
      <c r="K87" s="938">
        <f t="shared" si="74"/>
        <v>2502584</v>
      </c>
      <c r="M87" s="1051"/>
      <c r="N87" s="1063">
        <v>0.15000000000000002</v>
      </c>
      <c r="O87" s="1063"/>
      <c r="P87" s="1064">
        <f t="shared" si="86"/>
        <v>0.15000000000000002</v>
      </c>
      <c r="Q87" s="933">
        <f t="shared" si="87"/>
        <v>375387.60000000003</v>
      </c>
      <c r="R87" s="933">
        <f t="shared" si="88"/>
        <v>0</v>
      </c>
      <c r="S87" s="933">
        <f t="shared" si="89"/>
        <v>375387.60000000003</v>
      </c>
      <c r="T87" s="933">
        <f t="shared" si="90"/>
        <v>99954.557035576159</v>
      </c>
      <c r="U87" s="933">
        <f t="shared" si="91"/>
        <v>275433.04296442389</v>
      </c>
      <c r="V87" s="933">
        <f t="shared" si="92"/>
        <v>375387.60000000003</v>
      </c>
    </row>
    <row r="88" spans="1:22" ht="12.75" customHeight="1" x14ac:dyDescent="0.3">
      <c r="A88" s="1201"/>
      <c r="B88" s="909">
        <v>15</v>
      </c>
      <c r="C88" s="915" t="s">
        <v>343</v>
      </c>
      <c r="D88" s="916"/>
      <c r="E88" s="917"/>
      <c r="F88" s="917"/>
      <c r="G88" s="917"/>
      <c r="H88" s="917"/>
      <c r="I88" s="917"/>
      <c r="J88" s="917"/>
      <c r="K88" s="917"/>
      <c r="L88" s="918">
        <f>+SUM(K89:K100)</f>
        <v>81675029</v>
      </c>
      <c r="M88" s="1051">
        <f>+L88/$L$195</f>
        <v>9.667454388049064E-2</v>
      </c>
      <c r="N88" s="1052"/>
      <c r="O88" s="1053"/>
      <c r="P88" s="1053"/>
      <c r="Q88" s="1054"/>
      <c r="R88" s="1054"/>
      <c r="S88" s="1055"/>
      <c r="T88" s="1055"/>
      <c r="U88" s="1055"/>
      <c r="V88" s="1055"/>
    </row>
    <row r="89" spans="1:22" ht="12.75" customHeight="1" x14ac:dyDescent="0.3">
      <c r="A89" s="1177" t="s">
        <v>64</v>
      </c>
      <c r="B89" s="1090">
        <v>15.01</v>
      </c>
      <c r="C89" s="1091" t="s">
        <v>756</v>
      </c>
      <c r="D89" s="1097" t="s">
        <v>238</v>
      </c>
      <c r="E89" s="1098">
        <v>739</v>
      </c>
      <c r="F89" s="1320">
        <f>'01 (2)'!H126*'01 (2)'!$T$5</f>
        <v>2432.1292965373323</v>
      </c>
      <c r="G89" s="1318">
        <f t="shared" si="11"/>
        <v>19642.870703462668</v>
      </c>
      <c r="H89" s="938">
        <v>22075</v>
      </c>
      <c r="I89" s="1062">
        <f t="shared" ref="I89:I100" si="93">E89*F89</f>
        <v>1797343.5501410884</v>
      </c>
      <c r="J89" s="1062">
        <f t="shared" ref="J89:J100" si="94">E89*G89</f>
        <v>14516081.449858911</v>
      </c>
      <c r="K89" s="938">
        <f t="shared" si="74"/>
        <v>16313425</v>
      </c>
      <c r="L89" s="1071"/>
      <c r="M89" s="1099"/>
      <c r="N89" s="1063">
        <v>0</v>
      </c>
      <c r="O89" s="1063"/>
      <c r="P89" s="1064">
        <f t="shared" ref="P89:P100" si="95">SUM(N89:O89)</f>
        <v>0</v>
      </c>
      <c r="Q89" s="933">
        <f t="shared" ref="Q89:Q100" si="96">K89*N89</f>
        <v>0</v>
      </c>
      <c r="R89" s="933">
        <f t="shared" ref="R89:R100" si="97">K89*O89</f>
        <v>0</v>
      </c>
      <c r="S89" s="933">
        <f t="shared" ref="S89:S100" si="98">K89*P89</f>
        <v>0</v>
      </c>
      <c r="T89" s="933">
        <f t="shared" ref="T89:T100" si="99">I89*P89</f>
        <v>0</v>
      </c>
      <c r="U89" s="933">
        <f t="shared" ref="U89:U100" si="100">J89*P89</f>
        <v>0</v>
      </c>
      <c r="V89" s="933">
        <f t="shared" ref="V89:V100" si="101">SUM(T89:U89)</f>
        <v>0</v>
      </c>
    </row>
    <row r="90" spans="1:22" ht="12.75" customHeight="1" x14ac:dyDescent="0.3">
      <c r="A90" s="1177" t="s">
        <v>64</v>
      </c>
      <c r="B90" s="1072">
        <v>15.02</v>
      </c>
      <c r="C90" s="935" t="s">
        <v>345</v>
      </c>
      <c r="D90" s="1083" t="s">
        <v>238</v>
      </c>
      <c r="E90" s="942">
        <v>1439</v>
      </c>
      <c r="F90" s="942">
        <f>'01 (2)'!H127*'01 (2)'!$T$5</f>
        <v>3028.0616061101764</v>
      </c>
      <c r="G90" s="1318">
        <f t="shared" ref="G90:G100" si="102">H90-F90</f>
        <v>5854.9383938898236</v>
      </c>
      <c r="H90" s="938">
        <v>8883</v>
      </c>
      <c r="I90" s="1062">
        <f t="shared" si="93"/>
        <v>4357380.651192544</v>
      </c>
      <c r="J90" s="1062">
        <f t="shared" si="94"/>
        <v>8425256.348807456</v>
      </c>
      <c r="K90" s="938">
        <f t="shared" si="74"/>
        <v>12782637</v>
      </c>
      <c r="L90" s="1071"/>
      <c r="M90" s="1099"/>
      <c r="N90" s="1063">
        <v>0</v>
      </c>
      <c r="O90" s="1063"/>
      <c r="P90" s="1064">
        <f t="shared" si="95"/>
        <v>0</v>
      </c>
      <c r="Q90" s="933">
        <f t="shared" si="96"/>
        <v>0</v>
      </c>
      <c r="R90" s="933">
        <f t="shared" si="97"/>
        <v>0</v>
      </c>
      <c r="S90" s="933">
        <f t="shared" si="98"/>
        <v>0</v>
      </c>
      <c r="T90" s="933">
        <f t="shared" si="99"/>
        <v>0</v>
      </c>
      <c r="U90" s="933">
        <f t="shared" si="100"/>
        <v>0</v>
      </c>
      <c r="V90" s="933">
        <f t="shared" si="101"/>
        <v>0</v>
      </c>
    </row>
    <row r="91" spans="1:22" ht="12.75" customHeight="1" x14ac:dyDescent="0.3">
      <c r="A91" s="1177" t="s">
        <v>64</v>
      </c>
      <c r="B91" s="1072">
        <v>15.03</v>
      </c>
      <c r="C91" s="935" t="s">
        <v>346</v>
      </c>
      <c r="D91" s="1083" t="s">
        <v>238</v>
      </c>
      <c r="E91" s="942">
        <v>462</v>
      </c>
      <c r="F91" s="942">
        <f>'01 (2)'!H128*'01 (2)'!$T$5</f>
        <v>3896.58386574519</v>
      </c>
      <c r="G91" s="1318">
        <f t="shared" si="102"/>
        <v>10398.41613425481</v>
      </c>
      <c r="H91" s="938">
        <v>14295</v>
      </c>
      <c r="I91" s="1062">
        <f t="shared" si="93"/>
        <v>1800221.7459742778</v>
      </c>
      <c r="J91" s="1062">
        <f t="shared" si="94"/>
        <v>4804068.2540257229</v>
      </c>
      <c r="K91" s="938">
        <f t="shared" si="74"/>
        <v>6604290</v>
      </c>
      <c r="L91" s="1071"/>
      <c r="M91" s="1099"/>
      <c r="N91" s="1063">
        <v>0</v>
      </c>
      <c r="O91" s="1063"/>
      <c r="P91" s="1064">
        <f t="shared" si="95"/>
        <v>0</v>
      </c>
      <c r="Q91" s="933">
        <f t="shared" si="96"/>
        <v>0</v>
      </c>
      <c r="R91" s="933">
        <f t="shared" si="97"/>
        <v>0</v>
      </c>
      <c r="S91" s="933">
        <f t="shared" si="98"/>
        <v>0</v>
      </c>
      <c r="T91" s="933">
        <f t="shared" si="99"/>
        <v>0</v>
      </c>
      <c r="U91" s="933">
        <f t="shared" si="100"/>
        <v>0</v>
      </c>
      <c r="V91" s="933">
        <f t="shared" si="101"/>
        <v>0</v>
      </c>
    </row>
    <row r="92" spans="1:22" ht="12.75" customHeight="1" x14ac:dyDescent="0.3">
      <c r="A92" s="1177" t="s">
        <v>64</v>
      </c>
      <c r="B92" s="1072">
        <v>15.04</v>
      </c>
      <c r="C92" s="935" t="s">
        <v>757</v>
      </c>
      <c r="D92" s="1083" t="s">
        <v>238</v>
      </c>
      <c r="E92" s="942">
        <v>144</v>
      </c>
      <c r="F92" s="942">
        <f>'01 (2)'!H129*'01 (2)'!$T$5</f>
        <v>2854.2929489731896</v>
      </c>
      <c r="G92" s="1318">
        <f t="shared" si="102"/>
        <v>4683.7070510268104</v>
      </c>
      <c r="H92" s="938">
        <v>7538</v>
      </c>
      <c r="I92" s="1062">
        <f t="shared" si="93"/>
        <v>411018.18465213932</v>
      </c>
      <c r="J92" s="1062">
        <f t="shared" si="94"/>
        <v>674453.81534786068</v>
      </c>
      <c r="K92" s="938">
        <f t="shared" si="74"/>
        <v>1085472</v>
      </c>
      <c r="L92" s="1071"/>
      <c r="M92" s="1099"/>
      <c r="N92" s="1063">
        <v>0</v>
      </c>
      <c r="O92" s="1063"/>
      <c r="P92" s="1064">
        <f t="shared" si="95"/>
        <v>0</v>
      </c>
      <c r="Q92" s="933">
        <f t="shared" si="96"/>
        <v>0</v>
      </c>
      <c r="R92" s="933">
        <f t="shared" si="97"/>
        <v>0</v>
      </c>
      <c r="S92" s="933">
        <f t="shared" si="98"/>
        <v>0</v>
      </c>
      <c r="T92" s="933">
        <f t="shared" si="99"/>
        <v>0</v>
      </c>
      <c r="U92" s="933">
        <f t="shared" si="100"/>
        <v>0</v>
      </c>
      <c r="V92" s="933">
        <f t="shared" si="101"/>
        <v>0</v>
      </c>
    </row>
    <row r="93" spans="1:22" ht="12.75" customHeight="1" x14ac:dyDescent="0.3">
      <c r="A93" s="1177" t="s">
        <v>64</v>
      </c>
      <c r="B93" s="1072">
        <v>15.05</v>
      </c>
      <c r="C93" s="935" t="s">
        <v>348</v>
      </c>
      <c r="D93" s="1083" t="s">
        <v>238</v>
      </c>
      <c r="E93" s="942">
        <v>460</v>
      </c>
      <c r="F93" s="942">
        <f>'01 (2)'!H130*'01 (2)'!$T$5</f>
        <v>3028.0616061101764</v>
      </c>
      <c r="G93" s="1318">
        <f t="shared" si="102"/>
        <v>5854.9383938898236</v>
      </c>
      <c r="H93" s="938">
        <v>8883</v>
      </c>
      <c r="I93" s="1062">
        <f t="shared" si="93"/>
        <v>1392908.3388106811</v>
      </c>
      <c r="J93" s="1062">
        <f t="shared" si="94"/>
        <v>2693271.6611893186</v>
      </c>
      <c r="K93" s="938">
        <f t="shared" si="74"/>
        <v>4086180</v>
      </c>
      <c r="L93" s="1071"/>
      <c r="M93" s="1099"/>
      <c r="N93" s="1063">
        <v>0</v>
      </c>
      <c r="O93" s="1063"/>
      <c r="P93" s="1064">
        <f t="shared" si="95"/>
        <v>0</v>
      </c>
      <c r="Q93" s="933">
        <f t="shared" si="96"/>
        <v>0</v>
      </c>
      <c r="R93" s="933">
        <f t="shared" si="97"/>
        <v>0</v>
      </c>
      <c r="S93" s="933">
        <f t="shared" si="98"/>
        <v>0</v>
      </c>
      <c r="T93" s="933">
        <f t="shared" si="99"/>
        <v>0</v>
      </c>
      <c r="U93" s="933">
        <f t="shared" si="100"/>
        <v>0</v>
      </c>
      <c r="V93" s="933">
        <f t="shared" si="101"/>
        <v>0</v>
      </c>
    </row>
    <row r="94" spans="1:22" ht="12.75" customHeight="1" x14ac:dyDescent="0.3">
      <c r="A94" s="1177" t="s">
        <v>64</v>
      </c>
      <c r="B94" s="1072">
        <v>15.06</v>
      </c>
      <c r="C94" s="935" t="s">
        <v>349</v>
      </c>
      <c r="D94" s="1083" t="s">
        <v>238</v>
      </c>
      <c r="E94" s="942">
        <v>204</v>
      </c>
      <c r="F94" s="942">
        <f>'01 (2)'!H131*'01 (2)'!$T$5</f>
        <v>3896.58386574519</v>
      </c>
      <c r="G94" s="1318">
        <f t="shared" si="102"/>
        <v>11853.41613425481</v>
      </c>
      <c r="H94" s="938">
        <v>15750</v>
      </c>
      <c r="I94" s="1062">
        <f t="shared" si="93"/>
        <v>794903.10861201875</v>
      </c>
      <c r="J94" s="1062">
        <f t="shared" si="94"/>
        <v>2418096.8913879814</v>
      </c>
      <c r="K94" s="938">
        <f t="shared" si="74"/>
        <v>3213000</v>
      </c>
      <c r="L94" s="1071"/>
      <c r="M94" s="1099"/>
      <c r="N94" s="1063">
        <v>0</v>
      </c>
      <c r="O94" s="1063"/>
      <c r="P94" s="1064">
        <f t="shared" si="95"/>
        <v>0</v>
      </c>
      <c r="Q94" s="933">
        <f t="shared" si="96"/>
        <v>0</v>
      </c>
      <c r="R94" s="933">
        <f t="shared" si="97"/>
        <v>0</v>
      </c>
      <c r="S94" s="933">
        <f t="shared" si="98"/>
        <v>0</v>
      </c>
      <c r="T94" s="933">
        <f t="shared" si="99"/>
        <v>0</v>
      </c>
      <c r="U94" s="933">
        <f t="shared" si="100"/>
        <v>0</v>
      </c>
      <c r="V94" s="933">
        <f t="shared" si="101"/>
        <v>0</v>
      </c>
    </row>
    <row r="95" spans="1:22" ht="12.75" customHeight="1" x14ac:dyDescent="0.3">
      <c r="A95" s="1177" t="s">
        <v>64</v>
      </c>
      <c r="B95" s="1072">
        <v>15.07</v>
      </c>
      <c r="C95" s="935" t="s">
        <v>350</v>
      </c>
      <c r="D95" s="941" t="s">
        <v>238</v>
      </c>
      <c r="E95" s="942">
        <v>262</v>
      </c>
      <c r="F95" s="942">
        <f>'01 (2)'!H132*'01 (2)'!$T$5</f>
        <v>10173.491810236757</v>
      </c>
      <c r="G95" s="1318">
        <f t="shared" si="102"/>
        <v>6980.5081897632426</v>
      </c>
      <c r="H95" s="938">
        <v>17154</v>
      </c>
      <c r="I95" s="1062">
        <f t="shared" si="93"/>
        <v>2665454.8542820304</v>
      </c>
      <c r="J95" s="1062">
        <f t="shared" si="94"/>
        <v>1828893.1457179696</v>
      </c>
      <c r="K95" s="938">
        <f t="shared" si="74"/>
        <v>4494348</v>
      </c>
      <c r="L95" s="1071"/>
      <c r="M95" s="1051"/>
      <c r="N95" s="1063">
        <v>0</v>
      </c>
      <c r="O95" s="1063"/>
      <c r="P95" s="1064">
        <f t="shared" si="95"/>
        <v>0</v>
      </c>
      <c r="Q95" s="933">
        <f t="shared" si="96"/>
        <v>0</v>
      </c>
      <c r="R95" s="933">
        <f t="shared" si="97"/>
        <v>0</v>
      </c>
      <c r="S95" s="933">
        <f t="shared" si="98"/>
        <v>0</v>
      </c>
      <c r="T95" s="933">
        <f t="shared" si="99"/>
        <v>0</v>
      </c>
      <c r="U95" s="933">
        <f t="shared" si="100"/>
        <v>0</v>
      </c>
      <c r="V95" s="933">
        <f t="shared" si="101"/>
        <v>0</v>
      </c>
    </row>
    <row r="96" spans="1:22" ht="12.75" customHeight="1" x14ac:dyDescent="0.3">
      <c r="A96" s="1177" t="s">
        <v>64</v>
      </c>
      <c r="B96" s="1072">
        <v>15.08</v>
      </c>
      <c r="C96" s="935" t="s">
        <v>351</v>
      </c>
      <c r="D96" s="1083" t="s">
        <v>238</v>
      </c>
      <c r="E96" s="946">
        <v>756</v>
      </c>
      <c r="F96" s="946">
        <f>'01 (2)'!H133*'01 (2)'!$T$5</f>
        <v>13327.274271410151</v>
      </c>
      <c r="G96" s="1318">
        <f t="shared" si="102"/>
        <v>13206.725728589849</v>
      </c>
      <c r="H96" s="938">
        <v>26534</v>
      </c>
      <c r="I96" s="1062">
        <f t="shared" si="93"/>
        <v>10075419.349186074</v>
      </c>
      <c r="J96" s="1062">
        <f t="shared" si="94"/>
        <v>9984284.650813926</v>
      </c>
      <c r="K96" s="938">
        <f t="shared" si="74"/>
        <v>20059704</v>
      </c>
      <c r="L96" s="1071"/>
      <c r="M96" s="1084"/>
      <c r="N96" s="1063">
        <v>0</v>
      </c>
      <c r="O96" s="1063"/>
      <c r="P96" s="1064">
        <f t="shared" si="95"/>
        <v>0</v>
      </c>
      <c r="Q96" s="933">
        <f t="shared" si="96"/>
        <v>0</v>
      </c>
      <c r="R96" s="933">
        <f t="shared" si="97"/>
        <v>0</v>
      </c>
      <c r="S96" s="933">
        <f t="shared" si="98"/>
        <v>0</v>
      </c>
      <c r="T96" s="933">
        <f t="shared" si="99"/>
        <v>0</v>
      </c>
      <c r="U96" s="933">
        <f t="shared" si="100"/>
        <v>0</v>
      </c>
      <c r="V96" s="933">
        <f t="shared" si="101"/>
        <v>0</v>
      </c>
    </row>
    <row r="97" spans="1:22" ht="12.75" customHeight="1" x14ac:dyDescent="0.3">
      <c r="A97" s="1177" t="s">
        <v>64</v>
      </c>
      <c r="B97" s="1072">
        <v>15.09</v>
      </c>
      <c r="C97" s="935" t="s">
        <v>352</v>
      </c>
      <c r="D97" s="1083" t="s">
        <v>238</v>
      </c>
      <c r="E97" s="946">
        <v>56</v>
      </c>
      <c r="F97" s="946">
        <f>'01 (2)'!H134*'01 (2)'!$T$5</f>
        <v>13327.274271410151</v>
      </c>
      <c r="G97" s="1318">
        <f t="shared" si="102"/>
        <v>18409.725728589849</v>
      </c>
      <c r="H97" s="938">
        <v>31737</v>
      </c>
      <c r="I97" s="1062">
        <f t="shared" si="93"/>
        <v>746327.35919896851</v>
      </c>
      <c r="J97" s="1062">
        <f t="shared" si="94"/>
        <v>1030944.6408010315</v>
      </c>
      <c r="K97" s="938">
        <f t="shared" si="74"/>
        <v>1777272</v>
      </c>
      <c r="L97" s="1071"/>
      <c r="M97" s="1084"/>
      <c r="N97" s="1063">
        <v>0</v>
      </c>
      <c r="O97" s="1063"/>
      <c r="P97" s="1064">
        <f t="shared" si="95"/>
        <v>0</v>
      </c>
      <c r="Q97" s="933">
        <f t="shared" si="96"/>
        <v>0</v>
      </c>
      <c r="R97" s="933">
        <f t="shared" si="97"/>
        <v>0</v>
      </c>
      <c r="S97" s="933">
        <f t="shared" si="98"/>
        <v>0</v>
      </c>
      <c r="T97" s="933">
        <f t="shared" si="99"/>
        <v>0</v>
      </c>
      <c r="U97" s="933">
        <f t="shared" si="100"/>
        <v>0</v>
      </c>
      <c r="V97" s="933">
        <f t="shared" si="101"/>
        <v>0</v>
      </c>
    </row>
    <row r="98" spans="1:22" ht="12.75" customHeight="1" x14ac:dyDescent="0.3">
      <c r="A98" s="1177" t="s">
        <v>64</v>
      </c>
      <c r="B98" s="1072">
        <v>15.1</v>
      </c>
      <c r="C98" s="935" t="s">
        <v>353</v>
      </c>
      <c r="D98" s="1083" t="s">
        <v>207</v>
      </c>
      <c r="E98" s="946">
        <v>1</v>
      </c>
      <c r="F98" s="946">
        <f>'01 (2)'!H135*'01 (2)'!$T$5</f>
        <v>266545.48542820307</v>
      </c>
      <c r="G98" s="1318">
        <f t="shared" si="102"/>
        <v>618485.51457179687</v>
      </c>
      <c r="H98" s="938">
        <v>885031</v>
      </c>
      <c r="I98" s="1062">
        <f t="shared" si="93"/>
        <v>266545.48542820307</v>
      </c>
      <c r="J98" s="1062">
        <f t="shared" si="94"/>
        <v>618485.51457179687</v>
      </c>
      <c r="K98" s="938">
        <f t="shared" si="74"/>
        <v>885031</v>
      </c>
      <c r="M98" s="1051"/>
      <c r="N98" s="1063">
        <v>0</v>
      </c>
      <c r="O98" s="1063"/>
      <c r="P98" s="1064">
        <f t="shared" si="95"/>
        <v>0</v>
      </c>
      <c r="Q98" s="933">
        <f t="shared" si="96"/>
        <v>0</v>
      </c>
      <c r="R98" s="933">
        <f t="shared" si="97"/>
        <v>0</v>
      </c>
      <c r="S98" s="933">
        <f t="shared" si="98"/>
        <v>0</v>
      </c>
      <c r="T98" s="933">
        <f t="shared" si="99"/>
        <v>0</v>
      </c>
      <c r="U98" s="933">
        <f t="shared" si="100"/>
        <v>0</v>
      </c>
      <c r="V98" s="933">
        <f t="shared" si="101"/>
        <v>0</v>
      </c>
    </row>
    <row r="99" spans="1:22" ht="12.75" customHeight="1" x14ac:dyDescent="0.3">
      <c r="A99" s="1177" t="s">
        <v>64</v>
      </c>
      <c r="B99" s="1072">
        <v>15.11</v>
      </c>
      <c r="C99" s="935" t="s">
        <v>758</v>
      </c>
      <c r="D99" s="1083" t="s">
        <v>294</v>
      </c>
      <c r="E99" s="946">
        <v>73</v>
      </c>
      <c r="F99" s="946">
        <f>'01 (2)'!H136*'01 (2)'!$T$5</f>
        <v>15654.248247633832</v>
      </c>
      <c r="G99" s="1318">
        <f t="shared" si="102"/>
        <v>67731.751752366166</v>
      </c>
      <c r="H99" s="938">
        <v>83386</v>
      </c>
      <c r="I99" s="1062">
        <f t="shared" si="93"/>
        <v>1142760.1220772697</v>
      </c>
      <c r="J99" s="1062">
        <f t="shared" si="94"/>
        <v>4944417.8779227305</v>
      </c>
      <c r="K99" s="938">
        <f t="shared" si="74"/>
        <v>6087178</v>
      </c>
      <c r="M99" s="1051"/>
      <c r="N99" s="1063">
        <v>0</v>
      </c>
      <c r="O99" s="1063"/>
      <c r="P99" s="1064">
        <f t="shared" si="95"/>
        <v>0</v>
      </c>
      <c r="Q99" s="933">
        <f t="shared" si="96"/>
        <v>0</v>
      </c>
      <c r="R99" s="933">
        <f t="shared" si="97"/>
        <v>0</v>
      </c>
      <c r="S99" s="933">
        <f t="shared" si="98"/>
        <v>0</v>
      </c>
      <c r="T99" s="933">
        <f t="shared" si="99"/>
        <v>0</v>
      </c>
      <c r="U99" s="933">
        <f t="shared" si="100"/>
        <v>0</v>
      </c>
      <c r="V99" s="933">
        <f t="shared" si="101"/>
        <v>0</v>
      </c>
    </row>
    <row r="100" spans="1:22" ht="12.75" customHeight="1" x14ac:dyDescent="0.3">
      <c r="A100" s="1177" t="s">
        <v>64</v>
      </c>
      <c r="B100" s="1072">
        <v>15.12</v>
      </c>
      <c r="C100" s="1100" t="s">
        <v>759</v>
      </c>
      <c r="D100" s="1085" t="s">
        <v>207</v>
      </c>
      <c r="E100" s="956">
        <v>1</v>
      </c>
      <c r="F100" s="952">
        <f>'01 (2)'!H137*'01 (2)'!$T$5</f>
        <v>522669.21963911445</v>
      </c>
      <c r="G100" s="1318">
        <f t="shared" si="102"/>
        <v>3763822.7803608854</v>
      </c>
      <c r="H100" s="938">
        <v>4286492</v>
      </c>
      <c r="I100" s="1062">
        <f t="shared" si="93"/>
        <v>522669.21963911445</v>
      </c>
      <c r="J100" s="1062">
        <f t="shared" si="94"/>
        <v>3763822.7803608854</v>
      </c>
      <c r="K100" s="938">
        <f t="shared" si="74"/>
        <v>4286492</v>
      </c>
      <c r="M100" s="1051"/>
      <c r="N100" s="1063">
        <v>0</v>
      </c>
      <c r="O100" s="1063"/>
      <c r="P100" s="1064">
        <f t="shared" si="95"/>
        <v>0</v>
      </c>
      <c r="Q100" s="933">
        <f t="shared" si="96"/>
        <v>0</v>
      </c>
      <c r="R100" s="933">
        <f t="shared" si="97"/>
        <v>0</v>
      </c>
      <c r="S100" s="933">
        <f t="shared" si="98"/>
        <v>0</v>
      </c>
      <c r="T100" s="933">
        <f t="shared" si="99"/>
        <v>0</v>
      </c>
      <c r="U100" s="933">
        <f t="shared" si="100"/>
        <v>0</v>
      </c>
      <c r="V100" s="933">
        <f t="shared" si="101"/>
        <v>0</v>
      </c>
    </row>
    <row r="101" spans="1:22" ht="12.75" customHeight="1" x14ac:dyDescent="0.3">
      <c r="A101" s="1201"/>
      <c r="B101" s="909">
        <v>16</v>
      </c>
      <c r="C101" s="1101" t="s">
        <v>356</v>
      </c>
      <c r="D101" s="916"/>
      <c r="E101" s="917"/>
      <c r="F101" s="917"/>
      <c r="G101" s="917"/>
      <c r="H101" s="917"/>
      <c r="I101" s="917"/>
      <c r="J101" s="917"/>
      <c r="K101" s="917"/>
      <c r="L101" s="918">
        <f>+SUM(K102)</f>
        <v>0</v>
      </c>
      <c r="M101" s="1051">
        <f>+L101/$L$195</f>
        <v>0</v>
      </c>
      <c r="N101" s="1052"/>
      <c r="O101" s="1053"/>
      <c r="P101" s="1053"/>
      <c r="Q101" s="1054"/>
      <c r="R101" s="1054"/>
      <c r="S101" s="1055"/>
      <c r="T101" s="1055"/>
      <c r="U101" s="1055"/>
      <c r="V101" s="1055"/>
    </row>
    <row r="102" spans="1:22" ht="12.75" customHeight="1" x14ac:dyDescent="0.3">
      <c r="A102" s="1177" t="s">
        <v>65</v>
      </c>
      <c r="B102" s="925"/>
      <c r="C102" s="926"/>
      <c r="D102" s="1056"/>
      <c r="E102" s="1057"/>
      <c r="F102" s="1318">
        <f>'01 (2)'!H139*'01 (2)'!$T$5</f>
        <v>0</v>
      </c>
      <c r="G102" s="1318">
        <f t="shared" ref="G102" si="103">H102-F102</f>
        <v>0</v>
      </c>
      <c r="H102" s="1068">
        <v>0</v>
      </c>
      <c r="I102" s="1062">
        <f>E102*F102</f>
        <v>0</v>
      </c>
      <c r="J102" s="1062">
        <f>E102*G102</f>
        <v>0</v>
      </c>
      <c r="K102" s="1062">
        <f t="shared" si="74"/>
        <v>0</v>
      </c>
      <c r="L102" s="1070"/>
      <c r="M102" s="1084"/>
      <c r="N102" s="1063">
        <v>0</v>
      </c>
      <c r="O102" s="1063"/>
      <c r="P102" s="1064">
        <f>SUM(N102:O102)</f>
        <v>0</v>
      </c>
      <c r="Q102" s="933">
        <f>K102*N102</f>
        <v>0</v>
      </c>
      <c r="R102" s="933">
        <f>K102*O102</f>
        <v>0</v>
      </c>
      <c r="S102" s="933">
        <f>K102*P102</f>
        <v>0</v>
      </c>
      <c r="T102" s="933">
        <f>I102*P102</f>
        <v>0</v>
      </c>
      <c r="U102" s="933">
        <f>J102*P102</f>
        <v>0</v>
      </c>
      <c r="V102" s="933">
        <f>SUM(T102:U102)</f>
        <v>0</v>
      </c>
    </row>
    <row r="103" spans="1:22" ht="12.75" customHeight="1" x14ac:dyDescent="0.3">
      <c r="A103" s="1201"/>
      <c r="B103" s="909">
        <v>17</v>
      </c>
      <c r="C103" s="915" t="s">
        <v>357</v>
      </c>
      <c r="D103" s="916"/>
      <c r="E103" s="917"/>
      <c r="F103" s="917"/>
      <c r="G103" s="917"/>
      <c r="H103" s="917"/>
      <c r="I103" s="917"/>
      <c r="J103" s="917"/>
      <c r="K103" s="917"/>
      <c r="L103" s="918">
        <f>+SUM(K104:K107)</f>
        <v>9415299</v>
      </c>
      <c r="M103" s="1051">
        <f>+L103/$L$195</f>
        <v>1.1144406649962005E-2</v>
      </c>
      <c r="N103" s="1052"/>
      <c r="O103" s="1053"/>
      <c r="P103" s="1053"/>
      <c r="Q103" s="1054"/>
      <c r="R103" s="1054"/>
      <c r="S103" s="1055"/>
      <c r="T103" s="1055"/>
      <c r="U103" s="1055"/>
      <c r="V103" s="1055"/>
    </row>
    <row r="104" spans="1:22" ht="12.75" customHeight="1" x14ac:dyDescent="0.3">
      <c r="A104" s="1177" t="s">
        <v>62</v>
      </c>
      <c r="B104" s="925">
        <f>+B103+0.01</f>
        <v>17.010000000000002</v>
      </c>
      <c r="C104" s="1102" t="s">
        <v>760</v>
      </c>
      <c r="D104" s="1103" t="s">
        <v>243</v>
      </c>
      <c r="E104" s="1057">
        <v>57</v>
      </c>
      <c r="F104" s="1057">
        <f>'01 (2)'!H141*'01 (2)'!$T$5</f>
        <v>5419.3089377371662</v>
      </c>
      <c r="G104" s="1318">
        <f t="shared" ref="G104:G107" si="104">H104-F104</f>
        <v>73901.691062262835</v>
      </c>
      <c r="H104" s="929">
        <v>79321</v>
      </c>
      <c r="I104" s="1062">
        <f t="shared" ref="I104:I107" si="105">E104*F104</f>
        <v>308900.60945101845</v>
      </c>
      <c r="J104" s="1062">
        <f t="shared" ref="J104:J107" si="106">E104*G104</f>
        <v>4212396.3905489817</v>
      </c>
      <c r="K104" s="929">
        <f t="shared" si="74"/>
        <v>4521297</v>
      </c>
      <c r="L104" s="1058"/>
      <c r="M104" s="1051"/>
      <c r="N104" s="1063">
        <v>0.7</v>
      </c>
      <c r="O104" s="1063">
        <v>0.3</v>
      </c>
      <c r="P104" s="1064">
        <f t="shared" ref="P104:P107" si="107">SUM(N104:O104)</f>
        <v>1</v>
      </c>
      <c r="Q104" s="933">
        <f t="shared" ref="Q104:Q107" si="108">K104*N104</f>
        <v>3164907.9</v>
      </c>
      <c r="R104" s="933">
        <f t="shared" ref="R104:R107" si="109">K104*O104</f>
        <v>1356389.0999999999</v>
      </c>
      <c r="S104" s="933">
        <f t="shared" ref="S104:S107" si="110">K104*P104</f>
        <v>4521297</v>
      </c>
      <c r="T104" s="933">
        <f t="shared" ref="T104:T107" si="111">I104*P104</f>
        <v>308900.60945101845</v>
      </c>
      <c r="U104" s="933">
        <f t="shared" ref="U104:U107" si="112">J104*P104</f>
        <v>4212396.3905489817</v>
      </c>
      <c r="V104" s="933">
        <f t="shared" ref="V104:V107" si="113">SUM(T104:U104)</f>
        <v>4521297</v>
      </c>
    </row>
    <row r="105" spans="1:22" ht="12.75" customHeight="1" x14ac:dyDescent="0.3">
      <c r="A105" s="1177" t="s">
        <v>62</v>
      </c>
      <c r="B105" s="934">
        <v>17.02</v>
      </c>
      <c r="C105" s="1104" t="s">
        <v>359</v>
      </c>
      <c r="D105" s="1105" t="s">
        <v>243</v>
      </c>
      <c r="E105" s="946">
        <v>11</v>
      </c>
      <c r="F105" s="946">
        <f>'01 (2)'!H142*'01 (2)'!$T$5</f>
        <v>5419.3089377371662</v>
      </c>
      <c r="G105" s="1318">
        <f t="shared" si="104"/>
        <v>73901.691062262835</v>
      </c>
      <c r="H105" s="938">
        <v>79321</v>
      </c>
      <c r="I105" s="1062">
        <f t="shared" si="105"/>
        <v>59612.398315108825</v>
      </c>
      <c r="J105" s="1062">
        <f t="shared" si="106"/>
        <v>812918.60168489115</v>
      </c>
      <c r="K105" s="938">
        <f t="shared" si="74"/>
        <v>872531</v>
      </c>
      <c r="L105" s="1058"/>
      <c r="M105" s="1051"/>
      <c r="N105" s="1063">
        <v>0</v>
      </c>
      <c r="O105" s="1063"/>
      <c r="P105" s="1064">
        <f t="shared" si="107"/>
        <v>0</v>
      </c>
      <c r="Q105" s="933">
        <f t="shared" si="108"/>
        <v>0</v>
      </c>
      <c r="R105" s="933">
        <f t="shared" si="109"/>
        <v>0</v>
      </c>
      <c r="S105" s="933">
        <f t="shared" si="110"/>
        <v>0</v>
      </c>
      <c r="T105" s="933">
        <f t="shared" si="111"/>
        <v>0</v>
      </c>
      <c r="U105" s="933">
        <f t="shared" si="112"/>
        <v>0</v>
      </c>
      <c r="V105" s="933">
        <f t="shared" si="113"/>
        <v>0</v>
      </c>
    </row>
    <row r="106" spans="1:22" ht="12.75" customHeight="1" x14ac:dyDescent="0.3">
      <c r="A106" s="1177" t="s">
        <v>62</v>
      </c>
      <c r="B106" s="934">
        <v>17.03</v>
      </c>
      <c r="C106" s="1104" t="s">
        <v>761</v>
      </c>
      <c r="D106" s="1105" t="s">
        <v>243</v>
      </c>
      <c r="E106" s="946">
        <v>65</v>
      </c>
      <c r="F106" s="946">
        <f>'01 (2)'!H143*'01 (2)'!$T$5</f>
        <v>1982.9744067629174</v>
      </c>
      <c r="G106" s="1318">
        <f t="shared" si="104"/>
        <v>49178.025593237086</v>
      </c>
      <c r="H106" s="938">
        <v>51161</v>
      </c>
      <c r="I106" s="1062">
        <f t="shared" si="105"/>
        <v>128893.33643958964</v>
      </c>
      <c r="J106" s="1062">
        <f t="shared" si="106"/>
        <v>3196571.6635604105</v>
      </c>
      <c r="K106" s="938">
        <f t="shared" si="74"/>
        <v>3325465</v>
      </c>
      <c r="L106" s="1058"/>
      <c r="M106" s="1051"/>
      <c r="N106" s="1063">
        <v>0.7</v>
      </c>
      <c r="O106" s="1063">
        <v>0.2</v>
      </c>
      <c r="P106" s="1064">
        <f t="shared" si="107"/>
        <v>0.89999999999999991</v>
      </c>
      <c r="Q106" s="933">
        <f t="shared" si="108"/>
        <v>2327825.5</v>
      </c>
      <c r="R106" s="933">
        <f t="shared" si="109"/>
        <v>665093</v>
      </c>
      <c r="S106" s="933">
        <f t="shared" si="110"/>
        <v>2992918.4999999995</v>
      </c>
      <c r="T106" s="933">
        <f t="shared" si="111"/>
        <v>116004.00279563066</v>
      </c>
      <c r="U106" s="933">
        <f t="shared" si="112"/>
        <v>2876914.4972043689</v>
      </c>
      <c r="V106" s="933">
        <f t="shared" si="113"/>
        <v>2992918.4999999995</v>
      </c>
    </row>
    <row r="107" spans="1:22" ht="12.75" customHeight="1" x14ac:dyDescent="0.3">
      <c r="A107" s="1177" t="s">
        <v>62</v>
      </c>
      <c r="B107" s="1106">
        <v>17.04</v>
      </c>
      <c r="C107" s="962" t="s">
        <v>361</v>
      </c>
      <c r="D107" s="955" t="s">
        <v>243</v>
      </c>
      <c r="E107" s="956">
        <v>6</v>
      </c>
      <c r="F107" s="956">
        <f>'01 (2)'!H144*'01 (2)'!$T$5</f>
        <v>5419.3089377371662</v>
      </c>
      <c r="G107" s="1318">
        <f t="shared" si="104"/>
        <v>110581.69106226283</v>
      </c>
      <c r="H107" s="1107">
        <v>116001</v>
      </c>
      <c r="I107" s="1062">
        <f t="shared" si="105"/>
        <v>32515.853626422999</v>
      </c>
      <c r="J107" s="1062">
        <f t="shared" si="106"/>
        <v>663490.14637357695</v>
      </c>
      <c r="K107" s="1107">
        <f t="shared" si="74"/>
        <v>696006</v>
      </c>
      <c r="L107" s="1058"/>
      <c r="M107" s="1051"/>
      <c r="N107" s="1063">
        <v>0</v>
      </c>
      <c r="O107" s="1063"/>
      <c r="P107" s="1064">
        <f t="shared" si="107"/>
        <v>0</v>
      </c>
      <c r="Q107" s="933">
        <f t="shared" si="108"/>
        <v>0</v>
      </c>
      <c r="R107" s="933">
        <f t="shared" si="109"/>
        <v>0</v>
      </c>
      <c r="S107" s="933">
        <f t="shared" si="110"/>
        <v>0</v>
      </c>
      <c r="T107" s="933">
        <f t="shared" si="111"/>
        <v>0</v>
      </c>
      <c r="U107" s="933">
        <f t="shared" si="112"/>
        <v>0</v>
      </c>
      <c r="V107" s="933">
        <f t="shared" si="113"/>
        <v>0</v>
      </c>
    </row>
    <row r="108" spans="1:22" ht="12.75" customHeight="1" x14ac:dyDescent="0.3">
      <c r="A108" s="1201"/>
      <c r="B108" s="909">
        <v>18</v>
      </c>
      <c r="C108" s="964" t="s">
        <v>367</v>
      </c>
      <c r="D108" s="916"/>
      <c r="E108" s="917"/>
      <c r="F108" s="917"/>
      <c r="G108" s="917"/>
      <c r="H108" s="917"/>
      <c r="I108" s="917"/>
      <c r="J108" s="917"/>
      <c r="K108" s="917"/>
      <c r="L108" s="918">
        <f>+SUM(K109:K141)</f>
        <v>87609553</v>
      </c>
      <c r="M108" s="1051">
        <f>+L108/$L$195</f>
        <v>0.10369893564223492</v>
      </c>
      <c r="N108" s="1052"/>
      <c r="O108" s="1053"/>
      <c r="P108" s="1053"/>
      <c r="Q108" s="1054"/>
      <c r="R108" s="1054"/>
      <c r="S108" s="1055"/>
      <c r="T108" s="1055"/>
      <c r="U108" s="1055"/>
      <c r="V108" s="1055"/>
    </row>
    <row r="109" spans="1:22" ht="12.75" customHeight="1" x14ac:dyDescent="0.3">
      <c r="A109" s="1177" t="s">
        <v>66</v>
      </c>
      <c r="B109" s="1090">
        <f>+B108+0.01</f>
        <v>18.010000000000002</v>
      </c>
      <c r="C109" s="1108" t="s">
        <v>368</v>
      </c>
      <c r="D109" s="1109" t="s">
        <v>243</v>
      </c>
      <c r="E109" s="1057">
        <v>260</v>
      </c>
      <c r="F109" s="1057">
        <f>'01 (2)'!H146*'01 (2)'!$T$5</f>
        <v>27107.916938448911</v>
      </c>
      <c r="G109" s="1318">
        <f t="shared" ref="G109:G141" si="114">H109-F109</f>
        <v>49423.083061551093</v>
      </c>
      <c r="H109" s="929">
        <v>76531</v>
      </c>
      <c r="I109" s="1062">
        <f t="shared" ref="I109:I141" si="115">E109*F109</f>
        <v>7048058.4039967172</v>
      </c>
      <c r="J109" s="1062">
        <f t="shared" ref="J109:J141" si="116">E109*G109</f>
        <v>12850001.596003285</v>
      </c>
      <c r="K109" s="929">
        <f t="shared" si="74"/>
        <v>19898060</v>
      </c>
      <c r="M109" s="1051"/>
      <c r="N109" s="1063">
        <v>0.49499999999999994</v>
      </c>
      <c r="O109" s="1063">
        <v>0.02</v>
      </c>
      <c r="P109" s="1064">
        <f t="shared" ref="P109:P141" si="117">SUM(N109:O109)</f>
        <v>0.5149999999999999</v>
      </c>
      <c r="Q109" s="933">
        <f t="shared" ref="Q109:Q141" si="118">K109*N109</f>
        <v>9849539.6999999993</v>
      </c>
      <c r="R109" s="933">
        <f t="shared" ref="R109:R141" si="119">K109*O109</f>
        <v>397961.2</v>
      </c>
      <c r="S109" s="933">
        <f t="shared" ref="S109:S141" si="120">K109*P109</f>
        <v>10247500.899999999</v>
      </c>
      <c r="T109" s="933">
        <f t="shared" ref="T109:T141" si="121">I109*P109</f>
        <v>3629750.0780583085</v>
      </c>
      <c r="U109" s="933">
        <f t="shared" ref="U109:U141" si="122">J109*P109</f>
        <v>6617750.8219416905</v>
      </c>
      <c r="V109" s="933">
        <f t="shared" ref="V109:V141" si="123">SUM(T109:U109)</f>
        <v>10247500.899999999</v>
      </c>
    </row>
    <row r="110" spans="1:22" ht="12.75" customHeight="1" x14ac:dyDescent="0.3">
      <c r="A110" s="1177" t="s">
        <v>66</v>
      </c>
      <c r="B110" s="1072">
        <v>18.02</v>
      </c>
      <c r="C110" s="1067" t="s">
        <v>369</v>
      </c>
      <c r="D110" s="1110" t="s">
        <v>243</v>
      </c>
      <c r="E110" s="946">
        <v>62</v>
      </c>
      <c r="F110" s="946">
        <f>'01 (2)'!H147*'01 (2)'!$T$5</f>
        <v>23812.314718665231</v>
      </c>
      <c r="G110" s="1318">
        <f t="shared" si="114"/>
        <v>49422.685281334765</v>
      </c>
      <c r="H110" s="938">
        <v>73235</v>
      </c>
      <c r="I110" s="1062">
        <f t="shared" si="115"/>
        <v>1476363.5125572444</v>
      </c>
      <c r="J110" s="1062">
        <f t="shared" si="116"/>
        <v>3064206.4874427556</v>
      </c>
      <c r="K110" s="938">
        <f t="shared" si="74"/>
        <v>4540570</v>
      </c>
      <c r="M110" s="1051"/>
      <c r="N110" s="1063">
        <v>0.44500000000000001</v>
      </c>
      <c r="O110" s="1063">
        <v>0.02</v>
      </c>
      <c r="P110" s="1064">
        <f t="shared" si="117"/>
        <v>0.46500000000000002</v>
      </c>
      <c r="Q110" s="933">
        <f t="shared" si="118"/>
        <v>2020553.6500000001</v>
      </c>
      <c r="R110" s="933">
        <f t="shared" si="119"/>
        <v>90811.400000000009</v>
      </c>
      <c r="S110" s="933">
        <f t="shared" si="120"/>
        <v>2111365.0500000003</v>
      </c>
      <c r="T110" s="933">
        <f t="shared" si="121"/>
        <v>686509.0333391187</v>
      </c>
      <c r="U110" s="933">
        <f t="shared" si="122"/>
        <v>1424856.0166608815</v>
      </c>
      <c r="V110" s="933">
        <f t="shared" si="123"/>
        <v>2111365.0500000003</v>
      </c>
    </row>
    <row r="111" spans="1:22" ht="12.75" customHeight="1" x14ac:dyDescent="0.3">
      <c r="A111" s="1177" t="s">
        <v>66</v>
      </c>
      <c r="B111" s="1072">
        <v>18.03</v>
      </c>
      <c r="C111" s="1067" t="s">
        <v>370</v>
      </c>
      <c r="D111" s="1110" t="s">
        <v>243</v>
      </c>
      <c r="E111" s="946">
        <v>12</v>
      </c>
      <c r="F111" s="946">
        <f>'01 (2)'!H148*'01 (2)'!$T$5</f>
        <v>23812.314718665231</v>
      </c>
      <c r="G111" s="1318">
        <f t="shared" si="114"/>
        <v>49422.685281334765</v>
      </c>
      <c r="H111" s="938">
        <v>73235</v>
      </c>
      <c r="I111" s="1062">
        <f t="shared" si="115"/>
        <v>285747.77662398276</v>
      </c>
      <c r="J111" s="1062">
        <f t="shared" si="116"/>
        <v>593072.22337601718</v>
      </c>
      <c r="K111" s="938">
        <f t="shared" si="74"/>
        <v>878820</v>
      </c>
      <c r="M111" s="1051"/>
      <c r="N111" s="1063">
        <v>0.65499999999999992</v>
      </c>
      <c r="O111" s="1063"/>
      <c r="P111" s="1064">
        <f t="shared" si="117"/>
        <v>0.65499999999999992</v>
      </c>
      <c r="Q111" s="933">
        <f t="shared" si="118"/>
        <v>575627.1</v>
      </c>
      <c r="R111" s="933">
        <f t="shared" si="119"/>
        <v>0</v>
      </c>
      <c r="S111" s="933">
        <f t="shared" si="120"/>
        <v>575627.1</v>
      </c>
      <c r="T111" s="933">
        <f t="shared" si="121"/>
        <v>187164.79368870868</v>
      </c>
      <c r="U111" s="933">
        <f t="shared" si="122"/>
        <v>388462.30631129118</v>
      </c>
      <c r="V111" s="933">
        <f t="shared" si="123"/>
        <v>575627.09999999986</v>
      </c>
    </row>
    <row r="112" spans="1:22" ht="12.75" customHeight="1" x14ac:dyDescent="0.3">
      <c r="A112" s="1177" t="s">
        <v>66</v>
      </c>
      <c r="B112" s="1072">
        <v>18.04</v>
      </c>
      <c r="C112" s="1067" t="s">
        <v>371</v>
      </c>
      <c r="D112" s="1110" t="s">
        <v>243</v>
      </c>
      <c r="E112" s="946">
        <v>16</v>
      </c>
      <c r="F112" s="946">
        <f>'01 (2)'!H149*'01 (2)'!$T$5</f>
        <v>23812.314718665231</v>
      </c>
      <c r="G112" s="1318">
        <f t="shared" si="114"/>
        <v>49422.685281334765</v>
      </c>
      <c r="H112" s="938">
        <v>73235</v>
      </c>
      <c r="I112" s="1062">
        <f t="shared" si="115"/>
        <v>380997.0354986437</v>
      </c>
      <c r="J112" s="1062">
        <f t="shared" si="116"/>
        <v>790762.96450135624</v>
      </c>
      <c r="K112" s="938">
        <f t="shared" si="74"/>
        <v>1171760</v>
      </c>
      <c r="M112" s="1051"/>
      <c r="N112" s="1063">
        <v>0.55499999999999994</v>
      </c>
      <c r="O112" s="1063"/>
      <c r="P112" s="1064">
        <f t="shared" si="117"/>
        <v>0.55499999999999994</v>
      </c>
      <c r="Q112" s="933">
        <f t="shared" si="118"/>
        <v>650326.79999999993</v>
      </c>
      <c r="R112" s="933">
        <f t="shared" si="119"/>
        <v>0</v>
      </c>
      <c r="S112" s="933">
        <f t="shared" si="120"/>
        <v>650326.79999999993</v>
      </c>
      <c r="T112" s="933">
        <f t="shared" si="121"/>
        <v>211453.35470174724</v>
      </c>
      <c r="U112" s="933">
        <f t="shared" si="122"/>
        <v>438873.44529825269</v>
      </c>
      <c r="V112" s="933">
        <f t="shared" si="123"/>
        <v>650326.79999999993</v>
      </c>
    </row>
    <row r="113" spans="1:22" ht="12.75" customHeight="1" x14ac:dyDescent="0.3">
      <c r="A113" s="1177" t="s">
        <v>66</v>
      </c>
      <c r="B113" s="1072">
        <v>18.05</v>
      </c>
      <c r="C113" s="1067" t="s">
        <v>372</v>
      </c>
      <c r="D113" s="1110" t="s">
        <v>243</v>
      </c>
      <c r="E113" s="946">
        <v>1</v>
      </c>
      <c r="F113" s="946">
        <f>'01 (2)'!H150*'01 (2)'!$T$5</f>
        <v>23812.314718665231</v>
      </c>
      <c r="G113" s="1318">
        <f t="shared" si="114"/>
        <v>49422.685281334765</v>
      </c>
      <c r="H113" s="938">
        <v>73235</v>
      </c>
      <c r="I113" s="1062">
        <f t="shared" si="115"/>
        <v>23812.314718665231</v>
      </c>
      <c r="J113" s="1062">
        <f t="shared" si="116"/>
        <v>49422.685281334765</v>
      </c>
      <c r="K113" s="938">
        <f t="shared" si="74"/>
        <v>73235</v>
      </c>
      <c r="M113" s="1051"/>
      <c r="N113" s="1063">
        <v>0.4</v>
      </c>
      <c r="O113" s="1063"/>
      <c r="P113" s="1064">
        <f t="shared" si="117"/>
        <v>0.4</v>
      </c>
      <c r="Q113" s="933">
        <f t="shared" si="118"/>
        <v>29294</v>
      </c>
      <c r="R113" s="933">
        <f t="shared" si="119"/>
        <v>0</v>
      </c>
      <c r="S113" s="933">
        <f t="shared" si="120"/>
        <v>29294</v>
      </c>
      <c r="T113" s="933">
        <f t="shared" si="121"/>
        <v>9524.9258874660936</v>
      </c>
      <c r="U113" s="933">
        <f t="shared" si="122"/>
        <v>19769.074112533908</v>
      </c>
      <c r="V113" s="933">
        <f t="shared" si="123"/>
        <v>29294</v>
      </c>
    </row>
    <row r="114" spans="1:22" ht="12.75" customHeight="1" x14ac:dyDescent="0.3">
      <c r="A114" s="1177" t="s">
        <v>66</v>
      </c>
      <c r="B114" s="1072">
        <v>18.059999999999999</v>
      </c>
      <c r="C114" s="1067" t="s">
        <v>373</v>
      </c>
      <c r="D114" s="1110" t="s">
        <v>243</v>
      </c>
      <c r="E114" s="946">
        <v>24</v>
      </c>
      <c r="F114" s="946">
        <f>'01 (2)'!H151*'01 (2)'!$T$5</f>
        <v>23812.314718665231</v>
      </c>
      <c r="G114" s="1318">
        <f t="shared" si="114"/>
        <v>49422.685281334765</v>
      </c>
      <c r="H114" s="938">
        <v>73235</v>
      </c>
      <c r="I114" s="1062">
        <f t="shared" si="115"/>
        <v>571495.55324796552</v>
      </c>
      <c r="J114" s="1062">
        <f t="shared" si="116"/>
        <v>1186144.4467520344</v>
      </c>
      <c r="K114" s="938">
        <f t="shared" si="74"/>
        <v>1757640</v>
      </c>
      <c r="M114" s="1051"/>
      <c r="N114" s="1063">
        <v>0.4</v>
      </c>
      <c r="O114" s="1063"/>
      <c r="P114" s="1064">
        <f t="shared" si="117"/>
        <v>0.4</v>
      </c>
      <c r="Q114" s="933">
        <f t="shared" si="118"/>
        <v>703056</v>
      </c>
      <c r="R114" s="933">
        <f t="shared" si="119"/>
        <v>0</v>
      </c>
      <c r="S114" s="933">
        <f t="shared" si="120"/>
        <v>703056</v>
      </c>
      <c r="T114" s="933">
        <f t="shared" si="121"/>
        <v>228598.22129918623</v>
      </c>
      <c r="U114" s="933">
        <f t="shared" si="122"/>
        <v>474457.77870081377</v>
      </c>
      <c r="V114" s="933">
        <f t="shared" si="123"/>
        <v>703056</v>
      </c>
    </row>
    <row r="115" spans="1:22" ht="12.75" customHeight="1" x14ac:dyDescent="0.3">
      <c r="A115" s="1177" t="s">
        <v>66</v>
      </c>
      <c r="B115" s="1072">
        <v>18.07</v>
      </c>
      <c r="C115" s="1067" t="s">
        <v>374</v>
      </c>
      <c r="D115" s="1110" t="s">
        <v>243</v>
      </c>
      <c r="E115" s="946">
        <v>226</v>
      </c>
      <c r="F115" s="946">
        <f>'01 (2)'!H152*'01 (2)'!$T$5</f>
        <v>19730.582062137608</v>
      </c>
      <c r="G115" s="1318">
        <f t="shared" si="114"/>
        <v>49423.417937862396</v>
      </c>
      <c r="H115" s="938">
        <v>69154</v>
      </c>
      <c r="I115" s="1062">
        <f t="shared" si="115"/>
        <v>4459111.5460430998</v>
      </c>
      <c r="J115" s="1062">
        <f t="shared" si="116"/>
        <v>11169692.453956902</v>
      </c>
      <c r="K115" s="938">
        <f t="shared" si="74"/>
        <v>15628804</v>
      </c>
      <c r="M115" s="1051"/>
      <c r="N115" s="1063">
        <v>0.45300000000000001</v>
      </c>
      <c r="O115" s="1063">
        <v>0.02</v>
      </c>
      <c r="P115" s="1064">
        <f t="shared" si="117"/>
        <v>0.47300000000000003</v>
      </c>
      <c r="Q115" s="933">
        <f t="shared" si="118"/>
        <v>7079848.2120000003</v>
      </c>
      <c r="R115" s="933">
        <f t="shared" si="119"/>
        <v>312576.08</v>
      </c>
      <c r="S115" s="933">
        <f t="shared" si="120"/>
        <v>7392424.2920000004</v>
      </c>
      <c r="T115" s="933">
        <f t="shared" si="121"/>
        <v>2109159.7612783862</v>
      </c>
      <c r="U115" s="933">
        <f t="shared" si="122"/>
        <v>5283264.5307216151</v>
      </c>
      <c r="V115" s="933">
        <f t="shared" si="123"/>
        <v>7392424.2920000013</v>
      </c>
    </row>
    <row r="116" spans="1:22" ht="12.75" customHeight="1" x14ac:dyDescent="0.3">
      <c r="A116" s="1177" t="s">
        <v>66</v>
      </c>
      <c r="B116" s="1072">
        <v>18.079999999999998</v>
      </c>
      <c r="C116" s="1067" t="s">
        <v>375</v>
      </c>
      <c r="D116" s="1110" t="s">
        <v>243</v>
      </c>
      <c r="E116" s="946">
        <v>32</v>
      </c>
      <c r="F116" s="946">
        <f>'01 (2)'!H153*'01 (2)'!$T$5</f>
        <v>45885.132129187165</v>
      </c>
      <c r="G116" s="1318">
        <f t="shared" si="114"/>
        <v>49422.867870812835</v>
      </c>
      <c r="H116" s="938">
        <v>95308</v>
      </c>
      <c r="I116" s="1062">
        <f t="shared" si="115"/>
        <v>1468324.2281339893</v>
      </c>
      <c r="J116" s="1062">
        <f t="shared" si="116"/>
        <v>1581531.7718660107</v>
      </c>
      <c r="K116" s="938">
        <f t="shared" si="74"/>
        <v>3049856</v>
      </c>
      <c r="M116" s="1051"/>
      <c r="N116" s="1063">
        <v>0.45</v>
      </c>
      <c r="O116" s="1063">
        <v>0.02</v>
      </c>
      <c r="P116" s="1064">
        <f t="shared" si="117"/>
        <v>0.47000000000000003</v>
      </c>
      <c r="Q116" s="933">
        <f t="shared" si="118"/>
        <v>1372435.2</v>
      </c>
      <c r="R116" s="933">
        <f t="shared" si="119"/>
        <v>60997.120000000003</v>
      </c>
      <c r="S116" s="933">
        <f t="shared" si="120"/>
        <v>1433432.32</v>
      </c>
      <c r="T116" s="933">
        <f t="shared" si="121"/>
        <v>690112.38722297503</v>
      </c>
      <c r="U116" s="933">
        <f t="shared" si="122"/>
        <v>743319.93277702504</v>
      </c>
      <c r="V116" s="933">
        <f t="shared" si="123"/>
        <v>1433432.32</v>
      </c>
    </row>
    <row r="117" spans="1:22" ht="12.75" customHeight="1" x14ac:dyDescent="0.3">
      <c r="A117" s="1177" t="s">
        <v>66</v>
      </c>
      <c r="B117" s="1072">
        <v>18.09</v>
      </c>
      <c r="C117" s="1067" t="s">
        <v>376</v>
      </c>
      <c r="D117" s="1110" t="s">
        <v>243</v>
      </c>
      <c r="E117" s="946">
        <v>8</v>
      </c>
      <c r="F117" s="946">
        <f>'01 (2)'!H154*'01 (2)'!$T$5</f>
        <v>19730.582062137608</v>
      </c>
      <c r="G117" s="1318">
        <f t="shared" si="114"/>
        <v>49423.417937862396</v>
      </c>
      <c r="H117" s="938">
        <v>69154</v>
      </c>
      <c r="I117" s="1062">
        <f t="shared" si="115"/>
        <v>157844.65649710086</v>
      </c>
      <c r="J117" s="1062">
        <f t="shared" si="116"/>
        <v>395387.34350289917</v>
      </c>
      <c r="K117" s="938">
        <f t="shared" si="74"/>
        <v>553232</v>
      </c>
      <c r="M117" s="1051"/>
      <c r="N117" s="1063">
        <v>0</v>
      </c>
      <c r="O117" s="1063"/>
      <c r="P117" s="1064">
        <f t="shared" si="117"/>
        <v>0</v>
      </c>
      <c r="Q117" s="933">
        <f t="shared" si="118"/>
        <v>0</v>
      </c>
      <c r="R117" s="933">
        <f t="shared" si="119"/>
        <v>0</v>
      </c>
      <c r="S117" s="933">
        <f t="shared" si="120"/>
        <v>0</v>
      </c>
      <c r="T117" s="933">
        <f t="shared" si="121"/>
        <v>0</v>
      </c>
      <c r="U117" s="933">
        <f t="shared" si="122"/>
        <v>0</v>
      </c>
      <c r="V117" s="933">
        <f t="shared" si="123"/>
        <v>0</v>
      </c>
    </row>
    <row r="118" spans="1:22" ht="12.75" customHeight="1" x14ac:dyDescent="0.3">
      <c r="A118" s="1177" t="s">
        <v>66</v>
      </c>
      <c r="B118" s="1072">
        <v>18.100000000000001</v>
      </c>
      <c r="C118" s="1067" t="s">
        <v>377</v>
      </c>
      <c r="D118" s="1110" t="s">
        <v>243</v>
      </c>
      <c r="E118" s="946">
        <v>8</v>
      </c>
      <c r="F118" s="946">
        <f>'01 (2)'!H155*'01 (2)'!$T$5</f>
        <v>19730.582062137608</v>
      </c>
      <c r="G118" s="1318">
        <f t="shared" si="114"/>
        <v>49423.417937862396</v>
      </c>
      <c r="H118" s="938">
        <v>69154</v>
      </c>
      <c r="I118" s="1062">
        <f t="shared" si="115"/>
        <v>157844.65649710086</v>
      </c>
      <c r="J118" s="1062">
        <f t="shared" si="116"/>
        <v>395387.34350289917</v>
      </c>
      <c r="K118" s="938">
        <f t="shared" si="74"/>
        <v>553232</v>
      </c>
      <c r="M118" s="1051"/>
      <c r="N118" s="1063">
        <v>0.45</v>
      </c>
      <c r="O118" s="1063"/>
      <c r="P118" s="1064">
        <f t="shared" si="117"/>
        <v>0.45</v>
      </c>
      <c r="Q118" s="933">
        <f t="shared" si="118"/>
        <v>248954.4</v>
      </c>
      <c r="R118" s="933">
        <f t="shared" si="119"/>
        <v>0</v>
      </c>
      <c r="S118" s="933">
        <f t="shared" si="120"/>
        <v>248954.4</v>
      </c>
      <c r="T118" s="933">
        <f t="shared" si="121"/>
        <v>71030.095423695384</v>
      </c>
      <c r="U118" s="933">
        <f t="shared" si="122"/>
        <v>177924.30457630462</v>
      </c>
      <c r="V118" s="933">
        <f t="shared" si="123"/>
        <v>248954.40000000002</v>
      </c>
    </row>
    <row r="119" spans="1:22" ht="12.75" customHeight="1" x14ac:dyDescent="0.3">
      <c r="A119" s="1177" t="s">
        <v>66</v>
      </c>
      <c r="B119" s="1072">
        <v>18.11</v>
      </c>
      <c r="C119" s="1067" t="s">
        <v>378</v>
      </c>
      <c r="D119" s="1110" t="s">
        <v>243</v>
      </c>
      <c r="E119" s="946">
        <v>26</v>
      </c>
      <c r="F119" s="946">
        <f>'01 (2)'!H156*'01 (2)'!$T$5</f>
        <v>16109.881712213555</v>
      </c>
      <c r="G119" s="1318">
        <f t="shared" si="114"/>
        <v>34506.118287786448</v>
      </c>
      <c r="H119" s="938">
        <v>50616</v>
      </c>
      <c r="I119" s="1062">
        <f t="shared" si="115"/>
        <v>418856.92451755243</v>
      </c>
      <c r="J119" s="1062">
        <f t="shared" si="116"/>
        <v>897159.07548244763</v>
      </c>
      <c r="K119" s="938">
        <f t="shared" si="74"/>
        <v>1316016</v>
      </c>
      <c r="M119" s="1051"/>
      <c r="N119" s="1063">
        <v>0</v>
      </c>
      <c r="O119" s="1063"/>
      <c r="P119" s="1064">
        <f t="shared" si="117"/>
        <v>0</v>
      </c>
      <c r="Q119" s="933">
        <f t="shared" si="118"/>
        <v>0</v>
      </c>
      <c r="R119" s="933">
        <f t="shared" si="119"/>
        <v>0</v>
      </c>
      <c r="S119" s="933">
        <f t="shared" si="120"/>
        <v>0</v>
      </c>
      <c r="T119" s="933">
        <f t="shared" si="121"/>
        <v>0</v>
      </c>
      <c r="U119" s="933">
        <f t="shared" si="122"/>
        <v>0</v>
      </c>
      <c r="V119" s="933">
        <f t="shared" si="123"/>
        <v>0</v>
      </c>
    </row>
    <row r="120" spans="1:22" ht="12.75" customHeight="1" x14ac:dyDescent="0.3">
      <c r="A120" s="1177" t="s">
        <v>66</v>
      </c>
      <c r="B120" s="1072">
        <v>18.12</v>
      </c>
      <c r="C120" s="1067" t="s">
        <v>379</v>
      </c>
      <c r="D120" s="1110" t="s">
        <v>243</v>
      </c>
      <c r="E120" s="946">
        <v>27</v>
      </c>
      <c r="F120" s="946">
        <f>'01 (2)'!H157*'01 (2)'!$T$5</f>
        <v>16109.881712213555</v>
      </c>
      <c r="G120" s="1318">
        <f t="shared" si="114"/>
        <v>34506.118287786448</v>
      </c>
      <c r="H120" s="938">
        <v>50616</v>
      </c>
      <c r="I120" s="1062">
        <f t="shared" si="115"/>
        <v>434966.80622976599</v>
      </c>
      <c r="J120" s="1062">
        <f t="shared" si="116"/>
        <v>931665.19377023412</v>
      </c>
      <c r="K120" s="938">
        <f t="shared" si="74"/>
        <v>1366632</v>
      </c>
      <c r="M120" s="1051"/>
      <c r="N120" s="1063">
        <v>0.55000000000000004</v>
      </c>
      <c r="O120" s="1063">
        <v>0.02</v>
      </c>
      <c r="P120" s="1064">
        <f t="shared" si="117"/>
        <v>0.57000000000000006</v>
      </c>
      <c r="Q120" s="933">
        <f t="shared" si="118"/>
        <v>751647.60000000009</v>
      </c>
      <c r="R120" s="933">
        <f t="shared" si="119"/>
        <v>27332.639999999999</v>
      </c>
      <c r="S120" s="933">
        <f t="shared" si="120"/>
        <v>778980.24000000011</v>
      </c>
      <c r="T120" s="933">
        <f t="shared" si="121"/>
        <v>247931.07955096665</v>
      </c>
      <c r="U120" s="933">
        <f t="shared" si="122"/>
        <v>531049.16044903349</v>
      </c>
      <c r="V120" s="933">
        <f t="shared" si="123"/>
        <v>778980.24000000011</v>
      </c>
    </row>
    <row r="121" spans="1:22" ht="12.75" customHeight="1" x14ac:dyDescent="0.3">
      <c r="A121" s="1177" t="s">
        <v>66</v>
      </c>
      <c r="B121" s="1072">
        <v>18.13</v>
      </c>
      <c r="C121" s="1067" t="s">
        <v>380</v>
      </c>
      <c r="D121" s="1110" t="s">
        <v>243</v>
      </c>
      <c r="E121" s="946">
        <v>9</v>
      </c>
      <c r="F121" s="946">
        <f>'01 (2)'!H158*'01 (2)'!$T$5</f>
        <v>16109.881712213555</v>
      </c>
      <c r="G121" s="1318">
        <f t="shared" si="114"/>
        <v>34506.118287786448</v>
      </c>
      <c r="H121" s="938">
        <v>50616</v>
      </c>
      <c r="I121" s="1062">
        <f t="shared" si="115"/>
        <v>144988.93540992201</v>
      </c>
      <c r="J121" s="1062">
        <f t="shared" si="116"/>
        <v>310555.06459007802</v>
      </c>
      <c r="K121" s="938">
        <f t="shared" si="74"/>
        <v>455544</v>
      </c>
      <c r="M121" s="1051"/>
      <c r="N121" s="1063">
        <v>0</v>
      </c>
      <c r="O121" s="1063"/>
      <c r="P121" s="1064">
        <f t="shared" si="117"/>
        <v>0</v>
      </c>
      <c r="Q121" s="933">
        <f t="shared" si="118"/>
        <v>0</v>
      </c>
      <c r="R121" s="933">
        <f t="shared" si="119"/>
        <v>0</v>
      </c>
      <c r="S121" s="933">
        <f t="shared" si="120"/>
        <v>0</v>
      </c>
      <c r="T121" s="933">
        <f t="shared" si="121"/>
        <v>0</v>
      </c>
      <c r="U121" s="933">
        <f t="shared" si="122"/>
        <v>0</v>
      </c>
      <c r="V121" s="933">
        <f t="shared" si="123"/>
        <v>0</v>
      </c>
    </row>
    <row r="122" spans="1:22" ht="12.75" customHeight="1" x14ac:dyDescent="0.3">
      <c r="A122" s="1177" t="s">
        <v>66</v>
      </c>
      <c r="B122" s="1072">
        <v>18.14</v>
      </c>
      <c r="C122" s="1067" t="s">
        <v>381</v>
      </c>
      <c r="D122" s="1110" t="s">
        <v>243</v>
      </c>
      <c r="E122" s="946">
        <v>29</v>
      </c>
      <c r="F122" s="946">
        <f>'01 (2)'!H159*'01 (2)'!$T$5</f>
        <v>16109.881712213555</v>
      </c>
      <c r="G122" s="1318">
        <f t="shared" si="114"/>
        <v>34506.118287786448</v>
      </c>
      <c r="H122" s="938">
        <v>50616</v>
      </c>
      <c r="I122" s="1062">
        <f t="shared" si="115"/>
        <v>467186.56965419312</v>
      </c>
      <c r="J122" s="1062">
        <f t="shared" si="116"/>
        <v>1000677.430345807</v>
      </c>
      <c r="K122" s="938">
        <f t="shared" si="74"/>
        <v>1467864</v>
      </c>
      <c r="M122" s="1051"/>
      <c r="N122" s="1063">
        <v>0.55000000000000004</v>
      </c>
      <c r="O122" s="1063">
        <v>0.02</v>
      </c>
      <c r="P122" s="1064">
        <f t="shared" si="117"/>
        <v>0.57000000000000006</v>
      </c>
      <c r="Q122" s="933">
        <f t="shared" si="118"/>
        <v>807325.20000000007</v>
      </c>
      <c r="R122" s="933">
        <f t="shared" si="119"/>
        <v>29357.279999999999</v>
      </c>
      <c r="S122" s="933">
        <f t="shared" si="120"/>
        <v>836682.4800000001</v>
      </c>
      <c r="T122" s="933">
        <f t="shared" si="121"/>
        <v>266296.34470289008</v>
      </c>
      <c r="U122" s="933">
        <f t="shared" si="122"/>
        <v>570386.13529711007</v>
      </c>
      <c r="V122" s="933">
        <f t="shared" si="123"/>
        <v>836682.48000000021</v>
      </c>
    </row>
    <row r="123" spans="1:22" ht="12.75" customHeight="1" x14ac:dyDescent="0.3">
      <c r="A123" s="1177" t="s">
        <v>66</v>
      </c>
      <c r="B123" s="1072">
        <v>18.149999999999999</v>
      </c>
      <c r="C123" s="1067" t="s">
        <v>382</v>
      </c>
      <c r="D123" s="1110" t="s">
        <v>243</v>
      </c>
      <c r="E123" s="946">
        <v>3</v>
      </c>
      <c r="F123" s="946">
        <f>'01 (2)'!H160*'01 (2)'!$T$5</f>
        <v>16109.881712213555</v>
      </c>
      <c r="G123" s="1318">
        <f t="shared" si="114"/>
        <v>34506.118287786448</v>
      </c>
      <c r="H123" s="938">
        <v>50616</v>
      </c>
      <c r="I123" s="1062">
        <f t="shared" si="115"/>
        <v>48329.645136640669</v>
      </c>
      <c r="J123" s="1062">
        <f t="shared" si="116"/>
        <v>103518.35486335935</v>
      </c>
      <c r="K123" s="938">
        <f t="shared" si="74"/>
        <v>151848</v>
      </c>
      <c r="M123" s="1051"/>
      <c r="N123" s="1063">
        <v>0.4</v>
      </c>
      <c r="O123" s="1063"/>
      <c r="P123" s="1064">
        <f t="shared" si="117"/>
        <v>0.4</v>
      </c>
      <c r="Q123" s="933">
        <f t="shared" si="118"/>
        <v>60739.200000000004</v>
      </c>
      <c r="R123" s="933">
        <f t="shared" si="119"/>
        <v>0</v>
      </c>
      <c r="S123" s="933">
        <f t="shared" si="120"/>
        <v>60739.200000000004</v>
      </c>
      <c r="T123" s="933">
        <f t="shared" si="121"/>
        <v>19331.85805465627</v>
      </c>
      <c r="U123" s="933">
        <f t="shared" si="122"/>
        <v>41407.341945343738</v>
      </c>
      <c r="V123" s="933">
        <f t="shared" si="123"/>
        <v>60739.200000000012</v>
      </c>
    </row>
    <row r="124" spans="1:22" ht="12.75" customHeight="1" x14ac:dyDescent="0.3">
      <c r="A124" s="1177" t="s">
        <v>66</v>
      </c>
      <c r="B124" s="1072">
        <v>18.16</v>
      </c>
      <c r="C124" s="1067" t="s">
        <v>383</v>
      </c>
      <c r="D124" s="1110" t="s">
        <v>243</v>
      </c>
      <c r="E124" s="946">
        <v>1</v>
      </c>
      <c r="F124" s="946">
        <f>'01 (2)'!H161*'01 (2)'!$T$5</f>
        <v>1747188.3586644947</v>
      </c>
      <c r="G124" s="1318">
        <f t="shared" si="114"/>
        <v>498581.64133550529</v>
      </c>
      <c r="H124" s="938">
        <v>2245770</v>
      </c>
      <c r="I124" s="1062">
        <f t="shared" si="115"/>
        <v>1747188.3586644947</v>
      </c>
      <c r="J124" s="1062">
        <f t="shared" si="116"/>
        <v>498581.64133550529</v>
      </c>
      <c r="K124" s="938">
        <f t="shared" si="74"/>
        <v>2245770</v>
      </c>
      <c r="M124" s="1051"/>
      <c r="N124" s="1063">
        <v>0</v>
      </c>
      <c r="O124" s="1063"/>
      <c r="P124" s="1064">
        <f t="shared" si="117"/>
        <v>0</v>
      </c>
      <c r="Q124" s="933">
        <f t="shared" si="118"/>
        <v>0</v>
      </c>
      <c r="R124" s="933">
        <f t="shared" si="119"/>
        <v>0</v>
      </c>
      <c r="S124" s="933">
        <f t="shared" si="120"/>
        <v>0</v>
      </c>
      <c r="T124" s="933">
        <f t="shared" si="121"/>
        <v>0</v>
      </c>
      <c r="U124" s="933">
        <f t="shared" si="122"/>
        <v>0</v>
      </c>
      <c r="V124" s="933">
        <f t="shared" si="123"/>
        <v>0</v>
      </c>
    </row>
    <row r="125" spans="1:22" ht="12.75" customHeight="1" x14ac:dyDescent="0.3">
      <c r="A125" s="1177" t="s">
        <v>66</v>
      </c>
      <c r="B125" s="1072">
        <v>18.170000000000002</v>
      </c>
      <c r="C125" s="1067" t="s">
        <v>384</v>
      </c>
      <c r="D125" s="1110" t="s">
        <v>243</v>
      </c>
      <c r="E125" s="946">
        <v>1</v>
      </c>
      <c r="F125" s="946">
        <f>'01 (2)'!H162*'01 (2)'!$T$5</f>
        <v>789264.02803255094</v>
      </c>
      <c r="G125" s="1318">
        <f t="shared" si="114"/>
        <v>326768.97196744906</v>
      </c>
      <c r="H125" s="938">
        <v>1116033</v>
      </c>
      <c r="I125" s="1062">
        <f t="shared" si="115"/>
        <v>789264.02803255094</v>
      </c>
      <c r="J125" s="1062">
        <f t="shared" si="116"/>
        <v>326768.97196744906</v>
      </c>
      <c r="K125" s="938">
        <f t="shared" si="74"/>
        <v>1116033</v>
      </c>
      <c r="M125" s="1051"/>
      <c r="N125" s="1063">
        <v>0</v>
      </c>
      <c r="O125" s="1063"/>
      <c r="P125" s="1064">
        <f t="shared" si="117"/>
        <v>0</v>
      </c>
      <c r="Q125" s="933">
        <f t="shared" si="118"/>
        <v>0</v>
      </c>
      <c r="R125" s="933">
        <f t="shared" si="119"/>
        <v>0</v>
      </c>
      <c r="S125" s="933">
        <f t="shared" si="120"/>
        <v>0</v>
      </c>
      <c r="T125" s="933">
        <f t="shared" si="121"/>
        <v>0</v>
      </c>
      <c r="U125" s="933">
        <f t="shared" si="122"/>
        <v>0</v>
      </c>
      <c r="V125" s="933">
        <f t="shared" si="123"/>
        <v>0</v>
      </c>
    </row>
    <row r="126" spans="1:22" ht="12.75" customHeight="1" x14ac:dyDescent="0.3">
      <c r="A126" s="1177" t="s">
        <v>66</v>
      </c>
      <c r="B126" s="1072">
        <v>18.18</v>
      </c>
      <c r="C126" s="1067" t="s">
        <v>385</v>
      </c>
      <c r="D126" s="1110" t="s">
        <v>243</v>
      </c>
      <c r="E126" s="946">
        <v>2</v>
      </c>
      <c r="F126" s="946">
        <f>'01 (2)'!H163*'01 (2)'!$T$5</f>
        <v>212872.25262464004</v>
      </c>
      <c r="G126" s="1318">
        <f t="shared" si="114"/>
        <v>318123.74737535999</v>
      </c>
      <c r="H126" s="938">
        <v>530996</v>
      </c>
      <c r="I126" s="1062">
        <f t="shared" si="115"/>
        <v>425744.50524928008</v>
      </c>
      <c r="J126" s="1062">
        <f t="shared" si="116"/>
        <v>636247.49475071998</v>
      </c>
      <c r="K126" s="938">
        <f t="shared" si="74"/>
        <v>1061992</v>
      </c>
      <c r="M126" s="1051"/>
      <c r="N126" s="1063">
        <v>0</v>
      </c>
      <c r="O126" s="1063"/>
      <c r="P126" s="1064">
        <f t="shared" si="117"/>
        <v>0</v>
      </c>
      <c r="Q126" s="933">
        <f t="shared" si="118"/>
        <v>0</v>
      </c>
      <c r="R126" s="933">
        <f t="shared" si="119"/>
        <v>0</v>
      </c>
      <c r="S126" s="933">
        <f t="shared" si="120"/>
        <v>0</v>
      </c>
      <c r="T126" s="933">
        <f t="shared" si="121"/>
        <v>0</v>
      </c>
      <c r="U126" s="933">
        <f t="shared" si="122"/>
        <v>0</v>
      </c>
      <c r="V126" s="933">
        <f t="shared" si="123"/>
        <v>0</v>
      </c>
    </row>
    <row r="127" spans="1:22" ht="12.75" customHeight="1" x14ac:dyDescent="0.3">
      <c r="A127" s="1177" t="s">
        <v>66</v>
      </c>
      <c r="B127" s="1072">
        <v>18.190000000000001</v>
      </c>
      <c r="C127" s="1067" t="s">
        <v>386</v>
      </c>
      <c r="D127" s="1110" t="s">
        <v>243</v>
      </c>
      <c r="E127" s="946">
        <v>9</v>
      </c>
      <c r="F127" s="946">
        <f>'01 (2)'!H164*'01 (2)'!$T$5</f>
        <v>276334.14448234608</v>
      </c>
      <c r="G127" s="1318">
        <f t="shared" si="114"/>
        <v>319074.85551765392</v>
      </c>
      <c r="H127" s="938">
        <v>595409</v>
      </c>
      <c r="I127" s="1062">
        <f t="shared" si="115"/>
        <v>2487007.3003411149</v>
      </c>
      <c r="J127" s="1062">
        <f t="shared" si="116"/>
        <v>2871673.6996588851</v>
      </c>
      <c r="K127" s="938">
        <f t="shared" si="74"/>
        <v>5358681</v>
      </c>
      <c r="M127" s="1051"/>
      <c r="N127" s="1063">
        <v>0.2</v>
      </c>
      <c r="O127" s="1063"/>
      <c r="P127" s="1064">
        <f t="shared" si="117"/>
        <v>0.2</v>
      </c>
      <c r="Q127" s="933">
        <f t="shared" si="118"/>
        <v>1071736.2</v>
      </c>
      <c r="R127" s="933">
        <f t="shared" si="119"/>
        <v>0</v>
      </c>
      <c r="S127" s="933">
        <f t="shared" si="120"/>
        <v>1071736.2</v>
      </c>
      <c r="T127" s="933">
        <f t="shared" si="121"/>
        <v>497401.46006822301</v>
      </c>
      <c r="U127" s="933">
        <f t="shared" si="122"/>
        <v>574334.739931777</v>
      </c>
      <c r="V127" s="933">
        <f t="shared" si="123"/>
        <v>1071736.2</v>
      </c>
    </row>
    <row r="128" spans="1:22" ht="12.75" customHeight="1" x14ac:dyDescent="0.3">
      <c r="A128" s="1177" t="s">
        <v>66</v>
      </c>
      <c r="B128" s="1072">
        <v>18.2</v>
      </c>
      <c r="C128" s="1067" t="s">
        <v>387</v>
      </c>
      <c r="D128" s="1110" t="s">
        <v>207</v>
      </c>
      <c r="E128" s="946">
        <v>1</v>
      </c>
      <c r="F128" s="946">
        <f>'01 (2)'!H165*'01 (2)'!$T$5</f>
        <v>4265999.533657209</v>
      </c>
      <c r="G128" s="1318">
        <f t="shared" si="114"/>
        <v>2112278.466342791</v>
      </c>
      <c r="H128" s="938">
        <v>6378278</v>
      </c>
      <c r="I128" s="1062">
        <f t="shared" si="115"/>
        <v>4265999.533657209</v>
      </c>
      <c r="J128" s="1062">
        <f t="shared" si="116"/>
        <v>2112278.466342791</v>
      </c>
      <c r="K128" s="938">
        <f t="shared" si="74"/>
        <v>6378278</v>
      </c>
      <c r="M128" s="1051"/>
      <c r="N128" s="1063">
        <v>0</v>
      </c>
      <c r="O128" s="1063">
        <v>0.15</v>
      </c>
      <c r="P128" s="1064">
        <f t="shared" si="117"/>
        <v>0.15</v>
      </c>
      <c r="Q128" s="933">
        <f t="shared" si="118"/>
        <v>0</v>
      </c>
      <c r="R128" s="933">
        <f t="shared" si="119"/>
        <v>956741.7</v>
      </c>
      <c r="S128" s="933">
        <f t="shared" si="120"/>
        <v>956741.7</v>
      </c>
      <c r="T128" s="933">
        <f t="shared" si="121"/>
        <v>639899.93004858133</v>
      </c>
      <c r="U128" s="933">
        <f t="shared" si="122"/>
        <v>316841.76995141862</v>
      </c>
      <c r="V128" s="933">
        <f t="shared" si="123"/>
        <v>956741.7</v>
      </c>
    </row>
    <row r="129" spans="1:22" ht="12.75" customHeight="1" x14ac:dyDescent="0.3">
      <c r="A129" s="1177" t="s">
        <v>66</v>
      </c>
      <c r="B129" s="1072">
        <v>18.21</v>
      </c>
      <c r="C129" s="1067" t="s">
        <v>388</v>
      </c>
      <c r="D129" s="1110" t="s">
        <v>207</v>
      </c>
      <c r="E129" s="946">
        <v>1</v>
      </c>
      <c r="F129" s="946">
        <f>'01 (2)'!H166*'01 (2)'!$T$5</f>
        <v>661656.30119745655</v>
      </c>
      <c r="G129" s="1318">
        <f t="shared" si="114"/>
        <v>1034069.6988025435</v>
      </c>
      <c r="H129" s="938">
        <v>1695726</v>
      </c>
      <c r="I129" s="1062">
        <f t="shared" si="115"/>
        <v>661656.30119745655</v>
      </c>
      <c r="J129" s="1062">
        <f t="shared" si="116"/>
        <v>1034069.6988025435</v>
      </c>
      <c r="K129" s="938">
        <f t="shared" si="74"/>
        <v>1695726</v>
      </c>
      <c r="M129" s="1051"/>
      <c r="N129" s="1063">
        <v>0</v>
      </c>
      <c r="O129" s="1063">
        <v>0.15</v>
      </c>
      <c r="P129" s="1064">
        <f t="shared" si="117"/>
        <v>0.15</v>
      </c>
      <c r="Q129" s="933">
        <f t="shared" si="118"/>
        <v>0</v>
      </c>
      <c r="R129" s="933">
        <f t="shared" si="119"/>
        <v>254358.9</v>
      </c>
      <c r="S129" s="933">
        <f t="shared" si="120"/>
        <v>254358.9</v>
      </c>
      <c r="T129" s="933">
        <f t="shared" si="121"/>
        <v>99248.445179618473</v>
      </c>
      <c r="U129" s="933">
        <f t="shared" si="122"/>
        <v>155110.45482038151</v>
      </c>
      <c r="V129" s="933">
        <f t="shared" si="123"/>
        <v>254358.89999999997</v>
      </c>
    </row>
    <row r="130" spans="1:22" ht="12.75" customHeight="1" x14ac:dyDescent="0.3">
      <c r="A130" s="1177" t="s">
        <v>66</v>
      </c>
      <c r="B130" s="1072">
        <v>18.22</v>
      </c>
      <c r="C130" s="1067" t="s">
        <v>389</v>
      </c>
      <c r="D130" s="1110" t="s">
        <v>207</v>
      </c>
      <c r="E130" s="946">
        <v>1</v>
      </c>
      <c r="F130" s="946">
        <f>'01 (2)'!H167*'01 (2)'!$T$5</f>
        <v>661656.30119745655</v>
      </c>
      <c r="G130" s="1318">
        <f t="shared" si="114"/>
        <v>1034069.6988025435</v>
      </c>
      <c r="H130" s="938">
        <v>1695726</v>
      </c>
      <c r="I130" s="1062">
        <f t="shared" si="115"/>
        <v>661656.30119745655</v>
      </c>
      <c r="J130" s="1062">
        <f t="shared" si="116"/>
        <v>1034069.6988025435</v>
      </c>
      <c r="K130" s="938">
        <f t="shared" si="74"/>
        <v>1695726</v>
      </c>
      <c r="M130" s="1051"/>
      <c r="N130" s="1063">
        <v>0</v>
      </c>
      <c r="O130" s="1063">
        <v>0.15</v>
      </c>
      <c r="P130" s="1064">
        <f t="shared" si="117"/>
        <v>0.15</v>
      </c>
      <c r="Q130" s="933">
        <f t="shared" si="118"/>
        <v>0</v>
      </c>
      <c r="R130" s="933">
        <f t="shared" si="119"/>
        <v>254358.9</v>
      </c>
      <c r="S130" s="933">
        <f t="shared" si="120"/>
        <v>254358.9</v>
      </c>
      <c r="T130" s="933">
        <f t="shared" si="121"/>
        <v>99248.445179618473</v>
      </c>
      <c r="U130" s="933">
        <f t="shared" si="122"/>
        <v>155110.45482038151</v>
      </c>
      <c r="V130" s="933">
        <f t="shared" si="123"/>
        <v>254358.89999999997</v>
      </c>
    </row>
    <row r="131" spans="1:22" ht="12.75" customHeight="1" x14ac:dyDescent="0.3">
      <c r="A131" s="1177" t="s">
        <v>66</v>
      </c>
      <c r="B131" s="1072">
        <v>18.23</v>
      </c>
      <c r="C131" s="1067" t="s">
        <v>762</v>
      </c>
      <c r="D131" s="1110" t="s">
        <v>243</v>
      </c>
      <c r="E131" s="946">
        <v>16</v>
      </c>
      <c r="F131" s="946">
        <f>'01 (2)'!H168*'01 (2)'!$T$5</f>
        <v>0</v>
      </c>
      <c r="G131" s="1318">
        <f t="shared" si="114"/>
        <v>15984</v>
      </c>
      <c r="H131" s="938">
        <v>15984</v>
      </c>
      <c r="I131" s="1062">
        <f t="shared" si="115"/>
        <v>0</v>
      </c>
      <c r="J131" s="1062">
        <f t="shared" si="116"/>
        <v>255744</v>
      </c>
      <c r="K131" s="938">
        <f t="shared" si="74"/>
        <v>255744</v>
      </c>
      <c r="M131" s="1051"/>
      <c r="N131" s="1063">
        <v>0</v>
      </c>
      <c r="O131" s="1063"/>
      <c r="P131" s="1064">
        <f t="shared" si="117"/>
        <v>0</v>
      </c>
      <c r="Q131" s="933">
        <f t="shared" si="118"/>
        <v>0</v>
      </c>
      <c r="R131" s="933">
        <f t="shared" si="119"/>
        <v>0</v>
      </c>
      <c r="S131" s="933">
        <f t="shared" si="120"/>
        <v>0</v>
      </c>
      <c r="T131" s="933">
        <f t="shared" si="121"/>
        <v>0</v>
      </c>
      <c r="U131" s="933">
        <f t="shared" si="122"/>
        <v>0</v>
      </c>
      <c r="V131" s="933">
        <f t="shared" si="123"/>
        <v>0</v>
      </c>
    </row>
    <row r="132" spans="1:22" ht="12.75" customHeight="1" x14ac:dyDescent="0.3">
      <c r="A132" s="1177" t="s">
        <v>66</v>
      </c>
      <c r="B132" s="1072">
        <v>18.239999999999998</v>
      </c>
      <c r="C132" s="1067" t="s">
        <v>763</v>
      </c>
      <c r="D132" s="1110" t="s">
        <v>243</v>
      </c>
      <c r="E132" s="946">
        <v>140</v>
      </c>
      <c r="F132" s="946">
        <f>'01 (2)'!H169*'01 (2)'!$T$5</f>
        <v>0</v>
      </c>
      <c r="G132" s="1318">
        <f t="shared" si="114"/>
        <v>10416</v>
      </c>
      <c r="H132" s="938">
        <v>10416</v>
      </c>
      <c r="I132" s="1062">
        <f t="shared" si="115"/>
        <v>0</v>
      </c>
      <c r="J132" s="1062">
        <f t="shared" si="116"/>
        <v>1458240</v>
      </c>
      <c r="K132" s="938">
        <f t="shared" si="74"/>
        <v>1458240</v>
      </c>
      <c r="M132" s="1051"/>
      <c r="N132" s="1063">
        <v>0</v>
      </c>
      <c r="O132" s="1063"/>
      <c r="P132" s="1064">
        <f t="shared" si="117"/>
        <v>0</v>
      </c>
      <c r="Q132" s="933">
        <f t="shared" si="118"/>
        <v>0</v>
      </c>
      <c r="R132" s="933">
        <f t="shared" si="119"/>
        <v>0</v>
      </c>
      <c r="S132" s="933">
        <f t="shared" si="120"/>
        <v>0</v>
      </c>
      <c r="T132" s="933">
        <f t="shared" si="121"/>
        <v>0</v>
      </c>
      <c r="U132" s="933">
        <f t="shared" si="122"/>
        <v>0</v>
      </c>
      <c r="V132" s="933">
        <f t="shared" si="123"/>
        <v>0</v>
      </c>
    </row>
    <row r="133" spans="1:22" ht="12.75" customHeight="1" x14ac:dyDescent="0.3">
      <c r="A133" s="1177" t="s">
        <v>66</v>
      </c>
      <c r="B133" s="1072">
        <v>18.25</v>
      </c>
      <c r="C133" s="1067" t="s">
        <v>764</v>
      </c>
      <c r="D133" s="1110" t="s">
        <v>243</v>
      </c>
      <c r="E133" s="946">
        <v>226</v>
      </c>
      <c r="F133" s="946">
        <f>'01 (2)'!H170*'01 (2)'!$T$5</f>
        <v>0</v>
      </c>
      <c r="G133" s="1318">
        <f t="shared" si="114"/>
        <v>10416</v>
      </c>
      <c r="H133" s="938">
        <v>10416</v>
      </c>
      <c r="I133" s="1062">
        <f t="shared" si="115"/>
        <v>0</v>
      </c>
      <c r="J133" s="1062">
        <f t="shared" si="116"/>
        <v>2354016</v>
      </c>
      <c r="K133" s="938">
        <f t="shared" si="74"/>
        <v>2354016</v>
      </c>
      <c r="M133" s="1051"/>
      <c r="N133" s="1063">
        <v>0</v>
      </c>
      <c r="O133" s="1063"/>
      <c r="P133" s="1064">
        <f t="shared" si="117"/>
        <v>0</v>
      </c>
      <c r="Q133" s="933">
        <f t="shared" si="118"/>
        <v>0</v>
      </c>
      <c r="R133" s="933">
        <f t="shared" si="119"/>
        <v>0</v>
      </c>
      <c r="S133" s="933">
        <f t="shared" si="120"/>
        <v>0</v>
      </c>
      <c r="T133" s="933">
        <f t="shared" si="121"/>
        <v>0</v>
      </c>
      <c r="U133" s="933">
        <f t="shared" si="122"/>
        <v>0</v>
      </c>
      <c r="V133" s="933">
        <f t="shared" si="123"/>
        <v>0</v>
      </c>
    </row>
    <row r="134" spans="1:22" ht="12.75" customHeight="1" x14ac:dyDescent="0.3">
      <c r="A134" s="1177" t="s">
        <v>66</v>
      </c>
      <c r="B134" s="1072">
        <v>18.260000000000002</v>
      </c>
      <c r="C134" s="1067" t="s">
        <v>765</v>
      </c>
      <c r="D134" s="1110" t="s">
        <v>243</v>
      </c>
      <c r="E134" s="946">
        <v>8</v>
      </c>
      <c r="F134" s="946">
        <f>'01 (2)'!H171*'01 (2)'!$T$5</f>
        <v>0</v>
      </c>
      <c r="G134" s="1318">
        <f t="shared" si="114"/>
        <v>25377</v>
      </c>
      <c r="H134" s="938">
        <v>25377</v>
      </c>
      <c r="I134" s="1062">
        <f t="shared" si="115"/>
        <v>0</v>
      </c>
      <c r="J134" s="1062">
        <f t="shared" si="116"/>
        <v>203016</v>
      </c>
      <c r="K134" s="938">
        <f t="shared" si="74"/>
        <v>203016</v>
      </c>
      <c r="M134" s="1051"/>
      <c r="N134" s="1063">
        <v>0</v>
      </c>
      <c r="O134" s="1063"/>
      <c r="P134" s="1064">
        <f t="shared" si="117"/>
        <v>0</v>
      </c>
      <c r="Q134" s="933">
        <f t="shared" si="118"/>
        <v>0</v>
      </c>
      <c r="R134" s="933">
        <f t="shared" si="119"/>
        <v>0</v>
      </c>
      <c r="S134" s="933">
        <f t="shared" si="120"/>
        <v>0</v>
      </c>
      <c r="T134" s="933">
        <f t="shared" si="121"/>
        <v>0</v>
      </c>
      <c r="U134" s="933">
        <f t="shared" si="122"/>
        <v>0</v>
      </c>
      <c r="V134" s="933">
        <f t="shared" si="123"/>
        <v>0</v>
      </c>
    </row>
    <row r="135" spans="1:22" ht="12.75" customHeight="1" x14ac:dyDescent="0.3">
      <c r="A135" s="1177" t="s">
        <v>66</v>
      </c>
      <c r="B135" s="1072">
        <v>18.27</v>
      </c>
      <c r="C135" s="1067" t="s">
        <v>766</v>
      </c>
      <c r="D135" s="1110" t="s">
        <v>243</v>
      </c>
      <c r="E135" s="946">
        <v>24</v>
      </c>
      <c r="F135" s="946">
        <f>'01 (2)'!H172*'01 (2)'!$T$5</f>
        <v>0</v>
      </c>
      <c r="G135" s="1318">
        <f t="shared" si="114"/>
        <v>93081</v>
      </c>
      <c r="H135" s="938">
        <v>93081</v>
      </c>
      <c r="I135" s="1062">
        <f t="shared" si="115"/>
        <v>0</v>
      </c>
      <c r="J135" s="1062">
        <f t="shared" si="116"/>
        <v>2233944</v>
      </c>
      <c r="K135" s="938">
        <f t="shared" si="74"/>
        <v>2233944</v>
      </c>
      <c r="M135" s="1051"/>
      <c r="N135" s="1063">
        <v>0</v>
      </c>
      <c r="O135" s="1063"/>
      <c r="P135" s="1064">
        <f t="shared" si="117"/>
        <v>0</v>
      </c>
      <c r="Q135" s="933">
        <f t="shared" si="118"/>
        <v>0</v>
      </c>
      <c r="R135" s="933">
        <f t="shared" si="119"/>
        <v>0</v>
      </c>
      <c r="S135" s="933">
        <f t="shared" si="120"/>
        <v>0</v>
      </c>
      <c r="T135" s="933">
        <f t="shared" si="121"/>
        <v>0</v>
      </c>
      <c r="U135" s="933">
        <f t="shared" si="122"/>
        <v>0</v>
      </c>
      <c r="V135" s="933">
        <f t="shared" si="123"/>
        <v>0</v>
      </c>
    </row>
    <row r="136" spans="1:22" ht="12.75" customHeight="1" x14ac:dyDescent="0.3">
      <c r="A136" s="1177" t="s">
        <v>66</v>
      </c>
      <c r="B136" s="1072">
        <v>18.28</v>
      </c>
      <c r="C136" s="1067" t="s">
        <v>767</v>
      </c>
      <c r="D136" s="1110" t="s">
        <v>243</v>
      </c>
      <c r="E136" s="946">
        <v>12</v>
      </c>
      <c r="F136" s="946">
        <f>'01 (2)'!H173*'01 (2)'!$T$5</f>
        <v>0</v>
      </c>
      <c r="G136" s="1318">
        <f t="shared" si="114"/>
        <v>25377</v>
      </c>
      <c r="H136" s="938">
        <v>25377</v>
      </c>
      <c r="I136" s="1062">
        <f t="shared" si="115"/>
        <v>0</v>
      </c>
      <c r="J136" s="1062">
        <f t="shared" si="116"/>
        <v>304524</v>
      </c>
      <c r="K136" s="938">
        <f t="shared" si="74"/>
        <v>304524</v>
      </c>
      <c r="M136" s="1051"/>
      <c r="N136" s="1063">
        <v>0</v>
      </c>
      <c r="O136" s="1063"/>
      <c r="P136" s="1064">
        <f t="shared" si="117"/>
        <v>0</v>
      </c>
      <c r="Q136" s="933">
        <f t="shared" si="118"/>
        <v>0</v>
      </c>
      <c r="R136" s="933">
        <f t="shared" si="119"/>
        <v>0</v>
      </c>
      <c r="S136" s="933">
        <f t="shared" si="120"/>
        <v>0</v>
      </c>
      <c r="T136" s="933">
        <f t="shared" si="121"/>
        <v>0</v>
      </c>
      <c r="U136" s="933">
        <f t="shared" si="122"/>
        <v>0</v>
      </c>
      <c r="V136" s="933">
        <f t="shared" si="123"/>
        <v>0</v>
      </c>
    </row>
    <row r="137" spans="1:22" ht="12.75" customHeight="1" x14ac:dyDescent="0.3">
      <c r="A137" s="1177" t="s">
        <v>66</v>
      </c>
      <c r="B137" s="1072">
        <v>18.2899999999999</v>
      </c>
      <c r="C137" s="1067" t="s">
        <v>768</v>
      </c>
      <c r="D137" s="1110" t="s">
        <v>243</v>
      </c>
      <c r="E137" s="946">
        <v>1</v>
      </c>
      <c r="F137" s="946">
        <f>'01 (2)'!H174*'01 (2)'!$T$5</f>
        <v>0</v>
      </c>
      <c r="G137" s="1318">
        <f t="shared" si="114"/>
        <v>25377</v>
      </c>
      <c r="H137" s="938">
        <v>25377</v>
      </c>
      <c r="I137" s="1062">
        <f t="shared" si="115"/>
        <v>0</v>
      </c>
      <c r="J137" s="1062">
        <f t="shared" si="116"/>
        <v>25377</v>
      </c>
      <c r="K137" s="938">
        <f t="shared" si="74"/>
        <v>25377</v>
      </c>
      <c r="M137" s="1051"/>
      <c r="N137" s="1063">
        <v>0</v>
      </c>
      <c r="O137" s="1063"/>
      <c r="P137" s="1064">
        <f t="shared" si="117"/>
        <v>0</v>
      </c>
      <c r="Q137" s="933">
        <f t="shared" si="118"/>
        <v>0</v>
      </c>
      <c r="R137" s="933">
        <f t="shared" si="119"/>
        <v>0</v>
      </c>
      <c r="S137" s="933">
        <f t="shared" si="120"/>
        <v>0</v>
      </c>
      <c r="T137" s="933">
        <f t="shared" si="121"/>
        <v>0</v>
      </c>
      <c r="U137" s="933">
        <f t="shared" si="122"/>
        <v>0</v>
      </c>
      <c r="V137" s="933">
        <f t="shared" si="123"/>
        <v>0</v>
      </c>
    </row>
    <row r="138" spans="1:22" ht="12.75" customHeight="1" x14ac:dyDescent="0.3">
      <c r="A138" s="1177" t="s">
        <v>66</v>
      </c>
      <c r="B138" s="1072">
        <v>18.299999999999901</v>
      </c>
      <c r="C138" s="1067" t="s">
        <v>769</v>
      </c>
      <c r="D138" s="1110" t="s">
        <v>243</v>
      </c>
      <c r="E138" s="946">
        <v>109</v>
      </c>
      <c r="F138" s="946">
        <f>'01 (2)'!H175*'01 (2)'!$T$5</f>
        <v>0</v>
      </c>
      <c r="G138" s="1318">
        <f t="shared" si="114"/>
        <v>15984</v>
      </c>
      <c r="H138" s="938">
        <v>15984</v>
      </c>
      <c r="I138" s="1062">
        <f t="shared" si="115"/>
        <v>0</v>
      </c>
      <c r="J138" s="1062">
        <f t="shared" si="116"/>
        <v>1742256</v>
      </c>
      <c r="K138" s="938">
        <f t="shared" ref="K138:K194" si="124">+H138*E138</f>
        <v>1742256</v>
      </c>
      <c r="M138" s="1051"/>
      <c r="N138" s="1063">
        <v>0</v>
      </c>
      <c r="O138" s="1063"/>
      <c r="P138" s="1064">
        <f t="shared" si="117"/>
        <v>0</v>
      </c>
      <c r="Q138" s="933">
        <f t="shared" si="118"/>
        <v>0</v>
      </c>
      <c r="R138" s="933">
        <f t="shared" si="119"/>
        <v>0</v>
      </c>
      <c r="S138" s="933">
        <f t="shared" si="120"/>
        <v>0</v>
      </c>
      <c r="T138" s="933">
        <f t="shared" si="121"/>
        <v>0</v>
      </c>
      <c r="U138" s="933">
        <f t="shared" si="122"/>
        <v>0</v>
      </c>
      <c r="V138" s="933">
        <f t="shared" si="123"/>
        <v>0</v>
      </c>
    </row>
    <row r="139" spans="1:22" ht="12.75" customHeight="1" x14ac:dyDescent="0.3">
      <c r="A139" s="1177" t="s">
        <v>66</v>
      </c>
      <c r="B139" s="1072">
        <v>18.309999999999899</v>
      </c>
      <c r="C139" s="1067" t="s">
        <v>398</v>
      </c>
      <c r="D139" s="1110" t="s">
        <v>207</v>
      </c>
      <c r="E139" s="946">
        <v>1</v>
      </c>
      <c r="F139" s="946">
        <f>'01 (2)'!H176*'01 (2)'!$T$5</f>
        <v>4099232.66825468</v>
      </c>
      <c r="G139" s="1318">
        <f t="shared" si="114"/>
        <v>1417696.33174532</v>
      </c>
      <c r="H139" s="938">
        <v>5516929</v>
      </c>
      <c r="I139" s="1062">
        <f t="shared" si="115"/>
        <v>4099232.66825468</v>
      </c>
      <c r="J139" s="1062">
        <f t="shared" si="116"/>
        <v>1417696.33174532</v>
      </c>
      <c r="K139" s="938">
        <f t="shared" si="124"/>
        <v>5516929</v>
      </c>
      <c r="M139" s="1051"/>
      <c r="N139" s="1063">
        <v>0</v>
      </c>
      <c r="O139" s="1063"/>
      <c r="P139" s="1064">
        <f t="shared" si="117"/>
        <v>0</v>
      </c>
      <c r="Q139" s="933">
        <f t="shared" si="118"/>
        <v>0</v>
      </c>
      <c r="R139" s="933">
        <f t="shared" si="119"/>
        <v>0</v>
      </c>
      <c r="S139" s="933">
        <f t="shared" si="120"/>
        <v>0</v>
      </c>
      <c r="T139" s="933">
        <f t="shared" si="121"/>
        <v>0</v>
      </c>
      <c r="U139" s="933">
        <f t="shared" si="122"/>
        <v>0</v>
      </c>
      <c r="V139" s="933">
        <f t="shared" si="123"/>
        <v>0</v>
      </c>
    </row>
    <row r="140" spans="1:22" ht="12.75" customHeight="1" x14ac:dyDescent="0.3">
      <c r="A140" s="1177" t="s">
        <v>66</v>
      </c>
      <c r="B140" s="1072">
        <v>18.319999999999901</v>
      </c>
      <c r="C140" s="1067" t="s">
        <v>399</v>
      </c>
      <c r="D140" s="1110" t="s">
        <v>207</v>
      </c>
      <c r="E140" s="946">
        <v>1</v>
      </c>
      <c r="F140" s="946">
        <f>'01 (2)'!H177*'01 (2)'!$T$5</f>
        <v>759731.8684392072</v>
      </c>
      <c r="G140" s="1318">
        <f t="shared" si="114"/>
        <v>197822.1315607928</v>
      </c>
      <c r="H140" s="938">
        <v>957554</v>
      </c>
      <c r="I140" s="1062">
        <f t="shared" si="115"/>
        <v>759731.8684392072</v>
      </c>
      <c r="J140" s="1062">
        <f t="shared" si="116"/>
        <v>197822.1315607928</v>
      </c>
      <c r="K140" s="938">
        <f t="shared" si="124"/>
        <v>957554</v>
      </c>
      <c r="M140" s="1051"/>
      <c r="N140" s="1063">
        <v>0</v>
      </c>
      <c r="O140" s="1063"/>
      <c r="P140" s="1064">
        <f t="shared" si="117"/>
        <v>0</v>
      </c>
      <c r="Q140" s="933">
        <f t="shared" si="118"/>
        <v>0</v>
      </c>
      <c r="R140" s="933">
        <f t="shared" si="119"/>
        <v>0</v>
      </c>
      <c r="S140" s="933">
        <f t="shared" si="120"/>
        <v>0</v>
      </c>
      <c r="T140" s="933">
        <f t="shared" si="121"/>
        <v>0</v>
      </c>
      <c r="U140" s="933">
        <f t="shared" si="122"/>
        <v>0</v>
      </c>
      <c r="V140" s="933">
        <f t="shared" si="123"/>
        <v>0</v>
      </c>
    </row>
    <row r="141" spans="1:22" ht="12.75" customHeight="1" x14ac:dyDescent="0.3">
      <c r="A141" s="1177" t="s">
        <v>66</v>
      </c>
      <c r="B141" s="1072">
        <v>18.329999999999899</v>
      </c>
      <c r="C141" s="1111" t="s">
        <v>400</v>
      </c>
      <c r="D141" s="1112" t="s">
        <v>207</v>
      </c>
      <c r="E141" s="956">
        <v>1</v>
      </c>
      <c r="F141" s="952">
        <f>'01 (2)'!H178*'01 (2)'!$T$5</f>
        <v>0</v>
      </c>
      <c r="G141" s="1318">
        <f t="shared" si="114"/>
        <v>142634</v>
      </c>
      <c r="H141" s="938">
        <v>142634</v>
      </c>
      <c r="I141" s="1062">
        <f t="shared" si="115"/>
        <v>0</v>
      </c>
      <c r="J141" s="1062">
        <f t="shared" si="116"/>
        <v>142634</v>
      </c>
      <c r="K141" s="938">
        <f t="shared" si="124"/>
        <v>142634</v>
      </c>
      <c r="M141" s="1051"/>
      <c r="N141" s="1063">
        <v>0</v>
      </c>
      <c r="O141" s="1063"/>
      <c r="P141" s="1064">
        <f t="shared" si="117"/>
        <v>0</v>
      </c>
      <c r="Q141" s="933">
        <f t="shared" si="118"/>
        <v>0</v>
      </c>
      <c r="R141" s="933">
        <f t="shared" si="119"/>
        <v>0</v>
      </c>
      <c r="S141" s="933">
        <f t="shared" si="120"/>
        <v>0</v>
      </c>
      <c r="T141" s="933">
        <f t="shared" si="121"/>
        <v>0</v>
      </c>
      <c r="U141" s="933">
        <f t="shared" si="122"/>
        <v>0</v>
      </c>
      <c r="V141" s="933">
        <f t="shared" si="123"/>
        <v>0</v>
      </c>
    </row>
    <row r="142" spans="1:22" ht="12.75" customHeight="1" x14ac:dyDescent="0.3">
      <c r="A142" s="1201"/>
      <c r="B142" s="909">
        <v>19</v>
      </c>
      <c r="C142" s="964" t="s">
        <v>401</v>
      </c>
      <c r="D142" s="916"/>
      <c r="E142" s="917"/>
      <c r="F142" s="917"/>
      <c r="G142" s="917"/>
      <c r="H142" s="1113"/>
      <c r="I142" s="1113"/>
      <c r="J142" s="1113"/>
      <c r="K142" s="1113"/>
      <c r="L142" s="1114"/>
      <c r="M142" s="1051"/>
      <c r="N142" s="1052"/>
      <c r="O142" s="1053"/>
      <c r="P142" s="1053"/>
      <c r="Q142" s="1054"/>
      <c r="R142" s="1054"/>
      <c r="S142" s="1055"/>
      <c r="T142" s="1055"/>
      <c r="U142" s="1055"/>
      <c r="V142" s="1055"/>
    </row>
    <row r="143" spans="1:22" ht="12.75" customHeight="1" x14ac:dyDescent="0.3">
      <c r="A143" s="1201"/>
      <c r="B143" s="909"/>
      <c r="C143" s="964" t="s">
        <v>402</v>
      </c>
      <c r="D143" s="916"/>
      <c r="E143" s="917"/>
      <c r="F143" s="917"/>
      <c r="G143" s="917"/>
      <c r="H143" s="917"/>
      <c r="I143" s="917"/>
      <c r="J143" s="917"/>
      <c r="K143" s="917"/>
      <c r="L143" s="966">
        <f>+SUM(K144:K146)</f>
        <v>21227962</v>
      </c>
      <c r="M143" s="1051">
        <f>+L143/$L$195</f>
        <v>2.5126450140132647E-2</v>
      </c>
      <c r="N143" s="1052"/>
      <c r="O143" s="1053"/>
      <c r="P143" s="1053"/>
      <c r="Q143" s="1054"/>
      <c r="R143" s="1054"/>
      <c r="S143" s="1055"/>
      <c r="T143" s="1055"/>
      <c r="U143" s="1055"/>
      <c r="V143" s="1055"/>
    </row>
    <row r="144" spans="1:22" ht="12.75" customHeight="1" x14ac:dyDescent="0.3">
      <c r="A144" s="1177" t="s">
        <v>67</v>
      </c>
      <c r="B144" s="925">
        <v>19.010000000000002</v>
      </c>
      <c r="C144" s="1115" t="s">
        <v>404</v>
      </c>
      <c r="D144" s="1097" t="s">
        <v>207</v>
      </c>
      <c r="E144" s="1098">
        <v>1</v>
      </c>
      <c r="F144" s="1320">
        <f>'01 (2)'!H181*'01 (2)'!$T$5</f>
        <v>2934174.6932369787</v>
      </c>
      <c r="G144" s="1318">
        <f t="shared" ref="G144:G146" si="125">H144-F144</f>
        <v>3859669.3067630213</v>
      </c>
      <c r="H144" s="1062">
        <v>6793844</v>
      </c>
      <c r="I144" s="1062">
        <f t="shared" ref="I144:I146" si="126">E144*F144</f>
        <v>2934174.6932369787</v>
      </c>
      <c r="J144" s="1062">
        <f t="shared" ref="J144:J146" si="127">E144*G144</f>
        <v>3859669.3067630213</v>
      </c>
      <c r="K144" s="1062">
        <f t="shared" si="124"/>
        <v>6793844</v>
      </c>
      <c r="M144" s="1051"/>
      <c r="N144" s="1063">
        <v>0</v>
      </c>
      <c r="O144" s="1063"/>
      <c r="P144" s="1064">
        <f t="shared" ref="P144:P146" si="128">SUM(N144:O144)</f>
        <v>0</v>
      </c>
      <c r="Q144" s="933">
        <f t="shared" ref="Q144:Q146" si="129">K144*N144</f>
        <v>0</v>
      </c>
      <c r="R144" s="933">
        <f t="shared" ref="R144:R146" si="130">K144*O144</f>
        <v>0</v>
      </c>
      <c r="S144" s="933">
        <f t="shared" ref="S144:S146" si="131">K144*P144</f>
        <v>0</v>
      </c>
      <c r="T144" s="933">
        <f t="shared" ref="T144:T146" si="132">I144*P144</f>
        <v>0</v>
      </c>
      <c r="U144" s="933">
        <f t="shared" ref="U144:U146" si="133">J144*P144</f>
        <v>0</v>
      </c>
      <c r="V144" s="933">
        <f t="shared" ref="V144:V146" si="134">SUM(T144:U144)</f>
        <v>0</v>
      </c>
    </row>
    <row r="145" spans="1:22" ht="12.75" customHeight="1" x14ac:dyDescent="0.3">
      <c r="A145" s="1177" t="s">
        <v>67</v>
      </c>
      <c r="B145" s="934">
        <v>19.02</v>
      </c>
      <c r="C145" s="958" t="s">
        <v>405</v>
      </c>
      <c r="D145" s="941" t="s">
        <v>207</v>
      </c>
      <c r="E145" s="942">
        <v>1</v>
      </c>
      <c r="F145" s="942">
        <f>'01 (2)'!H182*'01 (2)'!$T$5</f>
        <v>3772510.3198761158</v>
      </c>
      <c r="G145" s="1318">
        <f t="shared" si="125"/>
        <v>5780072.6801238842</v>
      </c>
      <c r="H145" s="938">
        <v>9552583</v>
      </c>
      <c r="I145" s="1062">
        <f t="shared" si="126"/>
        <v>3772510.3198761158</v>
      </c>
      <c r="J145" s="1062">
        <f t="shared" si="127"/>
        <v>5780072.6801238842</v>
      </c>
      <c r="K145" s="938">
        <f t="shared" si="124"/>
        <v>9552583</v>
      </c>
      <c r="M145" s="1051"/>
      <c r="N145" s="1063">
        <v>0.35</v>
      </c>
      <c r="O145" s="1063">
        <v>0.2</v>
      </c>
      <c r="P145" s="1064">
        <f t="shared" si="128"/>
        <v>0.55000000000000004</v>
      </c>
      <c r="Q145" s="933">
        <f t="shared" si="129"/>
        <v>3343404.05</v>
      </c>
      <c r="R145" s="933">
        <f t="shared" si="130"/>
        <v>1910516.6</v>
      </c>
      <c r="S145" s="933">
        <f t="shared" si="131"/>
        <v>5253920.6500000004</v>
      </c>
      <c r="T145" s="933">
        <f t="shared" si="132"/>
        <v>2074880.675931864</v>
      </c>
      <c r="U145" s="933">
        <f t="shared" si="133"/>
        <v>3179039.9740681364</v>
      </c>
      <c r="V145" s="933">
        <f t="shared" si="134"/>
        <v>5253920.6500000004</v>
      </c>
    </row>
    <row r="146" spans="1:22" ht="12.75" customHeight="1" x14ac:dyDescent="0.3">
      <c r="A146" s="1177" t="s">
        <v>67</v>
      </c>
      <c r="B146" s="953">
        <v>19.03</v>
      </c>
      <c r="C146" s="1116" t="s">
        <v>406</v>
      </c>
      <c r="D146" s="1117" t="s">
        <v>207</v>
      </c>
      <c r="E146" s="1118">
        <v>1</v>
      </c>
      <c r="F146" s="1127">
        <f>'01 (2)'!H183*'01 (2)'!$T$5</f>
        <v>1676671.2532782741</v>
      </c>
      <c r="G146" s="1318">
        <f t="shared" si="125"/>
        <v>3204863.7467217259</v>
      </c>
      <c r="H146" s="938">
        <v>4881535</v>
      </c>
      <c r="I146" s="1062">
        <f t="shared" si="126"/>
        <v>1676671.2532782741</v>
      </c>
      <c r="J146" s="1062">
        <f t="shared" si="127"/>
        <v>3204863.7467217259</v>
      </c>
      <c r="K146" s="938">
        <f t="shared" si="124"/>
        <v>4881535</v>
      </c>
      <c r="M146" s="1051"/>
      <c r="N146" s="1063">
        <v>0.35</v>
      </c>
      <c r="O146" s="1063">
        <v>0.1</v>
      </c>
      <c r="P146" s="1064">
        <f t="shared" si="128"/>
        <v>0.44999999999999996</v>
      </c>
      <c r="Q146" s="933">
        <f t="shared" si="129"/>
        <v>1708537.25</v>
      </c>
      <c r="R146" s="933">
        <f t="shared" si="130"/>
        <v>488153.5</v>
      </c>
      <c r="S146" s="933">
        <f t="shared" si="131"/>
        <v>2196690.75</v>
      </c>
      <c r="T146" s="933">
        <f t="shared" si="132"/>
        <v>754502.06397522322</v>
      </c>
      <c r="U146" s="933">
        <f t="shared" si="133"/>
        <v>1442188.6860247764</v>
      </c>
      <c r="V146" s="933">
        <f t="shared" si="134"/>
        <v>2196690.7499999995</v>
      </c>
    </row>
    <row r="147" spans="1:22" ht="12.75" customHeight="1" x14ac:dyDescent="0.3">
      <c r="A147" s="1201"/>
      <c r="B147" s="1119"/>
      <c r="C147" s="1120" t="s">
        <v>407</v>
      </c>
      <c r="D147" s="904"/>
      <c r="E147" s="905"/>
      <c r="F147" s="917"/>
      <c r="G147" s="917"/>
      <c r="H147" s="917"/>
      <c r="I147" s="917"/>
      <c r="J147" s="917"/>
      <c r="K147" s="917"/>
      <c r="L147" s="966">
        <f>+SUM(K148:K150)</f>
        <v>7075989</v>
      </c>
      <c r="M147" s="1051">
        <f>+L147/$L$195</f>
        <v>8.3754853527920892E-3</v>
      </c>
      <c r="N147" s="1052"/>
      <c r="O147" s="1053"/>
      <c r="P147" s="1053"/>
      <c r="Q147" s="1054"/>
      <c r="R147" s="1054"/>
      <c r="S147" s="1055"/>
      <c r="T147" s="1055"/>
      <c r="U147" s="1055"/>
      <c r="V147" s="1055"/>
    </row>
    <row r="148" spans="1:22" ht="12.75" customHeight="1" x14ac:dyDescent="0.3">
      <c r="A148" s="1177" t="s">
        <v>67</v>
      </c>
      <c r="B148" s="925">
        <v>19.04</v>
      </c>
      <c r="C148" s="1115" t="s">
        <v>408</v>
      </c>
      <c r="D148" s="1097" t="s">
        <v>207</v>
      </c>
      <c r="E148" s="1098">
        <v>1</v>
      </c>
      <c r="F148" s="1320">
        <f>'01 (2)'!H185*'01 (2)'!$T$5</f>
        <v>978058.23107899295</v>
      </c>
      <c r="G148" s="1318">
        <f t="shared" ref="G148:G150" si="135">H148-F148</f>
        <v>1498537.7689210069</v>
      </c>
      <c r="H148" s="938">
        <v>2476596</v>
      </c>
      <c r="I148" s="1062">
        <f t="shared" ref="I148:I150" si="136">E148*F148</f>
        <v>978058.23107899295</v>
      </c>
      <c r="J148" s="1062">
        <f t="shared" ref="J148:J150" si="137">E148*G148</f>
        <v>1498537.7689210069</v>
      </c>
      <c r="K148" s="938">
        <f t="shared" si="124"/>
        <v>2476596</v>
      </c>
      <c r="M148" s="1051"/>
      <c r="N148" s="1063">
        <v>0</v>
      </c>
      <c r="O148" s="1063"/>
      <c r="P148" s="1064">
        <f t="shared" ref="P148:P150" si="138">SUM(N148:O148)</f>
        <v>0</v>
      </c>
      <c r="Q148" s="933">
        <f t="shared" ref="Q148:Q150" si="139">K148*N148</f>
        <v>0</v>
      </c>
      <c r="R148" s="933">
        <f t="shared" ref="R148:R150" si="140">K148*O148</f>
        <v>0</v>
      </c>
      <c r="S148" s="933">
        <f t="shared" ref="S148:S150" si="141">K148*P148</f>
        <v>0</v>
      </c>
      <c r="T148" s="933">
        <f t="shared" ref="T148:T150" si="142">I148*P148</f>
        <v>0</v>
      </c>
      <c r="U148" s="933">
        <f t="shared" ref="U148:U150" si="143">J148*P148</f>
        <v>0</v>
      </c>
      <c r="V148" s="933">
        <f t="shared" ref="V148:V150" si="144">SUM(T148:U148)</f>
        <v>0</v>
      </c>
    </row>
    <row r="149" spans="1:22" ht="12.75" customHeight="1" x14ac:dyDescent="0.3">
      <c r="A149" s="1177" t="s">
        <v>67</v>
      </c>
      <c r="B149" s="934">
        <v>19.05</v>
      </c>
      <c r="C149" s="958" t="s">
        <v>409</v>
      </c>
      <c r="D149" s="941" t="s">
        <v>207</v>
      </c>
      <c r="E149" s="942">
        <v>1</v>
      </c>
      <c r="F149" s="942">
        <f>'01 (2)'!H186*'01 (2)'!$T$5</f>
        <v>1397226.0443985616</v>
      </c>
      <c r="G149" s="1318">
        <f t="shared" si="135"/>
        <v>2140767.9556014384</v>
      </c>
      <c r="H149" s="938">
        <v>3537994</v>
      </c>
      <c r="I149" s="1062">
        <f t="shared" si="136"/>
        <v>1397226.0443985616</v>
      </c>
      <c r="J149" s="1062">
        <f t="shared" si="137"/>
        <v>2140767.9556014384</v>
      </c>
      <c r="K149" s="938">
        <f t="shared" si="124"/>
        <v>3537994</v>
      </c>
      <c r="M149" s="1051"/>
      <c r="N149" s="1063">
        <v>0.39999999999999997</v>
      </c>
      <c r="O149" s="1063">
        <v>0.05</v>
      </c>
      <c r="P149" s="1064">
        <f t="shared" si="138"/>
        <v>0.44999999999999996</v>
      </c>
      <c r="Q149" s="933">
        <f t="shared" si="139"/>
        <v>1415197.5999999999</v>
      </c>
      <c r="R149" s="933">
        <f t="shared" si="140"/>
        <v>176899.7</v>
      </c>
      <c r="S149" s="933">
        <f t="shared" si="141"/>
        <v>1592097.2999999998</v>
      </c>
      <c r="T149" s="933">
        <f t="shared" si="142"/>
        <v>628751.71997935267</v>
      </c>
      <c r="U149" s="933">
        <f t="shared" si="143"/>
        <v>963345.58002064715</v>
      </c>
      <c r="V149" s="933">
        <f t="shared" si="144"/>
        <v>1592097.2999999998</v>
      </c>
    </row>
    <row r="150" spans="1:22" ht="12.75" customHeight="1" x14ac:dyDescent="0.3">
      <c r="A150" s="1177" t="s">
        <v>67</v>
      </c>
      <c r="B150" s="953">
        <v>19.059999999999999</v>
      </c>
      <c r="C150" s="1116" t="s">
        <v>410</v>
      </c>
      <c r="D150" s="1117" t="s">
        <v>207</v>
      </c>
      <c r="E150" s="1118">
        <v>1</v>
      </c>
      <c r="F150" s="1127">
        <f>'01 (2)'!H187*'01 (2)'!$T$5</f>
        <v>419167.81331956841</v>
      </c>
      <c r="G150" s="1318">
        <f t="shared" si="135"/>
        <v>642231.18668043159</v>
      </c>
      <c r="H150" s="938">
        <v>1061399</v>
      </c>
      <c r="I150" s="1062">
        <f t="shared" si="136"/>
        <v>419167.81331956841</v>
      </c>
      <c r="J150" s="1062">
        <f t="shared" si="137"/>
        <v>642231.18668043159</v>
      </c>
      <c r="K150" s="938">
        <f t="shared" si="124"/>
        <v>1061399</v>
      </c>
      <c r="M150" s="1051"/>
      <c r="N150" s="1063">
        <v>0</v>
      </c>
      <c r="O150" s="1063"/>
      <c r="P150" s="1064">
        <f t="shared" si="138"/>
        <v>0</v>
      </c>
      <c r="Q150" s="933">
        <f t="shared" si="139"/>
        <v>0</v>
      </c>
      <c r="R150" s="933">
        <f t="shared" si="140"/>
        <v>0</v>
      </c>
      <c r="S150" s="933">
        <f t="shared" si="141"/>
        <v>0</v>
      </c>
      <c r="T150" s="933">
        <f t="shared" si="142"/>
        <v>0</v>
      </c>
      <c r="U150" s="933">
        <f t="shared" si="143"/>
        <v>0</v>
      </c>
      <c r="V150" s="933">
        <f t="shared" si="144"/>
        <v>0</v>
      </c>
    </row>
    <row r="151" spans="1:22" ht="12.75" customHeight="1" x14ac:dyDescent="0.3">
      <c r="A151" s="1201"/>
      <c r="B151" s="909"/>
      <c r="C151" s="964" t="s">
        <v>411</v>
      </c>
      <c r="D151" s="916"/>
      <c r="E151" s="917"/>
      <c r="F151" s="917"/>
      <c r="G151" s="917"/>
      <c r="H151" s="917"/>
      <c r="I151" s="917"/>
      <c r="J151" s="917"/>
      <c r="K151" s="917"/>
      <c r="L151" s="966">
        <f>+SUM(K152:K156)</f>
        <v>34829620</v>
      </c>
      <c r="M151" s="1051">
        <f>+L151/$L$195</f>
        <v>4.1226035279777064E-2</v>
      </c>
      <c r="N151" s="1052"/>
      <c r="O151" s="1053"/>
      <c r="P151" s="1053"/>
      <c r="Q151" s="1054"/>
      <c r="R151" s="1054"/>
      <c r="S151" s="1055"/>
      <c r="T151" s="1055"/>
      <c r="U151" s="1055"/>
      <c r="V151" s="1055"/>
    </row>
    <row r="152" spans="1:22" ht="12.75" customHeight="1" x14ac:dyDescent="0.3">
      <c r="A152" s="1177" t="s">
        <v>67</v>
      </c>
      <c r="B152" s="1090">
        <v>19.07</v>
      </c>
      <c r="C152" s="1121" t="s">
        <v>412</v>
      </c>
      <c r="D152" s="1097" t="s">
        <v>207</v>
      </c>
      <c r="E152" s="1098">
        <v>1</v>
      </c>
      <c r="F152" s="1098">
        <f>'01 (2)'!H189*'01 (2)'!$T$5</f>
        <v>1189974.9351445253</v>
      </c>
      <c r="G152" s="1318">
        <f t="shared" ref="G152:G156" si="145">H152-F152</f>
        <v>2073248.0648554747</v>
      </c>
      <c r="H152" s="929">
        <v>3263223</v>
      </c>
      <c r="I152" s="1062">
        <f t="shared" ref="I152:I156" si="146">E152*F152</f>
        <v>1189974.9351445253</v>
      </c>
      <c r="J152" s="1062">
        <f t="shared" ref="J152:J156" si="147">E152*G152</f>
        <v>2073248.0648554747</v>
      </c>
      <c r="K152" s="929">
        <f t="shared" si="124"/>
        <v>3263223</v>
      </c>
      <c r="M152" s="1051"/>
      <c r="N152" s="1063">
        <v>0</v>
      </c>
      <c r="O152" s="1063"/>
      <c r="P152" s="1064">
        <f t="shared" ref="P152:P156" si="148">SUM(N152:O152)</f>
        <v>0</v>
      </c>
      <c r="Q152" s="933">
        <f t="shared" ref="Q152:Q156" si="149">K152*N152</f>
        <v>0</v>
      </c>
      <c r="R152" s="933">
        <f t="shared" ref="R152:R156" si="150">K152*O152</f>
        <v>0</v>
      </c>
      <c r="S152" s="933">
        <f t="shared" ref="S152:S155" si="151">K152*P152</f>
        <v>0</v>
      </c>
      <c r="T152" s="933">
        <f t="shared" ref="T152:T156" si="152">I152*P152</f>
        <v>0</v>
      </c>
      <c r="U152" s="933">
        <f t="shared" ref="U152:U156" si="153">J152*P152</f>
        <v>0</v>
      </c>
      <c r="V152" s="933">
        <f t="shared" ref="V152:V156" si="154">SUM(T152:U152)</f>
        <v>0</v>
      </c>
    </row>
    <row r="153" spans="1:22" ht="12.75" customHeight="1" x14ac:dyDescent="0.3">
      <c r="A153" s="1177" t="s">
        <v>67</v>
      </c>
      <c r="B153" s="1072">
        <v>19.079999999999998</v>
      </c>
      <c r="C153" s="1122" t="s">
        <v>413</v>
      </c>
      <c r="D153" s="941" t="s">
        <v>207</v>
      </c>
      <c r="E153" s="942">
        <v>1</v>
      </c>
      <c r="F153" s="942">
        <f>'01 (2)'!H190*'01 (2)'!$T$5</f>
        <v>1586633.246859367</v>
      </c>
      <c r="G153" s="1318">
        <f t="shared" si="145"/>
        <v>2079197.753140633</v>
      </c>
      <c r="H153" s="938">
        <v>3665831</v>
      </c>
      <c r="I153" s="1062">
        <f t="shared" si="146"/>
        <v>1586633.246859367</v>
      </c>
      <c r="J153" s="1062">
        <f t="shared" si="147"/>
        <v>2079197.753140633</v>
      </c>
      <c r="K153" s="938">
        <f t="shared" si="124"/>
        <v>3665831</v>
      </c>
      <c r="M153" s="1051"/>
      <c r="N153" s="1063">
        <v>0</v>
      </c>
      <c r="O153" s="1063"/>
      <c r="P153" s="1064">
        <f t="shared" si="148"/>
        <v>0</v>
      </c>
      <c r="Q153" s="933">
        <f t="shared" si="149"/>
        <v>0</v>
      </c>
      <c r="R153" s="933">
        <f t="shared" si="150"/>
        <v>0</v>
      </c>
      <c r="S153" s="933">
        <f t="shared" si="151"/>
        <v>0</v>
      </c>
      <c r="T153" s="933">
        <f t="shared" si="152"/>
        <v>0</v>
      </c>
      <c r="U153" s="933">
        <f t="shared" si="153"/>
        <v>0</v>
      </c>
      <c r="V153" s="933">
        <f t="shared" si="154"/>
        <v>0</v>
      </c>
    </row>
    <row r="154" spans="1:22" ht="12.75" customHeight="1" x14ac:dyDescent="0.3">
      <c r="A154" s="1177" t="s">
        <v>67</v>
      </c>
      <c r="B154" s="1072">
        <v>19.09</v>
      </c>
      <c r="C154" s="1123" t="s">
        <v>414</v>
      </c>
      <c r="D154" s="941" t="s">
        <v>207</v>
      </c>
      <c r="E154" s="942">
        <v>1</v>
      </c>
      <c r="F154" s="942">
        <f>'01 (2)'!H191*'01 (2)'!$T$5</f>
        <v>1189974.9351445253</v>
      </c>
      <c r="G154" s="1318">
        <f t="shared" si="145"/>
        <v>2073248.0648554747</v>
      </c>
      <c r="H154" s="938">
        <v>3263223</v>
      </c>
      <c r="I154" s="1062">
        <f t="shared" si="146"/>
        <v>1189974.9351445253</v>
      </c>
      <c r="J154" s="1062">
        <f t="shared" si="147"/>
        <v>2073248.0648554747</v>
      </c>
      <c r="K154" s="938">
        <f t="shared" si="124"/>
        <v>3263223</v>
      </c>
      <c r="M154" s="1051"/>
      <c r="N154" s="1063">
        <v>0</v>
      </c>
      <c r="O154" s="1063"/>
      <c r="P154" s="1064">
        <f t="shared" si="148"/>
        <v>0</v>
      </c>
      <c r="Q154" s="933">
        <f t="shared" si="149"/>
        <v>0</v>
      </c>
      <c r="R154" s="933">
        <f t="shared" si="150"/>
        <v>0</v>
      </c>
      <c r="S154" s="933">
        <f t="shared" si="151"/>
        <v>0</v>
      </c>
      <c r="T154" s="933">
        <f t="shared" si="152"/>
        <v>0</v>
      </c>
      <c r="U154" s="933">
        <f t="shared" si="153"/>
        <v>0</v>
      </c>
      <c r="V154" s="933">
        <f t="shared" si="154"/>
        <v>0</v>
      </c>
    </row>
    <row r="155" spans="1:22" ht="12.75" customHeight="1" x14ac:dyDescent="0.3">
      <c r="A155" s="1177" t="s">
        <v>67</v>
      </c>
      <c r="B155" s="1072">
        <v>19.100000000000001</v>
      </c>
      <c r="C155" s="1122" t="s">
        <v>415</v>
      </c>
      <c r="D155" s="941" t="s">
        <v>207</v>
      </c>
      <c r="E155" s="942">
        <v>1</v>
      </c>
      <c r="F155" s="942">
        <f>'01 (2)'!H192*'01 (2)'!$T$5</f>
        <v>3966583.1171484175</v>
      </c>
      <c r="G155" s="1318">
        <f t="shared" si="145"/>
        <v>14447285.882851582</v>
      </c>
      <c r="H155" s="938">
        <v>18413869</v>
      </c>
      <c r="I155" s="1062">
        <f t="shared" si="146"/>
        <v>3966583.1171484175</v>
      </c>
      <c r="J155" s="1062">
        <f t="shared" si="147"/>
        <v>14447285.882851582</v>
      </c>
      <c r="K155" s="938">
        <f t="shared" si="124"/>
        <v>18413869</v>
      </c>
      <c r="M155" s="1051"/>
      <c r="N155" s="1063">
        <v>0.4</v>
      </c>
      <c r="O155" s="1063">
        <v>0.2</v>
      </c>
      <c r="P155" s="1064">
        <f t="shared" si="148"/>
        <v>0.60000000000000009</v>
      </c>
      <c r="Q155" s="933">
        <f t="shared" si="149"/>
        <v>7365547.6000000006</v>
      </c>
      <c r="R155" s="933">
        <f t="shared" si="150"/>
        <v>3682773.8000000003</v>
      </c>
      <c r="S155" s="933">
        <f t="shared" si="151"/>
        <v>11048321.400000002</v>
      </c>
      <c r="T155" s="933">
        <f t="shared" si="152"/>
        <v>2379949.870289051</v>
      </c>
      <c r="U155" s="933">
        <f t="shared" si="153"/>
        <v>8668371.5297109503</v>
      </c>
      <c r="V155" s="933">
        <f t="shared" si="154"/>
        <v>11048321.400000002</v>
      </c>
    </row>
    <row r="156" spans="1:22" ht="12.75" customHeight="1" x14ac:dyDescent="0.3">
      <c r="A156" s="1177" t="s">
        <v>67</v>
      </c>
      <c r="B156" s="1072">
        <v>19.11</v>
      </c>
      <c r="C156" s="1124" t="s">
        <v>416</v>
      </c>
      <c r="D156" s="1117" t="s">
        <v>207</v>
      </c>
      <c r="E156" s="1118">
        <v>1</v>
      </c>
      <c r="F156" s="1118">
        <f>'01 (2)'!H193*'01 (2)'!$T$5</f>
        <v>2696730.4485966228</v>
      </c>
      <c r="G156" s="1318">
        <f t="shared" si="145"/>
        <v>3526743.5514033772</v>
      </c>
      <c r="H156" s="1107">
        <v>6223474</v>
      </c>
      <c r="I156" s="1062">
        <f t="shared" si="146"/>
        <v>2696730.4485966228</v>
      </c>
      <c r="J156" s="1062">
        <f t="shared" si="147"/>
        <v>3526743.5514033772</v>
      </c>
      <c r="K156" s="1107">
        <f t="shared" si="124"/>
        <v>6223474</v>
      </c>
      <c r="M156" s="1051"/>
      <c r="N156" s="1063">
        <v>0</v>
      </c>
      <c r="O156" s="1063"/>
      <c r="P156" s="1064">
        <f t="shared" si="148"/>
        <v>0</v>
      </c>
      <c r="Q156" s="933">
        <f t="shared" si="149"/>
        <v>0</v>
      </c>
      <c r="R156" s="933">
        <f t="shared" si="150"/>
        <v>0</v>
      </c>
      <c r="S156" s="933">
        <f>K156*P156</f>
        <v>0</v>
      </c>
      <c r="T156" s="933">
        <f t="shared" si="152"/>
        <v>0</v>
      </c>
      <c r="U156" s="933">
        <f t="shared" si="153"/>
        <v>0</v>
      </c>
      <c r="V156" s="933">
        <f t="shared" si="154"/>
        <v>0</v>
      </c>
    </row>
    <row r="157" spans="1:22" ht="12.75" customHeight="1" x14ac:dyDescent="0.3">
      <c r="A157" s="1201"/>
      <c r="B157" s="909"/>
      <c r="C157" s="964" t="s">
        <v>417</v>
      </c>
      <c r="D157" s="916"/>
      <c r="E157" s="917"/>
      <c r="F157" s="917"/>
      <c r="G157" s="917"/>
      <c r="H157" s="917"/>
      <c r="I157" s="917"/>
      <c r="J157" s="917"/>
      <c r="K157" s="917"/>
      <c r="L157" s="966">
        <f>+SUM(K158)</f>
        <v>2637801</v>
      </c>
      <c r="M157" s="1051">
        <f>+L157/$L$195</f>
        <v>3.1222297885257206E-3</v>
      </c>
      <c r="N157" s="1052"/>
      <c r="O157" s="1053"/>
      <c r="P157" s="1053"/>
      <c r="Q157" s="1054"/>
      <c r="R157" s="1054"/>
      <c r="S157" s="1055"/>
      <c r="T157" s="1055"/>
      <c r="U157" s="1055"/>
      <c r="V157" s="1055"/>
    </row>
    <row r="158" spans="1:22" ht="12.75" customHeight="1" x14ac:dyDescent="0.3">
      <c r="A158" s="1177" t="s">
        <v>67</v>
      </c>
      <c r="B158" s="934">
        <v>19.12</v>
      </c>
      <c r="C158" s="958" t="s">
        <v>770</v>
      </c>
      <c r="D158" s="941" t="s">
        <v>207</v>
      </c>
      <c r="E158" s="942">
        <v>1</v>
      </c>
      <c r="F158" s="942">
        <f>'01 (2)'!H195*'01 (2)'!$T$5</f>
        <v>599727.34221345687</v>
      </c>
      <c r="G158" s="1318">
        <f t="shared" ref="G158" si="155">H158-F158</f>
        <v>2038073.657786543</v>
      </c>
      <c r="H158" s="938">
        <v>2637801</v>
      </c>
      <c r="I158" s="1062">
        <f>E158*F158</f>
        <v>599727.34221345687</v>
      </c>
      <c r="J158" s="1062">
        <f>E158*G158</f>
        <v>2038073.657786543</v>
      </c>
      <c r="K158" s="938">
        <f t="shared" si="124"/>
        <v>2637801</v>
      </c>
      <c r="M158" s="1051"/>
      <c r="N158" s="1063">
        <v>0.30000000000000004</v>
      </c>
      <c r="O158" s="1063">
        <v>0.5</v>
      </c>
      <c r="P158" s="1064">
        <f>SUM(N158:O158)</f>
        <v>0.8</v>
      </c>
      <c r="Q158" s="933">
        <f>K158*N158</f>
        <v>791340.30000000016</v>
      </c>
      <c r="R158" s="933">
        <f>K158*O158</f>
        <v>1318900.5</v>
      </c>
      <c r="S158" s="933">
        <f>K158*P158</f>
        <v>2110240.8000000003</v>
      </c>
      <c r="T158" s="933">
        <f>I158*P158</f>
        <v>479781.87377076549</v>
      </c>
      <c r="U158" s="933">
        <f>J158*P158</f>
        <v>1630458.9262292346</v>
      </c>
      <c r="V158" s="933">
        <f>SUM(T158:U158)</f>
        <v>2110240.7999999998</v>
      </c>
    </row>
    <row r="159" spans="1:22" ht="12.75" customHeight="1" x14ac:dyDescent="0.3">
      <c r="A159" s="1201"/>
      <c r="B159" s="909"/>
      <c r="C159" s="964" t="s">
        <v>419</v>
      </c>
      <c r="D159" s="916"/>
      <c r="E159" s="917"/>
      <c r="F159" s="917"/>
      <c r="G159" s="917"/>
      <c r="H159" s="917"/>
      <c r="I159" s="917"/>
      <c r="J159" s="917"/>
      <c r="K159" s="917"/>
      <c r="L159" s="966">
        <f>+SUM(K160:K161)</f>
        <v>39784561</v>
      </c>
      <c r="M159" s="1051">
        <f>+L159/$L$195</f>
        <v>4.7090944873255651E-2</v>
      </c>
      <c r="N159" s="1052"/>
      <c r="O159" s="1053"/>
      <c r="P159" s="1053"/>
      <c r="Q159" s="1054"/>
      <c r="R159" s="1054"/>
      <c r="S159" s="1055"/>
      <c r="T159" s="1055"/>
      <c r="U159" s="1055"/>
      <c r="V159" s="1055"/>
    </row>
    <row r="160" spans="1:22" ht="12.75" customHeight="1" x14ac:dyDescent="0.3">
      <c r="A160" s="1177" t="s">
        <v>67</v>
      </c>
      <c r="B160" s="925">
        <v>19.13</v>
      </c>
      <c r="C160" s="1115" t="s">
        <v>771</v>
      </c>
      <c r="D160" s="1097" t="s">
        <v>207</v>
      </c>
      <c r="E160" s="1098">
        <v>1</v>
      </c>
      <c r="F160" s="1320">
        <f>'01 (2)'!H197*'01 (2)'!$T$5</f>
        <v>9148880.1261654105</v>
      </c>
      <c r="G160" s="1318">
        <f t="shared" ref="G160:G161" si="156">H160-F160</f>
        <v>26853977.873834588</v>
      </c>
      <c r="H160" s="938">
        <v>36002858</v>
      </c>
      <c r="I160" s="1062">
        <f t="shared" ref="I160:I161" si="157">E160*F160</f>
        <v>9148880.1261654105</v>
      </c>
      <c r="J160" s="1062">
        <f t="shared" ref="J160:J161" si="158">E160*G160</f>
        <v>26853977.873834588</v>
      </c>
      <c r="K160" s="938">
        <f t="shared" si="124"/>
        <v>36002858</v>
      </c>
      <c r="M160" s="1051"/>
      <c r="N160" s="1063">
        <v>0.15000000000000002</v>
      </c>
      <c r="O160" s="1063"/>
      <c r="P160" s="1064">
        <f t="shared" ref="P160:P161" si="159">SUM(N160:O160)</f>
        <v>0.15000000000000002</v>
      </c>
      <c r="Q160" s="933">
        <f t="shared" ref="Q160:Q161" si="160">K160*N160</f>
        <v>5400428.7000000011</v>
      </c>
      <c r="R160" s="933">
        <f t="shared" ref="R160:R161" si="161">K160*O160</f>
        <v>0</v>
      </c>
      <c r="S160" s="933">
        <f>K160*P160</f>
        <v>5400428.7000000011</v>
      </c>
      <c r="T160" s="933">
        <f t="shared" ref="T160:T161" si="162">I160*P160</f>
        <v>1372332.0189248119</v>
      </c>
      <c r="U160" s="933">
        <f t="shared" ref="U160:U161" si="163">J160*P160</f>
        <v>4028096.6810751888</v>
      </c>
      <c r="V160" s="933">
        <f t="shared" ref="V160:V161" si="164">SUM(T160:U160)</f>
        <v>5400428.7000000011</v>
      </c>
    </row>
    <row r="161" spans="1:22" ht="12.75" customHeight="1" x14ac:dyDescent="0.3">
      <c r="A161" s="1177" t="s">
        <v>67</v>
      </c>
      <c r="B161" s="953">
        <v>19.14</v>
      </c>
      <c r="C161" s="1116" t="s">
        <v>772</v>
      </c>
      <c r="D161" s="1117" t="s">
        <v>207</v>
      </c>
      <c r="E161" s="1118">
        <v>1</v>
      </c>
      <c r="F161" s="1127">
        <f>'01 (2)'!H198*'01 (2)'!$T$5</f>
        <v>801158.00453362754</v>
      </c>
      <c r="G161" s="1318">
        <f t="shared" si="156"/>
        <v>2980544.9954663725</v>
      </c>
      <c r="H161" s="938">
        <v>3781703</v>
      </c>
      <c r="I161" s="1062">
        <f t="shared" si="157"/>
        <v>801158.00453362754</v>
      </c>
      <c r="J161" s="1062">
        <f t="shared" si="158"/>
        <v>2980544.9954663725</v>
      </c>
      <c r="K161" s="938">
        <f t="shared" si="124"/>
        <v>3781703</v>
      </c>
      <c r="M161" s="1051"/>
      <c r="N161" s="1063">
        <v>0</v>
      </c>
      <c r="O161" s="1063"/>
      <c r="P161" s="1064">
        <f t="shared" si="159"/>
        <v>0</v>
      </c>
      <c r="Q161" s="933">
        <f t="shared" si="160"/>
        <v>0</v>
      </c>
      <c r="R161" s="933">
        <f t="shared" si="161"/>
        <v>0</v>
      </c>
      <c r="S161" s="933">
        <f>K161*P161</f>
        <v>0</v>
      </c>
      <c r="T161" s="933">
        <f t="shared" si="162"/>
        <v>0</v>
      </c>
      <c r="U161" s="933">
        <f t="shared" si="163"/>
        <v>0</v>
      </c>
      <c r="V161" s="933">
        <f t="shared" si="164"/>
        <v>0</v>
      </c>
    </row>
    <row r="162" spans="1:22" ht="12.75" customHeight="1" x14ac:dyDescent="0.3">
      <c r="A162" s="1201"/>
      <c r="B162" s="909"/>
      <c r="C162" s="964" t="s">
        <v>422</v>
      </c>
      <c r="D162" s="916"/>
      <c r="E162" s="917"/>
      <c r="F162" s="917"/>
      <c r="G162" s="917"/>
      <c r="H162" s="917"/>
      <c r="I162" s="917"/>
      <c r="J162" s="917"/>
      <c r="K162" s="917"/>
      <c r="L162" s="966">
        <f>+SUM(K163)</f>
        <v>6439007</v>
      </c>
      <c r="M162" s="1051">
        <f>+L162/$L$195</f>
        <v>7.6215224211097178E-3</v>
      </c>
      <c r="N162" s="1052"/>
      <c r="O162" s="1053"/>
      <c r="P162" s="1053"/>
      <c r="Q162" s="1054"/>
      <c r="R162" s="1054"/>
      <c r="S162" s="1055"/>
      <c r="T162" s="1055"/>
      <c r="U162" s="1055"/>
      <c r="V162" s="1055"/>
    </row>
    <row r="163" spans="1:22" ht="12.75" customHeight="1" x14ac:dyDescent="0.3">
      <c r="A163" s="1177" t="s">
        <v>67</v>
      </c>
      <c r="B163" s="934">
        <v>19.149999999999999</v>
      </c>
      <c r="C163" s="1067" t="s">
        <v>773</v>
      </c>
      <c r="D163" s="941" t="s">
        <v>207</v>
      </c>
      <c r="E163" s="942">
        <v>1</v>
      </c>
      <c r="F163" s="942">
        <f>'01 (2)'!H200*'01 (2)'!$T$5</f>
        <v>3922794.9232484433</v>
      </c>
      <c r="G163" s="1318">
        <f t="shared" ref="G163" si="165">H163-F163</f>
        <v>2516212.0767515567</v>
      </c>
      <c r="H163" s="938">
        <v>6439007</v>
      </c>
      <c r="I163" s="1062">
        <f>E163*F163</f>
        <v>3922794.9232484433</v>
      </c>
      <c r="J163" s="1062">
        <f>E163*G163</f>
        <v>2516212.0767515567</v>
      </c>
      <c r="K163" s="938">
        <f t="shared" si="124"/>
        <v>6439007</v>
      </c>
      <c r="M163" s="1051"/>
      <c r="N163" s="1063">
        <v>0</v>
      </c>
      <c r="O163" s="1063"/>
      <c r="P163" s="1064">
        <f>SUM(N163:O163)</f>
        <v>0</v>
      </c>
      <c r="Q163" s="933">
        <f>K163*N163</f>
        <v>0</v>
      </c>
      <c r="R163" s="933">
        <f>K163*O163</f>
        <v>0</v>
      </c>
      <c r="S163" s="933">
        <f>K163*P163</f>
        <v>0</v>
      </c>
      <c r="T163" s="933">
        <f>I163*P163</f>
        <v>0</v>
      </c>
      <c r="U163" s="933">
        <f>J163*P163</f>
        <v>0</v>
      </c>
      <c r="V163" s="933">
        <f>SUM(T163:U163)</f>
        <v>0</v>
      </c>
    </row>
    <row r="164" spans="1:22" ht="12.75" customHeight="1" x14ac:dyDescent="0.3">
      <c r="A164" s="1201"/>
      <c r="B164" s="909"/>
      <c r="C164" s="964" t="s">
        <v>424</v>
      </c>
      <c r="D164" s="916"/>
      <c r="E164" s="917"/>
      <c r="F164" s="917"/>
      <c r="G164" s="917"/>
      <c r="H164" s="917"/>
      <c r="I164" s="917"/>
      <c r="J164" s="917"/>
      <c r="K164" s="917"/>
      <c r="L164" s="966">
        <f>+SUM(K165:K168)</f>
        <v>33172785</v>
      </c>
      <c r="M164" s="1051">
        <f t="shared" ref="M164:M192" si="166">+L164/$L$195</f>
        <v>3.9264924645702685E-2</v>
      </c>
      <c r="N164" s="1052"/>
      <c r="O164" s="1053"/>
      <c r="P164" s="1053"/>
      <c r="Q164" s="1054"/>
      <c r="R164" s="1054"/>
      <c r="S164" s="1055"/>
      <c r="T164" s="1055"/>
      <c r="U164" s="1055"/>
      <c r="V164" s="1055"/>
    </row>
    <row r="165" spans="1:22" ht="12.75" customHeight="1" x14ac:dyDescent="0.3">
      <c r="A165" s="1177" t="s">
        <v>67</v>
      </c>
      <c r="B165" s="934">
        <v>19.16</v>
      </c>
      <c r="C165" s="1122" t="s">
        <v>425</v>
      </c>
      <c r="D165" s="941" t="s">
        <v>207</v>
      </c>
      <c r="E165" s="942">
        <v>1</v>
      </c>
      <c r="F165" s="942">
        <f>'01 (2)'!H202*'01 (2)'!$T$5</f>
        <v>6948501.6723619597</v>
      </c>
      <c r="G165" s="1318">
        <f t="shared" ref="G165:G168" si="167">H165-F165</f>
        <v>20845505.327638041</v>
      </c>
      <c r="H165" s="938">
        <v>27794007</v>
      </c>
      <c r="I165" s="1062">
        <f t="shared" ref="I165:I168" si="168">E165*F165</f>
        <v>6948501.6723619597</v>
      </c>
      <c r="J165" s="1062">
        <f t="shared" ref="J165:J168" si="169">E165*G165</f>
        <v>20845505.327638041</v>
      </c>
      <c r="K165" s="938">
        <f t="shared" si="124"/>
        <v>27794007</v>
      </c>
      <c r="M165" s="1051"/>
      <c r="N165" s="1063">
        <v>0.1</v>
      </c>
      <c r="O165" s="1063">
        <v>0.15</v>
      </c>
      <c r="P165" s="1064">
        <f t="shared" ref="P165:P168" si="170">SUM(N165:O165)</f>
        <v>0.25</v>
      </c>
      <c r="Q165" s="933">
        <f t="shared" ref="Q165:Q168" si="171">K165*N165</f>
        <v>2779400.7</v>
      </c>
      <c r="R165" s="933">
        <f t="shared" ref="R165:R168" si="172">K165*O165</f>
        <v>4169101.05</v>
      </c>
      <c r="S165" s="933">
        <f t="shared" ref="S165:S168" si="173">K165*P165</f>
        <v>6948501.75</v>
      </c>
      <c r="T165" s="933">
        <f t="shared" ref="T165:T168" si="174">I165*P165</f>
        <v>1737125.4180904899</v>
      </c>
      <c r="U165" s="933">
        <f t="shared" ref="U165:U168" si="175">J165*P165</f>
        <v>5211376.3319095103</v>
      </c>
      <c r="V165" s="933">
        <f t="shared" ref="V165:V168" si="176">SUM(T165:U165)</f>
        <v>6948501.75</v>
      </c>
    </row>
    <row r="166" spans="1:22" ht="12.75" customHeight="1" x14ac:dyDescent="0.3">
      <c r="A166" s="1177" t="s">
        <v>67</v>
      </c>
      <c r="B166" s="934">
        <v>19.170000000000002</v>
      </c>
      <c r="C166" s="1125" t="s">
        <v>774</v>
      </c>
      <c r="D166" s="1126" t="s">
        <v>243</v>
      </c>
      <c r="E166" s="1127">
        <v>8</v>
      </c>
      <c r="F166" s="1127">
        <f>'01 (2)'!H203*'01 (2)'!$T$5</f>
        <v>19990.911407115229</v>
      </c>
      <c r="G166" s="1318">
        <f t="shared" si="167"/>
        <v>39982.088592884771</v>
      </c>
      <c r="H166" s="938">
        <v>59973</v>
      </c>
      <c r="I166" s="1062">
        <f t="shared" si="168"/>
        <v>159927.29125692183</v>
      </c>
      <c r="J166" s="1062">
        <f t="shared" si="169"/>
        <v>319856.70874307817</v>
      </c>
      <c r="K166" s="938">
        <f t="shared" si="124"/>
        <v>479784</v>
      </c>
      <c r="M166" s="1051"/>
      <c r="N166" s="1063">
        <v>0</v>
      </c>
      <c r="O166" s="1063"/>
      <c r="P166" s="1064">
        <f t="shared" si="170"/>
        <v>0</v>
      </c>
      <c r="Q166" s="933">
        <f t="shared" si="171"/>
        <v>0</v>
      </c>
      <c r="R166" s="933">
        <f t="shared" si="172"/>
        <v>0</v>
      </c>
      <c r="S166" s="933">
        <f t="shared" si="173"/>
        <v>0</v>
      </c>
      <c r="T166" s="933">
        <f t="shared" si="174"/>
        <v>0</v>
      </c>
      <c r="U166" s="933">
        <f t="shared" si="175"/>
        <v>0</v>
      </c>
      <c r="V166" s="933">
        <f t="shared" si="176"/>
        <v>0</v>
      </c>
    </row>
    <row r="167" spans="1:22" ht="12.75" customHeight="1" x14ac:dyDescent="0.3">
      <c r="A167" s="1177" t="s">
        <v>67</v>
      </c>
      <c r="B167" s="934">
        <v>19.18</v>
      </c>
      <c r="C167" s="1125" t="s">
        <v>427</v>
      </c>
      <c r="D167" s="1126" t="s">
        <v>207</v>
      </c>
      <c r="E167" s="1127">
        <v>8</v>
      </c>
      <c r="F167" s="1127">
        <f>'01 (2)'!H204*'01 (2)'!$T$5</f>
        <v>1999.0911407115229</v>
      </c>
      <c r="G167" s="1318">
        <f t="shared" si="167"/>
        <v>25640.908859288476</v>
      </c>
      <c r="H167" s="938">
        <v>27640</v>
      </c>
      <c r="I167" s="1062">
        <f t="shared" si="168"/>
        <v>15992.729125692184</v>
      </c>
      <c r="J167" s="1062">
        <f t="shared" si="169"/>
        <v>205127.27087430781</v>
      </c>
      <c r="K167" s="938">
        <f t="shared" si="124"/>
        <v>221120</v>
      </c>
      <c r="M167" s="1051"/>
      <c r="N167" s="1063">
        <v>0</v>
      </c>
      <c r="O167" s="1063"/>
      <c r="P167" s="1064">
        <f t="shared" si="170"/>
        <v>0</v>
      </c>
      <c r="Q167" s="933">
        <f t="shared" si="171"/>
        <v>0</v>
      </c>
      <c r="R167" s="933">
        <f t="shared" si="172"/>
        <v>0</v>
      </c>
      <c r="S167" s="933">
        <f t="shared" si="173"/>
        <v>0</v>
      </c>
      <c r="T167" s="933">
        <f t="shared" si="174"/>
        <v>0</v>
      </c>
      <c r="U167" s="933">
        <f t="shared" si="175"/>
        <v>0</v>
      </c>
      <c r="V167" s="933">
        <f t="shared" si="176"/>
        <v>0</v>
      </c>
    </row>
    <row r="168" spans="1:22" ht="12.75" customHeight="1" x14ac:dyDescent="0.3">
      <c r="A168" s="1177" t="s">
        <v>67</v>
      </c>
      <c r="B168" s="1072">
        <v>19.190000000000001</v>
      </c>
      <c r="C168" s="1124" t="s">
        <v>429</v>
      </c>
      <c r="D168" s="1117" t="s">
        <v>207</v>
      </c>
      <c r="E168" s="1118">
        <v>1</v>
      </c>
      <c r="F168" s="1127">
        <f>'01 (2)'!H205*'01 (2)'!$T$5</f>
        <v>0</v>
      </c>
      <c r="G168" s="1318">
        <f t="shared" si="167"/>
        <v>4677874</v>
      </c>
      <c r="H168" s="938">
        <v>4677874</v>
      </c>
      <c r="I168" s="1062">
        <f t="shared" si="168"/>
        <v>0</v>
      </c>
      <c r="J168" s="1062">
        <f t="shared" si="169"/>
        <v>4677874</v>
      </c>
      <c r="K168" s="938">
        <f t="shared" si="124"/>
        <v>4677874</v>
      </c>
      <c r="M168" s="1051"/>
      <c r="N168" s="1063">
        <v>0.2</v>
      </c>
      <c r="O168" s="1063"/>
      <c r="P168" s="1064">
        <f t="shared" si="170"/>
        <v>0.2</v>
      </c>
      <c r="Q168" s="933">
        <f t="shared" si="171"/>
        <v>935574.8</v>
      </c>
      <c r="R168" s="933">
        <f t="shared" si="172"/>
        <v>0</v>
      </c>
      <c r="S168" s="933">
        <f t="shared" si="173"/>
        <v>935574.8</v>
      </c>
      <c r="T168" s="933">
        <f t="shared" si="174"/>
        <v>0</v>
      </c>
      <c r="U168" s="933">
        <f t="shared" si="175"/>
        <v>935574.8</v>
      </c>
      <c r="V168" s="933">
        <f t="shared" si="176"/>
        <v>935574.8</v>
      </c>
    </row>
    <row r="169" spans="1:22" ht="12.75" customHeight="1" x14ac:dyDescent="0.3">
      <c r="A169" s="1201"/>
      <c r="B169" s="909">
        <v>20</v>
      </c>
      <c r="C169" s="964" t="s">
        <v>430</v>
      </c>
      <c r="D169" s="916"/>
      <c r="E169" s="917"/>
      <c r="F169" s="917"/>
      <c r="G169" s="917"/>
      <c r="H169" s="917"/>
      <c r="I169" s="917"/>
      <c r="J169" s="917"/>
      <c r="K169" s="917"/>
      <c r="L169" s="966">
        <f>+SUM(K170:K171)</f>
        <v>0</v>
      </c>
      <c r="M169" s="1051">
        <f t="shared" si="166"/>
        <v>0</v>
      </c>
      <c r="N169" s="1052"/>
      <c r="O169" s="1053"/>
      <c r="P169" s="1053"/>
      <c r="Q169" s="1054"/>
      <c r="R169" s="1054"/>
      <c r="S169" s="1055"/>
      <c r="T169" s="1055"/>
      <c r="U169" s="1055"/>
      <c r="V169" s="1055"/>
    </row>
    <row r="170" spans="1:22" ht="12.75" customHeight="1" x14ac:dyDescent="0.3">
      <c r="A170" s="1177" t="s">
        <v>131</v>
      </c>
      <c r="B170" s="1079">
        <v>20.010000000000002</v>
      </c>
      <c r="C170" s="1080" t="s">
        <v>775</v>
      </c>
      <c r="D170" s="1095" t="s">
        <v>243</v>
      </c>
      <c r="E170" s="1096">
        <v>0</v>
      </c>
      <c r="F170" s="1096">
        <f>'01 (2)'!H207*'01 (2)'!$T$5</f>
        <v>0</v>
      </c>
      <c r="G170" s="1318">
        <f t="shared" ref="G170:G171" si="177">H170-F170</f>
        <v>0</v>
      </c>
      <c r="H170" s="1062">
        <v>0</v>
      </c>
      <c r="I170" s="1062">
        <f t="shared" ref="I170:I171" si="178">E170*F170</f>
        <v>0</v>
      </c>
      <c r="J170" s="1062">
        <f t="shared" ref="J170:J171" si="179">E170*G170</f>
        <v>0</v>
      </c>
      <c r="K170" s="1062">
        <f t="shared" si="124"/>
        <v>0</v>
      </c>
      <c r="M170" s="1051"/>
      <c r="N170" s="1063">
        <v>0</v>
      </c>
      <c r="O170" s="1063"/>
      <c r="P170" s="1064">
        <f t="shared" ref="P170:P171" si="180">SUM(N170:O170)</f>
        <v>0</v>
      </c>
      <c r="Q170" s="933">
        <f t="shared" ref="Q170:Q171" si="181">K170*N170</f>
        <v>0</v>
      </c>
      <c r="R170" s="933">
        <f t="shared" ref="R170:R171" si="182">K170*O170</f>
        <v>0</v>
      </c>
      <c r="S170" s="933">
        <f t="shared" ref="S170:S171" si="183">K170*P170</f>
        <v>0</v>
      </c>
      <c r="T170" s="933">
        <f t="shared" ref="T170:T171" si="184">I170*P170</f>
        <v>0</v>
      </c>
      <c r="U170" s="933">
        <f t="shared" ref="U170:U171" si="185">J170*P170</f>
        <v>0</v>
      </c>
      <c r="V170" s="933">
        <f t="shared" ref="V170:V171" si="186">SUM(T170:U170)</f>
        <v>0</v>
      </c>
    </row>
    <row r="171" spans="1:22" ht="12.75" customHeight="1" x14ac:dyDescent="0.3">
      <c r="A171" s="1177" t="s">
        <v>131</v>
      </c>
      <c r="B171" s="934">
        <v>20.02</v>
      </c>
      <c r="C171" s="935" t="s">
        <v>776</v>
      </c>
      <c r="D171" s="1086" t="s">
        <v>243</v>
      </c>
      <c r="E171" s="937">
        <v>0</v>
      </c>
      <c r="F171" s="937">
        <f>'01 (2)'!H208*'01 (2)'!$T$5</f>
        <v>0</v>
      </c>
      <c r="G171" s="1318">
        <f t="shared" si="177"/>
        <v>0</v>
      </c>
      <c r="H171" s="938">
        <v>0</v>
      </c>
      <c r="I171" s="1062">
        <f t="shared" si="178"/>
        <v>0</v>
      </c>
      <c r="J171" s="1062">
        <f t="shared" si="179"/>
        <v>0</v>
      </c>
      <c r="K171" s="938">
        <f t="shared" si="124"/>
        <v>0</v>
      </c>
      <c r="M171" s="1051"/>
      <c r="N171" s="1063">
        <v>0</v>
      </c>
      <c r="O171" s="1063"/>
      <c r="P171" s="1064">
        <f t="shared" si="180"/>
        <v>0</v>
      </c>
      <c r="Q171" s="933">
        <f t="shared" si="181"/>
        <v>0</v>
      </c>
      <c r="R171" s="933">
        <f t="shared" si="182"/>
        <v>0</v>
      </c>
      <c r="S171" s="933">
        <f t="shared" si="183"/>
        <v>0</v>
      </c>
      <c r="T171" s="933">
        <f t="shared" si="184"/>
        <v>0</v>
      </c>
      <c r="U171" s="933">
        <f t="shared" si="185"/>
        <v>0</v>
      </c>
      <c r="V171" s="933">
        <f t="shared" si="186"/>
        <v>0</v>
      </c>
    </row>
    <row r="172" spans="1:22" ht="12.75" customHeight="1" x14ac:dyDescent="0.3">
      <c r="A172" s="1201"/>
      <c r="B172" s="909">
        <v>21</v>
      </c>
      <c r="C172" s="964" t="s">
        <v>433</v>
      </c>
      <c r="D172" s="916"/>
      <c r="E172" s="917"/>
      <c r="F172" s="917"/>
      <c r="G172" s="917"/>
      <c r="H172" s="917"/>
      <c r="I172" s="917"/>
      <c r="J172" s="917"/>
      <c r="K172" s="917"/>
      <c r="L172" s="966">
        <f>+SUM(K173)</f>
        <v>0</v>
      </c>
      <c r="M172" s="1051">
        <f t="shared" si="166"/>
        <v>0</v>
      </c>
      <c r="N172" s="1052"/>
      <c r="O172" s="1053"/>
      <c r="P172" s="1053"/>
      <c r="Q172" s="1054"/>
      <c r="R172" s="1054"/>
      <c r="S172" s="1055"/>
      <c r="T172" s="1055"/>
      <c r="U172" s="1055"/>
      <c r="V172" s="1055"/>
    </row>
    <row r="173" spans="1:22" ht="12.75" customHeight="1" x14ac:dyDescent="0.3">
      <c r="A173" s="1177" t="s">
        <v>62</v>
      </c>
      <c r="B173" s="1128">
        <v>21.01</v>
      </c>
      <c r="C173" s="1129" t="s">
        <v>434</v>
      </c>
      <c r="D173" s="1130" t="s">
        <v>207</v>
      </c>
      <c r="E173" s="1131">
        <v>1</v>
      </c>
      <c r="F173" s="1321">
        <f>'01 (2)'!H210*'01 (2)'!$T$5</f>
        <v>0</v>
      </c>
      <c r="G173" s="1318">
        <f t="shared" ref="G173" si="187">H173-F173</f>
        <v>0</v>
      </c>
      <c r="H173" s="1068">
        <v>0</v>
      </c>
      <c r="I173" s="1062">
        <f>E173*F173</f>
        <v>0</v>
      </c>
      <c r="J173" s="1062">
        <f>E173*G173</f>
        <v>0</v>
      </c>
      <c r="K173" s="938">
        <f t="shared" si="124"/>
        <v>0</v>
      </c>
      <c r="L173" s="1058"/>
      <c r="M173" s="1051"/>
      <c r="N173" s="1063">
        <v>0</v>
      </c>
      <c r="O173" s="1063"/>
      <c r="P173" s="1064">
        <f>SUM(N173:O173)</f>
        <v>0</v>
      </c>
      <c r="Q173" s="933">
        <f>K173*N173</f>
        <v>0</v>
      </c>
      <c r="R173" s="933">
        <f>K173*O173</f>
        <v>0</v>
      </c>
      <c r="S173" s="933">
        <f>K173*P173</f>
        <v>0</v>
      </c>
      <c r="T173" s="933">
        <f>I173*P173</f>
        <v>0</v>
      </c>
      <c r="U173" s="933">
        <f>J173*P173</f>
        <v>0</v>
      </c>
      <c r="V173" s="933">
        <f>SUM(T173:U173)</f>
        <v>0</v>
      </c>
    </row>
    <row r="174" spans="1:22" ht="12.75" customHeight="1" x14ac:dyDescent="0.3">
      <c r="A174" s="1201"/>
      <c r="B174" s="909">
        <v>22</v>
      </c>
      <c r="C174" s="964" t="s">
        <v>435</v>
      </c>
      <c r="D174" s="916"/>
      <c r="E174" s="917"/>
      <c r="F174" s="917"/>
      <c r="G174" s="917"/>
      <c r="H174" s="917"/>
      <c r="I174" s="917"/>
      <c r="J174" s="917"/>
      <c r="K174" s="917"/>
      <c r="L174" s="966">
        <f>+SUM(K175:K176)</f>
        <v>2934560</v>
      </c>
      <c r="M174" s="1051">
        <f t="shared" si="166"/>
        <v>3.4734882002910904E-3</v>
      </c>
      <c r="N174" s="1052"/>
      <c r="O174" s="1053"/>
      <c r="P174" s="1053"/>
      <c r="Q174" s="1054"/>
      <c r="R174" s="1054"/>
      <c r="S174" s="1055"/>
      <c r="T174" s="1055"/>
      <c r="U174" s="1055"/>
      <c r="V174" s="1055"/>
    </row>
    <row r="175" spans="1:22" ht="12.75" customHeight="1" x14ac:dyDescent="0.3">
      <c r="A175" s="1177" t="s">
        <v>62</v>
      </c>
      <c r="B175" s="1090">
        <v>22.01</v>
      </c>
      <c r="C175" s="1108" t="s">
        <v>777</v>
      </c>
      <c r="D175" s="1109" t="s">
        <v>243</v>
      </c>
      <c r="E175" s="1132">
        <v>8</v>
      </c>
      <c r="F175" s="1322">
        <f>'01 (2)'!H212*'01 (2)'!$T$5</f>
        <v>0</v>
      </c>
      <c r="G175" s="1318">
        <f t="shared" ref="G175:G176" si="188">H175-F175</f>
        <v>91705</v>
      </c>
      <c r="H175" s="1068">
        <v>91705</v>
      </c>
      <c r="I175" s="1062">
        <f t="shared" ref="I175:I176" si="189">E175*F175</f>
        <v>0</v>
      </c>
      <c r="J175" s="1062">
        <f t="shared" ref="J175:J176" si="190">E175*G175</f>
        <v>733640</v>
      </c>
      <c r="K175" s="1062">
        <f t="shared" si="124"/>
        <v>733640</v>
      </c>
      <c r="M175" s="1051"/>
      <c r="N175" s="1063">
        <v>0</v>
      </c>
      <c r="O175" s="1063"/>
      <c r="P175" s="1064">
        <f t="shared" ref="P175:P176" si="191">SUM(N175:O175)</f>
        <v>0</v>
      </c>
      <c r="Q175" s="933">
        <f t="shared" ref="Q175:Q176" si="192">K175*N175</f>
        <v>0</v>
      </c>
      <c r="R175" s="933">
        <f t="shared" ref="R175:R176" si="193">K175*O175</f>
        <v>0</v>
      </c>
      <c r="S175" s="933">
        <f t="shared" ref="S175:S176" si="194">K175*P175</f>
        <v>0</v>
      </c>
      <c r="T175" s="933">
        <f t="shared" ref="T175:T176" si="195">I175*P175</f>
        <v>0</v>
      </c>
      <c r="U175" s="933">
        <f t="shared" ref="U175:U176" si="196">J175*P175</f>
        <v>0</v>
      </c>
      <c r="V175" s="933">
        <f t="shared" ref="V175:V176" si="197">SUM(T175:U175)</f>
        <v>0</v>
      </c>
    </row>
    <row r="176" spans="1:22" ht="12.75" customHeight="1" x14ac:dyDescent="0.3">
      <c r="A176" s="1177" t="s">
        <v>62</v>
      </c>
      <c r="B176" s="1072">
        <v>22.02</v>
      </c>
      <c r="C176" s="1067" t="s">
        <v>778</v>
      </c>
      <c r="D176" s="1110" t="s">
        <v>243</v>
      </c>
      <c r="E176" s="1132">
        <v>24</v>
      </c>
      <c r="F176" s="1322">
        <f>'01 (2)'!H213*'01 (2)'!$T$5</f>
        <v>0</v>
      </c>
      <c r="G176" s="1318">
        <f t="shared" si="188"/>
        <v>91705</v>
      </c>
      <c r="H176" s="1068">
        <v>91705</v>
      </c>
      <c r="I176" s="1062">
        <f t="shared" si="189"/>
        <v>0</v>
      </c>
      <c r="J176" s="1062">
        <f t="shared" si="190"/>
        <v>2200920</v>
      </c>
      <c r="K176" s="1062">
        <f t="shared" si="124"/>
        <v>2200920</v>
      </c>
      <c r="M176" s="1051"/>
      <c r="N176" s="1063">
        <v>0</v>
      </c>
      <c r="O176" s="1063"/>
      <c r="P176" s="1064">
        <f t="shared" si="191"/>
        <v>0</v>
      </c>
      <c r="Q176" s="933">
        <f t="shared" si="192"/>
        <v>0</v>
      </c>
      <c r="R176" s="933">
        <f t="shared" si="193"/>
        <v>0</v>
      </c>
      <c r="S176" s="933">
        <f t="shared" si="194"/>
        <v>0</v>
      </c>
      <c r="T176" s="933">
        <f t="shared" si="195"/>
        <v>0</v>
      </c>
      <c r="U176" s="933">
        <f t="shared" si="196"/>
        <v>0</v>
      </c>
      <c r="V176" s="933">
        <f t="shared" si="197"/>
        <v>0</v>
      </c>
    </row>
    <row r="177" spans="1:22" ht="12.75" customHeight="1" x14ac:dyDescent="0.3">
      <c r="A177" s="1201"/>
      <c r="B177" s="909">
        <v>23</v>
      </c>
      <c r="C177" s="964" t="s">
        <v>362</v>
      </c>
      <c r="D177" s="916"/>
      <c r="E177" s="917"/>
      <c r="F177" s="917"/>
      <c r="G177" s="917"/>
      <c r="H177" s="917"/>
      <c r="I177" s="917"/>
      <c r="J177" s="917"/>
      <c r="K177" s="917"/>
      <c r="L177" s="966">
        <f>+SUM(K178:K181)</f>
        <v>19050437</v>
      </c>
      <c r="M177" s="1051">
        <f t="shared" si="166"/>
        <v>2.2549025451818604E-2</v>
      </c>
      <c r="N177" s="1052"/>
      <c r="O177" s="1053"/>
      <c r="P177" s="1053"/>
      <c r="Q177" s="1054"/>
      <c r="R177" s="1054"/>
      <c r="S177" s="1055"/>
      <c r="T177" s="1055"/>
      <c r="U177" s="1055"/>
      <c r="V177" s="1055"/>
    </row>
    <row r="178" spans="1:22" ht="12.75" customHeight="1" x14ac:dyDescent="0.3">
      <c r="A178" s="1177" t="s">
        <v>62</v>
      </c>
      <c r="B178" s="1090">
        <v>23.01</v>
      </c>
      <c r="C178" s="926" t="s">
        <v>779</v>
      </c>
      <c r="D178" s="1056" t="s">
        <v>207</v>
      </c>
      <c r="E178" s="1057">
        <v>6</v>
      </c>
      <c r="F178" s="1057">
        <f>'01 (2)'!H215*'01 (2)'!$T$5</f>
        <v>71563.206786316514</v>
      </c>
      <c r="G178" s="1318">
        <f t="shared" ref="G178:G181" si="198">H178-F178</f>
        <v>187499.79321368347</v>
      </c>
      <c r="H178" s="929">
        <v>259063</v>
      </c>
      <c r="I178" s="1062">
        <f t="shared" ref="I178:I181" si="199">E178*F178</f>
        <v>429379.24071789905</v>
      </c>
      <c r="J178" s="1062">
        <f t="shared" ref="J178:J181" si="200">E178*G178</f>
        <v>1124998.7592821009</v>
      </c>
      <c r="K178" s="929">
        <f t="shared" si="124"/>
        <v>1554378</v>
      </c>
      <c r="L178" s="1058"/>
      <c r="M178" s="1051"/>
      <c r="N178" s="1063">
        <v>0</v>
      </c>
      <c r="O178" s="1063">
        <v>0.15</v>
      </c>
      <c r="P178" s="1064">
        <f t="shared" ref="P178:P181" si="201">SUM(N178:O178)</f>
        <v>0.15</v>
      </c>
      <c r="Q178" s="933">
        <f t="shared" ref="Q178:Q181" si="202">K178*N178</f>
        <v>0</v>
      </c>
      <c r="R178" s="933">
        <f t="shared" ref="R178:R181" si="203">K178*O178</f>
        <v>233156.69999999998</v>
      </c>
      <c r="S178" s="933">
        <f t="shared" ref="S178:S181" si="204">K178*P178</f>
        <v>233156.69999999998</v>
      </c>
      <c r="T178" s="933">
        <f t="shared" ref="T178:T181" si="205">I178*P178</f>
        <v>64406.886107684855</v>
      </c>
      <c r="U178" s="933">
        <f t="shared" ref="U178:U181" si="206">J178*P178</f>
        <v>168749.81389231514</v>
      </c>
      <c r="V178" s="933">
        <f t="shared" ref="V178:V181" si="207">SUM(T178:U178)</f>
        <v>233156.7</v>
      </c>
    </row>
    <row r="179" spans="1:22" ht="12.75" customHeight="1" x14ac:dyDescent="0.3">
      <c r="A179" s="1177" t="s">
        <v>62</v>
      </c>
      <c r="B179" s="1072">
        <v>23.02</v>
      </c>
      <c r="C179" s="935" t="s">
        <v>780</v>
      </c>
      <c r="D179" s="945" t="s">
        <v>207</v>
      </c>
      <c r="E179" s="946">
        <v>1</v>
      </c>
      <c r="F179" s="946">
        <f>'01 (2)'!H216*'01 (2)'!$T$5</f>
        <v>66636.371357050768</v>
      </c>
      <c r="G179" s="1318">
        <f t="shared" si="198"/>
        <v>727310.62864294928</v>
      </c>
      <c r="H179" s="938">
        <v>793947</v>
      </c>
      <c r="I179" s="1062">
        <f t="shared" si="199"/>
        <v>66636.371357050768</v>
      </c>
      <c r="J179" s="1062">
        <f t="shared" si="200"/>
        <v>727310.62864294928</v>
      </c>
      <c r="K179" s="938">
        <f t="shared" si="124"/>
        <v>793947</v>
      </c>
      <c r="M179" s="1051"/>
      <c r="N179" s="1063">
        <v>0</v>
      </c>
      <c r="O179" s="1063"/>
      <c r="P179" s="1064">
        <f t="shared" si="201"/>
        <v>0</v>
      </c>
      <c r="Q179" s="933">
        <f t="shared" si="202"/>
        <v>0</v>
      </c>
      <c r="R179" s="933">
        <f t="shared" si="203"/>
        <v>0</v>
      </c>
      <c r="S179" s="933">
        <f t="shared" si="204"/>
        <v>0</v>
      </c>
      <c r="T179" s="933">
        <f t="shared" si="205"/>
        <v>0</v>
      </c>
      <c r="U179" s="933">
        <f t="shared" si="206"/>
        <v>0</v>
      </c>
      <c r="V179" s="933">
        <f t="shared" si="207"/>
        <v>0</v>
      </c>
    </row>
    <row r="180" spans="1:22" ht="12.75" customHeight="1" x14ac:dyDescent="0.3">
      <c r="A180" s="1177" t="s">
        <v>62</v>
      </c>
      <c r="B180" s="1072">
        <v>23.03</v>
      </c>
      <c r="C180" s="935" t="s">
        <v>365</v>
      </c>
      <c r="D180" s="945" t="s">
        <v>238</v>
      </c>
      <c r="E180" s="946">
        <v>26</v>
      </c>
      <c r="F180" s="946">
        <f>'01 (2)'!H217*'01 (2)'!$T$5</f>
        <v>10251.749439546271</v>
      </c>
      <c r="G180" s="1318">
        <f t="shared" si="198"/>
        <v>16824.250560453729</v>
      </c>
      <c r="H180" s="938">
        <v>27076</v>
      </c>
      <c r="I180" s="1062">
        <f t="shared" si="199"/>
        <v>266545.48542820301</v>
      </c>
      <c r="J180" s="1062">
        <f t="shared" si="200"/>
        <v>437430.51457179699</v>
      </c>
      <c r="K180" s="938">
        <f t="shared" si="124"/>
        <v>703976</v>
      </c>
      <c r="M180" s="1051"/>
      <c r="N180" s="1063">
        <v>0</v>
      </c>
      <c r="O180" s="1063"/>
      <c r="P180" s="1064">
        <f t="shared" si="201"/>
        <v>0</v>
      </c>
      <c r="Q180" s="933">
        <f t="shared" si="202"/>
        <v>0</v>
      </c>
      <c r="R180" s="933">
        <f t="shared" si="203"/>
        <v>0</v>
      </c>
      <c r="S180" s="933">
        <f t="shared" si="204"/>
        <v>0</v>
      </c>
      <c r="T180" s="933">
        <f t="shared" si="205"/>
        <v>0</v>
      </c>
      <c r="U180" s="933">
        <f t="shared" si="206"/>
        <v>0</v>
      </c>
      <c r="V180" s="933">
        <f t="shared" si="207"/>
        <v>0</v>
      </c>
    </row>
    <row r="181" spans="1:22" ht="12.75" customHeight="1" x14ac:dyDescent="0.3">
      <c r="A181" s="1177" t="s">
        <v>62</v>
      </c>
      <c r="B181" s="1106">
        <v>23.04</v>
      </c>
      <c r="C181" s="1133" t="s">
        <v>366</v>
      </c>
      <c r="D181" s="1134" t="s">
        <v>238</v>
      </c>
      <c r="E181" s="1074">
        <v>231</v>
      </c>
      <c r="F181" s="1074">
        <f>'01 (2)'!H218*'01 (2)'!$T$5</f>
        <v>32755.837311796226</v>
      </c>
      <c r="G181" s="1318">
        <f t="shared" si="198"/>
        <v>36500.162688203774</v>
      </c>
      <c r="H181" s="1107">
        <v>69256</v>
      </c>
      <c r="I181" s="1062">
        <f t="shared" si="199"/>
        <v>7566598.4190249285</v>
      </c>
      <c r="J181" s="1062">
        <f t="shared" si="200"/>
        <v>8431537.5809750725</v>
      </c>
      <c r="K181" s="1107">
        <f t="shared" si="124"/>
        <v>15998136</v>
      </c>
      <c r="M181" s="1051"/>
      <c r="N181" s="1063">
        <v>0</v>
      </c>
      <c r="O181" s="1063"/>
      <c r="P181" s="1064">
        <f t="shared" si="201"/>
        <v>0</v>
      </c>
      <c r="Q181" s="933">
        <f t="shared" si="202"/>
        <v>0</v>
      </c>
      <c r="R181" s="933">
        <f t="shared" si="203"/>
        <v>0</v>
      </c>
      <c r="S181" s="933">
        <f t="shared" si="204"/>
        <v>0</v>
      </c>
      <c r="T181" s="933">
        <f t="shared" si="205"/>
        <v>0</v>
      </c>
      <c r="U181" s="933">
        <f t="shared" si="206"/>
        <v>0</v>
      </c>
      <c r="V181" s="933">
        <f t="shared" si="207"/>
        <v>0</v>
      </c>
    </row>
    <row r="182" spans="1:22" ht="12.75" customHeight="1" x14ac:dyDescent="0.3">
      <c r="A182" s="1201"/>
      <c r="B182" s="909">
        <v>24</v>
      </c>
      <c r="C182" s="964" t="s">
        <v>218</v>
      </c>
      <c r="D182" s="916"/>
      <c r="E182" s="917"/>
      <c r="F182" s="917"/>
      <c r="G182" s="917"/>
      <c r="H182" s="917"/>
      <c r="I182" s="917"/>
      <c r="J182" s="917"/>
      <c r="K182" s="917"/>
      <c r="L182" s="1135">
        <f>+SUM(K183:K191)</f>
        <v>76903896</v>
      </c>
      <c r="M182" s="1051">
        <f t="shared" si="166"/>
        <v>9.1027198391722505E-2</v>
      </c>
      <c r="N182" s="1052"/>
      <c r="O182" s="1053"/>
      <c r="P182" s="1053"/>
      <c r="Q182" s="1054"/>
      <c r="R182" s="1054"/>
      <c r="S182" s="1055"/>
      <c r="T182" s="1055"/>
      <c r="U182" s="1055"/>
      <c r="V182" s="1055"/>
    </row>
    <row r="183" spans="1:22" ht="12.75" customHeight="1" x14ac:dyDescent="0.3">
      <c r="A183" s="1177" t="s">
        <v>62</v>
      </c>
      <c r="B183" s="925">
        <v>24.01</v>
      </c>
      <c r="C183" s="1136" t="s">
        <v>219</v>
      </c>
      <c r="D183" s="927" t="s">
        <v>214</v>
      </c>
      <c r="E183" s="1057">
        <v>17</v>
      </c>
      <c r="F183" s="1315">
        <f>'01 (2)'!H220*'01 (2)'!$T$5</f>
        <v>0</v>
      </c>
      <c r="G183" s="1318">
        <f t="shared" ref="G183:G191" si="208">H183-F183</f>
        <v>973327</v>
      </c>
      <c r="H183" s="938">
        <v>973327</v>
      </c>
      <c r="I183" s="1062">
        <f t="shared" ref="I183:I191" si="209">E183*F183</f>
        <v>0</v>
      </c>
      <c r="J183" s="1062">
        <f t="shared" ref="J183:J191" si="210">E183*G183</f>
        <v>16546559</v>
      </c>
      <c r="K183" s="938">
        <f t="shared" si="124"/>
        <v>16546559</v>
      </c>
      <c r="M183" s="1051"/>
      <c r="N183" s="1063">
        <v>0.6</v>
      </c>
      <c r="O183" s="1063">
        <v>0.05</v>
      </c>
      <c r="P183" s="1064">
        <f t="shared" ref="P183:P191" si="211">SUM(N183:O183)</f>
        <v>0.65</v>
      </c>
      <c r="Q183" s="933">
        <f t="shared" ref="Q183:Q190" si="212">K183*N183</f>
        <v>9927935.4000000004</v>
      </c>
      <c r="R183" s="933">
        <f t="shared" ref="R183:R191" si="213">K183*O183</f>
        <v>827327.95000000007</v>
      </c>
      <c r="S183" s="933">
        <f t="shared" ref="S183:S191" si="214">K183*P183</f>
        <v>10755263.35</v>
      </c>
      <c r="T183" s="933">
        <f t="shared" ref="T183:T191" si="215">I183*P183</f>
        <v>0</v>
      </c>
      <c r="U183" s="933">
        <f t="shared" ref="U183:U191" si="216">J183*P183</f>
        <v>10755263.35</v>
      </c>
      <c r="V183" s="933">
        <f t="shared" ref="V183:V191" si="217">SUM(T183:U183)</f>
        <v>10755263.35</v>
      </c>
    </row>
    <row r="184" spans="1:22" ht="12.75" customHeight="1" x14ac:dyDescent="0.3">
      <c r="A184" s="1177" t="s">
        <v>53</v>
      </c>
      <c r="B184" s="934">
        <v>24.02</v>
      </c>
      <c r="C184" s="1137" t="s">
        <v>220</v>
      </c>
      <c r="D184" s="936" t="s">
        <v>214</v>
      </c>
      <c r="E184" s="946">
        <v>4</v>
      </c>
      <c r="F184" s="946">
        <f>'01 (2)'!H221*'01 (2)'!$T$5</f>
        <v>0</v>
      </c>
      <c r="G184" s="1318">
        <f t="shared" si="208"/>
        <v>2005316</v>
      </c>
      <c r="H184" s="938">
        <v>2005316</v>
      </c>
      <c r="I184" s="1062">
        <f t="shared" si="209"/>
        <v>0</v>
      </c>
      <c r="J184" s="1062">
        <f t="shared" si="210"/>
        <v>8021264</v>
      </c>
      <c r="K184" s="938">
        <f t="shared" si="124"/>
        <v>8021264</v>
      </c>
      <c r="M184" s="1051"/>
      <c r="N184" s="1063">
        <v>1</v>
      </c>
      <c r="O184" s="1063"/>
      <c r="P184" s="1064">
        <f t="shared" si="211"/>
        <v>1</v>
      </c>
      <c r="Q184" s="933">
        <f t="shared" si="212"/>
        <v>8021264</v>
      </c>
      <c r="R184" s="933">
        <f t="shared" si="213"/>
        <v>0</v>
      </c>
      <c r="S184" s="933">
        <f t="shared" si="214"/>
        <v>8021264</v>
      </c>
      <c r="T184" s="933">
        <f t="shared" si="215"/>
        <v>0</v>
      </c>
      <c r="U184" s="933">
        <f t="shared" si="216"/>
        <v>8021264</v>
      </c>
      <c r="V184" s="933">
        <f t="shared" si="217"/>
        <v>8021264</v>
      </c>
    </row>
    <row r="185" spans="1:22" ht="12.75" customHeight="1" x14ac:dyDescent="0.3">
      <c r="A185" s="1177" t="s">
        <v>53</v>
      </c>
      <c r="B185" s="934">
        <v>24.03</v>
      </c>
      <c r="C185" s="1138" t="s">
        <v>221</v>
      </c>
      <c r="D185" s="936" t="s">
        <v>214</v>
      </c>
      <c r="E185" s="946">
        <v>17</v>
      </c>
      <c r="F185" s="946">
        <f>'01 (2)'!H222*'01 (2)'!$T$5</f>
        <v>0</v>
      </c>
      <c r="G185" s="1318">
        <f t="shared" si="208"/>
        <v>199910</v>
      </c>
      <c r="H185" s="938">
        <v>199910</v>
      </c>
      <c r="I185" s="1062">
        <f t="shared" si="209"/>
        <v>0</v>
      </c>
      <c r="J185" s="1062">
        <f t="shared" si="210"/>
        <v>3398470</v>
      </c>
      <c r="K185" s="938">
        <f t="shared" si="124"/>
        <v>3398470</v>
      </c>
      <c r="M185" s="1051"/>
      <c r="N185" s="1063">
        <v>0.6</v>
      </c>
      <c r="O185" s="1063">
        <v>0.05</v>
      </c>
      <c r="P185" s="1064">
        <f t="shared" si="211"/>
        <v>0.65</v>
      </c>
      <c r="Q185" s="933">
        <f t="shared" si="212"/>
        <v>2039082</v>
      </c>
      <c r="R185" s="933">
        <f t="shared" si="213"/>
        <v>169923.5</v>
      </c>
      <c r="S185" s="933">
        <f t="shared" si="214"/>
        <v>2209005.5</v>
      </c>
      <c r="T185" s="933">
        <f t="shared" si="215"/>
        <v>0</v>
      </c>
      <c r="U185" s="933">
        <f t="shared" si="216"/>
        <v>2209005.5</v>
      </c>
      <c r="V185" s="933">
        <f t="shared" si="217"/>
        <v>2209005.5</v>
      </c>
    </row>
    <row r="186" spans="1:22" ht="12.75" customHeight="1" x14ac:dyDescent="0.3">
      <c r="A186" s="1177" t="s">
        <v>62</v>
      </c>
      <c r="B186" s="934">
        <v>24.04</v>
      </c>
      <c r="C186" s="1138" t="s">
        <v>222</v>
      </c>
      <c r="D186" s="936" t="s">
        <v>207</v>
      </c>
      <c r="E186" s="937">
        <v>1</v>
      </c>
      <c r="F186" s="937">
        <f>'01 (2)'!H223*'01 (2)'!$T$5</f>
        <v>3071394.4132232675</v>
      </c>
      <c r="G186" s="1318">
        <f t="shared" si="208"/>
        <v>3213061.5867767325</v>
      </c>
      <c r="H186" s="938">
        <v>6284456</v>
      </c>
      <c r="I186" s="1062">
        <f t="shared" si="209"/>
        <v>3071394.4132232675</v>
      </c>
      <c r="J186" s="1062">
        <f t="shared" si="210"/>
        <v>3213061.5867767325</v>
      </c>
      <c r="K186" s="938">
        <f t="shared" si="124"/>
        <v>6284456</v>
      </c>
      <c r="M186" s="1051"/>
      <c r="N186" s="1063">
        <v>1</v>
      </c>
      <c r="O186" s="1063"/>
      <c r="P186" s="1064">
        <f t="shared" si="211"/>
        <v>1</v>
      </c>
      <c r="Q186" s="933">
        <f t="shared" si="212"/>
        <v>6284456</v>
      </c>
      <c r="R186" s="933">
        <f t="shared" si="213"/>
        <v>0</v>
      </c>
      <c r="S186" s="933">
        <f t="shared" si="214"/>
        <v>6284456</v>
      </c>
      <c r="T186" s="933">
        <f t="shared" si="215"/>
        <v>3071394.4132232675</v>
      </c>
      <c r="U186" s="933">
        <f t="shared" si="216"/>
        <v>3213061.5867767325</v>
      </c>
      <c r="V186" s="933">
        <f t="shared" si="217"/>
        <v>6284456</v>
      </c>
    </row>
    <row r="187" spans="1:22" ht="12.75" customHeight="1" x14ac:dyDescent="0.3">
      <c r="A187" s="1177" t="s">
        <v>62</v>
      </c>
      <c r="B187" s="934">
        <v>24.05</v>
      </c>
      <c r="C187" s="1138" t="s">
        <v>223</v>
      </c>
      <c r="D187" s="1139" t="s">
        <v>214</v>
      </c>
      <c r="E187" s="946">
        <v>17</v>
      </c>
      <c r="F187" s="946">
        <f>'01 (2)'!H224*'01 (2)'!$T$5</f>
        <v>66636.371357050768</v>
      </c>
      <c r="G187" s="1318">
        <f t="shared" si="208"/>
        <v>807258.62864294928</v>
      </c>
      <c r="H187" s="938">
        <v>873895</v>
      </c>
      <c r="I187" s="1062">
        <f t="shared" si="209"/>
        <v>1132818.313069863</v>
      </c>
      <c r="J187" s="1062">
        <f t="shared" si="210"/>
        <v>13723396.686930139</v>
      </c>
      <c r="K187" s="938">
        <f t="shared" si="124"/>
        <v>14856215</v>
      </c>
      <c r="L187" s="1140"/>
      <c r="M187" s="1051"/>
      <c r="N187" s="1063">
        <v>0.49999999999999994</v>
      </c>
      <c r="O187" s="1063">
        <v>0.05</v>
      </c>
      <c r="P187" s="1064">
        <f t="shared" si="211"/>
        <v>0.54999999999999993</v>
      </c>
      <c r="Q187" s="933">
        <f t="shared" si="212"/>
        <v>7428107.4999999991</v>
      </c>
      <c r="R187" s="933">
        <f t="shared" si="213"/>
        <v>742810.75</v>
      </c>
      <c r="S187" s="933">
        <f t="shared" si="214"/>
        <v>8170918.2499999991</v>
      </c>
      <c r="T187" s="933">
        <f t="shared" si="215"/>
        <v>623050.07218842453</v>
      </c>
      <c r="U187" s="933">
        <f t="shared" si="216"/>
        <v>7547868.1778115751</v>
      </c>
      <c r="V187" s="933">
        <f t="shared" si="217"/>
        <v>8170918.25</v>
      </c>
    </row>
    <row r="188" spans="1:22" ht="12.75" customHeight="1" x14ac:dyDescent="0.3">
      <c r="A188" s="1177" t="s">
        <v>62</v>
      </c>
      <c r="B188" s="934">
        <v>24.06</v>
      </c>
      <c r="C188" s="1138" t="s">
        <v>224</v>
      </c>
      <c r="D188" s="1139" t="s">
        <v>214</v>
      </c>
      <c r="E188" s="946">
        <v>17</v>
      </c>
      <c r="F188" s="946">
        <f>'01 (2)'!H225*'01 (2)'!$T$5</f>
        <v>33318.185678525384</v>
      </c>
      <c r="G188" s="1318">
        <f t="shared" si="208"/>
        <v>543859.81432147464</v>
      </c>
      <c r="H188" s="938">
        <v>577178</v>
      </c>
      <c r="I188" s="1062">
        <f t="shared" si="209"/>
        <v>566409.15653493151</v>
      </c>
      <c r="J188" s="1062">
        <f t="shared" si="210"/>
        <v>9245616.8434650693</v>
      </c>
      <c r="K188" s="938">
        <f t="shared" si="124"/>
        <v>9812026</v>
      </c>
      <c r="L188" s="1140"/>
      <c r="M188" s="1051"/>
      <c r="N188" s="1063">
        <v>0.49999999999999994</v>
      </c>
      <c r="O188" s="1063">
        <v>0.05</v>
      </c>
      <c r="P188" s="1064">
        <f t="shared" si="211"/>
        <v>0.54999999999999993</v>
      </c>
      <c r="Q188" s="933">
        <f t="shared" si="212"/>
        <v>4906012.9999999991</v>
      </c>
      <c r="R188" s="933">
        <f t="shared" si="213"/>
        <v>490601.30000000005</v>
      </c>
      <c r="S188" s="933">
        <f t="shared" si="214"/>
        <v>5396614.2999999989</v>
      </c>
      <c r="T188" s="933">
        <f t="shared" si="215"/>
        <v>311525.03609421226</v>
      </c>
      <c r="U188" s="933">
        <f t="shared" si="216"/>
        <v>5085089.2639057878</v>
      </c>
      <c r="V188" s="933">
        <f t="shared" si="217"/>
        <v>5396614.2999999998</v>
      </c>
    </row>
    <row r="189" spans="1:22" ht="12.75" customHeight="1" x14ac:dyDescent="0.3">
      <c r="A189" s="1177" t="s">
        <v>62</v>
      </c>
      <c r="B189" s="934">
        <v>24.07</v>
      </c>
      <c r="C189" s="1138" t="s">
        <v>225</v>
      </c>
      <c r="D189" s="1139" t="s">
        <v>207</v>
      </c>
      <c r="E189" s="937">
        <v>1</v>
      </c>
      <c r="F189" s="937">
        <f>'01 (2)'!H226*'01 (2)'!$T$5</f>
        <v>333181.8567852538</v>
      </c>
      <c r="G189" s="1318">
        <f t="shared" si="208"/>
        <v>4944632.1432147464</v>
      </c>
      <c r="H189" s="938">
        <v>5277814</v>
      </c>
      <c r="I189" s="1062">
        <f t="shared" si="209"/>
        <v>333181.8567852538</v>
      </c>
      <c r="J189" s="1062">
        <f t="shared" si="210"/>
        <v>4944632.1432147464</v>
      </c>
      <c r="K189" s="938">
        <f t="shared" si="124"/>
        <v>5277814</v>
      </c>
      <c r="L189" s="1140"/>
      <c r="M189" s="1051"/>
      <c r="N189" s="1063">
        <v>0</v>
      </c>
      <c r="O189" s="1063"/>
      <c r="P189" s="1064">
        <f t="shared" si="211"/>
        <v>0</v>
      </c>
      <c r="Q189" s="933">
        <f t="shared" si="212"/>
        <v>0</v>
      </c>
      <c r="R189" s="933">
        <f t="shared" si="213"/>
        <v>0</v>
      </c>
      <c r="S189" s="933">
        <f t="shared" si="214"/>
        <v>0</v>
      </c>
      <c r="T189" s="933">
        <f t="shared" si="215"/>
        <v>0</v>
      </c>
      <c r="U189" s="933">
        <f t="shared" si="216"/>
        <v>0</v>
      </c>
      <c r="V189" s="933">
        <f t="shared" si="217"/>
        <v>0</v>
      </c>
    </row>
    <row r="190" spans="1:22" ht="12.75" customHeight="1" x14ac:dyDescent="0.3">
      <c r="A190" s="1177" t="s">
        <v>55</v>
      </c>
      <c r="B190" s="934">
        <v>24.08</v>
      </c>
      <c r="C190" s="1138" t="s">
        <v>226</v>
      </c>
      <c r="D190" s="1139" t="s">
        <v>214</v>
      </c>
      <c r="E190" s="946">
        <v>17</v>
      </c>
      <c r="F190" s="946">
        <f>'01 (2)'!H227*'01 (2)'!$T$5</f>
        <v>0</v>
      </c>
      <c r="G190" s="1318">
        <f t="shared" si="208"/>
        <v>399819</v>
      </c>
      <c r="H190" s="938">
        <v>399819</v>
      </c>
      <c r="I190" s="1062">
        <f t="shared" si="209"/>
        <v>0</v>
      </c>
      <c r="J190" s="1062">
        <f t="shared" si="210"/>
        <v>6796923</v>
      </c>
      <c r="K190" s="938">
        <f t="shared" si="124"/>
        <v>6796923</v>
      </c>
      <c r="L190" s="1140"/>
      <c r="M190" s="1051"/>
      <c r="N190" s="1063">
        <v>0.6</v>
      </c>
      <c r="O190" s="1063">
        <v>0.05</v>
      </c>
      <c r="P190" s="1064">
        <f t="shared" si="211"/>
        <v>0.65</v>
      </c>
      <c r="Q190" s="933">
        <f t="shared" si="212"/>
        <v>4078153.8</v>
      </c>
      <c r="R190" s="933">
        <f t="shared" si="213"/>
        <v>339846.15</v>
      </c>
      <c r="S190" s="933">
        <f t="shared" si="214"/>
        <v>4417999.95</v>
      </c>
      <c r="T190" s="933">
        <f t="shared" si="215"/>
        <v>0</v>
      </c>
      <c r="U190" s="933">
        <f t="shared" si="216"/>
        <v>4417999.95</v>
      </c>
      <c r="V190" s="933">
        <f t="shared" si="217"/>
        <v>4417999.95</v>
      </c>
    </row>
    <row r="191" spans="1:22" ht="12.75" customHeight="1" x14ac:dyDescent="0.3">
      <c r="A191" s="1177" t="s">
        <v>69</v>
      </c>
      <c r="B191" s="934">
        <v>24.09</v>
      </c>
      <c r="C191" s="1141" t="s">
        <v>227</v>
      </c>
      <c r="D191" s="1142" t="s">
        <v>214</v>
      </c>
      <c r="E191" s="946">
        <v>17</v>
      </c>
      <c r="F191" s="952">
        <f>'01 (2)'!H228*'01 (2)'!$T$5</f>
        <v>266545.48542820307</v>
      </c>
      <c r="G191" s="1318">
        <f t="shared" si="208"/>
        <v>81111.514571796928</v>
      </c>
      <c r="H191" s="1107">
        <v>347657</v>
      </c>
      <c r="I191" s="1062">
        <f t="shared" si="209"/>
        <v>4531273.252279452</v>
      </c>
      <c r="J191" s="1062">
        <f t="shared" si="210"/>
        <v>1378895.7477205477</v>
      </c>
      <c r="K191" s="1107">
        <f t="shared" si="124"/>
        <v>5910169</v>
      </c>
      <c r="L191" s="1140"/>
      <c r="M191" s="1051"/>
      <c r="N191" s="1063">
        <v>0.49999999999999994</v>
      </c>
      <c r="O191" s="1063">
        <v>0.05</v>
      </c>
      <c r="P191" s="1064">
        <f t="shared" si="211"/>
        <v>0.54999999999999993</v>
      </c>
      <c r="Q191" s="933">
        <f>K191*N191</f>
        <v>2955084.4999999995</v>
      </c>
      <c r="R191" s="933">
        <f t="shared" si="213"/>
        <v>295508.45</v>
      </c>
      <c r="S191" s="933">
        <f t="shared" si="214"/>
        <v>3250592.9499999997</v>
      </c>
      <c r="T191" s="933">
        <f t="shared" si="215"/>
        <v>2492200.2887536981</v>
      </c>
      <c r="U191" s="933">
        <f t="shared" si="216"/>
        <v>758392.66124630114</v>
      </c>
      <c r="V191" s="933">
        <f t="shared" si="217"/>
        <v>3250592.9499999993</v>
      </c>
    </row>
    <row r="192" spans="1:22" ht="12.75" customHeight="1" x14ac:dyDescent="0.3">
      <c r="A192" s="1201"/>
      <c r="B192" s="909">
        <v>25</v>
      </c>
      <c r="C192" s="964" t="s">
        <v>228</v>
      </c>
      <c r="D192" s="916"/>
      <c r="E192" s="917"/>
      <c r="F192" s="917"/>
      <c r="G192" s="917"/>
      <c r="H192" s="917"/>
      <c r="I192" s="917"/>
      <c r="J192" s="917"/>
      <c r="K192" s="917"/>
      <c r="L192" s="1135">
        <f>+SUM(K193:K194)</f>
        <v>110386593</v>
      </c>
      <c r="M192" s="1051">
        <f t="shared" si="166"/>
        <v>0.13065894998086086</v>
      </c>
      <c r="N192" s="1052"/>
      <c r="O192" s="1053"/>
      <c r="P192" s="1053"/>
      <c r="Q192" s="1054"/>
      <c r="R192" s="1054"/>
      <c r="S192" s="1055"/>
      <c r="T192" s="1055"/>
      <c r="U192" s="1055"/>
      <c r="V192" s="1055"/>
    </row>
    <row r="193" spans="1:22" ht="12.75" customHeight="1" x14ac:dyDescent="0.3">
      <c r="A193" s="1177" t="s">
        <v>54</v>
      </c>
      <c r="B193" s="925">
        <v>25.01</v>
      </c>
      <c r="C193" s="926" t="s">
        <v>229</v>
      </c>
      <c r="D193" s="1056" t="s">
        <v>214</v>
      </c>
      <c r="E193" s="1057">
        <v>17</v>
      </c>
      <c r="F193" s="1318">
        <f>'01 (2)'!H230*'01 (2)'!$T$5</f>
        <v>0</v>
      </c>
      <c r="G193" s="1318">
        <f t="shared" ref="G193:G194" si="218">H193-F193</f>
        <v>5826965</v>
      </c>
      <c r="H193" s="1068">
        <v>5826965</v>
      </c>
      <c r="I193" s="1062">
        <f t="shared" ref="I193:I194" si="219">E193*F193</f>
        <v>0</v>
      </c>
      <c r="J193" s="1062">
        <f t="shared" ref="J193:J194" si="220">E193*G193</f>
        <v>99058405</v>
      </c>
      <c r="K193" s="1062">
        <f t="shared" si="124"/>
        <v>99058405</v>
      </c>
      <c r="L193" s="1143"/>
      <c r="M193" s="1051"/>
      <c r="N193" s="1063">
        <v>0.6</v>
      </c>
      <c r="O193" s="1063">
        <v>0.05</v>
      </c>
      <c r="P193" s="1064">
        <f t="shared" ref="P193:P194" si="221">SUM(N193:O193)</f>
        <v>0.65</v>
      </c>
      <c r="Q193" s="933">
        <f>K193*N193</f>
        <v>59435043</v>
      </c>
      <c r="R193" s="933">
        <f t="shared" ref="R193:R194" si="222">K193*O193</f>
        <v>4952920.25</v>
      </c>
      <c r="S193" s="933">
        <f>K193*P193</f>
        <v>64387963.25</v>
      </c>
      <c r="T193" s="933">
        <f t="shared" ref="T193:T194" si="223">I193*P193</f>
        <v>0</v>
      </c>
      <c r="U193" s="933">
        <f t="shared" ref="U193:U194" si="224">J193*P193</f>
        <v>64387963.25</v>
      </c>
      <c r="V193" s="933">
        <f t="shared" ref="V193:V194" si="225">SUM(T193:U193)</f>
        <v>64387963.25</v>
      </c>
    </row>
    <row r="194" spans="1:22" ht="12.75" customHeight="1" x14ac:dyDescent="0.3">
      <c r="A194" s="1177" t="s">
        <v>55</v>
      </c>
      <c r="B194" s="953">
        <v>25.02</v>
      </c>
      <c r="C194" s="962" t="s">
        <v>230</v>
      </c>
      <c r="D194" s="955" t="s">
        <v>214</v>
      </c>
      <c r="E194" s="956">
        <v>17</v>
      </c>
      <c r="F194" s="1321">
        <f>'01 (2)'!H231*'01 (2)'!$T$5</f>
        <v>0</v>
      </c>
      <c r="G194" s="1318">
        <f t="shared" si="218"/>
        <v>666364</v>
      </c>
      <c r="H194" s="1068">
        <v>666364</v>
      </c>
      <c r="I194" s="1062">
        <f t="shared" si="219"/>
        <v>0</v>
      </c>
      <c r="J194" s="1062">
        <f t="shared" si="220"/>
        <v>11328188</v>
      </c>
      <c r="K194" s="938">
        <f t="shared" si="124"/>
        <v>11328188</v>
      </c>
      <c r="L194" s="1144"/>
      <c r="M194" s="1051"/>
      <c r="N194" s="1145">
        <v>0.6</v>
      </c>
      <c r="O194" s="1145">
        <v>0.05</v>
      </c>
      <c r="P194" s="1064">
        <f t="shared" si="221"/>
        <v>0.65</v>
      </c>
      <c r="Q194" s="933">
        <f>K194*N194</f>
        <v>6796912.7999999998</v>
      </c>
      <c r="R194" s="933">
        <f t="shared" si="222"/>
        <v>566409.4</v>
      </c>
      <c r="S194" s="933">
        <f>K194*P194</f>
        <v>7363322.2000000002</v>
      </c>
      <c r="T194" s="933">
        <f t="shared" si="223"/>
        <v>0</v>
      </c>
      <c r="U194" s="933">
        <f t="shared" si="224"/>
        <v>7363322.2000000002</v>
      </c>
      <c r="V194" s="933">
        <f t="shared" si="225"/>
        <v>7363322.2000000002</v>
      </c>
    </row>
    <row r="195" spans="1:22" ht="12.75" customHeight="1" x14ac:dyDescent="0.3">
      <c r="A195" s="1201"/>
      <c r="B195" s="909"/>
      <c r="C195" s="964" t="s">
        <v>452</v>
      </c>
      <c r="D195" s="916"/>
      <c r="E195" s="917"/>
      <c r="F195" s="917"/>
      <c r="G195" s="917"/>
      <c r="H195" s="917"/>
      <c r="I195" s="917"/>
      <c r="J195" s="917"/>
      <c r="K195" s="965">
        <f>SUM(K9:K194)</f>
        <v>844845248</v>
      </c>
      <c r="L195" s="966">
        <f>SUM(L9:L194)</f>
        <v>844845248</v>
      </c>
      <c r="M195" s="1051">
        <f>+SUM(M9:M194)</f>
        <v>0.99999999999999978</v>
      </c>
      <c r="N195" s="1146"/>
      <c r="O195" s="1147"/>
      <c r="P195" s="1147"/>
      <c r="Q195" s="1148">
        <f>+SUM(Q10:Q194)</f>
        <v>212122785.86200002</v>
      </c>
      <c r="R195" s="1148">
        <f>+SUM(R10:R194)</f>
        <v>63774210.420000002</v>
      </c>
      <c r="S195" s="1149">
        <f>+SUM(S10:S194)</f>
        <v>275896996.28200001</v>
      </c>
      <c r="T195" s="1149">
        <f t="shared" ref="T195:V195" si="226">+SUM(T10:T194)</f>
        <v>53238700.299918897</v>
      </c>
      <c r="U195" s="1149">
        <f t="shared" si="226"/>
        <v>222658295.98208106</v>
      </c>
      <c r="V195" s="1149">
        <f t="shared" si="226"/>
        <v>275896996.28200001</v>
      </c>
    </row>
    <row r="196" spans="1:22" s="970" customFormat="1" ht="13" x14ac:dyDescent="0.3">
      <c r="B196" s="971"/>
      <c r="C196" s="972"/>
      <c r="D196" s="973"/>
      <c r="E196" s="974"/>
      <c r="F196" s="974"/>
      <c r="G196" s="974"/>
      <c r="H196" s="975"/>
      <c r="I196" s="975"/>
      <c r="J196" s="975"/>
      <c r="K196" s="975"/>
      <c r="L196" s="976"/>
      <c r="M196" s="1150"/>
      <c r="N196" s="1151"/>
      <c r="O196" s="1151"/>
      <c r="P196" s="1151"/>
      <c r="Q196" s="1151"/>
      <c r="R196" s="1152">
        <f>+R195/L195</f>
        <v>7.5486262804901283E-2</v>
      </c>
      <c r="S196" s="1152">
        <f>+S195/L195</f>
        <v>0.3265651276788622</v>
      </c>
    </row>
    <row r="197" spans="1:22" s="970" customFormat="1" ht="13" x14ac:dyDescent="0.3">
      <c r="B197" s="979"/>
      <c r="C197" s="980"/>
      <c r="D197" s="981"/>
      <c r="E197" s="888"/>
      <c r="F197" s="888"/>
      <c r="G197" s="888"/>
      <c r="H197" s="982"/>
      <c r="I197" s="982"/>
      <c r="J197" s="982"/>
      <c r="K197" s="982"/>
      <c r="L197" s="983"/>
      <c r="M197" s="1150"/>
      <c r="N197" s="1151"/>
      <c r="O197" s="1151"/>
      <c r="P197" s="1151"/>
      <c r="Q197" s="1151"/>
      <c r="R197" s="978"/>
      <c r="S197" s="978"/>
    </row>
    <row r="198" spans="1:22" s="970" customFormat="1" ht="25" customHeight="1" x14ac:dyDescent="0.3">
      <c r="G198" s="979"/>
      <c r="H198" s="1043" t="s">
        <v>980</v>
      </c>
      <c r="I198" s="1405"/>
      <c r="J198" s="983"/>
      <c r="K198" s="982"/>
      <c r="L198" s="982"/>
      <c r="M198" s="983"/>
      <c r="N198" s="1398"/>
      <c r="O198" s="1152"/>
      <c r="P198" s="1151"/>
      <c r="Q198" s="1151"/>
      <c r="R198" s="978"/>
      <c r="S198" s="978"/>
    </row>
    <row r="199" spans="1:22" s="970" customFormat="1" ht="25" customHeight="1" x14ac:dyDescent="0.3">
      <c r="G199" s="909">
        <v>4</v>
      </c>
      <c r="H199" s="915" t="s">
        <v>263</v>
      </c>
      <c r="I199" s="1406"/>
      <c r="J199" s="965"/>
      <c r="K199" s="1113"/>
      <c r="L199" s="1113"/>
      <c r="M199" s="966">
        <f>+SUM(L200)</f>
        <v>-485729.58294974203</v>
      </c>
      <c r="N199" s="1052"/>
      <c r="O199" s="1053"/>
      <c r="P199" s="1053"/>
      <c r="Q199" s="1054"/>
      <c r="R199" s="1054"/>
      <c r="S199" s="1055"/>
    </row>
    <row r="200" spans="1:22" s="970" customFormat="1" ht="25" customHeight="1" x14ac:dyDescent="0.3">
      <c r="G200" s="984">
        <v>4.12</v>
      </c>
      <c r="H200" s="1080" t="s">
        <v>275</v>
      </c>
      <c r="I200" s="1081" t="s">
        <v>243</v>
      </c>
      <c r="J200" s="1316">
        <v>-3</v>
      </c>
      <c r="K200" s="982">
        <f>+F21</f>
        <v>161909.86098324734</v>
      </c>
      <c r="L200" s="1062">
        <f t="shared" ref="L200:L212" si="227">+K200*J200</f>
        <v>-485729.58294974203</v>
      </c>
      <c r="M200" s="983"/>
      <c r="N200" s="1059"/>
      <c r="O200" s="1059"/>
      <c r="P200" s="1060">
        <f>+N200+O200</f>
        <v>0</v>
      </c>
      <c r="Q200" s="933">
        <f>+L200*N200</f>
        <v>0</v>
      </c>
      <c r="R200" s="933">
        <f>+L200*O200</f>
        <v>0</v>
      </c>
      <c r="S200" s="933">
        <f>+L200*P200</f>
        <v>0</v>
      </c>
    </row>
    <row r="201" spans="1:22" s="970" customFormat="1" ht="25" customHeight="1" x14ac:dyDescent="0.3">
      <c r="G201" s="909">
        <v>5</v>
      </c>
      <c r="H201" s="915" t="s">
        <v>278</v>
      </c>
      <c r="I201" s="1406"/>
      <c r="J201" s="965"/>
      <c r="K201" s="1113"/>
      <c r="L201" s="1113"/>
      <c r="M201" s="966">
        <f>+SUM(L202)</f>
        <v>0</v>
      </c>
      <c r="N201" s="1052"/>
      <c r="O201" s="1053"/>
      <c r="P201" s="1053"/>
      <c r="Q201" s="1054"/>
      <c r="R201" s="1054"/>
      <c r="S201" s="1055"/>
    </row>
    <row r="202" spans="1:22" s="970" customFormat="1" ht="25" customHeight="1" x14ac:dyDescent="0.3">
      <c r="G202" s="984">
        <v>5.07</v>
      </c>
      <c r="H202" s="1080" t="s">
        <v>285</v>
      </c>
      <c r="I202" s="1081" t="s">
        <v>207</v>
      </c>
      <c r="J202" s="1316">
        <v>-1</v>
      </c>
      <c r="K202" s="982">
        <f>+F31</f>
        <v>0</v>
      </c>
      <c r="L202" s="1062">
        <f t="shared" si="227"/>
        <v>0</v>
      </c>
      <c r="M202" s="983"/>
      <c r="N202" s="1059"/>
      <c r="O202" s="1059"/>
      <c r="P202" s="1060">
        <f>+N202+O202</f>
        <v>0</v>
      </c>
      <c r="Q202" s="933">
        <f>+L202*N202</f>
        <v>0</v>
      </c>
      <c r="R202" s="933">
        <f>+L202*O202</f>
        <v>0</v>
      </c>
      <c r="S202" s="933">
        <f>+L202*P202</f>
        <v>0</v>
      </c>
    </row>
    <row r="203" spans="1:22" s="970" customFormat="1" ht="25" customHeight="1" x14ac:dyDescent="0.3">
      <c r="G203" s="909">
        <v>14</v>
      </c>
      <c r="H203" s="915" t="s">
        <v>335</v>
      </c>
      <c r="I203" s="1406"/>
      <c r="J203" s="965"/>
      <c r="K203" s="1113"/>
      <c r="L203" s="1113"/>
      <c r="M203" s="966">
        <f>+SUM(L204:L205)</f>
        <v>-3563216.1927720425</v>
      </c>
      <c r="N203" s="1052"/>
      <c r="O203" s="1053"/>
      <c r="P203" s="1053"/>
      <c r="Q203" s="1054"/>
      <c r="R203" s="1054"/>
      <c r="S203" s="1055"/>
    </row>
    <row r="204" spans="1:22" s="970" customFormat="1" ht="25" customHeight="1" x14ac:dyDescent="0.3">
      <c r="G204" s="1090">
        <v>14.01</v>
      </c>
      <c r="H204" s="1402" t="s">
        <v>336</v>
      </c>
      <c r="I204" s="1407" t="s">
        <v>238</v>
      </c>
      <c r="J204" s="1098">
        <v>-460</v>
      </c>
      <c r="K204" s="929">
        <f>+F81</f>
        <v>7746.1221582000926</v>
      </c>
      <c r="L204" s="929">
        <f t="shared" si="227"/>
        <v>-3563216.1927720425</v>
      </c>
      <c r="M204" s="983"/>
      <c r="N204" s="1059"/>
      <c r="O204" s="1059"/>
      <c r="P204" s="1060">
        <f>+N204+O204</f>
        <v>0</v>
      </c>
      <c r="Q204" s="933">
        <f>+L204*N204</f>
        <v>0</v>
      </c>
      <c r="R204" s="933">
        <f>+L204*O204</f>
        <v>0</v>
      </c>
      <c r="S204" s="933">
        <f>+L204*P204</f>
        <v>0</v>
      </c>
    </row>
    <row r="205" spans="1:22" s="970" customFormat="1" ht="25" customHeight="1" x14ac:dyDescent="0.3">
      <c r="G205" s="1106">
        <v>14.02</v>
      </c>
      <c r="H205" s="1403" t="s">
        <v>337</v>
      </c>
      <c r="I205" s="1408" t="s">
        <v>211</v>
      </c>
      <c r="J205" s="1118">
        <v>-434</v>
      </c>
      <c r="K205" s="1107">
        <f>+F82</f>
        <v>0</v>
      </c>
      <c r="L205" s="1107">
        <f t="shared" si="227"/>
        <v>0</v>
      </c>
      <c r="M205" s="983"/>
      <c r="N205" s="1059"/>
      <c r="O205" s="1059"/>
      <c r="P205" s="1060">
        <f>+N205+O205</f>
        <v>0</v>
      </c>
      <c r="Q205" s="933">
        <f>+L205*N205</f>
        <v>0</v>
      </c>
      <c r="R205" s="933">
        <f>+L205*O205</f>
        <v>0</v>
      </c>
      <c r="S205" s="933">
        <f>+L205*P205</f>
        <v>0</v>
      </c>
    </row>
    <row r="206" spans="1:22" s="970" customFormat="1" ht="25" customHeight="1" x14ac:dyDescent="0.3">
      <c r="G206" s="909">
        <v>15</v>
      </c>
      <c r="H206" s="915" t="s">
        <v>343</v>
      </c>
      <c r="I206" s="1406"/>
      <c r="J206" s="965"/>
      <c r="K206" s="1113"/>
      <c r="L206" s="1113"/>
      <c r="M206" s="966">
        <f>+SUM(L207)</f>
        <v>-1392908.3388106811</v>
      </c>
      <c r="N206" s="1052"/>
      <c r="O206" s="1053"/>
      <c r="P206" s="1053"/>
      <c r="Q206" s="1054"/>
      <c r="R206" s="1054"/>
      <c r="S206" s="1055"/>
    </row>
    <row r="207" spans="1:22" s="970" customFormat="1" ht="25" customHeight="1" x14ac:dyDescent="0.3">
      <c r="G207" s="984">
        <v>15.05</v>
      </c>
      <c r="H207" s="1080" t="s">
        <v>348</v>
      </c>
      <c r="I207" s="1081" t="s">
        <v>238</v>
      </c>
      <c r="J207" s="1316">
        <v>-460</v>
      </c>
      <c r="K207" s="982">
        <f>+F93</f>
        <v>3028.0616061101764</v>
      </c>
      <c r="L207" s="1062">
        <f t="shared" si="227"/>
        <v>-1392908.3388106811</v>
      </c>
      <c r="M207" s="983"/>
      <c r="N207" s="1059"/>
      <c r="O207" s="1059"/>
      <c r="P207" s="1060">
        <f>+N207+O207</f>
        <v>0</v>
      </c>
      <c r="Q207" s="933">
        <f>+L207*N207</f>
        <v>0</v>
      </c>
      <c r="R207" s="933">
        <f>+L207*O207</f>
        <v>0</v>
      </c>
      <c r="S207" s="933">
        <f>+L207*P207</f>
        <v>0</v>
      </c>
    </row>
    <row r="208" spans="1:22" s="970" customFormat="1" ht="25" customHeight="1" x14ac:dyDescent="0.3">
      <c r="G208" s="909">
        <v>18</v>
      </c>
      <c r="H208" s="964" t="s">
        <v>367</v>
      </c>
      <c r="I208" s="1406"/>
      <c r="J208" s="965"/>
      <c r="K208" s="1113"/>
      <c r="L208" s="1113"/>
      <c r="M208" s="966">
        <f>+SUM(L209:L212)</f>
        <v>-721690.51642457535</v>
      </c>
      <c r="N208" s="1052"/>
      <c r="O208" s="1053"/>
      <c r="P208" s="1053"/>
      <c r="Q208" s="1054"/>
      <c r="R208" s="1054"/>
      <c r="S208" s="1055"/>
    </row>
    <row r="209" spans="2:19" s="970" customFormat="1" ht="25" customHeight="1" x14ac:dyDescent="0.3">
      <c r="G209" s="1090">
        <v>18.09</v>
      </c>
      <c r="H209" s="1108" t="s">
        <v>376</v>
      </c>
      <c r="I209" s="1109" t="s">
        <v>243</v>
      </c>
      <c r="J209" s="1057">
        <v>-8</v>
      </c>
      <c r="K209" s="929">
        <f>+F117</f>
        <v>19730.582062137608</v>
      </c>
      <c r="L209" s="929">
        <f t="shared" si="227"/>
        <v>-157844.65649710086</v>
      </c>
      <c r="M209" s="983"/>
      <c r="N209" s="1059"/>
      <c r="O209" s="1059"/>
      <c r="P209" s="1060">
        <f>+N209+O209</f>
        <v>0</v>
      </c>
      <c r="Q209" s="933">
        <f>+L209*N209</f>
        <v>0</v>
      </c>
      <c r="R209" s="933">
        <f>+L209*O209</f>
        <v>0</v>
      </c>
      <c r="S209" s="933">
        <f>+L209*P209</f>
        <v>0</v>
      </c>
    </row>
    <row r="210" spans="2:19" s="970" customFormat="1" ht="25" customHeight="1" x14ac:dyDescent="0.3">
      <c r="G210" s="1072">
        <v>18.11</v>
      </c>
      <c r="H210" s="1067" t="s">
        <v>378</v>
      </c>
      <c r="I210" s="1110" t="s">
        <v>243</v>
      </c>
      <c r="J210" s="946">
        <v>-26</v>
      </c>
      <c r="K210" s="938">
        <f>+F119</f>
        <v>16109.881712213555</v>
      </c>
      <c r="L210" s="938">
        <f t="shared" si="227"/>
        <v>-418856.92451755243</v>
      </c>
      <c r="M210" s="983"/>
      <c r="N210" s="1059"/>
      <c r="O210" s="1059"/>
      <c r="P210" s="1060">
        <f>+N210+O210</f>
        <v>0</v>
      </c>
      <c r="Q210" s="933">
        <f>+L210*N210</f>
        <v>0</v>
      </c>
      <c r="R210" s="933">
        <f>+L210*O210</f>
        <v>0</v>
      </c>
      <c r="S210" s="933">
        <f>+L210*P210</f>
        <v>0</v>
      </c>
    </row>
    <row r="211" spans="2:19" s="970" customFormat="1" ht="25" customHeight="1" x14ac:dyDescent="0.3">
      <c r="G211" s="1072">
        <v>18.13</v>
      </c>
      <c r="H211" s="1067" t="s">
        <v>380</v>
      </c>
      <c r="I211" s="1110" t="s">
        <v>243</v>
      </c>
      <c r="J211" s="946">
        <v>-9</v>
      </c>
      <c r="K211" s="938">
        <f>+F121</f>
        <v>16109.881712213555</v>
      </c>
      <c r="L211" s="938">
        <f t="shared" si="227"/>
        <v>-144988.93540992201</v>
      </c>
      <c r="M211" s="983"/>
      <c r="N211" s="1059"/>
      <c r="O211" s="1059"/>
      <c r="P211" s="1060">
        <f>+N211+O211</f>
        <v>0</v>
      </c>
      <c r="Q211" s="933">
        <f>+L211*N211</f>
        <v>0</v>
      </c>
      <c r="R211" s="933">
        <f>+L211*O211</f>
        <v>0</v>
      </c>
      <c r="S211" s="933">
        <f>+L211*P211</f>
        <v>0</v>
      </c>
    </row>
    <row r="212" spans="2:19" s="970" customFormat="1" ht="25" customHeight="1" x14ac:dyDescent="0.3">
      <c r="G212" s="1106">
        <v>18.260000000000002</v>
      </c>
      <c r="H212" s="1404" t="s">
        <v>765</v>
      </c>
      <c r="I212" s="1112" t="s">
        <v>243</v>
      </c>
      <c r="J212" s="956">
        <v>-8</v>
      </c>
      <c r="K212" s="1107">
        <f>+F134</f>
        <v>0</v>
      </c>
      <c r="L212" s="1107">
        <f t="shared" si="227"/>
        <v>0</v>
      </c>
      <c r="M212" s="983"/>
      <c r="N212" s="1059"/>
      <c r="O212" s="1059"/>
      <c r="P212" s="1060">
        <f>+N212+O212</f>
        <v>0</v>
      </c>
      <c r="Q212" s="933">
        <f>+L212*N212</f>
        <v>0</v>
      </c>
      <c r="R212" s="933">
        <f>+L212*O212</f>
        <v>0</v>
      </c>
      <c r="S212" s="933">
        <f>+L212*P212</f>
        <v>0</v>
      </c>
    </row>
    <row r="213" spans="2:19" s="970" customFormat="1" ht="25" customHeight="1" x14ac:dyDescent="0.3">
      <c r="G213" s="909"/>
      <c r="H213" s="964" t="s">
        <v>983</v>
      </c>
      <c r="I213" s="916"/>
      <c r="J213" s="917"/>
      <c r="K213" s="917"/>
      <c r="L213" s="965"/>
      <c r="M213" s="966">
        <f>+SUM(M199:M212)</f>
        <v>-6163544.6309570409</v>
      </c>
      <c r="N213" s="1146"/>
      <c r="O213" s="1147"/>
      <c r="P213" s="1147"/>
      <c r="Q213" s="1148">
        <f>+SUM(Q200:Q212)</f>
        <v>0</v>
      </c>
      <c r="R213" s="1148">
        <f>+SUM(R200:R212)</f>
        <v>0</v>
      </c>
      <c r="S213" s="1149">
        <f>+SUM(S200:S212)</f>
        <v>0</v>
      </c>
    </row>
    <row r="214" spans="2:19" s="970" customFormat="1" ht="25" customHeight="1" x14ac:dyDescent="0.3">
      <c r="B214" s="979"/>
      <c r="C214" s="980"/>
      <c r="D214" s="981"/>
      <c r="E214" s="888"/>
      <c r="F214" s="888"/>
      <c r="G214" s="888"/>
      <c r="H214" s="982"/>
      <c r="I214" s="1151"/>
      <c r="J214" s="1151"/>
      <c r="K214" s="1151"/>
      <c r="L214" s="1151"/>
      <c r="M214" s="978"/>
      <c r="N214" s="978"/>
    </row>
    <row r="215" spans="2:19" ht="12.75" customHeight="1" x14ac:dyDescent="0.3">
      <c r="B215" s="984"/>
      <c r="C215" s="985"/>
      <c r="E215" s="986"/>
      <c r="F215" s="986"/>
      <c r="G215" s="986"/>
      <c r="H215" s="888"/>
      <c r="I215" s="888"/>
      <c r="J215" s="888"/>
      <c r="K215" s="888"/>
      <c r="L215" s="987"/>
      <c r="N215" s="1151"/>
      <c r="O215" s="1151"/>
      <c r="P215" s="1151"/>
      <c r="Q215" s="1151"/>
      <c r="R215" s="978"/>
      <c r="S215" s="978"/>
    </row>
    <row r="216" spans="2:19" ht="12.75" customHeight="1" x14ac:dyDescent="0.3">
      <c r="B216" s="988"/>
      <c r="C216" s="989" t="s">
        <v>781</v>
      </c>
      <c r="D216" s="990"/>
      <c r="E216" s="991"/>
      <c r="F216" s="991"/>
      <c r="G216" s="991"/>
      <c r="H216" s="992"/>
      <c r="I216" s="992"/>
      <c r="J216" s="992"/>
      <c r="K216" s="993"/>
      <c r="L216" s="968"/>
      <c r="M216" s="968"/>
      <c r="N216" s="993"/>
      <c r="O216" s="1113"/>
      <c r="P216" s="1153" t="s">
        <v>782</v>
      </c>
      <c r="Q216" s="1154">
        <f>+O5</f>
        <v>13</v>
      </c>
      <c r="R216" s="1155"/>
      <c r="S216" s="995">
        <f>+S5</f>
        <v>46108</v>
      </c>
    </row>
    <row r="217" spans="2:19" ht="12.75" customHeight="1" x14ac:dyDescent="0.3">
      <c r="B217" s="996"/>
      <c r="C217" s="989" t="s">
        <v>198</v>
      </c>
      <c r="D217" s="994"/>
      <c r="E217" s="997"/>
      <c r="F217" s="997"/>
      <c r="G217" s="997"/>
      <c r="H217" s="998"/>
      <c r="I217" s="998"/>
      <c r="J217" s="998"/>
      <c r="K217" s="968"/>
      <c r="L217" s="968"/>
      <c r="M217" s="968"/>
      <c r="N217" s="968"/>
      <c r="O217" s="1155"/>
      <c r="P217" s="968"/>
      <c r="Q217" s="968"/>
      <c r="R217" s="1155" t="s">
        <v>612</v>
      </c>
      <c r="S217" s="1156" t="s">
        <v>783</v>
      </c>
    </row>
    <row r="218" spans="2:19" ht="12.75" customHeight="1" x14ac:dyDescent="0.3">
      <c r="B218" s="999" t="s">
        <v>683</v>
      </c>
      <c r="C218" s="1000" t="s">
        <v>784</v>
      </c>
      <c r="D218" s="999"/>
      <c r="E218" s="1001"/>
      <c r="F218" s="1001"/>
      <c r="G218" s="1001"/>
      <c r="H218" s="1002"/>
      <c r="I218" s="1002"/>
      <c r="J218" s="1002"/>
      <c r="K218" s="1003"/>
      <c r="L218" s="1004"/>
      <c r="M218" s="1004"/>
      <c r="N218" s="1003"/>
      <c r="O218" s="1157"/>
      <c r="P218" s="1003"/>
      <c r="Q218" s="1003"/>
      <c r="R218" s="1003"/>
      <c r="S218" s="1005">
        <f>+L195</f>
        <v>844845248</v>
      </c>
    </row>
    <row r="219" spans="2:19" ht="12.75" customHeight="1" x14ac:dyDescent="0.3">
      <c r="B219" s="1006" t="s">
        <v>687</v>
      </c>
      <c r="C219" s="1007" t="s">
        <v>91</v>
      </c>
      <c r="D219" s="1008"/>
      <c r="E219" s="1009"/>
      <c r="F219" s="1009"/>
      <c r="G219" s="1009"/>
      <c r="H219" s="1010"/>
      <c r="I219" s="1010"/>
      <c r="J219" s="1010"/>
      <c r="K219" s="1011"/>
      <c r="L219" s="1012"/>
      <c r="M219" s="1012"/>
      <c r="N219" s="1011"/>
      <c r="O219" s="1158"/>
      <c r="P219" s="1011"/>
      <c r="Q219" s="1011"/>
      <c r="R219" s="1159">
        <v>0.1</v>
      </c>
      <c r="S219" s="1160">
        <f>+R219*S218</f>
        <v>84484524.800000012</v>
      </c>
    </row>
    <row r="220" spans="2:19" ht="12.75" customHeight="1" x14ac:dyDescent="0.3">
      <c r="B220" s="1013" t="s">
        <v>428</v>
      </c>
      <c r="C220" s="1014" t="s">
        <v>785</v>
      </c>
      <c r="D220" s="1015"/>
      <c r="E220" s="1016"/>
      <c r="F220" s="1016"/>
      <c r="G220" s="1016"/>
      <c r="H220" s="1017"/>
      <c r="I220" s="1017"/>
      <c r="J220" s="1017"/>
      <c r="K220" s="1018"/>
      <c r="L220" s="1019"/>
      <c r="M220" s="1019"/>
      <c r="N220" s="1018"/>
      <c r="O220" s="1161"/>
      <c r="P220" s="1018"/>
      <c r="Q220" s="1018"/>
      <c r="R220" s="1162"/>
      <c r="S220" s="1163">
        <f>+R195</f>
        <v>63774210.420000002</v>
      </c>
    </row>
    <row r="221" spans="2:19" ht="12.75" customHeight="1" x14ac:dyDescent="0.3">
      <c r="B221" s="1006" t="s">
        <v>786</v>
      </c>
      <c r="C221" s="1007" t="s">
        <v>787</v>
      </c>
      <c r="D221" s="1008"/>
      <c r="E221" s="1009"/>
      <c r="F221" s="1009"/>
      <c r="G221" s="1009"/>
      <c r="H221" s="1010"/>
      <c r="I221" s="1010"/>
      <c r="J221" s="1010"/>
      <c r="K221" s="1011"/>
      <c r="L221" s="1012"/>
      <c r="M221" s="1012"/>
      <c r="N221" s="1011"/>
      <c r="O221" s="1158"/>
      <c r="P221" s="1011"/>
      <c r="Q221" s="1011"/>
      <c r="R221" s="1164">
        <f>-R219</f>
        <v>-0.1</v>
      </c>
      <c r="S221" s="1165">
        <f>+R221*S220</f>
        <v>-6377421.0420000004</v>
      </c>
    </row>
    <row r="222" spans="2:19" ht="12.75" customHeight="1" x14ac:dyDescent="0.3">
      <c r="B222" s="1020" t="s">
        <v>197</v>
      </c>
      <c r="C222" s="1021" t="s">
        <v>788</v>
      </c>
      <c r="D222" s="1022"/>
      <c r="E222" s="1023"/>
      <c r="F222" s="1023"/>
      <c r="G222" s="1023"/>
      <c r="H222" s="1024"/>
      <c r="I222" s="1024"/>
      <c r="J222" s="1024"/>
      <c r="K222" s="1019"/>
      <c r="L222" s="1019"/>
      <c r="M222" s="1019"/>
      <c r="N222" s="1019" t="s">
        <v>789</v>
      </c>
      <c r="O222" s="1166" t="s">
        <v>790</v>
      </c>
      <c r="P222" s="1019"/>
      <c r="Q222" s="1019"/>
      <c r="R222" s="1167"/>
      <c r="S222" s="1168">
        <f>+S220+S221</f>
        <v>57396789.377999999</v>
      </c>
    </row>
    <row r="223" spans="2:19" ht="12.75" customHeight="1" x14ac:dyDescent="0.3">
      <c r="B223" s="1025" t="s">
        <v>791</v>
      </c>
      <c r="C223" s="1026" t="s">
        <v>792</v>
      </c>
      <c r="D223" s="1027"/>
      <c r="E223" s="1028"/>
      <c r="F223" s="1028"/>
      <c r="G223" s="1028"/>
      <c r="H223" s="1029"/>
      <c r="I223" s="1029"/>
      <c r="J223" s="1029"/>
      <c r="K223" s="1030"/>
      <c r="L223" s="1031"/>
      <c r="M223" s="1030"/>
      <c r="N223" s="1169">
        <v>15356.4</v>
      </c>
      <c r="O223" s="1169">
        <v>15852.4</v>
      </c>
      <c r="P223" s="1031"/>
      <c r="Q223" s="1032">
        <f>O223/N223</f>
        <v>1.0322992368002917</v>
      </c>
      <c r="R223" s="1170">
        <f>Q223-1</f>
        <v>3.2299236800291675E-2</v>
      </c>
      <c r="S223" s="1171">
        <f>S222*R223</f>
        <v>1853872.4916964879</v>
      </c>
    </row>
    <row r="224" spans="2:19" ht="12.75" customHeight="1" x14ac:dyDescent="0.3">
      <c r="B224" s="1033" t="s">
        <v>793</v>
      </c>
      <c r="C224" s="1034" t="s">
        <v>794</v>
      </c>
      <c r="D224" s="1035"/>
      <c r="E224" s="1036"/>
      <c r="F224" s="1036"/>
      <c r="G224" s="1036"/>
      <c r="H224" s="1037"/>
      <c r="I224" s="1037"/>
      <c r="J224" s="1037"/>
      <c r="K224" s="1038"/>
      <c r="L224" s="1038"/>
      <c r="M224" s="1038"/>
      <c r="N224" s="1038"/>
      <c r="O224" s="1172"/>
      <c r="P224" s="1038"/>
      <c r="Q224" s="1038"/>
      <c r="R224" s="1038"/>
      <c r="S224" s="1173">
        <f>S222+S223</f>
        <v>59250661.869696483</v>
      </c>
    </row>
    <row r="225" spans="4:19" ht="12.75" customHeight="1" x14ac:dyDescent="0.3">
      <c r="D225" s="1039"/>
      <c r="M225" s="1174"/>
      <c r="N225" s="1174"/>
      <c r="O225" s="1174"/>
      <c r="P225" s="1174"/>
      <c r="Q225" s="1174"/>
      <c r="R225" s="1174"/>
      <c r="S225" s="1174"/>
    </row>
  </sheetData>
  <mergeCells count="3">
    <mergeCell ref="N7:P7"/>
    <mergeCell ref="Q7:S7"/>
    <mergeCell ref="T7:U7"/>
  </mergeCells>
  <conditionalFormatting sqref="D3:D197 D214">
    <cfRule type="cellIs" dxfId="96" priority="8" operator="equal">
      <formula>"x"</formula>
    </cfRule>
  </conditionalFormatting>
  <conditionalFormatting sqref="I198:I213">
    <cfRule type="cellIs" dxfId="95" priority="5" operator="equal">
      <formula>"x"</formula>
    </cfRule>
  </conditionalFormatting>
  <conditionalFormatting sqref="P10:P23 P25:P31 P33 P35:P40 P42:P49 P51:P53 P55:P58 P60:P70 P72:P74 P76:P79 P81:P87 P89:P100 P102 P104:P107 P109:P141 P144:P146 P148:P150 P152:P156 P158 P160:P161 P163 P165:P168 P170:P171 P173 P175:P176 P178:P181 P183:P191 P193:P194">
    <cfRule type="cellIs" dxfId="94" priority="6" operator="lessThan">
      <formula>1</formula>
    </cfRule>
  </conditionalFormatting>
  <conditionalFormatting sqref="P200 P202">
    <cfRule type="cellIs" dxfId="93" priority="4" operator="lessThan">
      <formula>1</formula>
    </cfRule>
  </conditionalFormatting>
  <conditionalFormatting sqref="P204:P205">
    <cfRule type="cellIs" dxfId="92" priority="3" operator="lessThan">
      <formula>1</formula>
    </cfRule>
  </conditionalFormatting>
  <conditionalFormatting sqref="P207">
    <cfRule type="cellIs" dxfId="91" priority="2" operator="lessThan">
      <formula>1</formula>
    </cfRule>
  </conditionalFormatting>
  <conditionalFormatting sqref="P209:P212">
    <cfRule type="cellIs" dxfId="90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DD1C-FD65-4D4C-A9BE-74AE2B20913D}">
  <sheetPr codeName="Hoja4"/>
  <dimension ref="B4:O52"/>
  <sheetViews>
    <sheetView workbookViewId="0"/>
  </sheetViews>
  <sheetFormatPr defaultColWidth="11.453125" defaultRowHeight="14.5" x14ac:dyDescent="0.35"/>
  <cols>
    <col min="1" max="1" width="1.453125" style="138" customWidth="1"/>
    <col min="2" max="2" width="25.1796875" style="138" customWidth="1"/>
    <col min="3" max="3" width="4.81640625" style="138" customWidth="1"/>
    <col min="4" max="5" width="13.453125" style="138" bestFit="1" customWidth="1"/>
    <col min="6" max="6" width="1.26953125" style="138" customWidth="1"/>
    <col min="7" max="7" width="13.453125" style="138" bestFit="1" customWidth="1"/>
    <col min="8" max="8" width="4.453125" style="138" customWidth="1"/>
    <col min="9" max="9" width="15.453125" style="138" customWidth="1"/>
    <col min="10" max="10" width="3.1796875" style="138" customWidth="1"/>
    <col min="11" max="11" width="17.1796875" style="138" bestFit="1" customWidth="1"/>
    <col min="12" max="12" width="14.81640625" style="138" bestFit="1" customWidth="1"/>
    <col min="13" max="13" width="13" style="138" bestFit="1" customWidth="1"/>
    <col min="14" max="16384" width="11.453125" style="138"/>
  </cols>
  <sheetData>
    <row r="4" spans="2:15" ht="21" x14ac:dyDescent="0.35">
      <c r="B4" s="137" t="s">
        <v>123</v>
      </c>
      <c r="C4" s="137"/>
    </row>
    <row r="5" spans="2:15" x14ac:dyDescent="0.35">
      <c r="B5" s="139" t="s">
        <v>124</v>
      </c>
      <c r="C5" s="139"/>
    </row>
    <row r="6" spans="2:15" x14ac:dyDescent="0.35">
      <c r="B6" s="139" t="s">
        <v>125</v>
      </c>
      <c r="C6" s="139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3"/>
    </row>
    <row r="7" spans="2:15" x14ac:dyDescent="0.35">
      <c r="B7" s="5"/>
      <c r="C7" s="5"/>
      <c r="D7" s="230">
        <v>45383</v>
      </c>
      <c r="E7" s="230">
        <v>45413</v>
      </c>
      <c r="F7" s="136"/>
      <c r="G7" s="231" t="s">
        <v>87</v>
      </c>
    </row>
    <row r="8" spans="2:15" ht="6" customHeight="1" x14ac:dyDescent="0.35">
      <c r="B8" s="5"/>
      <c r="C8" s="5"/>
      <c r="D8" s="136"/>
      <c r="E8" s="136"/>
      <c r="F8" s="136"/>
      <c r="G8" s="232"/>
    </row>
    <row r="9" spans="2:15" x14ac:dyDescent="0.35">
      <c r="B9" s="233" t="s">
        <v>126</v>
      </c>
      <c r="C9" s="233"/>
      <c r="D9" s="142"/>
      <c r="E9" s="142"/>
      <c r="F9" s="143"/>
      <c r="G9" s="143"/>
    </row>
    <row r="10" spans="2:15" x14ac:dyDescent="0.35">
      <c r="B10" s="66" t="s">
        <v>47</v>
      </c>
      <c r="C10" s="155"/>
      <c r="D10" s="201" t="e">
        <f>SUMIFS(Facturacion!$E:$E,Facturacion!#REF!,"&gt;="&amp;DATE(2024,4,1),Facturacion!#REF!,"&lt;="&amp;DATE(2024,4,30))</f>
        <v>#REF!</v>
      </c>
      <c r="E10" s="201" t="e">
        <f>SUMIFS(Facturacion!$E:$E,Facturacion!#REF!,"&gt;="&amp;DATE(2024,5,1),Facturacion!#REF!,"&lt;="&amp;DATE(2024,5,31))</f>
        <v>#REF!</v>
      </c>
      <c r="F10" s="202"/>
      <c r="G10" s="201">
        <f>SUMIF(D$7:F$7,"Ejercicio*",$D10:F10)</f>
        <v>0</v>
      </c>
    </row>
    <row r="11" spans="2:15" x14ac:dyDescent="0.35">
      <c r="B11" s="199" t="s">
        <v>50</v>
      </c>
      <c r="C11" s="200"/>
      <c r="D11" s="201" t="e">
        <f>SUMIFS(Facturacion!$F:$F,Facturacion!#REF!,"&gt;="&amp;DATE(2024,4,1),Facturacion!#REF!,"&lt;="&amp;DATE(2024,4,30))</f>
        <v>#REF!</v>
      </c>
      <c r="E11" s="201" t="e">
        <f>SUMIFS(Facturacion!$F:$F,Facturacion!#REF!,"&gt;="&amp;DATE(2024,5,1),Facturacion!#REF!,"&lt;="&amp;DATE(2024,5,31))</f>
        <v>#REF!</v>
      </c>
      <c r="F11" s="202"/>
      <c r="G11" s="201">
        <f>SUMIF(D$7:F$7,"Ejercicio*",$D11:F11)</f>
        <v>0</v>
      </c>
    </row>
    <row r="12" spans="2:15" x14ac:dyDescent="0.35">
      <c r="B12" s="234" t="s">
        <v>127</v>
      </c>
      <c r="C12" s="235"/>
      <c r="D12" s="236" t="e">
        <f>SUM(D$10:D$11)</f>
        <v>#REF!</v>
      </c>
      <c r="E12" s="236" t="e">
        <f t="shared" ref="E12" si="0">SUM(E$10:E$11)</f>
        <v>#REF!</v>
      </c>
      <c r="F12" s="203"/>
      <c r="G12" s="237">
        <f>SUM(G10:G11)</f>
        <v>0</v>
      </c>
    </row>
    <row r="13" spans="2:15" x14ac:dyDescent="0.35">
      <c r="B13" s="145"/>
      <c r="C13" s="145"/>
      <c r="D13" s="146"/>
      <c r="E13" s="146"/>
      <c r="F13" s="144"/>
      <c r="G13" s="147"/>
    </row>
    <row r="14" spans="2:15" x14ac:dyDescent="0.35">
      <c r="B14" s="233" t="s">
        <v>128</v>
      </c>
      <c r="C14" s="141"/>
      <c r="D14" s="146"/>
      <c r="E14" s="146"/>
      <c r="F14" s="144"/>
      <c r="G14" s="147"/>
    </row>
    <row r="15" spans="2:15" x14ac:dyDescent="0.35">
      <c r="B15" s="238" t="s">
        <v>129</v>
      </c>
      <c r="C15" s="148"/>
      <c r="D15" s="146"/>
      <c r="E15" s="146"/>
      <c r="F15" s="144"/>
      <c r="G15" s="147"/>
    </row>
    <row r="16" spans="2:15" x14ac:dyDescent="0.35">
      <c r="B16" s="66" t="s">
        <v>53</v>
      </c>
      <c r="C16" s="160"/>
      <c r="D16" s="201">
        <f>IFERROR(VLOOKUP($B16&amp;$C16,'C. Gestión Pto #1'!$B$4:B$11,MATCH('Cash Flow'!D$7,'C. Gestión Pto #1'!$B$4:B$4,0),0),0)</f>
        <v>0</v>
      </c>
      <c r="E16" s="201">
        <f>IFERROR(VLOOKUP($B16&amp;$C16,'C. Gestión Pto #1'!$B$4:B$11,MATCH('Cash Flow'!E$7,'C. Gestión Pto #1'!$B$4:B$4,0),0),0)</f>
        <v>0</v>
      </c>
      <c r="F16" s="202"/>
      <c r="G16" s="201">
        <f>SUMIF(D$7:F$7,"Ejercicio*",$D16:F16)</f>
        <v>0</v>
      </c>
      <c r="H16" s="149"/>
    </row>
    <row r="17" spans="2:11" x14ac:dyDescent="0.35">
      <c r="B17" s="66" t="s">
        <v>130</v>
      </c>
      <c r="C17" s="160"/>
      <c r="D17" s="201">
        <f>IFERROR(VLOOKUP($B17&amp;$C17,'C. Gestión Pto #1'!$B$4:B$11,MATCH('Cash Flow'!D$7,'C. Gestión Pto #1'!$B$4:B$4,0),0),0)</f>
        <v>0</v>
      </c>
      <c r="E17" s="201">
        <f>IFERROR(VLOOKUP($B17&amp;$C17,'C. Gestión Pto #1'!$B$4:B$11,MATCH('Cash Flow'!E$7,'C. Gestión Pto #1'!$B$4:B$4,0),0),0)</f>
        <v>0</v>
      </c>
      <c r="F17" s="202"/>
      <c r="G17" s="201">
        <f>SUMIF(D$7:F$7,"Ejercicio*",$D17:F17)</f>
        <v>0</v>
      </c>
      <c r="H17" s="149"/>
      <c r="K17" s="154"/>
    </row>
    <row r="18" spans="2:11" x14ac:dyDescent="0.35">
      <c r="B18" s="66" t="s">
        <v>54</v>
      </c>
      <c r="C18" s="160"/>
      <c r="D18" s="201">
        <f>IFERROR(VLOOKUP($B18&amp;$C18,'C. Gestión Pto #1'!$B$4:B$11,MATCH('Cash Flow'!D$7,'C. Gestión Pto #1'!$B$4:B$4,0),0),0)</f>
        <v>0</v>
      </c>
      <c r="E18" s="201">
        <f>IFERROR(VLOOKUP($B18&amp;$C18,'C. Gestión Pto #1'!$B$4:B$11,MATCH('Cash Flow'!E$7,'C. Gestión Pto #1'!$B$4:B$4,0),0),0)</f>
        <v>0</v>
      </c>
      <c r="F18" s="202"/>
      <c r="G18" s="201">
        <f>SUMIF(D$7:F$7,"Ejercicio*",$D18:F18)</f>
        <v>0</v>
      </c>
      <c r="H18" s="149"/>
    </row>
    <row r="19" spans="2:11" x14ac:dyDescent="0.35">
      <c r="B19" s="66" t="s">
        <v>55</v>
      </c>
      <c r="C19" s="160"/>
      <c r="D19" s="201">
        <f>IFERROR(VLOOKUP($B19&amp;$C19,'C. Gestión Pto #1'!$B$4:B$11,MATCH('Cash Flow'!D$7,'C. Gestión Pto #1'!$B$4:B$4,0),0),0)</f>
        <v>0</v>
      </c>
      <c r="E19" s="201">
        <f>IFERROR(VLOOKUP($B19&amp;$C19,'C. Gestión Pto #1'!$B$4:B$11,MATCH('Cash Flow'!E$7,'C. Gestión Pto #1'!$B$4:B$4,0),0),0)</f>
        <v>0</v>
      </c>
      <c r="F19" s="202"/>
      <c r="G19" s="201">
        <f>SUMIF(D$7:F$7,"Ejercicio*",$D19:F19)</f>
        <v>0</v>
      </c>
      <c r="H19" s="149"/>
    </row>
    <row r="20" spans="2:11" x14ac:dyDescent="0.35">
      <c r="B20" s="66" t="s">
        <v>56</v>
      </c>
      <c r="C20" s="160"/>
      <c r="D20" s="201">
        <f>IFERROR(VLOOKUP($B20&amp;$C20,'C. Gestión Pto #1'!$B$4:B$11,MATCH('Cash Flow'!D$7,'C. Gestión Pto #1'!$B$4:B$4,0),0),0)</f>
        <v>0</v>
      </c>
      <c r="E20" s="201">
        <f>IFERROR(VLOOKUP($B20&amp;$C20,'C. Gestión Pto #1'!$B$4:B$11,MATCH('Cash Flow'!E$7,'C. Gestión Pto #1'!$B$4:B$4,0),0),0)</f>
        <v>0</v>
      </c>
      <c r="F20" s="202"/>
      <c r="G20" s="201">
        <f>SUMIF(D$7:F$7,"Ejercicio*",$D20:F20)</f>
        <v>0</v>
      </c>
      <c r="H20" s="149"/>
    </row>
    <row r="21" spans="2:11" x14ac:dyDescent="0.35">
      <c r="B21" s="66" t="s">
        <v>57</v>
      </c>
      <c r="C21" s="160"/>
      <c r="D21" s="201">
        <f>IFERROR(VLOOKUP($B21&amp;$C21,'C. Gestión Pto #1'!$B$4:B$11,MATCH('Cash Flow'!D$7,'C. Gestión Pto #1'!$B$4:B$4,0),0),0)</f>
        <v>0</v>
      </c>
      <c r="E21" s="201">
        <f>IFERROR(VLOOKUP($B21&amp;$C21,'C. Gestión Pto #1'!$B$4:B$11,MATCH('Cash Flow'!E$7,'C. Gestión Pto #1'!$B$4:B$4,0),0),0)</f>
        <v>0</v>
      </c>
      <c r="F21" s="202"/>
      <c r="G21" s="201">
        <f>SUMIF(D$7:F$7,"Ejercicio*",$D21:F21)</f>
        <v>0</v>
      </c>
      <c r="H21" s="149"/>
    </row>
    <row r="22" spans="2:11" x14ac:dyDescent="0.35">
      <c r="B22" s="66" t="s">
        <v>58</v>
      </c>
      <c r="C22" s="160"/>
      <c r="D22" s="201">
        <f>IFERROR(VLOOKUP($B22&amp;$C22,'C. Gestión Pto #1'!$B$4:B$11,MATCH('Cash Flow'!D$7,'C. Gestión Pto #1'!$B$4:B$4,0),0),0)</f>
        <v>0</v>
      </c>
      <c r="E22" s="201">
        <f>IFERROR(VLOOKUP($B22&amp;$C22,'C. Gestión Pto #1'!$B$4:B$11,MATCH('Cash Flow'!E$7,'C. Gestión Pto #1'!$B$4:B$4,0),0),0)</f>
        <v>0</v>
      </c>
      <c r="F22" s="202"/>
      <c r="G22" s="201">
        <f>SUMIF(D$7:F$7,"Ejercicio*",$D22:F22)</f>
        <v>0</v>
      </c>
      <c r="H22" s="149"/>
    </row>
    <row r="23" spans="2:11" x14ac:dyDescent="0.35">
      <c r="B23" s="66" t="s">
        <v>59</v>
      </c>
      <c r="C23" s="160" t="s">
        <v>60</v>
      </c>
      <c r="D23" s="201">
        <f>IFERROR(VLOOKUP($B23&amp;$C23,'C. Gestión Pto #1'!$B$4:B$11,MATCH('Cash Flow'!D$7,'C. Gestión Pto #1'!$B$4:B$4,0),0),0)</f>
        <v>0</v>
      </c>
      <c r="E23" s="201">
        <f>IFERROR(VLOOKUP($B23&amp;$C23,'C. Gestión Pto #1'!$B$4:B$11,MATCH('Cash Flow'!E$7,'C. Gestión Pto #1'!$B$4:B$4,0),0),0)</f>
        <v>0</v>
      </c>
      <c r="F23" s="202"/>
      <c r="G23" s="201">
        <f>SUMIF(D$7:F$7,"Ejercicio*",$D23:F23)</f>
        <v>0</v>
      </c>
      <c r="H23" s="149"/>
    </row>
    <row r="24" spans="2:11" x14ac:dyDescent="0.35">
      <c r="B24" s="66" t="s">
        <v>59</v>
      </c>
      <c r="C24" s="160" t="s">
        <v>61</v>
      </c>
      <c r="D24" s="201">
        <f>IFERROR(VLOOKUP($B24&amp;$C24,'C. Gestión Pto #1'!$B$4:B$11,MATCH('Cash Flow'!D$7,'C. Gestión Pto #1'!$B$4:B$4,0),0),0)</f>
        <v>0</v>
      </c>
      <c r="E24" s="201">
        <f>IFERROR(VLOOKUP($B24&amp;$C24,'C. Gestión Pto #1'!$B$4:B$11,MATCH('Cash Flow'!E$7,'C. Gestión Pto #1'!$B$4:B$4,0),0),0)</f>
        <v>0</v>
      </c>
      <c r="F24" s="202"/>
      <c r="G24" s="201">
        <f>SUMIF(D$7:F$7,"Ejercicio*",$D24:F24)</f>
        <v>0</v>
      </c>
      <c r="H24" s="149"/>
    </row>
    <row r="25" spans="2:11" x14ac:dyDescent="0.35">
      <c r="B25" s="66" t="s">
        <v>62</v>
      </c>
      <c r="C25" s="160" t="s">
        <v>60</v>
      </c>
      <c r="D25" s="201">
        <f>IFERROR(VLOOKUP($B25&amp;$C25,'C. Gestión Pto #1'!$B$4:B$11,MATCH('Cash Flow'!D$7,'C. Gestión Pto #1'!$B$4:B$4,0),0),0)</f>
        <v>0</v>
      </c>
      <c r="E25" s="201">
        <f>IFERROR(VLOOKUP($B25&amp;$C25,'C. Gestión Pto #1'!$B$4:B$11,MATCH('Cash Flow'!E$7,'C. Gestión Pto #1'!$B$4:B$4,0),0),0)</f>
        <v>0</v>
      </c>
      <c r="F25" s="202"/>
      <c r="G25" s="201">
        <f>SUMIF(D$7:F$7,"Ejercicio*",$D25:F25)</f>
        <v>0</v>
      </c>
      <c r="H25" s="149"/>
    </row>
    <row r="26" spans="2:11" x14ac:dyDescent="0.35">
      <c r="B26" s="66" t="s">
        <v>62</v>
      </c>
      <c r="C26" s="160" t="s">
        <v>61</v>
      </c>
      <c r="D26" s="201">
        <f>IFERROR(VLOOKUP($B26&amp;$C26,'C. Gestión Pto #1'!$B$4:B$11,MATCH('Cash Flow'!D$7,'C. Gestión Pto #1'!$B$4:B$4,0),0),0)</f>
        <v>0</v>
      </c>
      <c r="E26" s="201">
        <f>IFERROR(VLOOKUP($B26&amp;$C26,'C. Gestión Pto #1'!$B$4:B$11,MATCH('Cash Flow'!E$7,'C. Gestión Pto #1'!$B$4:B$4,0),0),0)</f>
        <v>0</v>
      </c>
      <c r="F26" s="202"/>
      <c r="G26" s="201">
        <f>SUMIF(D$7:F$7,"Ejercicio*",$D26:F26)</f>
        <v>0</v>
      </c>
      <c r="H26" s="149"/>
    </row>
    <row r="27" spans="2:11" x14ac:dyDescent="0.35">
      <c r="B27" s="66" t="s">
        <v>63</v>
      </c>
      <c r="C27" s="160" t="s">
        <v>60</v>
      </c>
      <c r="D27" s="201">
        <f>IFERROR(VLOOKUP($B27&amp;$C27,'C. Gestión Pto #1'!$B$4:B$11,MATCH('Cash Flow'!D$7,'C. Gestión Pto #1'!$B$4:B$4,0),0),0)</f>
        <v>0</v>
      </c>
      <c r="E27" s="201">
        <f>IFERROR(VLOOKUP($B27&amp;$C27,'C. Gestión Pto #1'!$B$4:B$11,MATCH('Cash Flow'!E$7,'C. Gestión Pto #1'!$B$4:B$4,0),0),0)</f>
        <v>0</v>
      </c>
      <c r="F27" s="202"/>
      <c r="G27" s="201">
        <f>SUMIF(D$7:F$7,"Ejercicio*",$D27:F27)</f>
        <v>0</v>
      </c>
      <c r="H27" s="149"/>
    </row>
    <row r="28" spans="2:11" x14ac:dyDescent="0.35">
      <c r="B28" s="66" t="s">
        <v>63</v>
      </c>
      <c r="C28" s="160" t="s">
        <v>61</v>
      </c>
      <c r="D28" s="201">
        <f>IFERROR(VLOOKUP($B28&amp;$C28,'C. Gestión Pto #1'!$B$4:B$11,MATCH('Cash Flow'!D$7,'C. Gestión Pto #1'!$B$4:B$4,0),0),0)</f>
        <v>0</v>
      </c>
      <c r="E28" s="201">
        <f>IFERROR(VLOOKUP($B28&amp;$C28,'C. Gestión Pto #1'!$B$4:B$11,MATCH('Cash Flow'!E$7,'C. Gestión Pto #1'!$B$4:B$4,0),0),0)</f>
        <v>0</v>
      </c>
      <c r="F28" s="202"/>
      <c r="G28" s="201">
        <f>SUMIF(D$7:F$7,"Ejercicio*",$D28:F28)</f>
        <v>0</v>
      </c>
      <c r="H28" s="149"/>
    </row>
    <row r="29" spans="2:11" x14ac:dyDescent="0.35">
      <c r="B29" s="66" t="s">
        <v>65</v>
      </c>
      <c r="C29" s="166" t="s">
        <v>60</v>
      </c>
      <c r="D29" s="201">
        <f>IFERROR(VLOOKUP($B29&amp;$C29,'C. Gestión Pto #1'!$B$4:B$11,MATCH('Cash Flow'!D$7,'C. Gestión Pto #1'!$B$4:B$4,0),0),0)</f>
        <v>0</v>
      </c>
      <c r="E29" s="201">
        <f>IFERROR(VLOOKUP($B29&amp;$C29,'C. Gestión Pto #1'!$B$4:B$11,MATCH('Cash Flow'!E$7,'C. Gestión Pto #1'!$B$4:B$4,0),0),0)</f>
        <v>0</v>
      </c>
      <c r="F29" s="202"/>
      <c r="G29" s="201">
        <f>SUMIF(D$7:F$7,"Ejercicio*",$D29:F29)</f>
        <v>0</v>
      </c>
      <c r="H29" s="149"/>
    </row>
    <row r="30" spans="2:11" x14ac:dyDescent="0.35">
      <c r="B30" s="66" t="s">
        <v>65</v>
      </c>
      <c r="C30" s="166" t="s">
        <v>61</v>
      </c>
      <c r="D30" s="201">
        <f>IFERROR(VLOOKUP($B30&amp;$C30,'C. Gestión Pto #1'!$B$4:B$11,MATCH('Cash Flow'!D$7,'C. Gestión Pto #1'!$B$4:B$4,0),0),0)</f>
        <v>0</v>
      </c>
      <c r="E30" s="201">
        <f>IFERROR(VLOOKUP($B30&amp;$C30,'C. Gestión Pto #1'!$B$4:B$11,MATCH('Cash Flow'!E$7,'C. Gestión Pto #1'!$B$4:B$4,0),0),0)</f>
        <v>0</v>
      </c>
      <c r="F30" s="202"/>
      <c r="G30" s="201">
        <f>SUMIF(D$7:F$7,"Ejercicio*",$D30:F30)</f>
        <v>0</v>
      </c>
      <c r="H30" s="149"/>
    </row>
    <row r="31" spans="2:11" x14ac:dyDescent="0.35">
      <c r="B31" s="66" t="s">
        <v>64</v>
      </c>
      <c r="C31" s="166" t="s">
        <v>60</v>
      </c>
      <c r="D31" s="201">
        <f>IFERROR(VLOOKUP($B31&amp;$C31,'C. Gestión Pto #1'!$B$4:B$11,MATCH('Cash Flow'!D$7,'C. Gestión Pto #1'!$B$4:B$4,0),0),0)</f>
        <v>0</v>
      </c>
      <c r="E31" s="201">
        <f>IFERROR(VLOOKUP($B31&amp;$C31,'C. Gestión Pto #1'!$B$4:B$11,MATCH('Cash Flow'!E$7,'C. Gestión Pto #1'!$B$4:B$4,0),0),0)</f>
        <v>0</v>
      </c>
      <c r="F31" s="202"/>
      <c r="G31" s="201">
        <f>SUMIF(D$7:F$7,"Ejercicio*",$D31:F31)</f>
        <v>0</v>
      </c>
      <c r="H31" s="149"/>
    </row>
    <row r="32" spans="2:11" x14ac:dyDescent="0.35">
      <c r="B32" s="66" t="s">
        <v>64</v>
      </c>
      <c r="C32" s="166" t="s">
        <v>61</v>
      </c>
      <c r="D32" s="201">
        <f>IFERROR(VLOOKUP($B32&amp;$C32,'C. Gestión Pto #1'!$B$4:B$11,MATCH('Cash Flow'!D$7,'C. Gestión Pto #1'!$B$4:B$4,0),0),0)</f>
        <v>0</v>
      </c>
      <c r="E32" s="201">
        <f>IFERROR(VLOOKUP($B32&amp;$C32,'C. Gestión Pto #1'!$B$4:B$11,MATCH('Cash Flow'!E$7,'C. Gestión Pto #1'!$B$4:B$4,0),0),0)</f>
        <v>0</v>
      </c>
      <c r="F32" s="202"/>
      <c r="G32" s="201">
        <f>SUMIF(D$7:F$7,"Ejercicio*",$D32:F32)</f>
        <v>0</v>
      </c>
      <c r="H32" s="149"/>
    </row>
    <row r="33" spans="2:8" x14ac:dyDescent="0.35">
      <c r="B33" s="66" t="s">
        <v>66</v>
      </c>
      <c r="C33" s="166" t="s">
        <v>60</v>
      </c>
      <c r="D33" s="201">
        <f>IFERROR(VLOOKUP($B33&amp;$C33,'C. Gestión Pto #1'!$B$4:B$11,MATCH('Cash Flow'!D$7,'C. Gestión Pto #1'!$B$4:B$4,0),0),0)</f>
        <v>0</v>
      </c>
      <c r="E33" s="201">
        <f>IFERROR(VLOOKUP($B33&amp;$C33,'C. Gestión Pto #1'!$B$4:B$11,MATCH('Cash Flow'!E$7,'C. Gestión Pto #1'!$B$4:B$4,0),0),0)</f>
        <v>0</v>
      </c>
      <c r="F33" s="202"/>
      <c r="G33" s="201">
        <f>SUMIF(D$7:F$7,"Ejercicio*",$D33:F33)</f>
        <v>0</v>
      </c>
      <c r="H33" s="149"/>
    </row>
    <row r="34" spans="2:8" x14ac:dyDescent="0.35">
      <c r="B34" s="66" t="s">
        <v>66</v>
      </c>
      <c r="C34" s="166" t="s">
        <v>61</v>
      </c>
      <c r="D34" s="201">
        <f>IFERROR(VLOOKUP($B34&amp;$C34,'C. Gestión Pto #1'!$B$4:B$11,MATCH('Cash Flow'!D$7,'C. Gestión Pto #1'!$B$4:B$4,0),0),0)</f>
        <v>0</v>
      </c>
      <c r="E34" s="201">
        <f>IFERROR(VLOOKUP($B34&amp;$C34,'C. Gestión Pto #1'!$B$4:B$11,MATCH('Cash Flow'!E$7,'C. Gestión Pto #1'!$B$4:B$4,0),0),0)</f>
        <v>0</v>
      </c>
      <c r="F34" s="202"/>
      <c r="G34" s="201">
        <f>SUMIF(D$7:F$7,"Ejercicio*",$D34:F34)</f>
        <v>0</v>
      </c>
      <c r="H34" s="149"/>
    </row>
    <row r="35" spans="2:8" x14ac:dyDescent="0.35">
      <c r="B35" s="66" t="s">
        <v>67</v>
      </c>
      <c r="C35" s="166" t="s">
        <v>60</v>
      </c>
      <c r="D35" s="201">
        <f>IFERROR(VLOOKUP($B35&amp;$C35,'C. Gestión Pto #1'!$B$4:B$11,MATCH('Cash Flow'!D$7,'C. Gestión Pto #1'!$B$4:B$4,0),0),0)</f>
        <v>0</v>
      </c>
      <c r="E35" s="201">
        <f>IFERROR(VLOOKUP($B35&amp;$C35,'C. Gestión Pto #1'!$B$4:B$11,MATCH('Cash Flow'!E$7,'C. Gestión Pto #1'!$B$4:B$4,0),0),0)</f>
        <v>0</v>
      </c>
      <c r="F35" s="202"/>
      <c r="G35" s="201">
        <f>SUMIF(D$7:F$7,"Ejercicio*",$D35:F35)</f>
        <v>0</v>
      </c>
      <c r="H35" s="149"/>
    </row>
    <row r="36" spans="2:8" x14ac:dyDescent="0.35">
      <c r="B36" s="66" t="s">
        <v>67</v>
      </c>
      <c r="C36" s="166" t="s">
        <v>61</v>
      </c>
      <c r="D36" s="201">
        <f>IFERROR(VLOOKUP($B36&amp;$C36,'C. Gestión Pto #1'!$B$4:B$11,MATCH('Cash Flow'!D$7,'C. Gestión Pto #1'!$B$4:B$4,0),0),0)</f>
        <v>0</v>
      </c>
      <c r="E36" s="201">
        <f>IFERROR(VLOOKUP($B36&amp;$C36,'C. Gestión Pto #1'!$B$4:B$11,MATCH('Cash Flow'!E$7,'C. Gestión Pto #1'!$B$4:B$4,0),0),0)</f>
        <v>0</v>
      </c>
      <c r="F36" s="202"/>
      <c r="G36" s="201">
        <f>SUMIF(D$7:F$7,"Ejercicio*",$D36:F36)</f>
        <v>0</v>
      </c>
      <c r="H36" s="149"/>
    </row>
    <row r="37" spans="2:8" x14ac:dyDescent="0.35">
      <c r="B37" s="66" t="s">
        <v>131</v>
      </c>
      <c r="C37" s="166" t="s">
        <v>60</v>
      </c>
      <c r="D37" s="201">
        <f>IFERROR(VLOOKUP($B37&amp;$C37,'C. Gestión Pto #1'!$B$4:B$11,MATCH('Cash Flow'!D$7,'C. Gestión Pto #1'!$B$4:B$4,0),0),0)</f>
        <v>0</v>
      </c>
      <c r="E37" s="201">
        <f>IFERROR(VLOOKUP($B37&amp;$C37,'C. Gestión Pto #1'!$B$4:B$11,MATCH('Cash Flow'!E$7,'C. Gestión Pto #1'!$B$4:B$4,0),0),0)</f>
        <v>0</v>
      </c>
      <c r="F37" s="202"/>
      <c r="G37" s="201">
        <f>SUMIF(D$7:F$7,"Ejercicio*",$D37:F37)</f>
        <v>0</v>
      </c>
      <c r="H37" s="149"/>
    </row>
    <row r="38" spans="2:8" x14ac:dyDescent="0.35">
      <c r="B38" s="66" t="s">
        <v>131</v>
      </c>
      <c r="C38" s="166" t="s">
        <v>61</v>
      </c>
      <c r="D38" s="201">
        <f>IFERROR(VLOOKUP($B38&amp;$C38,'C. Gestión Pto #1'!$B$4:B$11,MATCH('Cash Flow'!D$7,'C. Gestión Pto #1'!$B$4:B$4,0),0),0)</f>
        <v>0</v>
      </c>
      <c r="E38" s="201">
        <f>IFERROR(VLOOKUP($B38&amp;$C38,'C. Gestión Pto #1'!$B$4:B$11,MATCH('Cash Flow'!E$7,'C. Gestión Pto #1'!$B$4:B$4,0),0),0)</f>
        <v>0</v>
      </c>
      <c r="F38" s="202"/>
      <c r="G38" s="201">
        <f>SUMIF(D$7:F$7,"Ejercicio*",$D38:F38)</f>
        <v>0</v>
      </c>
      <c r="H38" s="149"/>
    </row>
    <row r="39" spans="2:8" x14ac:dyDescent="0.35">
      <c r="B39" s="66" t="s">
        <v>68</v>
      </c>
      <c r="C39" s="166"/>
      <c r="D39" s="201">
        <f>IFERROR(VLOOKUP($B39&amp;$C39,'C. Gestión Pto #1'!$B$4:B$11,MATCH('Cash Flow'!D$7,'C. Gestión Pto #1'!$B$4:B$4,0),0),0)</f>
        <v>0</v>
      </c>
      <c r="E39" s="201">
        <f>IFERROR(VLOOKUP($B39&amp;$C39,'C. Gestión Pto #1'!$B$4:B$11,MATCH('Cash Flow'!E$7,'C. Gestión Pto #1'!$B$4:B$4,0),0),0)</f>
        <v>0</v>
      </c>
      <c r="F39" s="202"/>
      <c r="G39" s="201">
        <f>SUMIF(D$7:F$7,"Ejercicio*",$D39:F39)</f>
        <v>0</v>
      </c>
      <c r="H39" s="149"/>
    </row>
    <row r="40" spans="2:8" x14ac:dyDescent="0.35">
      <c r="B40" s="66" t="s">
        <v>69</v>
      </c>
      <c r="C40" s="166"/>
      <c r="D40" s="201">
        <f>IFERROR(VLOOKUP($B40&amp;$C40,'C. Gestión Pto #1'!$B$4:B$11,MATCH('Cash Flow'!D$7,'C. Gestión Pto #1'!$B$4:B$4,0),0),0)</f>
        <v>0</v>
      </c>
      <c r="E40" s="201">
        <f>IFERROR(VLOOKUP($B40&amp;$C40,'C. Gestión Pto #1'!$B$4:B$11,MATCH('Cash Flow'!E$7,'C. Gestión Pto #1'!$B$4:B$4,0),0),0)</f>
        <v>0</v>
      </c>
      <c r="F40" s="202"/>
      <c r="G40" s="201">
        <f>SUMIF(D$7:F$7,"Ejercicio*",$D40:F40)</f>
        <v>0</v>
      </c>
      <c r="H40" s="149"/>
    </row>
    <row r="41" spans="2:8" x14ac:dyDescent="0.35">
      <c r="B41" s="66" t="s">
        <v>132</v>
      </c>
      <c r="C41" s="166"/>
      <c r="D41" s="201">
        <f>IFERROR(VLOOKUP($B41&amp;$C41,'C. Gestión Pto #1'!$B$4:B$11,MATCH('Cash Flow'!D$7,'C. Gestión Pto #1'!$B$4:B$4,0),0),0)</f>
        <v>0</v>
      </c>
      <c r="E41" s="201">
        <f>IFERROR(VLOOKUP($B41&amp;$C41,'C. Gestión Pto #1'!$B$4:B$11,MATCH('Cash Flow'!E$7,'C. Gestión Pto #1'!$B$4:B$4,0),0),0)</f>
        <v>0</v>
      </c>
      <c r="F41" s="202"/>
      <c r="G41" s="201">
        <f>SUMIF(D$7:F$7,"Ejercicio*",$D41:F41)</f>
        <v>0</v>
      </c>
      <c r="H41" s="149"/>
    </row>
    <row r="42" spans="2:8" x14ac:dyDescent="0.35">
      <c r="B42" s="238" t="s">
        <v>70</v>
      </c>
      <c r="C42" s="238"/>
      <c r="D42" s="239">
        <f>SUM(D16:D41)</f>
        <v>0</v>
      </c>
      <c r="E42" s="239">
        <f t="shared" ref="E42" si="1">SUM(E16:E41)</f>
        <v>0</v>
      </c>
      <c r="F42" s="204"/>
      <c r="G42" s="239">
        <f>SUM(G16:G41)</f>
        <v>0</v>
      </c>
      <c r="H42" s="149"/>
    </row>
    <row r="43" spans="2:8" x14ac:dyDescent="0.35">
      <c r="B43" s="148"/>
      <c r="C43" s="148"/>
      <c r="D43" s="146"/>
      <c r="E43" s="146"/>
      <c r="F43" s="144"/>
      <c r="G43" s="147"/>
    </row>
    <row r="44" spans="2:8" x14ac:dyDescent="0.35">
      <c r="B44" s="238" t="s">
        <v>71</v>
      </c>
      <c r="C44" s="148"/>
      <c r="D44" s="146"/>
      <c r="E44" s="146"/>
      <c r="F44" s="144"/>
      <c r="G44" s="147"/>
    </row>
    <row r="45" spans="2:8" x14ac:dyDescent="0.35">
      <c r="B45" s="66" t="s">
        <v>72</v>
      </c>
      <c r="C45" s="210"/>
      <c r="D45" s="201" t="str">
        <f>IFERROR(VLOOKUP($B45&amp;$C45,'C. Gestión Pto #1'!$B$28:$B$28,MATCH('Cash Flow'!D$7,'C. Gestión Pto #1'!$B$30:B$30,0),0),"")</f>
        <v/>
      </c>
      <c r="E45" s="201" t="str">
        <f>IFERROR(VLOOKUP($B45&amp;$C45,'C. Gestión Pto #1'!$B$28:$B$28,MATCH('Cash Flow'!E$7,'C. Gestión Pto #1'!$B$30:B$30,0),0),"")</f>
        <v/>
      </c>
      <c r="F45" s="202"/>
      <c r="G45" s="201">
        <f>SUMIF(D$7:F$7,"Ejercicio*",$D45:F45)</f>
        <v>0</v>
      </c>
    </row>
    <row r="46" spans="2:8" x14ac:dyDescent="0.35">
      <c r="B46" s="66" t="s">
        <v>73</v>
      </c>
      <c r="C46" s="210"/>
      <c r="D46" s="201" t="str">
        <f>IFERROR(VLOOKUP($B46&amp;$C46,'C. Gestión Pto #1'!$B$34:B$34,MATCH('Cash Flow'!D$7,'C. Gestión Pto #1'!$B$30:B$30,0),0),"")</f>
        <v/>
      </c>
      <c r="E46" s="201" t="str">
        <f>IFERROR(VLOOKUP($B46&amp;$C46,'C. Gestión Pto #1'!$B$34:B$34,MATCH('Cash Flow'!E$7,'C. Gestión Pto #1'!$B$30:B$30,0),0),"")</f>
        <v/>
      </c>
      <c r="F46" s="202"/>
      <c r="G46" s="201">
        <f>SUMIF(D$7:F$7,"Ejercicio*",$D46:F46)</f>
        <v>0</v>
      </c>
    </row>
    <row r="47" spans="2:8" x14ac:dyDescent="0.35">
      <c r="B47" s="240" t="s">
        <v>74</v>
      </c>
      <c r="C47" s="241"/>
      <c r="D47" s="239">
        <f t="shared" ref="D47:E47" si="2">SUM(D45:D46)</f>
        <v>0</v>
      </c>
      <c r="E47" s="239">
        <f t="shared" si="2"/>
        <v>0</v>
      </c>
      <c r="F47" s="204"/>
      <c r="G47" s="239">
        <f>SUM(G45:G46)</f>
        <v>0</v>
      </c>
    </row>
    <row r="48" spans="2:8" x14ac:dyDescent="0.35">
      <c r="B48" s="148"/>
      <c r="C48" s="148"/>
      <c r="D48" s="205"/>
      <c r="E48" s="205"/>
      <c r="F48" s="202"/>
      <c r="G48" s="206"/>
    </row>
    <row r="49" spans="2:7" x14ac:dyDescent="0.35">
      <c r="B49" s="234" t="s">
        <v>75</v>
      </c>
      <c r="C49" s="235"/>
      <c r="D49" s="237">
        <f t="shared" ref="D49:E49" si="3">+D42+D47</f>
        <v>0</v>
      </c>
      <c r="E49" s="237">
        <f t="shared" si="3"/>
        <v>0</v>
      </c>
      <c r="F49" s="204"/>
      <c r="G49" s="237">
        <f>SUMIF(D$7:F$7,"Ejercicio*",$D49:F49)</f>
        <v>0</v>
      </c>
    </row>
    <row r="50" spans="2:7" x14ac:dyDescent="0.35">
      <c r="D50" s="207"/>
      <c r="E50" s="207"/>
      <c r="F50" s="207"/>
      <c r="G50" s="207"/>
    </row>
    <row r="51" spans="2:7" x14ac:dyDescent="0.35">
      <c r="B51" s="242" t="s">
        <v>133</v>
      </c>
      <c r="C51" s="243"/>
      <c r="D51" s="208" t="e">
        <f>D12-D49</f>
        <v>#REF!</v>
      </c>
      <c r="E51" s="208" t="e">
        <f>E12-E49</f>
        <v>#REF!</v>
      </c>
      <c r="F51" s="204"/>
      <c r="G51" s="208">
        <f>G12-G49</f>
        <v>0</v>
      </c>
    </row>
    <row r="52" spans="2:7" x14ac:dyDescent="0.35">
      <c r="B52" s="242" t="s">
        <v>134</v>
      </c>
      <c r="C52" s="243"/>
      <c r="D52" s="208" t="e">
        <f>+D51</f>
        <v>#REF!</v>
      </c>
      <c r="E52" s="208" t="e">
        <f t="shared" ref="E52" si="4">+E51+D52</f>
        <v>#REF!</v>
      </c>
      <c r="F52" s="209"/>
      <c r="G52" s="208">
        <f>G51</f>
        <v>0</v>
      </c>
    </row>
  </sheetData>
  <conditionalFormatting sqref="D51:E52 G51:G52">
    <cfRule type="cellIs" dxfId="89" priority="1" operator="lessThan">
      <formula>0</formula>
    </cfRule>
    <cfRule type="cellIs" dxfId="88" priority="2" operator="greater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G12 G42 G47 D9:F49 D51:G52" xr:uid="{A1D7C699-70F0-42EE-9E13-671027AEBBA9}"/>
  </dataValidations>
  <pageMargins left="0.7" right="0.7" top="0.75" bottom="0.75" header="0.3" footer="0.3"/>
  <pageSetup paperSize="9" orientation="portrait" r:id="rId1"/>
  <ignoredErrors>
    <ignoredError sqref="F37:F41 G10 G45:G46 G49 F11:G11 D10:E11 G16:G41 D16:E41 D45:E46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CBD02C-972C-48DB-A872-5EA13A7D5842}">
          <x14:formula1>
            <xm:f>Listas!$A:$A</xm:f>
          </x14:formula1>
          <xm:sqref>B16:B41</xm:sqref>
        </x14:dataValidation>
        <x14:dataValidation type="list" allowBlank="1" showInputMessage="1" showErrorMessage="1" xr:uid="{ECC636AD-99CE-4606-8EE5-1AA876F18167}">
          <x14:formula1>
            <xm:f>Listas!$C$1:$C$2</xm:f>
          </x14:formula1>
          <xm:sqref>C16:C41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2AF5-814E-41F0-8FCE-37A0170BEBD8}">
  <sheetPr codeName="Hoja6"/>
  <dimension ref="A1:X25"/>
  <sheetViews>
    <sheetView workbookViewId="0">
      <selection activeCell="J12" sqref="J12"/>
    </sheetView>
  </sheetViews>
  <sheetFormatPr defaultColWidth="11.453125" defaultRowHeight="14.5" x14ac:dyDescent="0.35"/>
  <cols>
    <col min="2" max="2" width="6.1796875" customWidth="1"/>
    <col min="3" max="6" width="6.7265625" style="43" customWidth="1"/>
    <col min="7" max="7" width="3.453125" customWidth="1"/>
    <col min="8" max="11" width="10.54296875" bestFit="1" customWidth="1"/>
    <col min="12" max="12" width="11.1796875" bestFit="1" customWidth="1"/>
    <col min="13" max="13" width="14.1796875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4.54296875" customWidth="1"/>
    <col min="24" max="24" width="11.542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4" x14ac:dyDescent="0.35">
      <c r="A1" s="7" t="s">
        <v>154</v>
      </c>
      <c r="B1" s="7"/>
      <c r="C1"/>
      <c r="D1"/>
      <c r="E1"/>
      <c r="F1"/>
      <c r="O1" s="8" t="s">
        <v>155</v>
      </c>
      <c r="P1" s="1436" t="s">
        <v>156</v>
      </c>
      <c r="Q1" s="1436"/>
    </row>
    <row r="2" spans="1:24" x14ac:dyDescent="0.35">
      <c r="A2" s="7" t="s">
        <v>157</v>
      </c>
      <c r="B2" s="7"/>
      <c r="C2"/>
      <c r="D2"/>
      <c r="E2"/>
      <c r="F2"/>
      <c r="O2" s="9" t="s">
        <v>158</v>
      </c>
      <c r="P2" s="1437" t="s">
        <v>159</v>
      </c>
      <c r="Q2" s="1437"/>
    </row>
    <row r="3" spans="1:24" ht="15" thickBot="1" x14ac:dyDescent="0.4">
      <c r="C3"/>
      <c r="D3"/>
      <c r="E3"/>
      <c r="F3"/>
    </row>
    <row r="4" spans="1:24" x14ac:dyDescent="0.35">
      <c r="C4" s="1438" t="s">
        <v>160</v>
      </c>
      <c r="D4" s="1439"/>
      <c r="E4" s="1439"/>
      <c r="F4" s="1440"/>
      <c r="G4" s="11"/>
      <c r="H4" s="12" t="s">
        <v>161</v>
      </c>
      <c r="I4" s="12" t="s">
        <v>162</v>
      </c>
      <c r="J4" s="12" t="s">
        <v>163</v>
      </c>
      <c r="K4" s="12" t="s">
        <v>164</v>
      </c>
      <c r="L4" s="10" t="s">
        <v>87</v>
      </c>
      <c r="M4" s="13" t="s">
        <v>165</v>
      </c>
      <c r="P4" s="1438" t="s">
        <v>166</v>
      </c>
      <c r="Q4" s="1439"/>
      <c r="R4" s="1439"/>
      <c r="S4" s="1439"/>
      <c r="T4" s="1439"/>
      <c r="U4" s="1440"/>
    </row>
    <row r="5" spans="1:24" x14ac:dyDescent="0.35">
      <c r="C5" s="14" t="s">
        <v>167</v>
      </c>
      <c r="D5" s="14" t="s">
        <v>168</v>
      </c>
      <c r="E5" s="14" t="s">
        <v>169</v>
      </c>
      <c r="F5" s="14" t="s">
        <v>170</v>
      </c>
      <c r="G5" s="15"/>
      <c r="H5" s="158">
        <v>85927.1</v>
      </c>
      <c r="I5" s="158">
        <v>76955.08</v>
      </c>
      <c r="J5" s="158">
        <v>65493.07</v>
      </c>
      <c r="K5" s="158">
        <v>60860.58</v>
      </c>
      <c r="L5" s="164">
        <v>45627</v>
      </c>
      <c r="M5" s="16"/>
      <c r="P5" s="12" t="s">
        <v>171</v>
      </c>
      <c r="Q5" s="12" t="s">
        <v>167</v>
      </c>
      <c r="R5" s="12" t="s">
        <v>168</v>
      </c>
      <c r="S5" s="12" t="s">
        <v>169</v>
      </c>
      <c r="T5" s="12" t="s">
        <v>170</v>
      </c>
      <c r="U5" s="12" t="s">
        <v>172</v>
      </c>
    </row>
    <row r="6" spans="1:24" x14ac:dyDescent="0.35">
      <c r="C6" s="17"/>
      <c r="D6" s="17"/>
      <c r="E6" s="17"/>
      <c r="F6" s="17"/>
      <c r="G6" s="15"/>
      <c r="H6" s="158">
        <v>87384</v>
      </c>
      <c r="I6" s="158">
        <v>78375</v>
      </c>
      <c r="J6" s="158">
        <v>66853</v>
      </c>
      <c r="K6" s="158">
        <v>61892</v>
      </c>
      <c r="L6" s="164">
        <v>45658</v>
      </c>
      <c r="M6" s="18"/>
      <c r="P6" s="19"/>
      <c r="Q6" s="19"/>
      <c r="R6" s="19"/>
      <c r="S6" s="19"/>
      <c r="T6" s="19"/>
      <c r="U6" s="19"/>
    </row>
    <row r="7" spans="1:24" x14ac:dyDescent="0.35">
      <c r="C7" s="17"/>
      <c r="D7" s="17"/>
      <c r="E7" s="17"/>
      <c r="F7" s="17"/>
      <c r="G7" s="15"/>
      <c r="H7" s="158">
        <v>89383</v>
      </c>
      <c r="I7" s="158">
        <v>80395</v>
      </c>
      <c r="J7" s="158">
        <v>68472</v>
      </c>
      <c r="K7" s="158">
        <v>63382</v>
      </c>
      <c r="L7" s="164">
        <v>45689</v>
      </c>
      <c r="M7" s="18"/>
      <c r="P7" s="19"/>
      <c r="Q7" s="19"/>
      <c r="R7" s="19"/>
      <c r="S7" s="19"/>
      <c r="T7" s="19"/>
      <c r="U7" s="19"/>
    </row>
    <row r="8" spans="1:24" x14ac:dyDescent="0.35">
      <c r="C8" s="17"/>
      <c r="D8" s="17"/>
      <c r="E8" s="17"/>
      <c r="F8" s="17"/>
      <c r="G8" s="15"/>
      <c r="H8" s="158">
        <v>91464</v>
      </c>
      <c r="I8" s="158">
        <v>82269</v>
      </c>
      <c r="J8" s="158">
        <v>70296</v>
      </c>
      <c r="K8" s="158">
        <v>65595</v>
      </c>
      <c r="L8" s="164">
        <v>45717</v>
      </c>
      <c r="M8" s="18"/>
      <c r="P8" s="19"/>
      <c r="Q8" s="19"/>
      <c r="R8" s="19"/>
      <c r="S8" s="19"/>
      <c r="T8" s="19"/>
      <c r="U8" s="19"/>
    </row>
    <row r="9" spans="1:24" x14ac:dyDescent="0.35">
      <c r="C9" s="17"/>
      <c r="D9" s="17"/>
      <c r="E9" s="17"/>
      <c r="F9" s="17"/>
      <c r="G9" s="15"/>
      <c r="H9" s="158">
        <v>93235.366504703474</v>
      </c>
      <c r="I9" s="158">
        <v>83766.387582470736</v>
      </c>
      <c r="J9" s="158">
        <v>71410.816981934215</v>
      </c>
      <c r="K9" s="158">
        <v>66568.09387166494</v>
      </c>
      <c r="L9" s="164">
        <v>45778</v>
      </c>
      <c r="M9" s="18"/>
      <c r="P9" s="19"/>
      <c r="Q9" s="19"/>
      <c r="R9" s="19"/>
      <c r="S9" s="19"/>
      <c r="T9" s="19"/>
      <c r="U9" s="19"/>
    </row>
    <row r="10" spans="1:24" x14ac:dyDescent="0.35">
      <c r="C10" s="17"/>
      <c r="D10" s="17"/>
      <c r="E10" s="17"/>
      <c r="F10" s="17"/>
      <c r="G10" s="15"/>
      <c r="H10" s="158">
        <v>94177.13788353886</v>
      </c>
      <c r="I10" s="158">
        <v>84612.512709566407</v>
      </c>
      <c r="J10" s="158">
        <v>72132.138365590115</v>
      </c>
      <c r="K10" s="158">
        <v>67240.498860267617</v>
      </c>
      <c r="L10" s="164">
        <v>45809</v>
      </c>
      <c r="M10" s="18"/>
      <c r="P10" s="19"/>
      <c r="Q10" s="19"/>
      <c r="R10" s="19"/>
      <c r="S10" s="19"/>
      <c r="T10" s="19"/>
      <c r="U10" s="19"/>
    </row>
    <row r="11" spans="1:24" ht="15" thickBot="1" x14ac:dyDescent="0.4">
      <c r="C11" s="17"/>
      <c r="D11" s="17"/>
      <c r="E11" s="17"/>
      <c r="F11" s="17"/>
      <c r="G11" s="15"/>
      <c r="H11" s="158">
        <v>95080</v>
      </c>
      <c r="I11" s="158">
        <v>85425</v>
      </c>
      <c r="J11" s="158">
        <v>72871</v>
      </c>
      <c r="K11" s="158">
        <v>67908</v>
      </c>
      <c r="L11" s="164">
        <v>45839</v>
      </c>
      <c r="M11" s="165"/>
      <c r="P11" s="19"/>
      <c r="Q11" s="19"/>
      <c r="R11" s="19"/>
      <c r="S11" s="19"/>
      <c r="T11" s="19"/>
      <c r="U11" s="19"/>
    </row>
    <row r="12" spans="1:24" ht="18" customHeight="1" x14ac:dyDescent="0.35">
      <c r="A12" s="20">
        <v>45689</v>
      </c>
      <c r="B12" s="20" t="s">
        <v>173</v>
      </c>
      <c r="C12" s="21">
        <v>0</v>
      </c>
      <c r="D12" s="21">
        <f>10+10+10</f>
        <v>30</v>
      </c>
      <c r="E12" s="21">
        <v>0</v>
      </c>
      <c r="F12" s="21">
        <v>0</v>
      </c>
      <c r="G12" s="15"/>
      <c r="H12" s="22">
        <f>+C12*H$7</f>
        <v>0</v>
      </c>
      <c r="I12" s="22">
        <f t="shared" ref="I12:K12" si="0">+D12*I$7</f>
        <v>2411850</v>
      </c>
      <c r="J12" s="22">
        <f t="shared" si="0"/>
        <v>0</v>
      </c>
      <c r="K12" s="22">
        <f t="shared" si="0"/>
        <v>0</v>
      </c>
      <c r="L12" s="23">
        <f>SUM(H12:K12)</f>
        <v>2411850</v>
      </c>
      <c r="M12" s="31">
        <f>+L12</f>
        <v>2411850</v>
      </c>
      <c r="N12" s="24" t="s">
        <v>155</v>
      </c>
      <c r="P12" s="25">
        <v>10</v>
      </c>
      <c r="Q12" s="26">
        <f>C12/P12</f>
        <v>0</v>
      </c>
      <c r="R12" s="26">
        <f>D12/P12</f>
        <v>3</v>
      </c>
      <c r="S12" s="26">
        <f>E12/P12</f>
        <v>0</v>
      </c>
      <c r="T12" s="26">
        <f>F12/P12</f>
        <v>0</v>
      </c>
      <c r="U12" s="26">
        <f t="shared" ref="U12:U14" si="1">SUM(Q12:T12)</f>
        <v>3</v>
      </c>
    </row>
    <row r="13" spans="1:24" ht="18" customHeight="1" x14ac:dyDescent="0.35">
      <c r="A13" s="27">
        <v>45717</v>
      </c>
      <c r="B13" s="27" t="s">
        <v>174</v>
      </c>
      <c r="C13" s="28">
        <v>4</v>
      </c>
      <c r="D13" s="28">
        <f>11+11+11+4</f>
        <v>37</v>
      </c>
      <c r="E13" s="28">
        <v>0</v>
      </c>
      <c r="F13" s="28">
        <v>0</v>
      </c>
      <c r="G13" s="15"/>
      <c r="H13" s="29">
        <f t="shared" ref="H13:H14" si="2">C13*H$8</f>
        <v>365856</v>
      </c>
      <c r="I13" s="29">
        <f t="shared" ref="I13:K13" si="3">D13*I$8</f>
        <v>3043953</v>
      </c>
      <c r="J13" s="29">
        <f t="shared" si="3"/>
        <v>0</v>
      </c>
      <c r="K13" s="29">
        <f t="shared" si="3"/>
        <v>0</v>
      </c>
      <c r="L13" s="30">
        <f>SUM(H13:K13)</f>
        <v>3409809</v>
      </c>
      <c r="M13" s="31">
        <f>L13</f>
        <v>3409809</v>
      </c>
      <c r="N13" s="32" t="s">
        <v>155</v>
      </c>
      <c r="P13" s="25">
        <v>11</v>
      </c>
      <c r="Q13" s="26">
        <f t="shared" ref="Q13:Q14" si="4">C13/P13</f>
        <v>0.36363636363636365</v>
      </c>
      <c r="R13" s="26">
        <f t="shared" ref="R13:R14" si="5">D13/P13</f>
        <v>3.3636363636363638</v>
      </c>
      <c r="S13" s="26">
        <f t="shared" ref="S13:S14" si="6">E13/P13</f>
        <v>0</v>
      </c>
      <c r="T13" s="26">
        <f t="shared" ref="T13:T14" si="7">F13/P13</f>
        <v>0</v>
      </c>
      <c r="U13" s="26">
        <f t="shared" si="1"/>
        <v>3.7272727272727275</v>
      </c>
    </row>
    <row r="14" spans="1:24" ht="18" customHeight="1" x14ac:dyDescent="0.35">
      <c r="A14" s="27">
        <v>45717</v>
      </c>
      <c r="B14" s="33" t="s">
        <v>173</v>
      </c>
      <c r="C14" s="25">
        <v>13</v>
      </c>
      <c r="D14" s="25">
        <f>13+13+13+13</f>
        <v>52</v>
      </c>
      <c r="E14" s="25">
        <v>0</v>
      </c>
      <c r="F14" s="25">
        <v>0</v>
      </c>
      <c r="G14" s="15"/>
      <c r="H14" s="29">
        <f t="shared" si="2"/>
        <v>1189032</v>
      </c>
      <c r="I14" s="29">
        <f t="shared" ref="I14" si="8">D14*I$8</f>
        <v>4277988</v>
      </c>
      <c r="J14" s="29">
        <f t="shared" ref="J14" si="9">E14*J$8</f>
        <v>0</v>
      </c>
      <c r="K14" s="29">
        <f t="shared" ref="K14" si="10">F14*K$8</f>
        <v>0</v>
      </c>
      <c r="L14" s="34">
        <f>SUM(H14:K14)</f>
        <v>5467020</v>
      </c>
      <c r="M14" s="31">
        <f t="shared" ref="M14" si="11">L14</f>
        <v>5467020</v>
      </c>
      <c r="N14" s="32" t="s">
        <v>155</v>
      </c>
      <c r="P14" s="25">
        <v>13</v>
      </c>
      <c r="Q14" s="26">
        <f t="shared" si="4"/>
        <v>1</v>
      </c>
      <c r="R14" s="26">
        <f t="shared" si="5"/>
        <v>4</v>
      </c>
      <c r="S14" s="26">
        <f t="shared" si="6"/>
        <v>0</v>
      </c>
      <c r="T14" s="26">
        <f t="shared" si="7"/>
        <v>0</v>
      </c>
      <c r="U14" s="26">
        <f t="shared" si="1"/>
        <v>5</v>
      </c>
      <c r="X14" s="731"/>
    </row>
    <row r="15" spans="1:24" ht="18" customHeight="1" x14ac:dyDescent="0.35">
      <c r="A15" s="35"/>
      <c r="B15" s="33"/>
      <c r="C15" s="25"/>
      <c r="D15" s="25"/>
      <c r="E15" s="25"/>
      <c r="F15" s="25"/>
      <c r="G15" s="15"/>
      <c r="H15" s="29"/>
      <c r="I15" s="29"/>
      <c r="J15" s="29"/>
      <c r="K15" s="29"/>
      <c r="L15" s="34"/>
      <c r="M15" s="36"/>
      <c r="N15" s="37"/>
      <c r="P15" s="25"/>
      <c r="Q15" s="38"/>
      <c r="R15" s="38"/>
      <c r="S15" s="38"/>
      <c r="T15" s="38"/>
      <c r="U15" s="38"/>
    </row>
    <row r="16" spans="1:24" ht="18" customHeight="1" thickBot="1" x14ac:dyDescent="0.4">
      <c r="A16" s="39"/>
      <c r="B16" s="39"/>
      <c r="C16" s="40"/>
      <c r="D16" s="40"/>
      <c r="E16" s="40"/>
      <c r="F16" s="40"/>
      <c r="G16" s="15"/>
      <c r="H16" s="39"/>
      <c r="I16" s="39"/>
      <c r="J16" s="39"/>
      <c r="K16" s="39"/>
      <c r="L16" s="41">
        <f>SUM(L12:L15)</f>
        <v>11288679</v>
      </c>
      <c r="M16" s="212">
        <f>SUM(M12:M15)</f>
        <v>11288679</v>
      </c>
      <c r="N16" s="42"/>
      <c r="P16" s="40"/>
      <c r="Q16" s="40"/>
      <c r="R16" s="40"/>
      <c r="S16" s="40"/>
      <c r="T16" s="40"/>
      <c r="U16" s="40"/>
    </row>
    <row r="17" spans="12:21" x14ac:dyDescent="0.35">
      <c r="P17" s="43"/>
      <c r="Q17" s="43"/>
      <c r="R17" s="43"/>
      <c r="S17" s="43"/>
      <c r="T17" s="43"/>
      <c r="U17" s="43"/>
    </row>
    <row r="18" spans="12:21" x14ac:dyDescent="0.35">
      <c r="M18" s="1340"/>
    </row>
    <row r="19" spans="12:21" x14ac:dyDescent="0.35">
      <c r="L19" s="44" t="s">
        <v>175</v>
      </c>
      <c r="M19" s="45">
        <f>SUM(M12:M15)</f>
        <v>11288679</v>
      </c>
    </row>
    <row r="20" spans="12:21" x14ac:dyDescent="0.35">
      <c r="L20" s="46" t="s">
        <v>176</v>
      </c>
      <c r="M20" s="47"/>
    </row>
    <row r="21" spans="12:21" x14ac:dyDescent="0.35">
      <c r="M21" s="48">
        <f>+M20+M19</f>
        <v>11288679</v>
      </c>
    </row>
    <row r="23" spans="12:21" x14ac:dyDescent="0.35">
      <c r="M23" s="1371"/>
    </row>
    <row r="24" spans="12:21" x14ac:dyDescent="0.35">
      <c r="M24" s="1340"/>
    </row>
    <row r="25" spans="12:21" x14ac:dyDescent="0.35">
      <c r="M25" s="1371"/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15A3-2FE3-4C2F-A8AC-81127EB40697}">
  <dimension ref="A1:X53"/>
  <sheetViews>
    <sheetView workbookViewId="0">
      <selection activeCell="X25" sqref="X25"/>
    </sheetView>
  </sheetViews>
  <sheetFormatPr defaultColWidth="11.453125" defaultRowHeight="14.5" x14ac:dyDescent="0.35"/>
  <cols>
    <col min="2" max="2" width="6.1796875" customWidth="1"/>
    <col min="3" max="6" width="6.7265625" style="43" customWidth="1"/>
    <col min="7" max="7" width="3.453125" customWidth="1"/>
    <col min="8" max="11" width="10.54296875" bestFit="1" customWidth="1"/>
    <col min="12" max="13" width="12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4.54296875" customWidth="1"/>
    <col min="24" max="24" width="11.542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1" x14ac:dyDescent="0.35">
      <c r="A1" s="7" t="s">
        <v>154</v>
      </c>
      <c r="B1" s="7"/>
      <c r="C1"/>
      <c r="D1"/>
      <c r="E1"/>
      <c r="F1"/>
      <c r="O1" s="8" t="s">
        <v>155</v>
      </c>
      <c r="P1" s="1436" t="s">
        <v>156</v>
      </c>
      <c r="Q1" s="1436"/>
    </row>
    <row r="2" spans="1:21" x14ac:dyDescent="0.35">
      <c r="A2" s="7" t="s">
        <v>157</v>
      </c>
      <c r="B2" s="7"/>
      <c r="C2"/>
      <c r="D2"/>
      <c r="E2"/>
      <c r="F2"/>
      <c r="O2" s="9" t="s">
        <v>158</v>
      </c>
      <c r="P2" s="1437" t="s">
        <v>159</v>
      </c>
      <c r="Q2" s="1437"/>
    </row>
    <row r="3" spans="1:21" ht="15" thickBot="1" x14ac:dyDescent="0.4">
      <c r="C3"/>
      <c r="D3"/>
      <c r="E3"/>
      <c r="F3"/>
    </row>
    <row r="4" spans="1:21" x14ac:dyDescent="0.35">
      <c r="C4" s="1438" t="s">
        <v>160</v>
      </c>
      <c r="D4" s="1439"/>
      <c r="E4" s="1439"/>
      <c r="F4" s="1440"/>
      <c r="G4" s="11"/>
      <c r="H4" s="12" t="s">
        <v>161</v>
      </c>
      <c r="I4" s="12" t="s">
        <v>162</v>
      </c>
      <c r="J4" s="12" t="s">
        <v>163</v>
      </c>
      <c r="K4" s="12" t="s">
        <v>164</v>
      </c>
      <c r="L4" s="10" t="s">
        <v>87</v>
      </c>
      <c r="M4" s="13" t="s">
        <v>165</v>
      </c>
      <c r="P4" s="1438" t="s">
        <v>166</v>
      </c>
      <c r="Q4" s="1439"/>
      <c r="R4" s="1439"/>
      <c r="S4" s="1439"/>
      <c r="T4" s="1439"/>
      <c r="U4" s="1440"/>
    </row>
    <row r="5" spans="1:21" x14ac:dyDescent="0.35">
      <c r="C5" s="14" t="s">
        <v>167</v>
      </c>
      <c r="D5" s="14" t="s">
        <v>168</v>
      </c>
      <c r="E5" s="14" t="s">
        <v>169</v>
      </c>
      <c r="F5" s="14" t="s">
        <v>170</v>
      </c>
      <c r="G5" s="15"/>
      <c r="H5" s="158">
        <v>85927.1</v>
      </c>
      <c r="I5" s="158">
        <v>76955.08</v>
      </c>
      <c r="J5" s="158">
        <v>65493.07</v>
      </c>
      <c r="K5" s="158">
        <v>60860.58</v>
      </c>
      <c r="L5" s="164">
        <v>45627</v>
      </c>
      <c r="M5" s="16"/>
      <c r="P5" s="12" t="s">
        <v>171</v>
      </c>
      <c r="Q5" s="12" t="s">
        <v>167</v>
      </c>
      <c r="R5" s="12" t="s">
        <v>168</v>
      </c>
      <c r="S5" s="12" t="s">
        <v>169</v>
      </c>
      <c r="T5" s="12" t="s">
        <v>170</v>
      </c>
      <c r="U5" s="12" t="s">
        <v>172</v>
      </c>
    </row>
    <row r="6" spans="1:21" x14ac:dyDescent="0.35">
      <c r="C6" s="17"/>
      <c r="D6" s="17"/>
      <c r="E6" s="17"/>
      <c r="F6" s="17"/>
      <c r="G6" s="15"/>
      <c r="H6" s="158">
        <v>87384</v>
      </c>
      <c r="I6" s="158">
        <v>78375</v>
      </c>
      <c r="J6" s="158">
        <v>66853</v>
      </c>
      <c r="K6" s="158">
        <v>61892</v>
      </c>
      <c r="L6" s="164">
        <v>45658</v>
      </c>
      <c r="M6" s="18"/>
      <c r="P6" s="19"/>
      <c r="Q6" s="19"/>
      <c r="R6" s="19"/>
      <c r="S6" s="19"/>
      <c r="T6" s="19"/>
      <c r="U6" s="19"/>
    </row>
    <row r="7" spans="1:21" x14ac:dyDescent="0.35">
      <c r="C7" s="17"/>
      <c r="D7" s="17"/>
      <c r="E7" s="17"/>
      <c r="F7" s="17"/>
      <c r="G7" s="15"/>
      <c r="H7" s="158">
        <v>89383</v>
      </c>
      <c r="I7" s="158">
        <v>80395</v>
      </c>
      <c r="J7" s="158">
        <v>68472</v>
      </c>
      <c r="K7" s="158">
        <v>63382</v>
      </c>
      <c r="L7" s="164">
        <v>45689</v>
      </c>
      <c r="M7" s="18"/>
      <c r="P7" s="19"/>
      <c r="Q7" s="19"/>
      <c r="R7" s="19"/>
      <c r="S7" s="19"/>
      <c r="T7" s="19"/>
      <c r="U7" s="19"/>
    </row>
    <row r="8" spans="1:21" x14ac:dyDescent="0.35">
      <c r="C8" s="17"/>
      <c r="D8" s="17"/>
      <c r="E8" s="17"/>
      <c r="F8" s="17"/>
      <c r="G8" s="15"/>
      <c r="H8" s="158">
        <v>91464</v>
      </c>
      <c r="I8" s="158">
        <v>82269</v>
      </c>
      <c r="J8" s="158">
        <v>70296</v>
      </c>
      <c r="K8" s="158">
        <v>65595</v>
      </c>
      <c r="L8" s="164">
        <v>45717</v>
      </c>
      <c r="M8" s="18"/>
      <c r="P8" s="19"/>
      <c r="Q8" s="19"/>
      <c r="R8" s="19"/>
      <c r="S8" s="19"/>
      <c r="T8" s="19"/>
      <c r="U8" s="19"/>
    </row>
    <row r="9" spans="1:21" x14ac:dyDescent="0.35">
      <c r="C9" s="17"/>
      <c r="D9" s="17"/>
      <c r="E9" s="17"/>
      <c r="F9" s="17"/>
      <c r="G9" s="15"/>
      <c r="H9" s="158">
        <v>93235.366504703474</v>
      </c>
      <c r="I9" s="158">
        <v>83766.387582470736</v>
      </c>
      <c r="J9" s="158">
        <v>71410.816981934215</v>
      </c>
      <c r="K9" s="158">
        <v>66568.09387166494</v>
      </c>
      <c r="L9" s="164">
        <v>45778</v>
      </c>
      <c r="M9" s="18"/>
      <c r="P9" s="19"/>
      <c r="Q9" s="19"/>
      <c r="R9" s="19"/>
      <c r="S9" s="19"/>
      <c r="T9" s="19"/>
      <c r="U9" s="19"/>
    </row>
    <row r="10" spans="1:21" x14ac:dyDescent="0.35">
      <c r="C10" s="17"/>
      <c r="D10" s="17"/>
      <c r="E10" s="17"/>
      <c r="F10" s="17"/>
      <c r="G10" s="15"/>
      <c r="H10" s="158">
        <v>94177.13788353886</v>
      </c>
      <c r="I10" s="158">
        <v>84612.512709566407</v>
      </c>
      <c r="J10" s="158">
        <v>72132.138365590115</v>
      </c>
      <c r="K10" s="158">
        <v>67240.498860267617</v>
      </c>
      <c r="L10" s="164">
        <v>45809</v>
      </c>
      <c r="M10" s="18"/>
      <c r="P10" s="19"/>
      <c r="Q10" s="19"/>
      <c r="R10" s="19"/>
      <c r="S10" s="19"/>
      <c r="T10" s="19"/>
      <c r="U10" s="19"/>
    </row>
    <row r="11" spans="1:21" x14ac:dyDescent="0.35">
      <c r="C11" s="17"/>
      <c r="D11" s="17"/>
      <c r="E11" s="17"/>
      <c r="F11" s="17"/>
      <c r="G11" s="15"/>
      <c r="H11" s="158">
        <v>95080</v>
      </c>
      <c r="I11" s="158">
        <v>85425</v>
      </c>
      <c r="J11" s="158">
        <v>72871</v>
      </c>
      <c r="K11" s="158">
        <v>67908</v>
      </c>
      <c r="L11" s="164">
        <v>45839</v>
      </c>
      <c r="M11" s="18"/>
      <c r="P11" s="19"/>
      <c r="Q11" s="19"/>
      <c r="R11" s="19"/>
      <c r="S11" s="19"/>
      <c r="T11" s="19"/>
      <c r="U11" s="19"/>
    </row>
    <row r="12" spans="1:21" ht="15" thickBot="1" x14ac:dyDescent="0.4">
      <c r="C12" s="17"/>
      <c r="D12" s="17"/>
      <c r="E12" s="17"/>
      <c r="F12" s="17"/>
      <c r="G12" s="15"/>
      <c r="H12" s="1344">
        <v>95889.2</v>
      </c>
      <c r="I12" s="1344">
        <v>86356.18</v>
      </c>
      <c r="J12" s="1344">
        <v>73781.11</v>
      </c>
      <c r="K12" s="1344">
        <v>68935.350000000006</v>
      </c>
      <c r="L12" s="1345">
        <v>45870</v>
      </c>
      <c r="M12" s="165"/>
      <c r="P12" s="19"/>
      <c r="Q12" s="19"/>
      <c r="R12" s="19"/>
      <c r="S12" s="19"/>
      <c r="T12" s="19"/>
      <c r="U12" s="19"/>
    </row>
    <row r="13" spans="1:21" x14ac:dyDescent="0.35">
      <c r="C13" s="17"/>
      <c r="D13" s="17"/>
      <c r="E13" s="17"/>
      <c r="F13" s="17"/>
      <c r="G13" s="15"/>
      <c r="H13" s="1344">
        <v>106516.01731157197</v>
      </c>
      <c r="I13" s="1344">
        <v>88649.807904071975</v>
      </c>
      <c r="J13" s="1344">
        <v>75758.191951571978</v>
      </c>
      <c r="K13" s="1344">
        <v>71041.118761571968</v>
      </c>
      <c r="L13" s="1345">
        <v>45901</v>
      </c>
      <c r="M13" s="18"/>
      <c r="P13" s="19"/>
      <c r="Q13" s="19"/>
      <c r="R13" s="19"/>
      <c r="S13" s="19"/>
      <c r="T13" s="19"/>
      <c r="U13" s="19"/>
    </row>
    <row r="14" spans="1:21" x14ac:dyDescent="0.35">
      <c r="C14" s="17"/>
      <c r="D14" s="17"/>
      <c r="E14" s="17"/>
      <c r="F14" s="17"/>
      <c r="G14" s="15"/>
      <c r="H14" s="1344">
        <v>106864.20592157198</v>
      </c>
      <c r="I14" s="1344">
        <v>88971.072744071964</v>
      </c>
      <c r="J14" s="1344">
        <v>76032.176431571977</v>
      </c>
      <c r="K14" s="1344">
        <v>71292.271201571988</v>
      </c>
      <c r="L14" s="1345">
        <v>45931</v>
      </c>
      <c r="M14" s="18"/>
      <c r="P14" s="19"/>
      <c r="Q14" s="19"/>
      <c r="R14" s="19"/>
      <c r="S14" s="19"/>
      <c r="T14" s="19"/>
      <c r="U14" s="19"/>
    </row>
    <row r="15" spans="1:21" x14ac:dyDescent="0.35">
      <c r="C15" s="17"/>
      <c r="D15" s="17"/>
      <c r="E15" s="17"/>
      <c r="F15" s="17"/>
      <c r="G15" s="15"/>
      <c r="H15" s="1344">
        <v>109621.10545407196</v>
      </c>
      <c r="I15" s="1344">
        <v>91252.850653390153</v>
      </c>
      <c r="J15" s="1344">
        <v>77612.118064071969</v>
      </c>
      <c r="K15" s="1344">
        <v>72486.68260657198</v>
      </c>
      <c r="L15" s="1345">
        <v>45962</v>
      </c>
      <c r="M15" s="18"/>
      <c r="P15" s="19"/>
      <c r="Q15" s="19"/>
      <c r="R15" s="19"/>
      <c r="S15" s="19"/>
      <c r="T15" s="19"/>
      <c r="U15" s="19"/>
    </row>
    <row r="16" spans="1:21" x14ac:dyDescent="0.35">
      <c r="C16" s="17"/>
      <c r="D16" s="17"/>
      <c r="E16" s="17"/>
      <c r="F16" s="17"/>
      <c r="G16" s="15"/>
      <c r="H16" s="1344">
        <v>113865.18185914542</v>
      </c>
      <c r="I16" s="1344">
        <v>95196.927058463611</v>
      </c>
      <c r="J16" s="1344">
        <v>81356.194469145426</v>
      </c>
      <c r="K16" s="1344">
        <v>76230.759011645438</v>
      </c>
      <c r="L16" s="1345">
        <v>45992</v>
      </c>
      <c r="M16" s="18"/>
      <c r="P16" s="19"/>
      <c r="Q16" s="19"/>
      <c r="R16" s="19"/>
      <c r="S16" s="19"/>
      <c r="T16" s="19"/>
      <c r="U16" s="19"/>
    </row>
    <row r="17" spans="1:24" x14ac:dyDescent="0.35">
      <c r="C17" s="17"/>
      <c r="D17" s="17"/>
      <c r="E17" s="17"/>
      <c r="F17" s="17"/>
      <c r="G17" s="15"/>
      <c r="H17" s="1344">
        <v>117452.65727664542</v>
      </c>
      <c r="I17" s="1344">
        <v>97866.769866645438</v>
      </c>
      <c r="J17" s="1344">
        <v>83614.940401645435</v>
      </c>
      <c r="K17" s="1344">
        <v>78291.041771645439</v>
      </c>
      <c r="L17" s="1345">
        <v>46023</v>
      </c>
      <c r="M17" s="18"/>
      <c r="P17" s="19"/>
      <c r="Q17" s="19"/>
      <c r="R17" s="19"/>
      <c r="S17" s="19"/>
      <c r="T17" s="19"/>
      <c r="U17" s="19"/>
    </row>
    <row r="18" spans="1:24" x14ac:dyDescent="0.35">
      <c r="C18" s="17"/>
      <c r="D18" s="17"/>
      <c r="E18" s="17"/>
      <c r="F18" s="17"/>
      <c r="G18" s="15"/>
      <c r="H18" s="1344">
        <v>119406.33424664545</v>
      </c>
      <c r="I18" s="1344">
        <v>99479.557976645432</v>
      </c>
      <c r="J18" s="1344">
        <v>84948.749161645435</v>
      </c>
      <c r="K18" s="1344">
        <v>79490.602471645427</v>
      </c>
      <c r="L18" s="1345">
        <v>46054</v>
      </c>
      <c r="M18" s="18"/>
      <c r="P18" s="19"/>
      <c r="Q18" s="19"/>
      <c r="R18" s="19"/>
      <c r="S18" s="19"/>
      <c r="T18" s="19"/>
      <c r="U18" s="19"/>
    </row>
    <row r="19" spans="1:24" x14ac:dyDescent="0.35">
      <c r="C19" s="17"/>
      <c r="D19" s="17"/>
      <c r="E19" s="17"/>
      <c r="F19" s="17"/>
      <c r="G19" s="15"/>
      <c r="H19" s="1390">
        <v>122445.79058664542</v>
      </c>
      <c r="I19" s="1390">
        <v>102029.0668827818</v>
      </c>
      <c r="J19" s="1390">
        <v>87100.469906645434</v>
      </c>
      <c r="K19" s="1390">
        <v>81453.719334145426</v>
      </c>
      <c r="L19" s="1391">
        <v>46082</v>
      </c>
      <c r="M19" s="18"/>
      <c r="P19" s="19"/>
      <c r="Q19" s="19"/>
      <c r="R19" s="19"/>
      <c r="S19" s="19"/>
      <c r="T19" s="19"/>
      <c r="U19" s="19"/>
    </row>
    <row r="20" spans="1:24" ht="18" customHeight="1" x14ac:dyDescent="0.35">
      <c r="A20" s="20">
        <v>45689</v>
      </c>
      <c r="B20" s="20" t="s">
        <v>173</v>
      </c>
      <c r="C20" s="21">
        <v>0</v>
      </c>
      <c r="D20" s="21">
        <v>0</v>
      </c>
      <c r="E20" s="21">
        <v>5</v>
      </c>
      <c r="F20" s="21">
        <v>6</v>
      </c>
      <c r="G20" s="15"/>
      <c r="H20" s="22">
        <f>+C20*H$7</f>
        <v>0</v>
      </c>
      <c r="I20" s="22">
        <f t="shared" ref="I20:K20" si="0">+D20*I$7</f>
        <v>0</v>
      </c>
      <c r="J20" s="22">
        <f t="shared" si="0"/>
        <v>342360</v>
      </c>
      <c r="K20" s="22">
        <f t="shared" si="0"/>
        <v>380292</v>
      </c>
      <c r="L20" s="23">
        <f>SUM(H20:K20)</f>
        <v>722652</v>
      </c>
      <c r="M20" s="31">
        <f>+L20</f>
        <v>722652</v>
      </c>
      <c r="N20" s="24" t="s">
        <v>155</v>
      </c>
      <c r="P20" s="25">
        <v>6</v>
      </c>
      <c r="Q20" s="26">
        <f>C20/P20</f>
        <v>0</v>
      </c>
      <c r="R20" s="26">
        <f>D20/P20</f>
        <v>0</v>
      </c>
      <c r="S20" s="26">
        <f>E20/P20</f>
        <v>0.83333333333333337</v>
      </c>
      <c r="T20" s="26">
        <f>F20/P20</f>
        <v>1</v>
      </c>
      <c r="U20" s="26">
        <f t="shared" ref="U20:U40" si="1">SUM(Q20:T20)</f>
        <v>1.8333333333333335</v>
      </c>
    </row>
    <row r="21" spans="1:24" ht="18" customHeight="1" x14ac:dyDescent="0.35">
      <c r="A21" s="27">
        <v>45717</v>
      </c>
      <c r="B21" s="27" t="s">
        <v>174</v>
      </c>
      <c r="C21" s="28">
        <v>0</v>
      </c>
      <c r="D21" s="28">
        <v>0</v>
      </c>
      <c r="E21" s="28">
        <v>10</v>
      </c>
      <c r="F21" s="28">
        <v>6</v>
      </c>
      <c r="G21" s="15"/>
      <c r="H21" s="29">
        <f t="shared" ref="H21:K24" si="2">C21*H$8</f>
        <v>0</v>
      </c>
      <c r="I21" s="29">
        <f t="shared" si="2"/>
        <v>0</v>
      </c>
      <c r="J21" s="29">
        <f t="shared" si="2"/>
        <v>702960</v>
      </c>
      <c r="K21" s="29">
        <f t="shared" si="2"/>
        <v>393570</v>
      </c>
      <c r="L21" s="30">
        <f>SUM(H21:K21)</f>
        <v>1096530</v>
      </c>
      <c r="M21" s="31">
        <f>L21</f>
        <v>1096530</v>
      </c>
      <c r="N21" s="32" t="s">
        <v>155</v>
      </c>
      <c r="P21" s="25">
        <v>10</v>
      </c>
      <c r="Q21" s="26">
        <f t="shared" ref="Q21:Q24" si="3">C21/P21</f>
        <v>0</v>
      </c>
      <c r="R21" s="26">
        <f t="shared" ref="R21:R24" si="4">D21/P21</f>
        <v>0</v>
      </c>
      <c r="S21" s="26">
        <f t="shared" ref="S21:S24" si="5">E21/P21</f>
        <v>1</v>
      </c>
      <c r="T21" s="26">
        <f t="shared" ref="T21:T29" si="6">F21/P21</f>
        <v>0.6</v>
      </c>
      <c r="U21" s="26">
        <f t="shared" si="1"/>
        <v>1.6</v>
      </c>
    </row>
    <row r="22" spans="1:24" ht="18" customHeight="1" x14ac:dyDescent="0.35">
      <c r="A22" s="27">
        <v>45717</v>
      </c>
      <c r="B22" s="33" t="s">
        <v>173</v>
      </c>
      <c r="C22" s="25">
        <v>0</v>
      </c>
      <c r="D22" s="25">
        <v>0</v>
      </c>
      <c r="E22" s="25">
        <v>12</v>
      </c>
      <c r="F22" s="25">
        <v>12</v>
      </c>
      <c r="G22" s="15"/>
      <c r="H22" s="29">
        <f t="shared" si="2"/>
        <v>0</v>
      </c>
      <c r="I22" s="29">
        <f t="shared" si="2"/>
        <v>0</v>
      </c>
      <c r="J22" s="29">
        <f t="shared" si="2"/>
        <v>843552</v>
      </c>
      <c r="K22" s="29">
        <f t="shared" si="2"/>
        <v>787140</v>
      </c>
      <c r="L22" s="34">
        <f>SUM(H22:K22)</f>
        <v>1630692</v>
      </c>
      <c r="M22" s="31">
        <f t="shared" ref="M22:M36" si="7">L22</f>
        <v>1630692</v>
      </c>
      <c r="N22" s="32" t="s">
        <v>155</v>
      </c>
      <c r="P22" s="25">
        <v>12</v>
      </c>
      <c r="Q22" s="26">
        <f t="shared" si="3"/>
        <v>0</v>
      </c>
      <c r="R22" s="26">
        <f t="shared" si="4"/>
        <v>0</v>
      </c>
      <c r="S22" s="26">
        <f t="shared" si="5"/>
        <v>1</v>
      </c>
      <c r="T22" s="26">
        <f t="shared" si="6"/>
        <v>1</v>
      </c>
      <c r="U22" s="26">
        <f t="shared" si="1"/>
        <v>2</v>
      </c>
      <c r="X22" s="731"/>
    </row>
    <row r="23" spans="1:24" ht="18" customHeight="1" x14ac:dyDescent="0.35">
      <c r="A23" s="35">
        <v>45748</v>
      </c>
      <c r="B23" s="27" t="s">
        <v>174</v>
      </c>
      <c r="C23" s="25">
        <v>0</v>
      </c>
      <c r="D23" s="25">
        <v>0</v>
      </c>
      <c r="E23" s="25">
        <v>12</v>
      </c>
      <c r="F23" s="25">
        <v>13</v>
      </c>
      <c r="G23" s="15"/>
      <c r="H23" s="29">
        <f t="shared" si="2"/>
        <v>0</v>
      </c>
      <c r="I23" s="29">
        <f t="shared" si="2"/>
        <v>0</v>
      </c>
      <c r="J23" s="29">
        <f t="shared" si="2"/>
        <v>843552</v>
      </c>
      <c r="K23" s="29">
        <f t="shared" si="2"/>
        <v>852735</v>
      </c>
      <c r="L23" s="34">
        <f t="shared" ref="L23:L28" si="8">SUM(H23:K23)</f>
        <v>1696287</v>
      </c>
      <c r="M23" s="31">
        <f t="shared" si="7"/>
        <v>1696287</v>
      </c>
      <c r="N23" s="211" t="s">
        <v>155</v>
      </c>
      <c r="P23" s="25">
        <v>13</v>
      </c>
      <c r="Q23" s="26">
        <f t="shared" si="3"/>
        <v>0</v>
      </c>
      <c r="R23" s="26">
        <f t="shared" si="4"/>
        <v>0</v>
      </c>
      <c r="S23" s="26">
        <f t="shared" si="5"/>
        <v>0.92307692307692313</v>
      </c>
      <c r="T23" s="26">
        <f t="shared" si="6"/>
        <v>1</v>
      </c>
      <c r="U23" s="26">
        <f t="shared" si="1"/>
        <v>1.9230769230769231</v>
      </c>
    </row>
    <row r="24" spans="1:24" ht="18" customHeight="1" x14ac:dyDescent="0.35">
      <c r="A24" s="35">
        <v>45748</v>
      </c>
      <c r="B24" s="33" t="s">
        <v>173</v>
      </c>
      <c r="C24" s="25">
        <v>0</v>
      </c>
      <c r="D24" s="25">
        <v>0</v>
      </c>
      <c r="E24" s="25">
        <v>12</v>
      </c>
      <c r="F24" s="25">
        <v>13</v>
      </c>
      <c r="G24" s="15"/>
      <c r="H24" s="29">
        <f t="shared" si="2"/>
        <v>0</v>
      </c>
      <c r="I24" s="29">
        <f t="shared" si="2"/>
        <v>0</v>
      </c>
      <c r="J24" s="29">
        <f t="shared" si="2"/>
        <v>843552</v>
      </c>
      <c r="K24" s="29">
        <f t="shared" si="2"/>
        <v>852735</v>
      </c>
      <c r="L24" s="34">
        <f t="shared" si="8"/>
        <v>1696287</v>
      </c>
      <c r="M24" s="31">
        <f t="shared" si="7"/>
        <v>1696287</v>
      </c>
      <c r="N24" s="211" t="s">
        <v>155</v>
      </c>
      <c r="P24" s="25">
        <v>13</v>
      </c>
      <c r="Q24" s="26">
        <f t="shared" si="3"/>
        <v>0</v>
      </c>
      <c r="R24" s="26">
        <f t="shared" si="4"/>
        <v>0</v>
      </c>
      <c r="S24" s="26">
        <f t="shared" si="5"/>
        <v>0.92307692307692313</v>
      </c>
      <c r="T24" s="26">
        <f t="shared" si="6"/>
        <v>1</v>
      </c>
      <c r="U24" s="26">
        <f t="shared" si="1"/>
        <v>1.9230769230769231</v>
      </c>
    </row>
    <row r="25" spans="1:24" ht="18" customHeight="1" x14ac:dyDescent="0.35">
      <c r="A25" s="35">
        <v>45778</v>
      </c>
      <c r="B25" s="27" t="s">
        <v>174</v>
      </c>
      <c r="C25" s="25">
        <v>0</v>
      </c>
      <c r="D25" s="25">
        <v>0</v>
      </c>
      <c r="E25" s="25">
        <v>13</v>
      </c>
      <c r="F25" s="25">
        <v>13</v>
      </c>
      <c r="G25" s="15"/>
      <c r="H25" s="29">
        <f t="shared" ref="H25:J26" si="9">C25*H$9</f>
        <v>0</v>
      </c>
      <c r="I25" s="29">
        <f t="shared" si="9"/>
        <v>0</v>
      </c>
      <c r="J25" s="29">
        <f t="shared" si="9"/>
        <v>928340.62076514482</v>
      </c>
      <c r="K25" s="29">
        <f t="shared" ref="K25:K26" si="10">F25*K$9</f>
        <v>865385.22033164417</v>
      </c>
      <c r="L25" s="34">
        <f t="shared" si="8"/>
        <v>1793725.8410967891</v>
      </c>
      <c r="M25" s="31">
        <f t="shared" si="7"/>
        <v>1793725.8410967891</v>
      </c>
      <c r="N25" s="211" t="s">
        <v>155</v>
      </c>
      <c r="P25" s="25">
        <v>13</v>
      </c>
      <c r="Q25" s="26">
        <f t="shared" ref="Q25:Q38" si="11">C25/P25</f>
        <v>0</v>
      </c>
      <c r="R25" s="26">
        <f t="shared" ref="R25:R38" si="12">D25/P25</f>
        <v>0</v>
      </c>
      <c r="S25" s="26">
        <f t="shared" ref="S25:S38" si="13">E25/P25</f>
        <v>1</v>
      </c>
      <c r="T25" s="26">
        <f t="shared" si="6"/>
        <v>1</v>
      </c>
      <c r="U25" s="26">
        <f t="shared" si="1"/>
        <v>2</v>
      </c>
    </row>
    <row r="26" spans="1:24" ht="18" customHeight="1" x14ac:dyDescent="0.35">
      <c r="A26" s="35">
        <v>45778</v>
      </c>
      <c r="B26" s="33" t="s">
        <v>173</v>
      </c>
      <c r="C26" s="25">
        <v>0</v>
      </c>
      <c r="D26" s="25">
        <v>0</v>
      </c>
      <c r="E26" s="25">
        <v>14</v>
      </c>
      <c r="F26" s="25">
        <v>15</v>
      </c>
      <c r="G26" s="15"/>
      <c r="H26" s="29">
        <f t="shared" si="9"/>
        <v>0</v>
      </c>
      <c r="I26" s="29">
        <f t="shared" si="9"/>
        <v>0</v>
      </c>
      <c r="J26" s="29">
        <f t="shared" si="9"/>
        <v>999751.43774707895</v>
      </c>
      <c r="K26" s="29">
        <f t="shared" si="10"/>
        <v>998521.40807497408</v>
      </c>
      <c r="L26" s="34">
        <f t="shared" si="8"/>
        <v>1998272.845822053</v>
      </c>
      <c r="M26" s="31">
        <f t="shared" si="7"/>
        <v>1998272.845822053</v>
      </c>
      <c r="N26" s="211" t="s">
        <v>155</v>
      </c>
      <c r="P26" s="25">
        <v>15</v>
      </c>
      <c r="Q26" s="26">
        <f t="shared" si="11"/>
        <v>0</v>
      </c>
      <c r="R26" s="26">
        <f t="shared" si="12"/>
        <v>0</v>
      </c>
      <c r="S26" s="26">
        <f t="shared" si="13"/>
        <v>0.93333333333333335</v>
      </c>
      <c r="T26" s="26">
        <f t="shared" si="6"/>
        <v>1</v>
      </c>
      <c r="U26" s="26">
        <f t="shared" si="1"/>
        <v>1.9333333333333333</v>
      </c>
    </row>
    <row r="27" spans="1:24" ht="18" customHeight="1" x14ac:dyDescent="0.35">
      <c r="A27" s="35">
        <v>45809</v>
      </c>
      <c r="B27" s="27" t="s">
        <v>174</v>
      </c>
      <c r="C27" s="25">
        <v>0</v>
      </c>
      <c r="D27" s="25">
        <v>0</v>
      </c>
      <c r="E27" s="25">
        <v>10</v>
      </c>
      <c r="F27" s="25">
        <f>12+5</f>
        <v>17</v>
      </c>
      <c r="G27" s="15"/>
      <c r="H27" s="29">
        <f t="shared" ref="H27:J28" si="14">C27*H$10</f>
        <v>0</v>
      </c>
      <c r="I27" s="29">
        <f t="shared" si="14"/>
        <v>0</v>
      </c>
      <c r="J27" s="29">
        <f t="shared" si="14"/>
        <v>721321.38365590118</v>
      </c>
      <c r="K27" s="29">
        <f t="shared" ref="K27:K28" si="15">F27*K$10</f>
        <v>1143088.4806245496</v>
      </c>
      <c r="L27" s="34">
        <f t="shared" si="8"/>
        <v>1864409.8642804506</v>
      </c>
      <c r="M27" s="31">
        <f t="shared" si="7"/>
        <v>1864409.8642804506</v>
      </c>
      <c r="N27" s="211" t="s">
        <v>155</v>
      </c>
      <c r="P27" s="25">
        <v>12</v>
      </c>
      <c r="Q27" s="26">
        <f t="shared" si="11"/>
        <v>0</v>
      </c>
      <c r="R27" s="26">
        <f t="shared" si="12"/>
        <v>0</v>
      </c>
      <c r="S27" s="26">
        <f t="shared" si="13"/>
        <v>0.83333333333333337</v>
      </c>
      <c r="T27" s="26">
        <f t="shared" si="6"/>
        <v>1.4166666666666667</v>
      </c>
      <c r="U27" s="26">
        <f t="shared" si="1"/>
        <v>2.25</v>
      </c>
    </row>
    <row r="28" spans="1:24" ht="18" customHeight="1" x14ac:dyDescent="0.35">
      <c r="A28" s="35">
        <v>45809</v>
      </c>
      <c r="B28" s="33" t="s">
        <v>173</v>
      </c>
      <c r="C28" s="25">
        <v>0</v>
      </c>
      <c r="D28" s="25">
        <v>0</v>
      </c>
      <c r="E28" s="25">
        <v>14</v>
      </c>
      <c r="F28" s="25">
        <f>13.5+14</f>
        <v>27.5</v>
      </c>
      <c r="G28" s="15"/>
      <c r="H28" s="29">
        <f t="shared" si="14"/>
        <v>0</v>
      </c>
      <c r="I28" s="29">
        <f t="shared" si="14"/>
        <v>0</v>
      </c>
      <c r="J28" s="29">
        <f t="shared" si="14"/>
        <v>1009849.9371182616</v>
      </c>
      <c r="K28" s="29">
        <f t="shared" si="15"/>
        <v>1849113.7186573595</v>
      </c>
      <c r="L28" s="34">
        <f t="shared" si="8"/>
        <v>2858963.6557756211</v>
      </c>
      <c r="M28" s="31">
        <f t="shared" si="7"/>
        <v>2858963.6557756211</v>
      </c>
      <c r="N28" s="211" t="s">
        <v>155</v>
      </c>
      <c r="P28" s="25">
        <v>14</v>
      </c>
      <c r="Q28" s="26">
        <f t="shared" si="11"/>
        <v>0</v>
      </c>
      <c r="R28" s="26">
        <f t="shared" si="12"/>
        <v>0</v>
      </c>
      <c r="S28" s="26">
        <f t="shared" si="13"/>
        <v>1</v>
      </c>
      <c r="T28" s="26">
        <f t="shared" si="6"/>
        <v>1.9642857142857142</v>
      </c>
      <c r="U28" s="26">
        <f t="shared" si="1"/>
        <v>2.9642857142857144</v>
      </c>
    </row>
    <row r="29" spans="1:24" ht="18" customHeight="1" x14ac:dyDescent="0.35">
      <c r="A29" s="35">
        <v>45839</v>
      </c>
      <c r="B29" s="33" t="s">
        <v>174</v>
      </c>
      <c r="C29" s="25">
        <v>0</v>
      </c>
      <c r="D29" s="25">
        <v>0</v>
      </c>
      <c r="E29" s="25">
        <v>12</v>
      </c>
      <c r="F29" s="25">
        <f>14+14</f>
        <v>28</v>
      </c>
      <c r="G29" s="15"/>
      <c r="H29" s="29">
        <f t="shared" ref="H29:J30" si="16">C29*H$11</f>
        <v>0</v>
      </c>
      <c r="I29" s="29">
        <f t="shared" si="16"/>
        <v>0</v>
      </c>
      <c r="J29" s="29">
        <f t="shared" si="16"/>
        <v>874452</v>
      </c>
      <c r="K29" s="29">
        <f t="shared" ref="K29:K30" si="17">F29*K$11</f>
        <v>1901424</v>
      </c>
      <c r="L29" s="34">
        <f t="shared" ref="L29:L36" si="18">SUM(H29:K29)</f>
        <v>2775876</v>
      </c>
      <c r="M29" s="31">
        <f t="shared" si="7"/>
        <v>2775876</v>
      </c>
      <c r="N29" s="211" t="s">
        <v>155</v>
      </c>
      <c r="P29" s="25">
        <v>14</v>
      </c>
      <c r="Q29" s="38">
        <f t="shared" si="11"/>
        <v>0</v>
      </c>
      <c r="R29" s="38">
        <f t="shared" si="12"/>
        <v>0</v>
      </c>
      <c r="S29" s="38">
        <f t="shared" si="13"/>
        <v>0.8571428571428571</v>
      </c>
      <c r="T29" s="38">
        <f t="shared" si="6"/>
        <v>2</v>
      </c>
      <c r="U29" s="38">
        <f t="shared" si="1"/>
        <v>2.8571428571428572</v>
      </c>
    </row>
    <row r="30" spans="1:24" ht="18" customHeight="1" x14ac:dyDescent="0.35">
      <c r="A30" s="35">
        <v>45839</v>
      </c>
      <c r="B30" s="33" t="s">
        <v>173</v>
      </c>
      <c r="C30" s="25">
        <v>0</v>
      </c>
      <c r="D30" s="25">
        <v>0</v>
      </c>
      <c r="E30" s="25">
        <v>13</v>
      </c>
      <c r="F30" s="25">
        <f>16+16+12</f>
        <v>44</v>
      </c>
      <c r="G30" s="15"/>
      <c r="H30" s="29">
        <f t="shared" si="16"/>
        <v>0</v>
      </c>
      <c r="I30" s="29">
        <f t="shared" si="16"/>
        <v>0</v>
      </c>
      <c r="J30" s="29">
        <f t="shared" si="16"/>
        <v>947323</v>
      </c>
      <c r="K30" s="29">
        <f t="shared" si="17"/>
        <v>2987952</v>
      </c>
      <c r="L30" s="34">
        <f t="shared" si="18"/>
        <v>3935275</v>
      </c>
      <c r="M30" s="31">
        <f t="shared" si="7"/>
        <v>3935275</v>
      </c>
      <c r="N30" s="211" t="s">
        <v>155</v>
      </c>
      <c r="P30" s="25">
        <v>14</v>
      </c>
      <c r="Q30" s="38">
        <f t="shared" si="11"/>
        <v>0</v>
      </c>
      <c r="R30" s="38">
        <f t="shared" si="12"/>
        <v>0</v>
      </c>
      <c r="S30" s="38">
        <f t="shared" si="13"/>
        <v>0.9285714285714286</v>
      </c>
      <c r="T30" s="38">
        <f t="shared" ref="T30:T38" si="19">F30/P30</f>
        <v>3.1428571428571428</v>
      </c>
      <c r="U30" s="38">
        <f t="shared" si="1"/>
        <v>4.0714285714285712</v>
      </c>
    </row>
    <row r="31" spans="1:24" ht="18" customHeight="1" x14ac:dyDescent="0.35">
      <c r="A31" s="35">
        <v>45870</v>
      </c>
      <c r="B31" s="33" t="s">
        <v>174</v>
      </c>
      <c r="C31" s="25">
        <v>0</v>
      </c>
      <c r="D31" s="25">
        <v>0</v>
      </c>
      <c r="E31" s="25">
        <v>14</v>
      </c>
      <c r="F31" s="25">
        <f>14+14</f>
        <v>28</v>
      </c>
      <c r="G31" s="15"/>
      <c r="H31" s="29">
        <f t="shared" ref="H31:J32" si="20">C31*H$12</f>
        <v>0</v>
      </c>
      <c r="I31" s="29">
        <f t="shared" si="20"/>
        <v>0</v>
      </c>
      <c r="J31" s="29">
        <f t="shared" si="20"/>
        <v>1032935.54</v>
      </c>
      <c r="K31" s="29">
        <f t="shared" ref="K31:K32" si="21">F31*K$12</f>
        <v>1930189.8000000003</v>
      </c>
      <c r="L31" s="34">
        <f t="shared" si="18"/>
        <v>2963125.3400000003</v>
      </c>
      <c r="M31" s="31">
        <f t="shared" si="7"/>
        <v>2963125.3400000003</v>
      </c>
      <c r="N31" s="211" t="s">
        <v>155</v>
      </c>
      <c r="P31" s="25">
        <v>14</v>
      </c>
      <c r="Q31" s="38">
        <f t="shared" si="11"/>
        <v>0</v>
      </c>
      <c r="R31" s="38">
        <f t="shared" si="12"/>
        <v>0</v>
      </c>
      <c r="S31" s="38">
        <f t="shared" si="13"/>
        <v>1</v>
      </c>
      <c r="T31" s="38">
        <f t="shared" si="19"/>
        <v>2</v>
      </c>
      <c r="U31" s="38">
        <f t="shared" si="1"/>
        <v>3</v>
      </c>
    </row>
    <row r="32" spans="1:24" ht="18" customHeight="1" x14ac:dyDescent="0.35">
      <c r="A32" s="35">
        <v>45870</v>
      </c>
      <c r="B32" s="33" t="s">
        <v>173</v>
      </c>
      <c r="C32" s="25">
        <v>0</v>
      </c>
      <c r="D32" s="25">
        <v>0</v>
      </c>
      <c r="E32" s="25">
        <v>12</v>
      </c>
      <c r="F32" s="25">
        <f>14+13</f>
        <v>27</v>
      </c>
      <c r="G32" s="15"/>
      <c r="H32" s="29">
        <f t="shared" si="20"/>
        <v>0</v>
      </c>
      <c r="I32" s="29">
        <f t="shared" si="20"/>
        <v>0</v>
      </c>
      <c r="J32" s="29">
        <f t="shared" si="20"/>
        <v>885373.32000000007</v>
      </c>
      <c r="K32" s="29">
        <f t="shared" si="21"/>
        <v>1861254.4500000002</v>
      </c>
      <c r="L32" s="34">
        <f t="shared" si="18"/>
        <v>2746627.7700000005</v>
      </c>
      <c r="M32" s="31">
        <f t="shared" si="7"/>
        <v>2746627.7700000005</v>
      </c>
      <c r="N32" s="211" t="s">
        <v>155</v>
      </c>
      <c r="P32" s="25">
        <v>14</v>
      </c>
      <c r="Q32" s="38">
        <f t="shared" si="11"/>
        <v>0</v>
      </c>
      <c r="R32" s="38">
        <f t="shared" si="12"/>
        <v>0</v>
      </c>
      <c r="S32" s="38">
        <f t="shared" si="13"/>
        <v>0.8571428571428571</v>
      </c>
      <c r="T32" s="38">
        <f t="shared" si="19"/>
        <v>1.9285714285714286</v>
      </c>
      <c r="U32" s="38">
        <f t="shared" si="1"/>
        <v>2.7857142857142856</v>
      </c>
      <c r="X32" s="731"/>
    </row>
    <row r="33" spans="1:24" ht="18" customHeight="1" x14ac:dyDescent="0.35">
      <c r="A33" s="35">
        <v>45901</v>
      </c>
      <c r="B33" s="33" t="s">
        <v>174</v>
      </c>
      <c r="C33" s="25">
        <v>0</v>
      </c>
      <c r="D33" s="25">
        <v>0</v>
      </c>
      <c r="E33" s="25">
        <v>12</v>
      </c>
      <c r="F33" s="25">
        <f>14+12.5+14</f>
        <v>40.5</v>
      </c>
      <c r="G33" s="15"/>
      <c r="H33" s="29">
        <f t="shared" ref="H33:J34" si="22">C33*H$13</f>
        <v>0</v>
      </c>
      <c r="I33" s="29">
        <f t="shared" si="22"/>
        <v>0</v>
      </c>
      <c r="J33" s="29">
        <f t="shared" si="22"/>
        <v>909098.3034188638</v>
      </c>
      <c r="K33" s="29">
        <f t="shared" ref="K33:K34" si="23">F33*K$13</f>
        <v>2877165.3098436645</v>
      </c>
      <c r="L33" s="34">
        <f t="shared" si="18"/>
        <v>3786263.6132625286</v>
      </c>
      <c r="M33" s="31">
        <f t="shared" si="7"/>
        <v>3786263.6132625286</v>
      </c>
      <c r="N33" s="211" t="s">
        <v>155</v>
      </c>
      <c r="P33" s="25">
        <v>14</v>
      </c>
      <c r="Q33" s="38">
        <f t="shared" si="11"/>
        <v>0</v>
      </c>
      <c r="R33" s="38">
        <f t="shared" si="12"/>
        <v>0</v>
      </c>
      <c r="S33" s="38">
        <f t="shared" si="13"/>
        <v>0.8571428571428571</v>
      </c>
      <c r="T33" s="38">
        <f t="shared" si="19"/>
        <v>2.8928571428571428</v>
      </c>
      <c r="U33" s="38">
        <f t="shared" si="1"/>
        <v>3.75</v>
      </c>
      <c r="X33" s="731"/>
    </row>
    <row r="34" spans="1:24" ht="18" customHeight="1" x14ac:dyDescent="0.35">
      <c r="A34" s="35">
        <v>45901</v>
      </c>
      <c r="B34" s="33" t="s">
        <v>173</v>
      </c>
      <c r="C34" s="25">
        <v>0</v>
      </c>
      <c r="D34" s="25">
        <v>0</v>
      </c>
      <c r="E34" s="25">
        <v>11</v>
      </c>
      <c r="F34" s="25">
        <f>13+5+13+13</f>
        <v>44</v>
      </c>
      <c r="G34" s="15"/>
      <c r="H34" s="29">
        <f t="shared" si="22"/>
        <v>0</v>
      </c>
      <c r="I34" s="29">
        <f t="shared" si="22"/>
        <v>0</v>
      </c>
      <c r="J34" s="29">
        <f t="shared" si="22"/>
        <v>833340.11146729172</v>
      </c>
      <c r="K34" s="29">
        <f t="shared" si="23"/>
        <v>3125809.2255091667</v>
      </c>
      <c r="L34" s="34">
        <f t="shared" si="18"/>
        <v>3959149.3369764583</v>
      </c>
      <c r="M34" s="31">
        <f t="shared" si="7"/>
        <v>3959149.3369764583</v>
      </c>
      <c r="N34" s="211" t="s">
        <v>155</v>
      </c>
      <c r="P34" s="25">
        <v>13</v>
      </c>
      <c r="Q34" s="38">
        <f t="shared" si="11"/>
        <v>0</v>
      </c>
      <c r="R34" s="38">
        <f t="shared" si="12"/>
        <v>0</v>
      </c>
      <c r="S34" s="38">
        <f t="shared" si="13"/>
        <v>0.84615384615384615</v>
      </c>
      <c r="T34" s="38">
        <f t="shared" si="19"/>
        <v>3.3846153846153846</v>
      </c>
      <c r="U34" s="38">
        <f t="shared" si="1"/>
        <v>4.2307692307692308</v>
      </c>
      <c r="X34" s="731"/>
    </row>
    <row r="35" spans="1:24" ht="18" customHeight="1" x14ac:dyDescent="0.35">
      <c r="A35" s="35">
        <v>45931</v>
      </c>
      <c r="B35" s="33" t="s">
        <v>174</v>
      </c>
      <c r="C35" s="25">
        <v>0</v>
      </c>
      <c r="D35" s="25">
        <v>0</v>
      </c>
      <c r="E35" s="25">
        <v>12</v>
      </c>
      <c r="F35" s="25">
        <f>13+13+14</f>
        <v>40</v>
      </c>
      <c r="G35" s="15"/>
      <c r="H35" s="29">
        <f t="shared" ref="H35:J36" si="24">C35*H$14</f>
        <v>0</v>
      </c>
      <c r="I35" s="29">
        <f t="shared" si="24"/>
        <v>0</v>
      </c>
      <c r="J35" s="29">
        <f t="shared" si="24"/>
        <v>912386.11717886373</v>
      </c>
      <c r="K35" s="29">
        <f t="shared" ref="K35:K36" si="25">F35*K$14</f>
        <v>2851690.8480628794</v>
      </c>
      <c r="L35" s="34">
        <f t="shared" si="18"/>
        <v>3764076.9652417433</v>
      </c>
      <c r="M35" s="31">
        <f t="shared" si="7"/>
        <v>3764076.9652417433</v>
      </c>
      <c r="N35" s="211" t="s">
        <v>155</v>
      </c>
      <c r="P35" s="25">
        <v>13</v>
      </c>
      <c r="Q35" s="38">
        <f t="shared" si="11"/>
        <v>0</v>
      </c>
      <c r="R35" s="38">
        <f t="shared" si="12"/>
        <v>0</v>
      </c>
      <c r="S35" s="38">
        <f t="shared" si="13"/>
        <v>0.92307692307692313</v>
      </c>
      <c r="T35" s="38">
        <f t="shared" si="19"/>
        <v>3.0769230769230771</v>
      </c>
      <c r="U35" s="38">
        <f t="shared" si="1"/>
        <v>4</v>
      </c>
      <c r="X35" s="731"/>
    </row>
    <row r="36" spans="1:24" ht="18" customHeight="1" x14ac:dyDescent="0.35">
      <c r="A36" s="35">
        <v>45931</v>
      </c>
      <c r="B36" s="33" t="s">
        <v>173</v>
      </c>
      <c r="C36" s="25">
        <v>0</v>
      </c>
      <c r="D36" s="25">
        <v>0</v>
      </c>
      <c r="E36" s="25">
        <v>14</v>
      </c>
      <c r="F36" s="25">
        <f>14+14+14</f>
        <v>42</v>
      </c>
      <c r="G36" s="15"/>
      <c r="H36" s="29">
        <f t="shared" si="24"/>
        <v>0</v>
      </c>
      <c r="I36" s="29">
        <f t="shared" si="24"/>
        <v>0</v>
      </c>
      <c r="J36" s="29">
        <f t="shared" si="24"/>
        <v>1064450.4700420077</v>
      </c>
      <c r="K36" s="29">
        <f t="shared" si="25"/>
        <v>2994275.3904660237</v>
      </c>
      <c r="L36" s="34">
        <f t="shared" si="18"/>
        <v>4058725.8605080312</v>
      </c>
      <c r="M36" s="31">
        <f t="shared" si="7"/>
        <v>4058725.8605080312</v>
      </c>
      <c r="N36" s="211" t="s">
        <v>155</v>
      </c>
      <c r="P36" s="25">
        <v>14</v>
      </c>
      <c r="Q36" s="38">
        <f t="shared" si="11"/>
        <v>0</v>
      </c>
      <c r="R36" s="38">
        <f t="shared" si="12"/>
        <v>0</v>
      </c>
      <c r="S36" s="38">
        <f t="shared" si="13"/>
        <v>1</v>
      </c>
      <c r="T36" s="38">
        <f t="shared" si="19"/>
        <v>3</v>
      </c>
      <c r="U36" s="38">
        <f t="shared" si="1"/>
        <v>4</v>
      </c>
      <c r="X36" s="731"/>
    </row>
    <row r="37" spans="1:24" ht="18" customHeight="1" x14ac:dyDescent="0.35">
      <c r="A37" s="35">
        <v>45962</v>
      </c>
      <c r="B37" s="33" t="s">
        <v>174</v>
      </c>
      <c r="C37" s="25">
        <v>11</v>
      </c>
      <c r="D37" s="25">
        <v>11</v>
      </c>
      <c r="E37" s="25">
        <v>13</v>
      </c>
      <c r="F37" s="25">
        <f>14+11+14+14</f>
        <v>53</v>
      </c>
      <c r="G37" s="15"/>
      <c r="H37" s="29">
        <f>C37*H$15</f>
        <v>1205832.1599947915</v>
      </c>
      <c r="I37" s="29">
        <f t="shared" ref="I37:K37" si="26">D37*I$15</f>
        <v>1003781.3571872917</v>
      </c>
      <c r="J37" s="29">
        <f t="shared" si="26"/>
        <v>1008957.5348329355</v>
      </c>
      <c r="K37" s="29">
        <f t="shared" si="26"/>
        <v>3841794.1781483148</v>
      </c>
      <c r="L37" s="34">
        <f t="shared" ref="L37" si="27">SUM(H37:K37)</f>
        <v>7060365.2301633339</v>
      </c>
      <c r="M37" s="31">
        <f t="shared" ref="M37" si="28">L37</f>
        <v>7060365.2301633339</v>
      </c>
      <c r="N37" s="211" t="s">
        <v>155</v>
      </c>
      <c r="P37" s="25">
        <v>13</v>
      </c>
      <c r="Q37" s="38">
        <f t="shared" si="11"/>
        <v>0.84615384615384615</v>
      </c>
      <c r="R37" s="38">
        <f t="shared" si="12"/>
        <v>0.84615384615384615</v>
      </c>
      <c r="S37" s="38">
        <f t="shared" si="13"/>
        <v>1</v>
      </c>
      <c r="T37" s="38">
        <f t="shared" si="19"/>
        <v>4.0769230769230766</v>
      </c>
      <c r="U37" s="38">
        <f t="shared" si="1"/>
        <v>6.7692307692307692</v>
      </c>
      <c r="X37" s="731"/>
    </row>
    <row r="38" spans="1:24" ht="18" customHeight="1" x14ac:dyDescent="0.35">
      <c r="A38" s="35">
        <v>45962</v>
      </c>
      <c r="B38" s="33" t="s">
        <v>173</v>
      </c>
      <c r="C38" s="25">
        <v>12</v>
      </c>
      <c r="D38" s="25">
        <v>11</v>
      </c>
      <c r="E38" s="25">
        <v>10</v>
      </c>
      <c r="F38" s="25">
        <f>12+12+12+12</f>
        <v>48</v>
      </c>
      <c r="G38" s="15"/>
      <c r="H38" s="29">
        <f>C38*H$15</f>
        <v>1315453.2654488636</v>
      </c>
      <c r="I38" s="29">
        <f t="shared" ref="I38" si="29">D38*I$15</f>
        <v>1003781.3571872917</v>
      </c>
      <c r="J38" s="29">
        <f t="shared" ref="J38" si="30">E38*J$15</f>
        <v>776121.18064071971</v>
      </c>
      <c r="K38" s="29">
        <f t="shared" ref="K38" si="31">F38*K$15</f>
        <v>3479360.7651154548</v>
      </c>
      <c r="L38" s="34">
        <f t="shared" ref="L38:L42" si="32">SUM(H38:K38)</f>
        <v>6574716.5683923298</v>
      </c>
      <c r="M38" s="31">
        <f t="shared" ref="M38:M42" si="33">L38</f>
        <v>6574716.5683923298</v>
      </c>
      <c r="N38" s="211" t="s">
        <v>155</v>
      </c>
      <c r="P38" s="25">
        <v>12</v>
      </c>
      <c r="Q38" s="38">
        <f t="shared" si="11"/>
        <v>1</v>
      </c>
      <c r="R38" s="38">
        <f t="shared" si="12"/>
        <v>0.91666666666666663</v>
      </c>
      <c r="S38" s="38">
        <f t="shared" si="13"/>
        <v>0.83333333333333337</v>
      </c>
      <c r="T38" s="38">
        <f t="shared" si="19"/>
        <v>4</v>
      </c>
      <c r="U38" s="38">
        <f t="shared" si="1"/>
        <v>6.75</v>
      </c>
      <c r="X38" s="731"/>
    </row>
    <row r="39" spans="1:24" ht="18" customHeight="1" x14ac:dyDescent="0.35">
      <c r="A39" s="35">
        <v>45992</v>
      </c>
      <c r="B39" s="33" t="s">
        <v>174</v>
      </c>
      <c r="C39" s="25">
        <f>13.5</f>
        <v>13.5</v>
      </c>
      <c r="D39" s="25">
        <f>13.5+13.5+5</f>
        <v>32</v>
      </c>
      <c r="E39" s="25">
        <f>11.5</f>
        <v>11.5</v>
      </c>
      <c r="F39" s="25">
        <f>14+14+14+14</f>
        <v>56</v>
      </c>
      <c r="G39" s="15"/>
      <c r="H39" s="29">
        <f>C39*H$16</f>
        <v>1537179.9550984632</v>
      </c>
      <c r="I39" s="29">
        <f t="shared" ref="I39:K40" si="34">D39*I$16</f>
        <v>3046301.6658708355</v>
      </c>
      <c r="J39" s="29">
        <f t="shared" si="34"/>
        <v>935596.23639517243</v>
      </c>
      <c r="K39" s="29">
        <f t="shared" si="34"/>
        <v>4268922.5046521444</v>
      </c>
      <c r="L39" s="34">
        <f t="shared" si="32"/>
        <v>9788000.3620166164</v>
      </c>
      <c r="M39" s="31">
        <f t="shared" si="33"/>
        <v>9788000.3620166164</v>
      </c>
      <c r="N39" s="211" t="s">
        <v>155</v>
      </c>
      <c r="P39" s="25">
        <v>13</v>
      </c>
      <c r="Q39" s="38">
        <f t="shared" ref="Q39:Q40" si="35">C39/P39</f>
        <v>1.0384615384615385</v>
      </c>
      <c r="R39" s="38">
        <f t="shared" ref="R39:R40" si="36">D39/P39</f>
        <v>2.4615384615384617</v>
      </c>
      <c r="S39" s="38">
        <f t="shared" ref="S39:S40" si="37">E39/P39</f>
        <v>0.88461538461538458</v>
      </c>
      <c r="T39" s="38">
        <f t="shared" ref="T39:T40" si="38">F39/P39</f>
        <v>4.3076923076923075</v>
      </c>
      <c r="U39" s="38">
        <f t="shared" si="1"/>
        <v>8.6923076923076934</v>
      </c>
      <c r="X39" s="731"/>
    </row>
    <row r="40" spans="1:24" ht="18" customHeight="1" x14ac:dyDescent="0.35">
      <c r="A40" s="35">
        <v>45992</v>
      </c>
      <c r="B40" s="33" t="s">
        <v>173</v>
      </c>
      <c r="C40" s="25">
        <v>13</v>
      </c>
      <c r="D40" s="25">
        <f>13+13+12</f>
        <v>38</v>
      </c>
      <c r="E40" s="25">
        <v>12</v>
      </c>
      <c r="F40" s="25">
        <f>13+13+13+13</f>
        <v>52</v>
      </c>
      <c r="G40" s="15"/>
      <c r="H40" s="29">
        <f>C40*H$16</f>
        <v>1480247.3641688905</v>
      </c>
      <c r="I40" s="29">
        <f t="shared" si="34"/>
        <v>3617483.2282216172</v>
      </c>
      <c r="J40" s="29">
        <f t="shared" si="34"/>
        <v>976274.33362974506</v>
      </c>
      <c r="K40" s="29">
        <f t="shared" si="34"/>
        <v>3963999.4686055626</v>
      </c>
      <c r="L40" s="34">
        <f t="shared" si="32"/>
        <v>10038004.394625815</v>
      </c>
      <c r="M40" s="31">
        <f t="shared" si="33"/>
        <v>10038004.394625815</v>
      </c>
      <c r="N40" s="211" t="s">
        <v>155</v>
      </c>
      <c r="P40" s="25">
        <v>14</v>
      </c>
      <c r="Q40" s="38">
        <f t="shared" si="35"/>
        <v>0.9285714285714286</v>
      </c>
      <c r="R40" s="38">
        <f t="shared" si="36"/>
        <v>2.7142857142857144</v>
      </c>
      <c r="S40" s="38">
        <f t="shared" si="37"/>
        <v>0.8571428571428571</v>
      </c>
      <c r="T40" s="38">
        <f t="shared" si="38"/>
        <v>3.7142857142857144</v>
      </c>
      <c r="U40" s="38">
        <f t="shared" si="1"/>
        <v>8.2142857142857153</v>
      </c>
      <c r="X40" s="731"/>
    </row>
    <row r="41" spans="1:24" ht="18" customHeight="1" x14ac:dyDescent="0.35">
      <c r="A41" s="35">
        <v>46023</v>
      </c>
      <c r="B41" s="33" t="s">
        <v>174</v>
      </c>
      <c r="C41" s="25">
        <v>23</v>
      </c>
      <c r="D41" s="25">
        <v>24</v>
      </c>
      <c r="E41" s="25">
        <v>21</v>
      </c>
      <c r="F41" s="25">
        <v>50</v>
      </c>
      <c r="G41" s="15"/>
      <c r="H41" s="29">
        <f>C41*H$17</f>
        <v>2701411.1173628448</v>
      </c>
      <c r="I41" s="29">
        <f t="shared" ref="I41:K42" si="39">D41*I$17</f>
        <v>2348802.4767994904</v>
      </c>
      <c r="J41" s="29">
        <f t="shared" si="39"/>
        <v>1755913.7484345541</v>
      </c>
      <c r="K41" s="29">
        <f t="shared" si="39"/>
        <v>3914552.0885822722</v>
      </c>
      <c r="L41" s="34">
        <f t="shared" si="32"/>
        <v>10720679.431179162</v>
      </c>
      <c r="M41" s="31">
        <f t="shared" si="33"/>
        <v>10720679.431179162</v>
      </c>
      <c r="N41" s="211" t="s">
        <v>155</v>
      </c>
      <c r="P41" s="25">
        <v>13</v>
      </c>
      <c r="Q41" s="38">
        <f t="shared" ref="Q41:Q44" si="40">C41/P41</f>
        <v>1.7692307692307692</v>
      </c>
      <c r="R41" s="38">
        <f t="shared" ref="R41:R44" si="41">D41/P41</f>
        <v>1.8461538461538463</v>
      </c>
      <c r="S41" s="38">
        <f t="shared" ref="S41:S44" si="42">E41/P41</f>
        <v>1.6153846153846154</v>
      </c>
      <c r="T41" s="38">
        <f t="shared" ref="T41:T44" si="43">F41/P41</f>
        <v>3.8461538461538463</v>
      </c>
      <c r="U41" s="38">
        <f t="shared" ref="U41:U42" si="44">SUM(Q41:T41)</f>
        <v>9.0769230769230766</v>
      </c>
      <c r="X41" s="731"/>
    </row>
    <row r="42" spans="1:24" ht="18" customHeight="1" x14ac:dyDescent="0.35">
      <c r="A42" s="35">
        <v>46023</v>
      </c>
      <c r="B42" s="33" t="s">
        <v>173</v>
      </c>
      <c r="C42" s="25">
        <v>24</v>
      </c>
      <c r="D42" s="25">
        <v>27</v>
      </c>
      <c r="E42" s="25">
        <v>19</v>
      </c>
      <c r="F42" s="25">
        <v>43</v>
      </c>
      <c r="G42" s="15"/>
      <c r="H42" s="29">
        <f>C42*H$17</f>
        <v>2818863.7746394901</v>
      </c>
      <c r="I42" s="29">
        <f t="shared" si="39"/>
        <v>2642402.7863994269</v>
      </c>
      <c r="J42" s="29">
        <f t="shared" si="39"/>
        <v>1588683.8676312633</v>
      </c>
      <c r="K42" s="29">
        <f t="shared" si="39"/>
        <v>3366514.796180754</v>
      </c>
      <c r="L42" s="34">
        <f t="shared" si="32"/>
        <v>10416465.224850934</v>
      </c>
      <c r="M42" s="31">
        <f t="shared" si="33"/>
        <v>10416465.224850934</v>
      </c>
      <c r="N42" s="211" t="s">
        <v>155</v>
      </c>
      <c r="P42" s="25">
        <v>14</v>
      </c>
      <c r="Q42" s="38">
        <f t="shared" si="40"/>
        <v>1.7142857142857142</v>
      </c>
      <c r="R42" s="38">
        <f t="shared" si="41"/>
        <v>1.9285714285714286</v>
      </c>
      <c r="S42" s="38">
        <f t="shared" si="42"/>
        <v>1.3571428571428572</v>
      </c>
      <c r="T42" s="38">
        <f t="shared" si="43"/>
        <v>3.0714285714285716</v>
      </c>
      <c r="U42" s="38">
        <f t="shared" si="44"/>
        <v>8.0714285714285712</v>
      </c>
      <c r="X42" s="731"/>
    </row>
    <row r="43" spans="1:24" ht="18" customHeight="1" x14ac:dyDescent="0.35">
      <c r="A43" s="35">
        <v>46054</v>
      </c>
      <c r="B43" s="33" t="s">
        <v>174</v>
      </c>
      <c r="C43" s="25">
        <v>22</v>
      </c>
      <c r="D43" s="25">
        <v>32</v>
      </c>
      <c r="E43" s="25">
        <v>14</v>
      </c>
      <c r="F43" s="25">
        <v>46</v>
      </c>
      <c r="G43" s="15"/>
      <c r="H43" s="29">
        <f>C43*H$18</f>
        <v>2626939.3534261999</v>
      </c>
      <c r="I43" s="29">
        <f t="shared" ref="I43:K43" si="45">D43*I18</f>
        <v>3183345.8552526538</v>
      </c>
      <c r="J43" s="29">
        <f t="shared" si="45"/>
        <v>1189282.4882630361</v>
      </c>
      <c r="K43" s="29">
        <f t="shared" si="45"/>
        <v>3656567.7136956896</v>
      </c>
      <c r="L43" s="34">
        <f t="shared" ref="L43" si="46">SUM(H43:K43)</f>
        <v>10656135.41063758</v>
      </c>
      <c r="M43" s="31">
        <f t="shared" ref="M43" si="47">L43</f>
        <v>10656135.41063758</v>
      </c>
      <c r="N43" s="211" t="s">
        <v>155</v>
      </c>
      <c r="P43" s="25">
        <v>13</v>
      </c>
      <c r="Q43" s="38">
        <f t="shared" si="40"/>
        <v>1.6923076923076923</v>
      </c>
      <c r="R43" s="38">
        <f t="shared" si="41"/>
        <v>2.4615384615384617</v>
      </c>
      <c r="S43" s="38">
        <f t="shared" si="42"/>
        <v>1.0769230769230769</v>
      </c>
      <c r="T43" s="38">
        <f t="shared" si="43"/>
        <v>3.5384615384615383</v>
      </c>
      <c r="U43" s="38">
        <f t="shared" ref="U43:U44" si="48">SUM(Q43:T43)</f>
        <v>8.7692307692307701</v>
      </c>
      <c r="X43" s="731"/>
    </row>
    <row r="44" spans="1:24" ht="18" customHeight="1" x14ac:dyDescent="0.35">
      <c r="A44" s="35">
        <v>46054</v>
      </c>
      <c r="B44" s="33" t="s">
        <v>173</v>
      </c>
      <c r="C44" s="25">
        <v>19</v>
      </c>
      <c r="D44" s="25">
        <v>28</v>
      </c>
      <c r="E44" s="25">
        <v>10</v>
      </c>
      <c r="F44" s="25">
        <v>43.5</v>
      </c>
      <c r="G44" s="15"/>
      <c r="H44" s="29">
        <f>C44*H$18</f>
        <v>2268720.3506862633</v>
      </c>
      <c r="I44" s="29">
        <f t="shared" ref="I44:K44" si="49">D44*I$18</f>
        <v>2785427.6233460722</v>
      </c>
      <c r="J44" s="29">
        <f t="shared" si="49"/>
        <v>849487.49161645432</v>
      </c>
      <c r="K44" s="29">
        <f t="shared" si="49"/>
        <v>3457841.2075165762</v>
      </c>
      <c r="L44" s="34">
        <f t="shared" ref="L44" si="50">SUM(H44:K44)</f>
        <v>9361476.6731653661</v>
      </c>
      <c r="M44" s="31">
        <f t="shared" ref="M44" si="51">L44</f>
        <v>9361476.6731653661</v>
      </c>
      <c r="N44" s="211" t="s">
        <v>155</v>
      </c>
      <c r="P44" s="25">
        <v>14</v>
      </c>
      <c r="Q44" s="38">
        <f t="shared" si="40"/>
        <v>1.3571428571428572</v>
      </c>
      <c r="R44" s="38">
        <f t="shared" si="41"/>
        <v>2</v>
      </c>
      <c r="S44" s="38">
        <f t="shared" si="42"/>
        <v>0.7142857142857143</v>
      </c>
      <c r="T44" s="38">
        <f t="shared" si="43"/>
        <v>3.1071428571428572</v>
      </c>
      <c r="U44" s="38">
        <f t="shared" si="48"/>
        <v>7.1785714285714288</v>
      </c>
      <c r="X44" s="731"/>
    </row>
    <row r="45" spans="1:24" ht="18" customHeight="1" x14ac:dyDescent="0.35">
      <c r="A45" s="35">
        <v>46082</v>
      </c>
      <c r="B45" s="33" t="s">
        <v>174</v>
      </c>
      <c r="C45" s="25">
        <v>20</v>
      </c>
      <c r="D45" s="25">
        <v>32</v>
      </c>
      <c r="E45" s="25">
        <f>11+0.5</f>
        <v>11.5</v>
      </c>
      <c r="F45" s="25">
        <v>46</v>
      </c>
      <c r="G45" s="15"/>
      <c r="H45" s="29">
        <f>C45*H$19</f>
        <v>2448915.8117329087</v>
      </c>
      <c r="I45" s="29">
        <f t="shared" ref="I45:K46" si="52">D45*I$19</f>
        <v>3264930.1402490176</v>
      </c>
      <c r="J45" s="29">
        <f t="shared" si="52"/>
        <v>1001655.4039264225</v>
      </c>
      <c r="K45" s="29">
        <f t="shared" si="52"/>
        <v>3746871.0893706894</v>
      </c>
      <c r="L45" s="34">
        <f t="shared" ref="L45:L46" si="53">SUM(H45:K45)</f>
        <v>10462372.445279039</v>
      </c>
      <c r="M45" s="31">
        <f t="shared" ref="M45:M46" si="54">L45</f>
        <v>10462372.445279039</v>
      </c>
      <c r="N45" s="211" t="s">
        <v>155</v>
      </c>
      <c r="P45" s="25">
        <v>12</v>
      </c>
      <c r="Q45" s="38">
        <f t="shared" ref="Q45:Q46" si="55">C45/P45</f>
        <v>1.6666666666666667</v>
      </c>
      <c r="R45" s="38">
        <f t="shared" ref="R45:R46" si="56">D45/P45</f>
        <v>2.6666666666666665</v>
      </c>
      <c r="S45" s="38">
        <f t="shared" ref="S45:S46" si="57">E45/P45</f>
        <v>0.95833333333333337</v>
      </c>
      <c r="T45" s="38">
        <f t="shared" ref="T45:T46" si="58">F45/P45</f>
        <v>3.8333333333333335</v>
      </c>
      <c r="U45" s="38">
        <f t="shared" ref="U45:U46" si="59">SUM(Q45:T45)</f>
        <v>9.125</v>
      </c>
      <c r="X45" s="731"/>
    </row>
    <row r="46" spans="1:24" ht="18" customHeight="1" x14ac:dyDescent="0.35">
      <c r="A46" s="35">
        <v>46082</v>
      </c>
      <c r="B46" s="33" t="s">
        <v>173</v>
      </c>
      <c r="C46" s="25">
        <v>23</v>
      </c>
      <c r="D46" s="25">
        <v>51</v>
      </c>
      <c r="E46" s="25">
        <v>25</v>
      </c>
      <c r="F46" s="25">
        <f>51+3.5</f>
        <v>54.5</v>
      </c>
      <c r="G46" s="15"/>
      <c r="H46" s="29">
        <f>C46*H$19</f>
        <v>2816253.1834928449</v>
      </c>
      <c r="I46" s="29">
        <f t="shared" si="52"/>
        <v>5203482.4110218715</v>
      </c>
      <c r="J46" s="29">
        <f t="shared" si="52"/>
        <v>2177511.7476661359</v>
      </c>
      <c r="K46" s="29">
        <f t="shared" si="52"/>
        <v>4439227.7037109258</v>
      </c>
      <c r="L46" s="34">
        <f t="shared" si="53"/>
        <v>14636475.045891777</v>
      </c>
      <c r="M46" s="31">
        <f t="shared" si="54"/>
        <v>14636475.045891777</v>
      </c>
      <c r="N46" s="211" t="s">
        <v>155</v>
      </c>
      <c r="P46" s="25">
        <v>13</v>
      </c>
      <c r="Q46" s="38">
        <f t="shared" si="55"/>
        <v>1.7692307692307692</v>
      </c>
      <c r="R46" s="38">
        <f t="shared" si="56"/>
        <v>3.9230769230769229</v>
      </c>
      <c r="S46" s="38">
        <f t="shared" si="57"/>
        <v>1.9230769230769231</v>
      </c>
      <c r="T46" s="38">
        <f t="shared" si="58"/>
        <v>4.1923076923076925</v>
      </c>
      <c r="U46" s="38">
        <f t="shared" si="59"/>
        <v>11.807692307692307</v>
      </c>
      <c r="X46" s="731"/>
    </row>
    <row r="47" spans="1:24" ht="18" customHeight="1" x14ac:dyDescent="0.35">
      <c r="A47" s="35"/>
      <c r="B47" s="33"/>
      <c r="C47" s="25"/>
      <c r="D47" s="25"/>
      <c r="E47" s="25"/>
      <c r="F47" s="25"/>
      <c r="G47" s="15"/>
      <c r="H47" s="29"/>
      <c r="I47" s="29"/>
      <c r="J47" s="29"/>
      <c r="K47" s="29"/>
      <c r="L47" s="34"/>
      <c r="M47" s="36"/>
      <c r="N47" s="37"/>
      <c r="P47" s="25"/>
      <c r="Q47" s="38"/>
      <c r="R47" s="38"/>
      <c r="S47" s="38"/>
      <c r="T47" s="38"/>
      <c r="U47" s="38"/>
      <c r="X47" s="731"/>
    </row>
    <row r="48" spans="1:24" ht="18" customHeight="1" thickBot="1" x14ac:dyDescent="0.4">
      <c r="A48" s="39"/>
      <c r="B48" s="39"/>
      <c r="C48" s="40"/>
      <c r="D48" s="40"/>
      <c r="E48" s="40"/>
      <c r="F48" s="40"/>
      <c r="G48" s="15"/>
      <c r="H48" s="39"/>
      <c r="I48" s="39"/>
      <c r="J48" s="39"/>
      <c r="K48" s="39"/>
      <c r="L48" s="41">
        <f>SUM(L20:L47)</f>
        <v>143061630.87916565</v>
      </c>
      <c r="M48" s="212">
        <f>SUM(M20:M47)</f>
        <v>143061630.87916565</v>
      </c>
      <c r="N48" s="42"/>
      <c r="P48" s="40"/>
      <c r="Q48" s="40"/>
      <c r="R48" s="40"/>
      <c r="S48" s="40"/>
      <c r="T48" s="40"/>
      <c r="U48" s="40"/>
    </row>
    <row r="49" spans="12:21" x14ac:dyDescent="0.35">
      <c r="P49" s="43"/>
      <c r="Q49" s="43"/>
      <c r="R49" s="43"/>
      <c r="S49" s="43"/>
      <c r="T49" s="43"/>
      <c r="U49" s="43"/>
    </row>
    <row r="50" spans="12:21" x14ac:dyDescent="0.35">
      <c r="M50" s="731"/>
    </row>
    <row r="51" spans="12:21" x14ac:dyDescent="0.35">
      <c r="L51" s="44" t="s">
        <v>175</v>
      </c>
      <c r="M51" s="45">
        <f>SUM(M20:M47)</f>
        <v>143061630.87916565</v>
      </c>
    </row>
    <row r="52" spans="12:21" x14ac:dyDescent="0.35">
      <c r="L52" s="46" t="s">
        <v>176</v>
      </c>
      <c r="M52" s="47"/>
    </row>
    <row r="53" spans="12:21" x14ac:dyDescent="0.35">
      <c r="M53" s="48">
        <f>+M52+M51</f>
        <v>143061630.87916565</v>
      </c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3159-3899-4032-AE2D-2D2D4AC11896}">
  <dimension ref="A1:U40"/>
  <sheetViews>
    <sheetView topLeftCell="A9" workbookViewId="0">
      <selection activeCell="D36" sqref="D36"/>
    </sheetView>
  </sheetViews>
  <sheetFormatPr defaultColWidth="11.453125" defaultRowHeight="14.5" x14ac:dyDescent="0.35"/>
  <cols>
    <col min="2" max="2" width="6.1796875" customWidth="1"/>
    <col min="3" max="6" width="6.7265625" style="43" customWidth="1"/>
    <col min="7" max="7" width="3.453125" customWidth="1"/>
    <col min="8" max="9" width="10.453125" bestFit="1" customWidth="1"/>
    <col min="10" max="10" width="10.54296875" bestFit="1" customWidth="1"/>
    <col min="11" max="11" width="10.453125" bestFit="1" customWidth="1"/>
    <col min="12" max="13" width="11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4.54296875" customWidth="1"/>
    <col min="24" max="24" width="11.542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1" x14ac:dyDescent="0.35">
      <c r="A1" s="7" t="s">
        <v>154</v>
      </c>
      <c r="B1" s="7"/>
      <c r="C1"/>
      <c r="D1"/>
      <c r="E1"/>
      <c r="F1"/>
      <c r="O1" s="8" t="s">
        <v>155</v>
      </c>
      <c r="P1" s="1436" t="s">
        <v>156</v>
      </c>
      <c r="Q1" s="1436"/>
    </row>
    <row r="2" spans="1:21" x14ac:dyDescent="0.35">
      <c r="A2" s="7" t="s">
        <v>157</v>
      </c>
      <c r="B2" s="7"/>
      <c r="C2"/>
      <c r="D2"/>
      <c r="E2"/>
      <c r="F2"/>
      <c r="O2" s="9" t="s">
        <v>158</v>
      </c>
      <c r="P2" s="1437" t="s">
        <v>159</v>
      </c>
      <c r="Q2" s="1437"/>
    </row>
    <row r="3" spans="1:21" ht="15" thickBot="1" x14ac:dyDescent="0.4">
      <c r="C3"/>
      <c r="D3"/>
      <c r="E3"/>
      <c r="F3"/>
    </row>
    <row r="4" spans="1:21" x14ac:dyDescent="0.35">
      <c r="C4" s="1438" t="s">
        <v>160</v>
      </c>
      <c r="D4" s="1439"/>
      <c r="E4" s="1439"/>
      <c r="F4" s="1440"/>
      <c r="G4" s="11"/>
      <c r="H4" s="12" t="s">
        <v>161</v>
      </c>
      <c r="I4" s="12" t="s">
        <v>162</v>
      </c>
      <c r="J4" s="12" t="s">
        <v>163</v>
      </c>
      <c r="K4" s="12" t="s">
        <v>164</v>
      </c>
      <c r="L4" s="10" t="s">
        <v>87</v>
      </c>
      <c r="M4" s="13" t="s">
        <v>165</v>
      </c>
      <c r="P4" s="1438" t="s">
        <v>166</v>
      </c>
      <c r="Q4" s="1439"/>
      <c r="R4" s="1439"/>
      <c r="S4" s="1439"/>
      <c r="T4" s="1439"/>
      <c r="U4" s="1440"/>
    </row>
    <row r="5" spans="1:21" x14ac:dyDescent="0.35">
      <c r="C5" s="14" t="s">
        <v>177</v>
      </c>
      <c r="D5" s="14" t="s">
        <v>168</v>
      </c>
      <c r="E5" s="14" t="s">
        <v>169</v>
      </c>
      <c r="F5" s="14" t="s">
        <v>170</v>
      </c>
      <c r="G5" s="15"/>
      <c r="H5" s="158">
        <v>85927.1</v>
      </c>
      <c r="I5" s="158">
        <v>76955.08</v>
      </c>
      <c r="J5" s="158">
        <v>65493.07</v>
      </c>
      <c r="K5" s="158">
        <v>60860.58</v>
      </c>
      <c r="L5" s="164">
        <v>45627</v>
      </c>
      <c r="M5" s="16"/>
      <c r="P5" s="12" t="s">
        <v>171</v>
      </c>
      <c r="Q5" s="12" t="s">
        <v>177</v>
      </c>
      <c r="R5" s="12" t="s">
        <v>168</v>
      </c>
      <c r="S5" s="12" t="s">
        <v>169</v>
      </c>
      <c r="T5" s="12" t="s">
        <v>170</v>
      </c>
      <c r="U5" s="12" t="s">
        <v>172</v>
      </c>
    </row>
    <row r="6" spans="1:21" x14ac:dyDescent="0.35">
      <c r="C6" s="17"/>
      <c r="D6" s="17"/>
      <c r="E6" s="17"/>
      <c r="F6" s="17"/>
      <c r="G6" s="15"/>
      <c r="H6" s="158">
        <v>87384</v>
      </c>
      <c r="I6" s="158">
        <v>78375</v>
      </c>
      <c r="J6" s="158">
        <v>66853</v>
      </c>
      <c r="K6" s="158">
        <v>61892</v>
      </c>
      <c r="L6" s="164">
        <v>45658</v>
      </c>
      <c r="M6" s="18"/>
      <c r="P6" s="19"/>
      <c r="Q6" s="19"/>
      <c r="R6" s="19"/>
      <c r="S6" s="19"/>
      <c r="T6" s="19"/>
      <c r="U6" s="19"/>
    </row>
    <row r="7" spans="1:21" x14ac:dyDescent="0.35">
      <c r="C7" s="17"/>
      <c r="D7" s="17"/>
      <c r="E7" s="17"/>
      <c r="F7" s="17"/>
      <c r="G7" s="15"/>
      <c r="H7" s="158">
        <v>89383</v>
      </c>
      <c r="I7" s="158">
        <v>80395</v>
      </c>
      <c r="J7" s="158">
        <v>68472</v>
      </c>
      <c r="K7" s="158">
        <v>63382</v>
      </c>
      <c r="L7" s="164">
        <v>45689</v>
      </c>
      <c r="M7" s="18"/>
      <c r="P7" s="19"/>
      <c r="Q7" s="19"/>
      <c r="R7" s="19"/>
      <c r="S7" s="19"/>
      <c r="T7" s="19"/>
      <c r="U7" s="19"/>
    </row>
    <row r="8" spans="1:21" x14ac:dyDescent="0.35">
      <c r="C8" s="17"/>
      <c r="D8" s="17"/>
      <c r="E8" s="17"/>
      <c r="F8" s="17"/>
      <c r="G8" s="15"/>
      <c r="H8" s="158">
        <v>91464</v>
      </c>
      <c r="I8" s="158">
        <v>82269</v>
      </c>
      <c r="J8" s="158">
        <v>70296</v>
      </c>
      <c r="K8" s="158">
        <v>65595</v>
      </c>
      <c r="L8" s="164">
        <v>45717</v>
      </c>
      <c r="M8" s="18"/>
      <c r="P8" s="19"/>
      <c r="Q8" s="19"/>
      <c r="R8" s="19"/>
      <c r="S8" s="19"/>
      <c r="T8" s="19"/>
      <c r="U8" s="19"/>
    </row>
    <row r="9" spans="1:21" ht="15" thickBot="1" x14ac:dyDescent="0.4">
      <c r="C9" s="17"/>
      <c r="D9" s="17"/>
      <c r="E9" s="17"/>
      <c r="F9" s="17"/>
      <c r="G9" s="15"/>
      <c r="H9" s="1344">
        <v>95889.2</v>
      </c>
      <c r="I9" s="1344">
        <v>86356.18</v>
      </c>
      <c r="J9" s="1344">
        <v>73781.11</v>
      </c>
      <c r="K9" s="1344">
        <v>68935.350000000006</v>
      </c>
      <c r="L9" s="1345">
        <v>45870</v>
      </c>
      <c r="M9" s="165"/>
      <c r="P9" s="19"/>
      <c r="Q9" s="19"/>
      <c r="R9" s="19"/>
      <c r="S9" s="19"/>
      <c r="T9" s="19"/>
      <c r="U9" s="19"/>
    </row>
    <row r="10" spans="1:21" x14ac:dyDescent="0.35">
      <c r="C10" s="17"/>
      <c r="D10" s="17"/>
      <c r="E10" s="17"/>
      <c r="F10" s="17"/>
      <c r="G10" s="15"/>
      <c r="H10" s="1344">
        <v>106516.01731157197</v>
      </c>
      <c r="I10" s="1344">
        <v>88649.807904071975</v>
      </c>
      <c r="J10" s="1344">
        <v>75758.191951571978</v>
      </c>
      <c r="K10" s="1344">
        <v>71041.118761571968</v>
      </c>
      <c r="L10" s="1345">
        <v>45901</v>
      </c>
      <c r="M10" s="18"/>
      <c r="P10" s="19"/>
      <c r="Q10" s="19"/>
      <c r="R10" s="19"/>
      <c r="S10" s="19"/>
      <c r="T10" s="19"/>
      <c r="U10" s="19"/>
    </row>
    <row r="11" spans="1:21" x14ac:dyDescent="0.35">
      <c r="C11" s="17"/>
      <c r="D11" s="17"/>
      <c r="E11" s="17"/>
      <c r="F11" s="17"/>
      <c r="G11" s="15"/>
      <c r="H11" s="1344">
        <v>106864.20592157198</v>
      </c>
      <c r="I11" s="1344">
        <v>88971.072744071964</v>
      </c>
      <c r="J11" s="1344">
        <v>76032.176431571977</v>
      </c>
      <c r="K11" s="1344">
        <v>71292.271201571988</v>
      </c>
      <c r="L11" s="1345">
        <v>45931</v>
      </c>
      <c r="M11" s="18"/>
      <c r="P11" s="19"/>
      <c r="Q11" s="19"/>
      <c r="R11" s="19"/>
      <c r="S11" s="19"/>
      <c r="T11" s="19"/>
      <c r="U11" s="19"/>
    </row>
    <row r="12" spans="1:21" x14ac:dyDescent="0.35">
      <c r="C12" s="17"/>
      <c r="D12" s="17"/>
      <c r="E12" s="17"/>
      <c r="F12" s="17"/>
      <c r="G12" s="15"/>
      <c r="H12" s="1344">
        <v>109621.10545407196</v>
      </c>
      <c r="I12" s="1344">
        <v>91252.850653390153</v>
      </c>
      <c r="J12" s="1344">
        <v>77612.118064071969</v>
      </c>
      <c r="K12" s="1344">
        <v>72486.68260657198</v>
      </c>
      <c r="L12" s="1345">
        <v>45962</v>
      </c>
      <c r="M12" s="18"/>
      <c r="P12" s="19"/>
      <c r="Q12" s="19"/>
      <c r="R12" s="19"/>
      <c r="S12" s="19"/>
      <c r="T12" s="19"/>
      <c r="U12" s="19"/>
    </row>
    <row r="13" spans="1:21" x14ac:dyDescent="0.35">
      <c r="C13" s="17"/>
      <c r="D13" s="17"/>
      <c r="E13" s="17"/>
      <c r="F13" s="17"/>
      <c r="G13" s="15"/>
      <c r="H13" s="1344">
        <v>113865.18185914542</v>
      </c>
      <c r="I13" s="1344">
        <v>95196.927058463611</v>
      </c>
      <c r="J13" s="1344">
        <v>81356.194469145426</v>
      </c>
      <c r="K13" s="1344">
        <v>76230.759011645438</v>
      </c>
      <c r="L13" s="1345">
        <v>45992</v>
      </c>
      <c r="M13" s="18"/>
      <c r="P13" s="19"/>
      <c r="Q13" s="19"/>
      <c r="R13" s="19"/>
      <c r="S13" s="19"/>
      <c r="T13" s="19"/>
      <c r="U13" s="19"/>
    </row>
    <row r="14" spans="1:21" x14ac:dyDescent="0.35">
      <c r="C14" s="17"/>
      <c r="D14" s="17"/>
      <c r="E14" s="17"/>
      <c r="F14" s="17"/>
      <c r="G14" s="15"/>
      <c r="H14" s="1344">
        <v>117452.65727664542</v>
      </c>
      <c r="I14" s="1344">
        <v>97866.769866645438</v>
      </c>
      <c r="J14" s="1344">
        <v>83614.940401645435</v>
      </c>
      <c r="K14" s="1344">
        <v>78291.041771645439</v>
      </c>
      <c r="L14" s="1345">
        <v>46023</v>
      </c>
      <c r="M14" s="18"/>
      <c r="P14" s="19"/>
      <c r="Q14" s="19"/>
      <c r="R14" s="19"/>
      <c r="S14" s="19"/>
      <c r="T14" s="19"/>
      <c r="U14" s="19"/>
    </row>
    <row r="15" spans="1:21" x14ac:dyDescent="0.35">
      <c r="C15" s="17"/>
      <c r="D15" s="17"/>
      <c r="E15" s="17"/>
      <c r="F15" s="17"/>
      <c r="G15" s="15"/>
      <c r="H15" s="1344">
        <v>119406.33424664545</v>
      </c>
      <c r="I15" s="1344">
        <v>99479.557976645432</v>
      </c>
      <c r="J15" s="1344">
        <v>84948.749161645435</v>
      </c>
      <c r="K15" s="1344">
        <v>79490.602471645427</v>
      </c>
      <c r="L15" s="1345">
        <v>46054</v>
      </c>
      <c r="M15" s="18"/>
      <c r="P15" s="19"/>
      <c r="Q15" s="19"/>
      <c r="R15" s="19"/>
      <c r="S15" s="19"/>
      <c r="T15" s="19"/>
      <c r="U15" s="19"/>
    </row>
    <row r="16" spans="1:21" x14ac:dyDescent="0.35">
      <c r="C16" s="17"/>
      <c r="D16" s="17"/>
      <c r="E16" s="17"/>
      <c r="F16" s="17"/>
      <c r="G16" s="15"/>
      <c r="H16" s="1390">
        <v>122445.79058664542</v>
      </c>
      <c r="I16" s="1390">
        <v>102029.0668827818</v>
      </c>
      <c r="J16" s="1390">
        <v>87100.469906645434</v>
      </c>
      <c r="K16" s="1390">
        <v>81453.719334145426</v>
      </c>
      <c r="L16" s="1391">
        <v>46082</v>
      </c>
      <c r="M16" s="18"/>
      <c r="P16" s="19"/>
      <c r="Q16" s="19"/>
      <c r="R16" s="19"/>
      <c r="S16" s="19"/>
      <c r="T16" s="19"/>
      <c r="U16" s="19"/>
    </row>
    <row r="17" spans="1:21" ht="18" customHeight="1" x14ac:dyDescent="0.35">
      <c r="A17" s="20">
        <v>45689</v>
      </c>
      <c r="B17" s="20" t="s">
        <v>173</v>
      </c>
      <c r="C17" s="21">
        <v>0</v>
      </c>
      <c r="D17" s="21">
        <v>0</v>
      </c>
      <c r="E17" s="21">
        <v>0</v>
      </c>
      <c r="F17" s="21">
        <v>0</v>
      </c>
      <c r="G17" s="15"/>
      <c r="H17" s="22">
        <f>+C17*H$7</f>
        <v>0</v>
      </c>
      <c r="I17" s="22">
        <f t="shared" ref="I17:K17" si="0">+D17*I$7</f>
        <v>0</v>
      </c>
      <c r="J17" s="22">
        <f t="shared" si="0"/>
        <v>0</v>
      </c>
      <c r="K17" s="22">
        <f t="shared" si="0"/>
        <v>0</v>
      </c>
      <c r="L17" s="23">
        <f>SUM(H17:K17)</f>
        <v>0</v>
      </c>
      <c r="M17" s="31">
        <f>+L17</f>
        <v>0</v>
      </c>
      <c r="N17" s="24" t="s">
        <v>155</v>
      </c>
      <c r="P17" s="25">
        <v>10</v>
      </c>
      <c r="Q17" s="26">
        <f>C17/P17</f>
        <v>0</v>
      </c>
      <c r="R17" s="26">
        <f>D17/P17</f>
        <v>0</v>
      </c>
      <c r="S17" s="26">
        <f>E17/P17</f>
        <v>0</v>
      </c>
      <c r="T17" s="26">
        <f>F17/P17</f>
        <v>0</v>
      </c>
      <c r="U17" s="26">
        <f t="shared" ref="U17:U19" si="1">SUM(Q17:T17)</f>
        <v>0</v>
      </c>
    </row>
    <row r="18" spans="1:21" ht="18" customHeight="1" x14ac:dyDescent="0.35">
      <c r="A18" s="27">
        <v>45717</v>
      </c>
      <c r="B18" s="27" t="s">
        <v>174</v>
      </c>
      <c r="C18" s="28">
        <v>0</v>
      </c>
      <c r="D18" s="28">
        <v>2</v>
      </c>
      <c r="E18" s="28">
        <v>0</v>
      </c>
      <c r="F18" s="28">
        <v>0</v>
      </c>
      <c r="G18" s="15"/>
      <c r="H18" s="29">
        <f>C18*H$8</f>
        <v>0</v>
      </c>
      <c r="I18" s="29">
        <f t="shared" ref="I18:K19" si="2">D18*I$8</f>
        <v>164538</v>
      </c>
      <c r="J18" s="29">
        <f t="shared" si="2"/>
        <v>0</v>
      </c>
      <c r="K18" s="29">
        <f t="shared" si="2"/>
        <v>0</v>
      </c>
      <c r="L18" s="30">
        <f>SUM(H18:K18)</f>
        <v>164538</v>
      </c>
      <c r="M18" s="31">
        <f>L18</f>
        <v>164538</v>
      </c>
      <c r="N18" s="32" t="s">
        <v>155</v>
      </c>
      <c r="P18" s="25">
        <v>11</v>
      </c>
      <c r="Q18" s="26">
        <f t="shared" ref="Q18:Q19" si="3">C18/P18</f>
        <v>0</v>
      </c>
      <c r="R18" s="26">
        <f t="shared" ref="R18:R25" si="4">D18/P18</f>
        <v>0.18181818181818182</v>
      </c>
      <c r="S18" s="26">
        <f t="shared" ref="S18:S19" si="5">E18/P18</f>
        <v>0</v>
      </c>
      <c r="T18" s="26">
        <f t="shared" ref="T18:T19" si="6">F18/P18</f>
        <v>0</v>
      </c>
      <c r="U18" s="26">
        <f t="shared" si="1"/>
        <v>0.18181818181818182</v>
      </c>
    </row>
    <row r="19" spans="1:21" ht="18" customHeight="1" x14ac:dyDescent="0.35">
      <c r="A19" s="27">
        <v>45717</v>
      </c>
      <c r="B19" s="33" t="s">
        <v>173</v>
      </c>
      <c r="C19" s="25">
        <v>0</v>
      </c>
      <c r="D19" s="25">
        <v>0</v>
      </c>
      <c r="E19" s="25">
        <v>0</v>
      </c>
      <c r="F19" s="25">
        <v>0</v>
      </c>
      <c r="G19" s="15"/>
      <c r="H19" s="29">
        <f>C19*H$8</f>
        <v>0</v>
      </c>
      <c r="I19" s="29">
        <f t="shared" si="2"/>
        <v>0</v>
      </c>
      <c r="J19" s="29">
        <f t="shared" si="2"/>
        <v>0</v>
      </c>
      <c r="K19" s="29">
        <f t="shared" si="2"/>
        <v>0</v>
      </c>
      <c r="L19" s="34">
        <f>SUM(H19:K19)</f>
        <v>0</v>
      </c>
      <c r="M19" s="31">
        <f t="shared" ref="M19:M21" si="7">L19</f>
        <v>0</v>
      </c>
      <c r="N19" s="32" t="s">
        <v>155</v>
      </c>
      <c r="P19" s="25">
        <v>13</v>
      </c>
      <c r="Q19" s="26">
        <f t="shared" si="3"/>
        <v>0</v>
      </c>
      <c r="R19" s="26">
        <f t="shared" si="4"/>
        <v>0</v>
      </c>
      <c r="S19" s="26">
        <f t="shared" si="5"/>
        <v>0</v>
      </c>
      <c r="T19" s="26">
        <f t="shared" si="6"/>
        <v>0</v>
      </c>
      <c r="U19" s="26">
        <f t="shared" si="1"/>
        <v>0</v>
      </c>
    </row>
    <row r="20" spans="1:21" ht="18" customHeight="1" x14ac:dyDescent="0.35">
      <c r="A20" s="35">
        <v>45748</v>
      </c>
      <c r="B20" s="27" t="s">
        <v>174</v>
      </c>
      <c r="C20" s="25">
        <v>0</v>
      </c>
      <c r="D20" s="25">
        <v>0</v>
      </c>
      <c r="E20" s="25">
        <v>0</v>
      </c>
      <c r="F20" s="25">
        <v>0</v>
      </c>
      <c r="G20" s="15"/>
      <c r="H20" s="29">
        <f>C20*H$8</f>
        <v>0</v>
      </c>
      <c r="I20" s="29">
        <f t="shared" ref="I20" si="8">D20*I$8</f>
        <v>0</v>
      </c>
      <c r="J20" s="29">
        <f t="shared" ref="J20" si="9">E20*J$8</f>
        <v>0</v>
      </c>
      <c r="K20" s="29">
        <f t="shared" ref="K20" si="10">F20*K$8</f>
        <v>0</v>
      </c>
      <c r="L20" s="34">
        <f t="shared" ref="L20:L21" si="11">SUM(H20:K20)</f>
        <v>0</v>
      </c>
      <c r="M20" s="31">
        <f t="shared" si="7"/>
        <v>0</v>
      </c>
      <c r="N20" s="211" t="s">
        <v>155</v>
      </c>
      <c r="P20" s="25"/>
      <c r="Q20" s="26"/>
      <c r="R20" s="26"/>
      <c r="S20" s="26"/>
      <c r="T20" s="26"/>
      <c r="U20" s="26"/>
    </row>
    <row r="21" spans="1:21" ht="18" customHeight="1" x14ac:dyDescent="0.35">
      <c r="A21" s="35">
        <v>45748</v>
      </c>
      <c r="B21" s="33" t="s">
        <v>173</v>
      </c>
      <c r="C21" s="25">
        <v>0</v>
      </c>
      <c r="D21" s="25">
        <v>0</v>
      </c>
      <c r="E21" s="25">
        <v>0</v>
      </c>
      <c r="F21" s="25">
        <v>0</v>
      </c>
      <c r="G21" s="15"/>
      <c r="H21" s="29">
        <f>C21*H$8</f>
        <v>0</v>
      </c>
      <c r="I21" s="29">
        <f t="shared" ref="I21" si="12">D21*I$8</f>
        <v>0</v>
      </c>
      <c r="J21" s="29">
        <f t="shared" ref="J21" si="13">E21*J$8</f>
        <v>0</v>
      </c>
      <c r="K21" s="29">
        <f t="shared" ref="K21" si="14">F21*K$8</f>
        <v>0</v>
      </c>
      <c r="L21" s="34">
        <f t="shared" si="11"/>
        <v>0</v>
      </c>
      <c r="M21" s="31">
        <f t="shared" si="7"/>
        <v>0</v>
      </c>
      <c r="N21" s="211" t="s">
        <v>155</v>
      </c>
      <c r="P21" s="25"/>
      <c r="Q21" s="26"/>
      <c r="R21" s="26"/>
      <c r="S21" s="26"/>
      <c r="T21" s="26"/>
      <c r="U21" s="26"/>
    </row>
    <row r="22" spans="1:21" ht="18" customHeight="1" x14ac:dyDescent="0.35">
      <c r="A22" s="35">
        <v>45778</v>
      </c>
      <c r="B22" s="27" t="s">
        <v>174</v>
      </c>
      <c r="C22" s="25">
        <v>0</v>
      </c>
      <c r="D22" s="25">
        <v>0</v>
      </c>
      <c r="E22" s="25">
        <v>0</v>
      </c>
      <c r="F22" s="25">
        <v>0</v>
      </c>
      <c r="G22" s="15"/>
      <c r="H22" s="29">
        <f t="shared" ref="H22:H23" si="15">C22*H$8</f>
        <v>0</v>
      </c>
      <c r="I22" s="29">
        <f t="shared" ref="I22:I23" si="16">D22*I$8</f>
        <v>0</v>
      </c>
      <c r="J22" s="29">
        <f t="shared" ref="J22:J23" si="17">E22*J$8</f>
        <v>0</v>
      </c>
      <c r="K22" s="29">
        <f t="shared" ref="K22:K23" si="18">F22*K$8</f>
        <v>0</v>
      </c>
      <c r="L22" s="34">
        <f t="shared" ref="L22:L31" si="19">SUM(H22:K22)</f>
        <v>0</v>
      </c>
      <c r="M22" s="31">
        <f t="shared" ref="M22:M29" si="20">L22</f>
        <v>0</v>
      </c>
      <c r="N22" s="211" t="s">
        <v>155</v>
      </c>
      <c r="P22" s="25"/>
      <c r="Q22" s="26"/>
      <c r="R22" s="26"/>
      <c r="S22" s="26"/>
      <c r="T22" s="26"/>
      <c r="U22" s="26"/>
    </row>
    <row r="23" spans="1:21" ht="18" customHeight="1" x14ac:dyDescent="0.35">
      <c r="A23" s="35">
        <v>45778</v>
      </c>
      <c r="B23" s="33" t="s">
        <v>173</v>
      </c>
      <c r="C23" s="25">
        <v>0</v>
      </c>
      <c r="D23" s="25">
        <v>0</v>
      </c>
      <c r="E23" s="25">
        <v>0</v>
      </c>
      <c r="F23" s="25">
        <v>0</v>
      </c>
      <c r="G23" s="15"/>
      <c r="H23" s="29">
        <f t="shared" si="15"/>
        <v>0</v>
      </c>
      <c r="I23" s="29">
        <f t="shared" si="16"/>
        <v>0</v>
      </c>
      <c r="J23" s="29">
        <f t="shared" si="17"/>
        <v>0</v>
      </c>
      <c r="K23" s="29">
        <f t="shared" si="18"/>
        <v>0</v>
      </c>
      <c r="L23" s="34">
        <f t="shared" si="19"/>
        <v>0</v>
      </c>
      <c r="M23" s="31">
        <f t="shared" si="20"/>
        <v>0</v>
      </c>
      <c r="N23" s="211" t="s">
        <v>155</v>
      </c>
      <c r="P23" s="25"/>
      <c r="Q23" s="26"/>
      <c r="R23" s="26"/>
      <c r="S23" s="26"/>
      <c r="T23" s="26"/>
      <c r="U23" s="26"/>
    </row>
    <row r="24" spans="1:21" ht="18" customHeight="1" x14ac:dyDescent="0.35">
      <c r="A24" s="35">
        <v>45901</v>
      </c>
      <c r="B24" s="27" t="s">
        <v>174</v>
      </c>
      <c r="C24" s="25">
        <v>0</v>
      </c>
      <c r="D24" s="25">
        <v>5</v>
      </c>
      <c r="E24" s="25">
        <v>5</v>
      </c>
      <c r="F24" s="25">
        <v>0</v>
      </c>
      <c r="G24" s="15"/>
      <c r="H24" s="29">
        <f>C24*H$10</f>
        <v>0</v>
      </c>
      <c r="I24" s="29">
        <f t="shared" ref="I24:K25" si="21">D24*I$10</f>
        <v>443249.03952035989</v>
      </c>
      <c r="J24" s="29">
        <f t="shared" si="21"/>
        <v>378790.95975785988</v>
      </c>
      <c r="K24" s="29">
        <f t="shared" si="21"/>
        <v>0</v>
      </c>
      <c r="L24" s="34">
        <f t="shared" si="19"/>
        <v>822039.99927821977</v>
      </c>
      <c r="M24" s="31">
        <f t="shared" si="20"/>
        <v>822039.99927821977</v>
      </c>
      <c r="N24" s="211" t="s">
        <v>155</v>
      </c>
      <c r="P24" s="25">
        <v>5</v>
      </c>
      <c r="Q24" s="26">
        <f t="shared" ref="Q24:Q25" si="22">IFERROR(C24/$P$20,0)</f>
        <v>0</v>
      </c>
      <c r="R24" s="26">
        <f t="shared" si="4"/>
        <v>1</v>
      </c>
      <c r="S24" s="26">
        <f>IFERROR(E24/$P$24,0)</f>
        <v>1</v>
      </c>
      <c r="T24" s="26">
        <f t="shared" ref="T24:T25" si="23">IFERROR(F24/$P$20,0)</f>
        <v>0</v>
      </c>
      <c r="U24" s="26">
        <f t="shared" ref="U24:U25" si="24">SUM(Q24:T24)</f>
        <v>2</v>
      </c>
    </row>
    <row r="25" spans="1:21" ht="18" customHeight="1" x14ac:dyDescent="0.35">
      <c r="A25" s="35">
        <v>45901</v>
      </c>
      <c r="B25" s="33" t="s">
        <v>173</v>
      </c>
      <c r="C25" s="25">
        <v>0</v>
      </c>
      <c r="D25" s="25">
        <v>6</v>
      </c>
      <c r="E25" s="25">
        <v>6</v>
      </c>
      <c r="F25" s="25">
        <v>0</v>
      </c>
      <c r="G25" s="15"/>
      <c r="H25" s="29">
        <f>C25*H$10</f>
        <v>0</v>
      </c>
      <c r="I25" s="29">
        <f t="shared" si="21"/>
        <v>531898.84742443182</v>
      </c>
      <c r="J25" s="29">
        <f t="shared" si="21"/>
        <v>454549.1517094319</v>
      </c>
      <c r="K25" s="29">
        <f t="shared" si="21"/>
        <v>0</v>
      </c>
      <c r="L25" s="34">
        <f t="shared" si="19"/>
        <v>986447.99913386372</v>
      </c>
      <c r="M25" s="31">
        <f t="shared" si="20"/>
        <v>986447.99913386372</v>
      </c>
      <c r="N25" s="211" t="s">
        <v>155</v>
      </c>
      <c r="P25" s="25">
        <v>6</v>
      </c>
      <c r="Q25" s="26">
        <f t="shared" si="22"/>
        <v>0</v>
      </c>
      <c r="R25" s="26">
        <f t="shared" si="4"/>
        <v>1</v>
      </c>
      <c r="S25" s="26">
        <f>IFERROR(E25/$P$25,0)</f>
        <v>1</v>
      </c>
      <c r="T25" s="26">
        <f t="shared" si="23"/>
        <v>0</v>
      </c>
      <c r="U25" s="26">
        <f t="shared" si="24"/>
        <v>2</v>
      </c>
    </row>
    <row r="26" spans="1:21" ht="18" customHeight="1" x14ac:dyDescent="0.35">
      <c r="A26" s="35">
        <v>45931</v>
      </c>
      <c r="B26" s="27" t="s">
        <v>174</v>
      </c>
      <c r="C26" s="25">
        <v>0</v>
      </c>
      <c r="D26" s="25">
        <v>0</v>
      </c>
      <c r="E26" s="25">
        <v>0</v>
      </c>
      <c r="F26" s="25">
        <v>0</v>
      </c>
      <c r="G26" s="15"/>
      <c r="H26" s="29">
        <f t="shared" ref="H26:K28" si="25">C26*H$11</f>
        <v>0</v>
      </c>
      <c r="I26" s="29">
        <f t="shared" si="25"/>
        <v>0</v>
      </c>
      <c r="J26" s="29">
        <f t="shared" si="25"/>
        <v>0</v>
      </c>
      <c r="K26" s="29">
        <f t="shared" si="25"/>
        <v>0</v>
      </c>
      <c r="L26" s="34">
        <f t="shared" si="19"/>
        <v>0</v>
      </c>
      <c r="M26" s="31">
        <f t="shared" si="20"/>
        <v>0</v>
      </c>
      <c r="N26" s="211" t="s">
        <v>155</v>
      </c>
      <c r="P26" s="25"/>
      <c r="Q26" s="26"/>
      <c r="R26" s="26"/>
      <c r="S26" s="26"/>
      <c r="T26" s="26"/>
      <c r="U26" s="26"/>
    </row>
    <row r="27" spans="1:21" ht="18" customHeight="1" x14ac:dyDescent="0.35">
      <c r="A27" s="35">
        <v>45931</v>
      </c>
      <c r="B27" s="33" t="s">
        <v>173</v>
      </c>
      <c r="C27" s="25">
        <v>0</v>
      </c>
      <c r="D27" s="25">
        <v>7</v>
      </c>
      <c r="E27" s="25">
        <v>7</v>
      </c>
      <c r="F27" s="25">
        <v>0</v>
      </c>
      <c r="G27" s="15"/>
      <c r="H27" s="29">
        <f t="shared" si="25"/>
        <v>0</v>
      </c>
      <c r="I27" s="29">
        <f t="shared" si="25"/>
        <v>622797.50920850376</v>
      </c>
      <c r="J27" s="29">
        <f t="shared" si="25"/>
        <v>532225.23502100387</v>
      </c>
      <c r="K27" s="29">
        <f t="shared" si="25"/>
        <v>0</v>
      </c>
      <c r="L27" s="34">
        <f t="shared" si="19"/>
        <v>1155022.7442295076</v>
      </c>
      <c r="M27" s="31">
        <f t="shared" si="20"/>
        <v>1155022.7442295076</v>
      </c>
      <c r="N27" s="211" t="s">
        <v>155</v>
      </c>
      <c r="P27" s="25">
        <v>7</v>
      </c>
      <c r="Q27" s="26">
        <f t="shared" ref="Q27" si="26">IFERROR(C27/$P$20,0)</f>
        <v>0</v>
      </c>
      <c r="R27" s="26">
        <f t="shared" ref="R27" si="27">D27/P27</f>
        <v>1</v>
      </c>
      <c r="S27" s="26">
        <f>IFERROR(E27/$P$27,0)</f>
        <v>1</v>
      </c>
      <c r="T27" s="26">
        <f t="shared" ref="T27" si="28">IFERROR(F27/$P$20,0)</f>
        <v>0</v>
      </c>
      <c r="U27" s="26">
        <f t="shared" ref="U27" si="29">SUM(Q27:T27)</f>
        <v>2</v>
      </c>
    </row>
    <row r="28" spans="1:21" ht="18" customHeight="1" x14ac:dyDescent="0.35">
      <c r="A28" s="35">
        <v>45962</v>
      </c>
      <c r="B28" s="27" t="s">
        <v>174</v>
      </c>
      <c r="C28" s="25">
        <v>0</v>
      </c>
      <c r="D28" s="25">
        <v>8</v>
      </c>
      <c r="E28" s="25">
        <v>7</v>
      </c>
      <c r="F28" s="25">
        <v>0</v>
      </c>
      <c r="G28" s="15"/>
      <c r="H28" s="29">
        <f t="shared" si="25"/>
        <v>0</v>
      </c>
      <c r="I28" s="29">
        <f>D28*I$12</f>
        <v>730022.80522712122</v>
      </c>
      <c r="J28" s="29">
        <f>E28*J$12</f>
        <v>543284.82644850377</v>
      </c>
      <c r="K28" s="29">
        <f t="shared" si="25"/>
        <v>0</v>
      </c>
      <c r="L28" s="34">
        <f t="shared" si="19"/>
        <v>1273307.631675625</v>
      </c>
      <c r="M28" s="31">
        <f t="shared" si="20"/>
        <v>1273307.631675625</v>
      </c>
      <c r="N28" s="211" t="s">
        <v>155</v>
      </c>
      <c r="P28" s="25">
        <v>9</v>
      </c>
      <c r="Q28" s="26">
        <f t="shared" ref="Q28:Q29" si="30">IFERROR(C28/$P$20,0)</f>
        <v>0</v>
      </c>
      <c r="R28" s="26">
        <f t="shared" ref="R28:R29" si="31">D28/P28</f>
        <v>0.88888888888888884</v>
      </c>
      <c r="S28" s="26">
        <f t="shared" ref="S28:S29" si="32">IFERROR(E28/$P$27,0)</f>
        <v>1</v>
      </c>
      <c r="T28" s="26">
        <f t="shared" ref="T28:T29" si="33">IFERROR(F28/$P$20,0)</f>
        <v>0</v>
      </c>
      <c r="U28" s="26">
        <f t="shared" ref="U28:U31" si="34">SUM(Q28:T28)</f>
        <v>1.8888888888888888</v>
      </c>
    </row>
    <row r="29" spans="1:21" ht="18" customHeight="1" x14ac:dyDescent="0.35">
      <c r="A29" s="35">
        <v>45962</v>
      </c>
      <c r="B29" s="33" t="s">
        <v>173</v>
      </c>
      <c r="C29" s="25">
        <v>0</v>
      </c>
      <c r="D29" s="25">
        <v>6</v>
      </c>
      <c r="E29" s="25">
        <v>9</v>
      </c>
      <c r="F29" s="25">
        <v>0</v>
      </c>
      <c r="G29" s="15"/>
      <c r="H29" s="29">
        <f>C29*H$12</f>
        <v>0</v>
      </c>
      <c r="I29" s="29">
        <f>D29*I$12</f>
        <v>547517.10392034089</v>
      </c>
      <c r="J29" s="29">
        <f>E29*J$12</f>
        <v>698509.06257664773</v>
      </c>
      <c r="K29" s="29">
        <f>F29*K$12</f>
        <v>0</v>
      </c>
      <c r="L29" s="34">
        <f t="shared" si="19"/>
        <v>1246026.1664969886</v>
      </c>
      <c r="M29" s="31">
        <f t="shared" si="20"/>
        <v>1246026.1664969886</v>
      </c>
      <c r="N29" s="211" t="s">
        <v>155</v>
      </c>
      <c r="P29" s="25">
        <v>6</v>
      </c>
      <c r="Q29" s="26">
        <f t="shared" si="30"/>
        <v>0</v>
      </c>
      <c r="R29" s="26">
        <f t="shared" si="31"/>
        <v>1</v>
      </c>
      <c r="S29" s="26">
        <f t="shared" si="32"/>
        <v>1.2857142857142858</v>
      </c>
      <c r="T29" s="26">
        <f t="shared" si="33"/>
        <v>0</v>
      </c>
      <c r="U29" s="26">
        <f t="shared" si="34"/>
        <v>2.2857142857142856</v>
      </c>
    </row>
    <row r="30" spans="1:21" ht="18" customHeight="1" x14ac:dyDescent="0.35">
      <c r="A30" s="35">
        <v>45992</v>
      </c>
      <c r="B30" s="27" t="s">
        <v>174</v>
      </c>
      <c r="C30" s="25">
        <v>0</v>
      </c>
      <c r="D30" s="25">
        <v>13.5</v>
      </c>
      <c r="E30" s="25">
        <f>13+1</f>
        <v>14</v>
      </c>
      <c r="F30" s="25">
        <v>0</v>
      </c>
      <c r="G30" s="15"/>
      <c r="H30" s="29">
        <f>C30*H$13</f>
        <v>0</v>
      </c>
      <c r="I30" s="29">
        <f>D30*I13</f>
        <v>1285158.5152892587</v>
      </c>
      <c r="J30" s="29">
        <f>E30*J$13</f>
        <v>1138986.7225680361</v>
      </c>
      <c r="K30" s="29">
        <f>F30*K$13</f>
        <v>0</v>
      </c>
      <c r="L30" s="34">
        <f t="shared" si="19"/>
        <v>2424145.2378572947</v>
      </c>
      <c r="M30" s="31">
        <f t="shared" ref="M30:M31" si="35">L30</f>
        <v>2424145.2378572947</v>
      </c>
      <c r="N30" s="211" t="s">
        <v>155</v>
      </c>
      <c r="P30" s="25">
        <v>13</v>
      </c>
      <c r="Q30" s="26">
        <f>IFERROR(C30/$P30,0)</f>
        <v>0</v>
      </c>
      <c r="R30" s="26">
        <f t="shared" ref="R30:T31" si="36">IFERROR(D30/$P30,0)</f>
        <v>1.0384615384615385</v>
      </c>
      <c r="S30" s="26">
        <f t="shared" si="36"/>
        <v>1.0769230769230769</v>
      </c>
      <c r="T30" s="26">
        <f t="shared" si="36"/>
        <v>0</v>
      </c>
      <c r="U30" s="26">
        <f t="shared" si="34"/>
        <v>2.1153846153846154</v>
      </c>
    </row>
    <row r="31" spans="1:21" ht="18" customHeight="1" x14ac:dyDescent="0.35">
      <c r="A31" s="35">
        <v>45992</v>
      </c>
      <c r="B31" s="33" t="s">
        <v>173</v>
      </c>
      <c r="C31" s="25">
        <v>0</v>
      </c>
      <c r="D31" s="25">
        <v>8.5</v>
      </c>
      <c r="E31" s="25">
        <v>7</v>
      </c>
      <c r="F31" s="25">
        <v>0</v>
      </c>
      <c r="G31" s="15"/>
      <c r="H31" s="29">
        <f>C31*H$13</f>
        <v>0</v>
      </c>
      <c r="I31" s="29">
        <f>D31*I$13</f>
        <v>809173.87999694073</v>
      </c>
      <c r="J31" s="29">
        <f>E31*J$13</f>
        <v>569493.36128401803</v>
      </c>
      <c r="K31" s="29">
        <f>F31*K$13</f>
        <v>0</v>
      </c>
      <c r="L31" s="34">
        <f t="shared" si="19"/>
        <v>1378667.2412809588</v>
      </c>
      <c r="M31" s="31">
        <f t="shared" si="35"/>
        <v>1378667.2412809588</v>
      </c>
      <c r="N31" s="211" t="s">
        <v>155</v>
      </c>
      <c r="P31" s="25">
        <v>14</v>
      </c>
      <c r="Q31" s="26">
        <f>IFERROR(C31/$P31,0)</f>
        <v>0</v>
      </c>
      <c r="R31" s="26">
        <f t="shared" si="36"/>
        <v>0.6071428571428571</v>
      </c>
      <c r="S31" s="26">
        <f t="shared" si="36"/>
        <v>0.5</v>
      </c>
      <c r="T31" s="26">
        <f t="shared" si="36"/>
        <v>0</v>
      </c>
      <c r="U31" s="26">
        <f t="shared" si="34"/>
        <v>1.1071428571428572</v>
      </c>
    </row>
    <row r="32" spans="1:21" ht="18" customHeight="1" x14ac:dyDescent="0.35">
      <c r="A32" s="35">
        <v>46023</v>
      </c>
      <c r="B32" s="27" t="s">
        <v>174</v>
      </c>
      <c r="C32" s="25">
        <v>0</v>
      </c>
      <c r="D32" s="25">
        <v>12</v>
      </c>
      <c r="E32" s="25">
        <v>12</v>
      </c>
      <c r="F32" s="25">
        <v>0</v>
      </c>
      <c r="G32" s="15"/>
      <c r="H32" s="29">
        <f>C32*H$14</f>
        <v>0</v>
      </c>
      <c r="I32" s="29">
        <f t="shared" ref="I32:K33" si="37">D32*I$14</f>
        <v>1174401.2383997452</v>
      </c>
      <c r="J32" s="29">
        <f t="shared" si="37"/>
        <v>1003379.2848197452</v>
      </c>
      <c r="K32" s="29">
        <f t="shared" si="37"/>
        <v>0</v>
      </c>
      <c r="L32" s="34">
        <f t="shared" ref="L32:L33" si="38">SUM(H32:K32)</f>
        <v>2177780.5232194904</v>
      </c>
      <c r="M32" s="31">
        <f t="shared" ref="M32:M33" si="39">L32</f>
        <v>2177780.5232194904</v>
      </c>
      <c r="N32" s="211" t="s">
        <v>155</v>
      </c>
      <c r="P32" s="25">
        <v>13</v>
      </c>
      <c r="Q32" s="26">
        <f t="shared" ref="Q32:Q33" si="40">IFERROR(C32/$P32,0)</f>
        <v>0</v>
      </c>
      <c r="R32" s="26">
        <f t="shared" ref="R32:R33" si="41">IFERROR(D32/$P32,0)</f>
        <v>0.92307692307692313</v>
      </c>
      <c r="S32" s="26">
        <f t="shared" ref="S32:S33" si="42">IFERROR(E32/$P32,0)</f>
        <v>0.92307692307692313</v>
      </c>
      <c r="T32" s="26">
        <f t="shared" ref="T32:T33" si="43">IFERROR(F32/$P32,0)</f>
        <v>0</v>
      </c>
      <c r="U32" s="26">
        <f t="shared" ref="U32:U33" si="44">SUM(Q32:T32)</f>
        <v>1.8461538461538463</v>
      </c>
    </row>
    <row r="33" spans="1:21" ht="18" customHeight="1" x14ac:dyDescent="0.35">
      <c r="A33" s="35">
        <v>46023</v>
      </c>
      <c r="B33" s="33" t="s">
        <v>173</v>
      </c>
      <c r="C33" s="25">
        <v>0</v>
      </c>
      <c r="D33" s="25">
        <v>12</v>
      </c>
      <c r="E33" s="25">
        <v>12</v>
      </c>
      <c r="F33" s="25">
        <v>0</v>
      </c>
      <c r="G33" s="15"/>
      <c r="H33" s="29">
        <f>C33*H$14</f>
        <v>0</v>
      </c>
      <c r="I33" s="29">
        <f t="shared" si="37"/>
        <v>1174401.2383997452</v>
      </c>
      <c r="J33" s="29">
        <f t="shared" si="37"/>
        <v>1003379.2848197452</v>
      </c>
      <c r="K33" s="29">
        <f t="shared" si="37"/>
        <v>0</v>
      </c>
      <c r="L33" s="34">
        <f t="shared" si="38"/>
        <v>2177780.5232194904</v>
      </c>
      <c r="M33" s="31">
        <f t="shared" si="39"/>
        <v>2177780.5232194904</v>
      </c>
      <c r="N33" s="211" t="s">
        <v>155</v>
      </c>
      <c r="P33" s="25">
        <v>14</v>
      </c>
      <c r="Q33" s="26">
        <f t="shared" si="40"/>
        <v>0</v>
      </c>
      <c r="R33" s="26">
        <f t="shared" si="41"/>
        <v>0.8571428571428571</v>
      </c>
      <c r="S33" s="26">
        <f t="shared" si="42"/>
        <v>0.8571428571428571</v>
      </c>
      <c r="T33" s="26">
        <f t="shared" si="43"/>
        <v>0</v>
      </c>
      <c r="U33" s="26">
        <f t="shared" si="44"/>
        <v>1.7142857142857142</v>
      </c>
    </row>
    <row r="34" spans="1:21" ht="18" customHeight="1" x14ac:dyDescent="0.35">
      <c r="A34" s="35">
        <v>46054</v>
      </c>
      <c r="B34" s="27" t="s">
        <v>174</v>
      </c>
      <c r="C34" s="25">
        <v>0</v>
      </c>
      <c r="D34" s="25">
        <v>6</v>
      </c>
      <c r="E34" s="25">
        <v>6</v>
      </c>
      <c r="F34" s="25">
        <v>0</v>
      </c>
      <c r="G34" s="15"/>
      <c r="H34" s="29">
        <f>C34*H$15</f>
        <v>0</v>
      </c>
      <c r="I34" s="29">
        <f t="shared" ref="I34:K35" si="45">D34*I$15</f>
        <v>596877.34785987262</v>
      </c>
      <c r="J34" s="29">
        <f t="shared" si="45"/>
        <v>509692.49496987264</v>
      </c>
      <c r="K34" s="29">
        <f t="shared" si="45"/>
        <v>0</v>
      </c>
      <c r="L34" s="34">
        <f t="shared" ref="L34" si="46">SUM(H34:K34)</f>
        <v>1106569.8428297453</v>
      </c>
      <c r="M34" s="31">
        <f t="shared" ref="M34" si="47">L34</f>
        <v>1106569.8428297453</v>
      </c>
      <c r="N34" s="211" t="s">
        <v>155</v>
      </c>
      <c r="P34" s="25">
        <v>13</v>
      </c>
      <c r="Q34" s="38">
        <f t="shared" ref="Q34:Q35" si="48">C34/P34</f>
        <v>0</v>
      </c>
      <c r="R34" s="38">
        <f t="shared" ref="R34:R35" si="49">D34/P34</f>
        <v>0.46153846153846156</v>
      </c>
      <c r="S34" s="38">
        <f t="shared" ref="S34:S35" si="50">E34/P34</f>
        <v>0.46153846153846156</v>
      </c>
      <c r="T34" s="38">
        <f t="shared" ref="T34:T35" si="51">F34/P34</f>
        <v>0</v>
      </c>
      <c r="U34" s="38">
        <f t="shared" ref="U34:U35" si="52">SUM(Q34:T34)</f>
        <v>0.92307692307692313</v>
      </c>
    </row>
    <row r="35" spans="1:21" ht="18" customHeight="1" x14ac:dyDescent="0.35">
      <c r="A35" s="35">
        <v>46054</v>
      </c>
      <c r="B35" s="33" t="s">
        <v>173</v>
      </c>
      <c r="C35" s="25">
        <v>0</v>
      </c>
      <c r="D35" s="25">
        <v>9.5</v>
      </c>
      <c r="E35" s="25">
        <v>10.5</v>
      </c>
      <c r="F35" s="25">
        <v>0</v>
      </c>
      <c r="G35" s="15"/>
      <c r="H35" s="29">
        <f>C35*H$15</f>
        <v>0</v>
      </c>
      <c r="I35" s="29">
        <f t="shared" si="45"/>
        <v>945055.80077813158</v>
      </c>
      <c r="J35" s="29">
        <f t="shared" si="45"/>
        <v>891961.86619727709</v>
      </c>
      <c r="K35" s="29">
        <f t="shared" si="45"/>
        <v>0</v>
      </c>
      <c r="L35" s="34">
        <f t="shared" ref="L35" si="53">SUM(H35:K35)</f>
        <v>1837017.6669754088</v>
      </c>
      <c r="M35" s="31">
        <f t="shared" ref="M35" si="54">L35</f>
        <v>1837017.6669754088</v>
      </c>
      <c r="N35" s="211" t="s">
        <v>155</v>
      </c>
      <c r="P35" s="25">
        <v>14</v>
      </c>
      <c r="Q35" s="38">
        <f t="shared" si="48"/>
        <v>0</v>
      </c>
      <c r="R35" s="38">
        <f t="shared" si="49"/>
        <v>0.6785714285714286</v>
      </c>
      <c r="S35" s="38">
        <f t="shared" si="50"/>
        <v>0.75</v>
      </c>
      <c r="T35" s="38">
        <f t="shared" si="51"/>
        <v>0</v>
      </c>
      <c r="U35" s="38">
        <f t="shared" si="52"/>
        <v>1.4285714285714286</v>
      </c>
    </row>
    <row r="36" spans="1:21" ht="18" customHeight="1" x14ac:dyDescent="0.35">
      <c r="A36" s="35">
        <v>46082</v>
      </c>
      <c r="B36" s="27" t="s">
        <v>174</v>
      </c>
      <c r="C36" s="25">
        <v>0</v>
      </c>
      <c r="D36" s="25">
        <f>10+1</f>
        <v>11</v>
      </c>
      <c r="E36" s="25">
        <f>10+1</f>
        <v>11</v>
      </c>
      <c r="F36" s="25">
        <v>0</v>
      </c>
      <c r="G36" s="15"/>
      <c r="H36" s="29">
        <f>C36*H$16</f>
        <v>0</v>
      </c>
      <c r="I36" s="29">
        <f t="shared" ref="I36:K37" si="55">D36*I$16</f>
        <v>1122319.7357105999</v>
      </c>
      <c r="J36" s="29">
        <f t="shared" si="55"/>
        <v>958105.16897309979</v>
      </c>
      <c r="K36" s="29">
        <f t="shared" si="55"/>
        <v>0</v>
      </c>
      <c r="L36" s="34">
        <f t="shared" ref="L36:L37" si="56">SUM(H36:K36)</f>
        <v>2080424.9046836998</v>
      </c>
      <c r="M36" s="31">
        <f t="shared" ref="M36:M37" si="57">L36</f>
        <v>2080424.9046836998</v>
      </c>
      <c r="N36" s="211" t="s">
        <v>155</v>
      </c>
      <c r="P36" s="25">
        <v>12</v>
      </c>
      <c r="Q36" s="38">
        <f t="shared" ref="Q36:Q37" si="58">C36/P36</f>
        <v>0</v>
      </c>
      <c r="R36" s="38">
        <f t="shared" ref="R36:R37" si="59">D36/P36</f>
        <v>0.91666666666666663</v>
      </c>
      <c r="S36" s="38">
        <f t="shared" ref="S36:S37" si="60">E36/P36</f>
        <v>0.91666666666666663</v>
      </c>
      <c r="T36" s="38">
        <f t="shared" ref="T36:T37" si="61">F36/P36</f>
        <v>0</v>
      </c>
      <c r="U36" s="38">
        <f t="shared" ref="U36:U37" si="62">SUM(Q36:T36)</f>
        <v>1.8333333333333333</v>
      </c>
    </row>
    <row r="37" spans="1:21" ht="18" customHeight="1" x14ac:dyDescent="0.35">
      <c r="A37" s="35">
        <v>46082</v>
      </c>
      <c r="B37" s="33" t="s">
        <v>173</v>
      </c>
      <c r="C37" s="25">
        <v>0</v>
      </c>
      <c r="D37" s="25">
        <f>10+0.5</f>
        <v>10.5</v>
      </c>
      <c r="E37" s="25">
        <f>10+0.5</f>
        <v>10.5</v>
      </c>
      <c r="F37" s="25">
        <v>0</v>
      </c>
      <c r="G37" s="15"/>
      <c r="H37" s="29">
        <f>C37*H$16</f>
        <v>0</v>
      </c>
      <c r="I37" s="29">
        <f t="shared" si="55"/>
        <v>1071305.2022692089</v>
      </c>
      <c r="J37" s="29">
        <f t="shared" si="55"/>
        <v>914554.93401977711</v>
      </c>
      <c r="K37" s="29">
        <f t="shared" si="55"/>
        <v>0</v>
      </c>
      <c r="L37" s="34">
        <f t="shared" si="56"/>
        <v>1985860.1362889861</v>
      </c>
      <c r="M37" s="31">
        <f t="shared" si="57"/>
        <v>1985860.1362889861</v>
      </c>
      <c r="N37" s="211" t="s">
        <v>155</v>
      </c>
      <c r="P37" s="25">
        <v>13</v>
      </c>
      <c r="Q37" s="38">
        <f t="shared" si="58"/>
        <v>0</v>
      </c>
      <c r="R37" s="38">
        <f t="shared" si="59"/>
        <v>0.80769230769230771</v>
      </c>
      <c r="S37" s="38">
        <f t="shared" si="60"/>
        <v>0.80769230769230771</v>
      </c>
      <c r="T37" s="38">
        <f t="shared" si="61"/>
        <v>0</v>
      </c>
      <c r="U37" s="38">
        <f t="shared" si="62"/>
        <v>1.6153846153846154</v>
      </c>
    </row>
    <row r="38" spans="1:21" ht="18" customHeight="1" x14ac:dyDescent="0.35">
      <c r="A38" s="35"/>
      <c r="B38" s="33"/>
      <c r="C38" s="25"/>
      <c r="D38" s="25"/>
      <c r="E38" s="25"/>
      <c r="F38" s="25"/>
      <c r="G38" s="15"/>
      <c r="H38" s="29"/>
      <c r="I38" s="29"/>
      <c r="J38" s="29"/>
      <c r="K38" s="29"/>
      <c r="L38" s="34"/>
      <c r="M38" s="36"/>
      <c r="N38" s="37"/>
      <c r="P38" s="25"/>
      <c r="Q38" s="38"/>
      <c r="R38" s="38"/>
      <c r="S38" s="38"/>
      <c r="T38" s="38"/>
      <c r="U38" s="38"/>
    </row>
    <row r="39" spans="1:21" ht="18" customHeight="1" thickBot="1" x14ac:dyDescent="0.4">
      <c r="A39" s="39"/>
      <c r="B39" s="39"/>
      <c r="C39" s="40"/>
      <c r="D39" s="40"/>
      <c r="E39" s="40"/>
      <c r="F39" s="40"/>
      <c r="G39" s="15"/>
      <c r="H39" s="39"/>
      <c r="I39" s="39"/>
      <c r="J39" s="39"/>
      <c r="K39" s="39"/>
      <c r="L39" s="41">
        <f>SUM(L17:L38)</f>
        <v>20815628.617169276</v>
      </c>
      <c r="M39" s="212">
        <f>SUM(M17:M38)</f>
        <v>20815628.617169276</v>
      </c>
      <c r="N39" s="42"/>
      <c r="P39" s="40"/>
      <c r="Q39" s="40"/>
      <c r="R39" s="40"/>
      <c r="S39" s="40"/>
      <c r="T39" s="40"/>
      <c r="U39" s="40"/>
    </row>
    <row r="40" spans="1:21" x14ac:dyDescent="0.35">
      <c r="P40" s="43"/>
      <c r="Q40" s="43"/>
      <c r="R40" s="43"/>
      <c r="S40" s="43"/>
      <c r="T40" s="43"/>
      <c r="U40" s="43"/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7E45-5383-47F0-999A-B62A4DC6DD0B}">
  <dimension ref="A1:X24"/>
  <sheetViews>
    <sheetView workbookViewId="0">
      <selection activeCell="U21" sqref="U21"/>
    </sheetView>
  </sheetViews>
  <sheetFormatPr defaultColWidth="11.453125" defaultRowHeight="14.5" x14ac:dyDescent="0.35"/>
  <cols>
    <col min="2" max="2" width="6.1796875" customWidth="1"/>
    <col min="3" max="6" width="6.7265625" style="43" customWidth="1"/>
    <col min="7" max="7" width="3.453125" customWidth="1"/>
    <col min="8" max="9" width="10.453125" bestFit="1" customWidth="1"/>
    <col min="10" max="10" width="9.54296875" bestFit="1" customWidth="1"/>
    <col min="11" max="11" width="10.453125" bestFit="1" customWidth="1"/>
    <col min="12" max="13" width="11" bestFit="1" customWidth="1"/>
    <col min="14" max="14" width="3.81640625" customWidth="1"/>
    <col min="15" max="15" width="4.7265625" customWidth="1"/>
    <col min="16" max="16" width="5.81640625" customWidth="1"/>
    <col min="17" max="17" width="6.7265625" customWidth="1"/>
    <col min="18" max="19" width="8.453125" bestFit="1" customWidth="1"/>
    <col min="20" max="20" width="6.7265625" customWidth="1"/>
    <col min="21" max="21" width="8.453125" bestFit="1" customWidth="1"/>
    <col min="22" max="22" width="5.7265625" customWidth="1"/>
    <col min="23" max="23" width="4.54296875" customWidth="1"/>
    <col min="24" max="24" width="11.542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4" x14ac:dyDescent="0.35">
      <c r="A1" s="7" t="s">
        <v>154</v>
      </c>
      <c r="B1" s="7"/>
      <c r="C1"/>
      <c r="D1"/>
      <c r="E1"/>
      <c r="F1"/>
      <c r="O1" s="8" t="s">
        <v>155</v>
      </c>
      <c r="P1" s="1436" t="s">
        <v>156</v>
      </c>
      <c r="Q1" s="1436"/>
    </row>
    <row r="2" spans="1:24" x14ac:dyDescent="0.35">
      <c r="A2" s="7" t="s">
        <v>157</v>
      </c>
      <c r="B2" s="7"/>
      <c r="C2"/>
      <c r="D2"/>
      <c r="E2"/>
      <c r="F2"/>
      <c r="O2" s="9" t="s">
        <v>158</v>
      </c>
      <c r="P2" s="1437" t="s">
        <v>159</v>
      </c>
      <c r="Q2" s="1437"/>
    </row>
    <row r="3" spans="1:24" ht="15" thickBot="1" x14ac:dyDescent="0.4">
      <c r="C3"/>
      <c r="D3"/>
      <c r="E3"/>
      <c r="F3"/>
    </row>
    <row r="4" spans="1:24" x14ac:dyDescent="0.35">
      <c r="C4" s="1438" t="s">
        <v>160</v>
      </c>
      <c r="D4" s="1439"/>
      <c r="E4" s="1439"/>
      <c r="F4" s="1440"/>
      <c r="G4" s="11"/>
      <c r="H4" s="12" t="s">
        <v>161</v>
      </c>
      <c r="I4" s="12" t="s">
        <v>162</v>
      </c>
      <c r="J4" s="12" t="s">
        <v>163</v>
      </c>
      <c r="K4" s="12" t="s">
        <v>164</v>
      </c>
      <c r="L4" s="10" t="s">
        <v>87</v>
      </c>
      <c r="M4" s="13" t="s">
        <v>165</v>
      </c>
      <c r="P4" s="1438" t="s">
        <v>166</v>
      </c>
      <c r="Q4" s="1439"/>
      <c r="R4" s="1439"/>
      <c r="S4" s="1439"/>
      <c r="T4" s="1439"/>
      <c r="U4" s="1440"/>
    </row>
    <row r="5" spans="1:24" x14ac:dyDescent="0.35">
      <c r="C5" s="14" t="s">
        <v>177</v>
      </c>
      <c r="D5" s="14" t="s">
        <v>168</v>
      </c>
      <c r="E5" s="14" t="s">
        <v>169</v>
      </c>
      <c r="F5" s="14" t="s">
        <v>170</v>
      </c>
      <c r="G5" s="15"/>
      <c r="H5" s="1344">
        <v>106516.01731157197</v>
      </c>
      <c r="I5" s="1344">
        <v>88649.807904071975</v>
      </c>
      <c r="J5" s="1344">
        <v>75758.191951571978</v>
      </c>
      <c r="K5" s="1344">
        <v>71041.118761571968</v>
      </c>
      <c r="L5" s="1345">
        <v>45901</v>
      </c>
      <c r="M5" s="16"/>
      <c r="P5" s="12" t="s">
        <v>171</v>
      </c>
      <c r="Q5" s="12" t="s">
        <v>177</v>
      </c>
      <c r="R5" s="12" t="s">
        <v>168</v>
      </c>
      <c r="S5" s="12" t="s">
        <v>169</v>
      </c>
      <c r="T5" s="12" t="s">
        <v>170</v>
      </c>
      <c r="U5" s="12" t="s">
        <v>172</v>
      </c>
    </row>
    <row r="6" spans="1:24" ht="15" thickBot="1" x14ac:dyDescent="0.4">
      <c r="C6" s="17"/>
      <c r="D6" s="17"/>
      <c r="E6" s="17"/>
      <c r="F6" s="17"/>
      <c r="G6" s="15"/>
      <c r="H6" s="1344">
        <v>106864.20592157198</v>
      </c>
      <c r="I6" s="1344">
        <v>88971.072744071964</v>
      </c>
      <c r="J6" s="1344">
        <v>76032.176431571977</v>
      </c>
      <c r="K6" s="1344">
        <v>71292.271201571988</v>
      </c>
      <c r="L6" s="1345">
        <v>45931</v>
      </c>
      <c r="M6" s="165"/>
      <c r="P6" s="19"/>
      <c r="Q6" s="19"/>
      <c r="R6" s="19"/>
      <c r="S6" s="19"/>
      <c r="T6" s="19"/>
      <c r="U6" s="19"/>
    </row>
    <row r="7" spans="1:24" x14ac:dyDescent="0.35">
      <c r="C7" s="17"/>
      <c r="D7" s="17"/>
      <c r="E7" s="17"/>
      <c r="F7" s="17"/>
      <c r="G7" s="15"/>
      <c r="H7" s="1344">
        <v>109621.10545407196</v>
      </c>
      <c r="I7" s="1344">
        <v>91252.850653390153</v>
      </c>
      <c r="J7" s="1344">
        <v>77612.118064071969</v>
      </c>
      <c r="K7" s="1344">
        <v>72486.68260657198</v>
      </c>
      <c r="L7" s="1345">
        <v>45962</v>
      </c>
      <c r="M7" s="18"/>
      <c r="P7" s="19"/>
      <c r="Q7" s="19"/>
      <c r="R7" s="19"/>
      <c r="S7" s="19"/>
      <c r="T7" s="19"/>
      <c r="U7" s="19"/>
    </row>
    <row r="8" spans="1:24" x14ac:dyDescent="0.35">
      <c r="A8" s="1366"/>
      <c r="B8" s="1366"/>
      <c r="C8" s="1367"/>
      <c r="D8" s="1367"/>
      <c r="E8" s="1367"/>
      <c r="F8" s="1367"/>
      <c r="G8" s="15"/>
      <c r="H8" s="158">
        <v>113865.18185914542</v>
      </c>
      <c r="I8" s="158">
        <v>95196.927058463611</v>
      </c>
      <c r="J8" s="158">
        <v>81356.194469145426</v>
      </c>
      <c r="K8" s="158">
        <v>76230.759011645438</v>
      </c>
      <c r="L8" s="1378">
        <v>45992</v>
      </c>
      <c r="M8" s="1369"/>
      <c r="P8" s="1370"/>
      <c r="Q8" s="1370"/>
      <c r="R8" s="1370"/>
      <c r="S8" s="1370"/>
      <c r="T8" s="1370"/>
      <c r="U8" s="1370"/>
    </row>
    <row r="9" spans="1:24" x14ac:dyDescent="0.35">
      <c r="C9" s="17"/>
      <c r="D9" s="17"/>
      <c r="E9" s="17"/>
      <c r="F9" s="17"/>
      <c r="G9" s="15"/>
      <c r="H9" s="158">
        <v>117452.65727664542</v>
      </c>
      <c r="I9" s="158">
        <v>97866.769866645438</v>
      </c>
      <c r="J9" s="158">
        <v>83614.940401645435</v>
      </c>
      <c r="K9" s="158">
        <v>78291.041771645439</v>
      </c>
      <c r="L9" s="1378">
        <v>46023</v>
      </c>
      <c r="M9" s="18"/>
      <c r="P9" s="19"/>
      <c r="Q9" s="19"/>
      <c r="R9" s="19"/>
      <c r="S9" s="19"/>
      <c r="T9" s="19"/>
      <c r="U9" s="19"/>
    </row>
    <row r="10" spans="1:24" x14ac:dyDescent="0.35">
      <c r="C10" s="17"/>
      <c r="D10" s="17"/>
      <c r="E10" s="17"/>
      <c r="F10" s="17"/>
      <c r="G10" s="15"/>
      <c r="H10" s="158">
        <v>119406.33424664545</v>
      </c>
      <c r="I10" s="158">
        <v>99479.557976645432</v>
      </c>
      <c r="J10" s="158">
        <v>84948.749161645435</v>
      </c>
      <c r="K10" s="158">
        <v>79490.602471645427</v>
      </c>
      <c r="L10" s="1378">
        <v>46054</v>
      </c>
      <c r="M10" s="18"/>
      <c r="P10" s="19"/>
      <c r="Q10" s="19"/>
      <c r="R10" s="19"/>
      <c r="S10" s="19"/>
      <c r="T10" s="19"/>
      <c r="U10" s="19"/>
    </row>
    <row r="11" spans="1:24" x14ac:dyDescent="0.35">
      <c r="C11" s="17"/>
      <c r="D11" s="17"/>
      <c r="E11" s="17"/>
      <c r="F11" s="17"/>
      <c r="G11" s="15"/>
      <c r="H11" s="1390">
        <v>122445.79058664542</v>
      </c>
      <c r="I11" s="1390">
        <v>102029.0668827818</v>
      </c>
      <c r="J11" s="1390">
        <v>87100.469906645434</v>
      </c>
      <c r="K11" s="1390">
        <v>81453.719334145426</v>
      </c>
      <c r="L11" s="1391">
        <v>46082</v>
      </c>
      <c r="M11" s="18"/>
      <c r="P11" s="19"/>
      <c r="Q11" s="19"/>
      <c r="R11" s="19"/>
      <c r="S11" s="19"/>
      <c r="T11" s="19"/>
      <c r="U11" s="19"/>
    </row>
    <row r="12" spans="1:24" ht="18" customHeight="1" x14ac:dyDescent="0.35">
      <c r="A12" s="1365">
        <v>45931</v>
      </c>
      <c r="B12" s="27" t="s">
        <v>174</v>
      </c>
      <c r="C12" s="28">
        <v>0</v>
      </c>
      <c r="D12" s="28">
        <v>3</v>
      </c>
      <c r="E12" s="28">
        <v>3</v>
      </c>
      <c r="F12" s="28">
        <v>0</v>
      </c>
      <c r="G12" s="15"/>
      <c r="H12" s="1368">
        <f>C12*H$6</f>
        <v>0</v>
      </c>
      <c r="I12" s="1368">
        <f>D12*I$6</f>
        <v>266913.21823221591</v>
      </c>
      <c r="J12" s="1368">
        <f>E12*J$6</f>
        <v>228096.52929471593</v>
      </c>
      <c r="K12" s="1368">
        <f>F12*K$6</f>
        <v>0</v>
      </c>
      <c r="L12" s="30">
        <f t="shared" ref="L12:L15" si="0">SUM(H12:K12)</f>
        <v>495009.74752693181</v>
      </c>
      <c r="M12" s="31">
        <f t="shared" ref="M12:M13" si="1">L12</f>
        <v>495009.74752693181</v>
      </c>
      <c r="N12" s="211" t="s">
        <v>155</v>
      </c>
      <c r="P12" s="28">
        <v>3</v>
      </c>
      <c r="Q12" s="26">
        <f>IFERROR(C12/#REF!,0)</f>
        <v>0</v>
      </c>
      <c r="R12" s="26">
        <f t="shared" ref="R12" si="2">D12/P12</f>
        <v>1</v>
      </c>
      <c r="S12" s="26">
        <f>IFERROR(E12/$P$13,0)</f>
        <v>0</v>
      </c>
      <c r="T12" s="26">
        <f>IFERROR(F12/#REF!,0)</f>
        <v>0</v>
      </c>
      <c r="U12" s="26">
        <f t="shared" ref="U12" si="3">SUM(Q12:T12)</f>
        <v>1</v>
      </c>
    </row>
    <row r="13" spans="1:24" ht="18" customHeight="1" x14ac:dyDescent="0.35">
      <c r="A13" s="35">
        <v>45931</v>
      </c>
      <c r="B13" s="33" t="s">
        <v>173</v>
      </c>
      <c r="C13" s="25">
        <v>0</v>
      </c>
      <c r="D13" s="25">
        <v>0</v>
      </c>
      <c r="E13" s="25">
        <v>0</v>
      </c>
      <c r="F13" s="25">
        <v>0</v>
      </c>
      <c r="G13" s="15"/>
      <c r="H13" s="29">
        <f>C13*H$6</f>
        <v>0</v>
      </c>
      <c r="I13" s="29">
        <f t="shared" ref="I13:L13" si="4">D13*I$6</f>
        <v>0</v>
      </c>
      <c r="J13" s="29">
        <f t="shared" si="4"/>
        <v>0</v>
      </c>
      <c r="K13" s="29">
        <f t="shared" si="4"/>
        <v>0</v>
      </c>
      <c r="L13" s="29">
        <f t="shared" si="4"/>
        <v>0</v>
      </c>
      <c r="M13" s="31">
        <f t="shared" si="1"/>
        <v>0</v>
      </c>
      <c r="N13" s="211" t="s">
        <v>155</v>
      </c>
      <c r="P13" s="25"/>
      <c r="Q13" s="26">
        <f>IFERROR(C13/#REF!,0)</f>
        <v>0</v>
      </c>
      <c r="R13" s="26" t="e">
        <f t="shared" ref="R13" si="5">D13/P13</f>
        <v>#DIV/0!</v>
      </c>
      <c r="S13" s="26">
        <f>IFERROR(E13/$P$13,0)</f>
        <v>0</v>
      </c>
      <c r="T13" s="26">
        <f>IFERROR(F13/#REF!,0)</f>
        <v>0</v>
      </c>
      <c r="U13" s="26" t="e">
        <f t="shared" ref="U13:U15" si="6">SUM(Q13:T13)</f>
        <v>#DIV/0!</v>
      </c>
    </row>
    <row r="14" spans="1:24" ht="18" customHeight="1" x14ac:dyDescent="0.35">
      <c r="A14" s="35">
        <v>45992</v>
      </c>
      <c r="B14" s="27" t="s">
        <v>174</v>
      </c>
      <c r="C14" s="25">
        <v>0</v>
      </c>
      <c r="D14" s="25">
        <v>14</v>
      </c>
      <c r="E14" s="25">
        <v>0</v>
      </c>
      <c r="F14" s="25">
        <v>0</v>
      </c>
      <c r="G14" s="15"/>
      <c r="H14" s="29">
        <f t="shared" ref="H14:H15" si="7">C14*H$8</f>
        <v>0</v>
      </c>
      <c r="I14" s="29">
        <f t="shared" ref="I14:I15" si="8">D14*I$8</f>
        <v>1332756.9788184906</v>
      </c>
      <c r="J14" s="29">
        <f t="shared" ref="J14:J15" si="9">E14*J$8</f>
        <v>0</v>
      </c>
      <c r="K14" s="29">
        <f t="shared" ref="K14:K15" si="10">F14*K$8</f>
        <v>0</v>
      </c>
      <c r="L14" s="34">
        <f t="shared" si="0"/>
        <v>1332756.9788184906</v>
      </c>
      <c r="M14" s="31">
        <f t="shared" ref="M14:M15" si="11">L14</f>
        <v>1332756.9788184906</v>
      </c>
      <c r="N14" s="211" t="s">
        <v>155</v>
      </c>
      <c r="P14" s="25">
        <v>13</v>
      </c>
      <c r="Q14" s="26">
        <f>IFERROR(C14/P14,0)</f>
        <v>0</v>
      </c>
      <c r="R14" s="26">
        <f t="shared" ref="R14:R15" si="12">D14/P14</f>
        <v>1.0769230769230769</v>
      </c>
      <c r="S14" s="26">
        <f>E14/P14</f>
        <v>0</v>
      </c>
      <c r="T14" s="26">
        <f t="shared" ref="T14" si="13">F14/R14</f>
        <v>0</v>
      </c>
      <c r="U14" s="26">
        <f t="shared" si="6"/>
        <v>1.0769230769230769</v>
      </c>
    </row>
    <row r="15" spans="1:24" ht="18" customHeight="1" x14ac:dyDescent="0.35">
      <c r="A15" s="35">
        <v>45992</v>
      </c>
      <c r="B15" s="33" t="s">
        <v>173</v>
      </c>
      <c r="C15" s="25">
        <v>0</v>
      </c>
      <c r="D15" s="25">
        <f>11+12</f>
        <v>23</v>
      </c>
      <c r="E15" s="25">
        <v>0</v>
      </c>
      <c r="F15" s="25">
        <v>0</v>
      </c>
      <c r="G15" s="15"/>
      <c r="H15" s="29">
        <f t="shared" si="7"/>
        <v>0</v>
      </c>
      <c r="I15" s="29">
        <f t="shared" si="8"/>
        <v>2189529.3223446631</v>
      </c>
      <c r="J15" s="29">
        <f t="shared" si="9"/>
        <v>0</v>
      </c>
      <c r="K15" s="29">
        <f t="shared" si="10"/>
        <v>0</v>
      </c>
      <c r="L15" s="34">
        <f t="shared" si="0"/>
        <v>2189529.3223446631</v>
      </c>
      <c r="M15" s="31">
        <f t="shared" si="11"/>
        <v>2189529.3223446631</v>
      </c>
      <c r="N15" s="211" t="s">
        <v>155</v>
      </c>
      <c r="P15" s="25">
        <v>14</v>
      </c>
      <c r="Q15" s="26">
        <f>IFERROR(C15/#REF!,0)</f>
        <v>0</v>
      </c>
      <c r="R15" s="26">
        <f t="shared" si="12"/>
        <v>1.6428571428571428</v>
      </c>
      <c r="S15" s="26">
        <f t="shared" ref="S15" si="14">IFERROR(E15/$P$13,0)</f>
        <v>0</v>
      </c>
      <c r="T15" s="26">
        <f>IFERROR(F15/#REF!,0)</f>
        <v>0</v>
      </c>
      <c r="U15" s="26">
        <f t="shared" si="6"/>
        <v>1.6428571428571428</v>
      </c>
    </row>
    <row r="16" spans="1:24" ht="18" customHeight="1" x14ac:dyDescent="0.35">
      <c r="A16" s="35">
        <v>46023</v>
      </c>
      <c r="B16" s="27" t="s">
        <v>174</v>
      </c>
      <c r="C16" s="25">
        <v>0</v>
      </c>
      <c r="D16" s="25">
        <v>22</v>
      </c>
      <c r="E16" s="25">
        <v>0</v>
      </c>
      <c r="F16" s="25">
        <v>0</v>
      </c>
      <c r="G16" s="15"/>
      <c r="H16" s="29">
        <f>C16*H$9</f>
        <v>0</v>
      </c>
      <c r="I16" s="29">
        <f t="shared" ref="I16:K17" si="15">D16*I$9</f>
        <v>2153068.9370661997</v>
      </c>
      <c r="J16" s="29">
        <f t="shared" si="15"/>
        <v>0</v>
      </c>
      <c r="K16" s="29">
        <f t="shared" si="15"/>
        <v>0</v>
      </c>
      <c r="L16" s="34">
        <f t="shared" ref="L16:L17" si="16">SUM(H16:K16)</f>
        <v>2153068.9370661997</v>
      </c>
      <c r="M16" s="31">
        <f t="shared" ref="M16" si="17">L16</f>
        <v>2153068.9370661997</v>
      </c>
      <c r="N16" s="211" t="s">
        <v>155</v>
      </c>
      <c r="P16" s="25">
        <v>13</v>
      </c>
      <c r="Q16" s="26">
        <f>IFERROR(C16/#REF!,0)</f>
        <v>0</v>
      </c>
      <c r="R16" s="26">
        <f t="shared" ref="R16:R19" si="18">D16/P16</f>
        <v>1.6923076923076923</v>
      </c>
      <c r="S16" s="26">
        <f t="shared" ref="S16:S17" si="19">IFERROR(E16/$P$13,0)</f>
        <v>0</v>
      </c>
      <c r="T16" s="26">
        <f>IFERROR(F16/#REF!,0)</f>
        <v>0</v>
      </c>
      <c r="U16" s="26">
        <f t="shared" ref="U16:U17" si="20">SUM(Q16:T16)</f>
        <v>1.6923076923076923</v>
      </c>
      <c r="X16" s="731"/>
    </row>
    <row r="17" spans="1:21" ht="18" customHeight="1" x14ac:dyDescent="0.35">
      <c r="A17" s="35">
        <v>46023</v>
      </c>
      <c r="B17" s="33" t="s">
        <v>173</v>
      </c>
      <c r="C17" s="25">
        <v>0</v>
      </c>
      <c r="D17" s="25">
        <v>22</v>
      </c>
      <c r="E17" s="25">
        <v>0</v>
      </c>
      <c r="F17" s="25">
        <v>0</v>
      </c>
      <c r="G17" s="15"/>
      <c r="H17" s="29">
        <f>C17*H$9</f>
        <v>0</v>
      </c>
      <c r="I17" s="29">
        <f t="shared" si="15"/>
        <v>2153068.9370661997</v>
      </c>
      <c r="J17" s="29">
        <f t="shared" si="15"/>
        <v>0</v>
      </c>
      <c r="K17" s="29">
        <f t="shared" si="15"/>
        <v>0</v>
      </c>
      <c r="L17" s="34">
        <f t="shared" si="16"/>
        <v>2153068.9370661997</v>
      </c>
      <c r="M17" s="31">
        <f t="shared" ref="M17" si="21">L17</f>
        <v>2153068.9370661997</v>
      </c>
      <c r="N17" s="211" t="s">
        <v>155</v>
      </c>
      <c r="P17" s="25">
        <v>14</v>
      </c>
      <c r="Q17" s="26">
        <f>IFERROR(C17/#REF!,0)</f>
        <v>0</v>
      </c>
      <c r="R17" s="26">
        <f t="shared" si="18"/>
        <v>1.5714285714285714</v>
      </c>
      <c r="S17" s="26">
        <f t="shared" si="19"/>
        <v>0</v>
      </c>
      <c r="T17" s="26">
        <f>IFERROR(F17/#REF!,0)</f>
        <v>0</v>
      </c>
      <c r="U17" s="26">
        <f t="shared" si="20"/>
        <v>1.5714285714285714</v>
      </c>
    </row>
    <row r="18" spans="1:21" ht="18" customHeight="1" x14ac:dyDescent="0.35">
      <c r="A18" s="35">
        <v>46054</v>
      </c>
      <c r="B18" s="27" t="s">
        <v>174</v>
      </c>
      <c r="C18" s="25">
        <v>0</v>
      </c>
      <c r="D18" s="25">
        <v>20</v>
      </c>
      <c r="E18" s="25">
        <v>0</v>
      </c>
      <c r="F18" s="25">
        <v>0</v>
      </c>
      <c r="G18" s="15"/>
      <c r="H18" s="29">
        <f>C18*H$10</f>
        <v>0</v>
      </c>
      <c r="I18" s="29">
        <f t="shared" ref="I18:K19" si="22">D18*I$10</f>
        <v>1989591.1595329086</v>
      </c>
      <c r="J18" s="29">
        <f t="shared" si="22"/>
        <v>0</v>
      </c>
      <c r="K18" s="29">
        <f t="shared" si="22"/>
        <v>0</v>
      </c>
      <c r="L18" s="34">
        <f t="shared" ref="L18:L19" si="23">SUM(H18:K18)</f>
        <v>1989591.1595329086</v>
      </c>
      <c r="M18" s="31">
        <f t="shared" ref="M18:M19" si="24">L18</f>
        <v>1989591.1595329086</v>
      </c>
      <c r="N18" s="211" t="s">
        <v>155</v>
      </c>
      <c r="P18" s="25">
        <v>13</v>
      </c>
      <c r="Q18" s="38">
        <f t="shared" ref="Q18:Q19" si="25">C18/P18</f>
        <v>0</v>
      </c>
      <c r="R18" s="38">
        <f t="shared" si="18"/>
        <v>1.5384615384615385</v>
      </c>
      <c r="S18" s="38">
        <f t="shared" ref="S18:S19" si="26">E18/P18</f>
        <v>0</v>
      </c>
      <c r="T18" s="38">
        <f t="shared" ref="T18:T19" si="27">F18/P18</f>
        <v>0</v>
      </c>
      <c r="U18" s="38">
        <f t="shared" ref="U18:U19" si="28">SUM(Q18:T18)</f>
        <v>1.5384615384615385</v>
      </c>
    </row>
    <row r="19" spans="1:21" ht="18" customHeight="1" x14ac:dyDescent="0.35">
      <c r="A19" s="35">
        <v>46054</v>
      </c>
      <c r="B19" s="33" t="s">
        <v>173</v>
      </c>
      <c r="C19" s="25">
        <v>0</v>
      </c>
      <c r="D19" s="25">
        <v>23.5</v>
      </c>
      <c r="E19" s="25">
        <v>0</v>
      </c>
      <c r="F19" s="25">
        <v>0</v>
      </c>
      <c r="G19" s="15"/>
      <c r="H19" s="29">
        <f>C19*H$10</f>
        <v>0</v>
      </c>
      <c r="I19" s="29">
        <f t="shared" si="22"/>
        <v>2337769.6124511678</v>
      </c>
      <c r="J19" s="29">
        <f t="shared" si="22"/>
        <v>0</v>
      </c>
      <c r="K19" s="29">
        <f t="shared" si="22"/>
        <v>0</v>
      </c>
      <c r="L19" s="34">
        <f t="shared" si="23"/>
        <v>2337769.6124511678</v>
      </c>
      <c r="M19" s="31">
        <f t="shared" si="24"/>
        <v>2337769.6124511678</v>
      </c>
      <c r="N19" s="211" t="s">
        <v>155</v>
      </c>
      <c r="P19" s="25">
        <v>14</v>
      </c>
      <c r="Q19" s="38">
        <f t="shared" si="25"/>
        <v>0</v>
      </c>
      <c r="R19" s="38">
        <f t="shared" si="18"/>
        <v>1.6785714285714286</v>
      </c>
      <c r="S19" s="38">
        <f t="shared" si="26"/>
        <v>0</v>
      </c>
      <c r="T19" s="38">
        <f t="shared" si="27"/>
        <v>0</v>
      </c>
      <c r="U19" s="38">
        <f t="shared" si="28"/>
        <v>1.6785714285714286</v>
      </c>
    </row>
    <row r="20" spans="1:21" ht="18" customHeight="1" x14ac:dyDescent="0.35">
      <c r="A20" s="35">
        <v>46082</v>
      </c>
      <c r="B20" s="27" t="s">
        <v>174</v>
      </c>
      <c r="C20" s="25">
        <v>0</v>
      </c>
      <c r="D20" s="25">
        <v>28.5</v>
      </c>
      <c r="E20" s="25">
        <v>0</v>
      </c>
      <c r="F20" s="25">
        <v>0</v>
      </c>
      <c r="G20" s="15"/>
      <c r="H20" s="29">
        <f>C20*H$11</f>
        <v>0</v>
      </c>
      <c r="I20" s="29">
        <f t="shared" ref="I20:K21" si="29">D20*I$11</f>
        <v>2907828.4061592813</v>
      </c>
      <c r="J20" s="29">
        <f t="shared" si="29"/>
        <v>0</v>
      </c>
      <c r="K20" s="29">
        <f t="shared" si="29"/>
        <v>0</v>
      </c>
      <c r="L20" s="34">
        <f t="shared" ref="L20:L21" si="30">SUM(H20:K20)</f>
        <v>2907828.4061592813</v>
      </c>
      <c r="M20" s="31">
        <f t="shared" ref="M20:M21" si="31">L20</f>
        <v>2907828.4061592813</v>
      </c>
      <c r="N20" s="211" t="s">
        <v>155</v>
      </c>
      <c r="P20" s="25">
        <v>12</v>
      </c>
      <c r="Q20" s="38">
        <f t="shared" ref="Q20:Q21" si="32">C20/P20</f>
        <v>0</v>
      </c>
      <c r="R20" s="38">
        <f t="shared" ref="R20:R21" si="33">D20/P20</f>
        <v>2.375</v>
      </c>
      <c r="S20" s="38">
        <f t="shared" ref="S20:S21" si="34">E20/P20</f>
        <v>0</v>
      </c>
      <c r="T20" s="38">
        <f t="shared" ref="T20:T21" si="35">F20/P20</f>
        <v>0</v>
      </c>
      <c r="U20" s="38">
        <f t="shared" ref="U20:U21" si="36">SUM(Q20:T20)</f>
        <v>2.375</v>
      </c>
    </row>
    <row r="21" spans="1:21" ht="18" customHeight="1" x14ac:dyDescent="0.35">
      <c r="A21" s="35">
        <v>46082</v>
      </c>
      <c r="B21" s="33" t="s">
        <v>173</v>
      </c>
      <c r="C21" s="25">
        <v>0</v>
      </c>
      <c r="D21" s="25">
        <f>32+2.5</f>
        <v>34.5</v>
      </c>
      <c r="E21" s="25">
        <v>0</v>
      </c>
      <c r="F21" s="25">
        <v>0</v>
      </c>
      <c r="G21" s="15"/>
      <c r="H21" s="29">
        <f>C21*H$11</f>
        <v>0</v>
      </c>
      <c r="I21" s="29">
        <f t="shared" si="29"/>
        <v>3520002.8074559723</v>
      </c>
      <c r="J21" s="29">
        <f t="shared" si="29"/>
        <v>0</v>
      </c>
      <c r="K21" s="29">
        <f t="shared" si="29"/>
        <v>0</v>
      </c>
      <c r="L21" s="34">
        <f t="shared" si="30"/>
        <v>3520002.8074559723</v>
      </c>
      <c r="M21" s="31">
        <f t="shared" si="31"/>
        <v>3520002.8074559723</v>
      </c>
      <c r="N21" s="211" t="s">
        <v>155</v>
      </c>
      <c r="P21" s="25">
        <v>13</v>
      </c>
      <c r="Q21" s="38">
        <f t="shared" si="32"/>
        <v>0</v>
      </c>
      <c r="R21" s="38">
        <f t="shared" si="33"/>
        <v>2.6538461538461537</v>
      </c>
      <c r="S21" s="38">
        <f t="shared" si="34"/>
        <v>0</v>
      </c>
      <c r="T21" s="38">
        <f t="shared" si="35"/>
        <v>0</v>
      </c>
      <c r="U21" s="38">
        <f t="shared" si="36"/>
        <v>2.6538461538461537</v>
      </c>
    </row>
    <row r="22" spans="1:21" ht="18" customHeight="1" x14ac:dyDescent="0.35">
      <c r="A22" s="35"/>
      <c r="B22" s="33"/>
      <c r="C22" s="25"/>
      <c r="D22" s="25"/>
      <c r="E22" s="25"/>
      <c r="F22" s="25"/>
      <c r="G22" s="15"/>
      <c r="H22" s="29"/>
      <c r="I22" s="29"/>
      <c r="J22" s="29"/>
      <c r="K22" s="29"/>
      <c r="L22" s="34"/>
      <c r="M22" s="36"/>
      <c r="N22" s="37"/>
      <c r="P22" s="25"/>
      <c r="Q22" s="38"/>
      <c r="R22" s="38"/>
      <c r="S22" s="38"/>
      <c r="T22" s="38"/>
      <c r="U22" s="26"/>
    </row>
    <row r="23" spans="1:21" ht="18" customHeight="1" thickBot="1" x14ac:dyDescent="0.4">
      <c r="A23" s="39"/>
      <c r="B23" s="39"/>
      <c r="C23" s="40"/>
      <c r="D23" s="40"/>
      <c r="E23" s="40"/>
      <c r="F23" s="40"/>
      <c r="G23" s="15"/>
      <c r="H23" s="39"/>
      <c r="I23" s="39"/>
      <c r="J23" s="39"/>
      <c r="K23" s="39"/>
      <c r="L23" s="41">
        <f>SUM(L12:L22)</f>
        <v>19078625.908421814</v>
      </c>
      <c r="M23" s="212">
        <f>SUM(M12:M22)</f>
        <v>19078625.908421814</v>
      </c>
      <c r="N23" s="42"/>
      <c r="P23" s="40"/>
      <c r="Q23" s="40"/>
      <c r="R23" s="40"/>
      <c r="S23" s="40"/>
      <c r="T23" s="40"/>
      <c r="U23" s="40"/>
    </row>
    <row r="24" spans="1:21" x14ac:dyDescent="0.35">
      <c r="P24" s="43"/>
      <c r="Q24" s="43"/>
      <c r="R24" s="43"/>
      <c r="S24" s="43"/>
      <c r="T24" s="43"/>
      <c r="U24" s="43"/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A6C2-04CF-4F5A-BDB7-0C67D7ABF21E}">
  <sheetPr codeName="Hoja7"/>
  <dimension ref="A1:H121"/>
  <sheetViews>
    <sheetView topLeftCell="A28" workbookViewId="0">
      <selection activeCell="A28" sqref="A28"/>
    </sheetView>
  </sheetViews>
  <sheetFormatPr defaultColWidth="11.453125" defaultRowHeight="14.5" x14ac:dyDescent="0.35"/>
  <cols>
    <col min="1" max="1" width="10.81640625" customWidth="1"/>
    <col min="2" max="2" width="28.54296875" bestFit="1" customWidth="1"/>
    <col min="3" max="3" width="15.453125" customWidth="1"/>
    <col min="4" max="4" width="12.81640625" customWidth="1"/>
    <col min="5" max="5" width="15.453125" customWidth="1"/>
    <col min="6" max="6" width="14" bestFit="1" customWidth="1"/>
    <col min="8" max="8" width="14.1796875" bestFit="1" customWidth="1"/>
  </cols>
  <sheetData>
    <row r="1" spans="1:8" x14ac:dyDescent="0.35">
      <c r="A1" s="7" t="s">
        <v>178</v>
      </c>
    </row>
    <row r="2" spans="1:8" x14ac:dyDescent="0.35">
      <c r="A2" s="7" t="s">
        <v>179</v>
      </c>
    </row>
    <row r="3" spans="1:8" ht="14.25" customHeight="1" thickBot="1" x14ac:dyDescent="0.4"/>
    <row r="4" spans="1:8" x14ac:dyDescent="0.35">
      <c r="A4" s="118" t="s">
        <v>180</v>
      </c>
      <c r="B4" s="119"/>
      <c r="C4" s="119"/>
      <c r="D4" s="119" t="s">
        <v>181</v>
      </c>
      <c r="E4" s="119"/>
      <c r="F4" s="120"/>
    </row>
    <row r="5" spans="1:8" x14ac:dyDescent="0.35">
      <c r="A5" s="224" t="s">
        <v>83</v>
      </c>
      <c r="B5" s="225" t="s">
        <v>182</v>
      </c>
      <c r="C5" s="226" t="s">
        <v>183</v>
      </c>
      <c r="D5" s="226" t="s">
        <v>86</v>
      </c>
      <c r="E5" s="226" t="s">
        <v>159</v>
      </c>
      <c r="F5" s="227"/>
    </row>
    <row r="6" spans="1:8" x14ac:dyDescent="0.35">
      <c r="A6" s="116">
        <v>45627</v>
      </c>
      <c r="B6" s="68" t="s">
        <v>30</v>
      </c>
      <c r="C6" s="49"/>
      <c r="D6" s="49"/>
      <c r="E6" s="117">
        <v>3037256.14</v>
      </c>
      <c r="F6" s="50"/>
      <c r="H6" s="1448">
        <f>+C7</f>
        <v>911200</v>
      </c>
    </row>
    <row r="7" spans="1:8" x14ac:dyDescent="0.35">
      <c r="A7" s="51">
        <v>45706</v>
      </c>
      <c r="B7" s="68" t="s">
        <v>184</v>
      </c>
      <c r="C7" s="117">
        <v>911200</v>
      </c>
      <c r="D7" s="117">
        <v>24430</v>
      </c>
      <c r="E7" s="117"/>
      <c r="F7" s="50"/>
      <c r="G7" s="1450"/>
      <c r="H7" s="1448">
        <v>29430</v>
      </c>
    </row>
    <row r="8" spans="1:8" x14ac:dyDescent="0.35">
      <c r="A8" s="51">
        <v>45763</v>
      </c>
      <c r="B8" s="68" t="s">
        <v>185</v>
      </c>
      <c r="C8" s="52">
        <v>2126070</v>
      </c>
      <c r="D8" s="52">
        <v>68700</v>
      </c>
      <c r="E8" s="52"/>
      <c r="F8" s="50"/>
      <c r="H8" s="1449">
        <f>+SUM(H6:H7)</f>
        <v>940630</v>
      </c>
    </row>
    <row r="9" spans="1:8" x14ac:dyDescent="0.35">
      <c r="A9" s="51"/>
      <c r="B9" s="68"/>
      <c r="C9" s="52"/>
      <c r="D9" s="52"/>
      <c r="E9" s="52"/>
      <c r="F9" s="53"/>
      <c r="H9" s="1340"/>
    </row>
    <row r="10" spans="1:8" x14ac:dyDescent="0.35">
      <c r="A10" s="51"/>
      <c r="B10" s="54"/>
      <c r="C10" s="52"/>
      <c r="D10" s="52"/>
      <c r="E10" s="875"/>
      <c r="F10" s="55"/>
    </row>
    <row r="11" spans="1:8" ht="15" thickBot="1" x14ac:dyDescent="0.4">
      <c r="A11" s="56"/>
      <c r="B11" s="57"/>
      <c r="C11" s="228">
        <f>SUM(C7:C10)</f>
        <v>3037270</v>
      </c>
      <c r="D11" s="228">
        <f>SUM(D7:D10)</f>
        <v>93130</v>
      </c>
      <c r="E11" s="228">
        <f>SUM(E6:E10)</f>
        <v>3037256.14</v>
      </c>
      <c r="F11" s="229">
        <f>+E11-C11</f>
        <v>-13.859999999869615</v>
      </c>
    </row>
    <row r="12" spans="1:8" x14ac:dyDescent="0.35">
      <c r="B12" s="58"/>
      <c r="C12" s="58"/>
      <c r="D12" s="58"/>
      <c r="E12" s="58"/>
    </row>
    <row r="13" spans="1:8" ht="15" thickBot="1" x14ac:dyDescent="0.4"/>
    <row r="14" spans="1:8" x14ac:dyDescent="0.35">
      <c r="A14" s="1188" t="s">
        <v>186</v>
      </c>
      <c r="B14" s="1189"/>
      <c r="C14" s="1189"/>
      <c r="D14" s="1189" t="s">
        <v>187</v>
      </c>
      <c r="E14" s="1189"/>
      <c r="F14" s="1190"/>
    </row>
    <row r="15" spans="1:8" x14ac:dyDescent="0.35">
      <c r="A15" s="224" t="s">
        <v>83</v>
      </c>
      <c r="B15" s="225" t="s">
        <v>182</v>
      </c>
      <c r="C15" s="226" t="s">
        <v>183</v>
      </c>
      <c r="D15" s="226" t="s">
        <v>86</v>
      </c>
      <c r="E15" s="226" t="s">
        <v>159</v>
      </c>
      <c r="F15" s="227"/>
    </row>
    <row r="16" spans="1:8" x14ac:dyDescent="0.35">
      <c r="A16" s="116">
        <v>45717</v>
      </c>
      <c r="B16" s="68" t="s">
        <v>30</v>
      </c>
      <c r="C16" s="49"/>
      <c r="D16" s="49"/>
      <c r="E16" s="117"/>
      <c r="F16" s="50"/>
    </row>
    <row r="17" spans="1:8" x14ac:dyDescent="0.35">
      <c r="A17" s="51">
        <v>45727</v>
      </c>
      <c r="B17" s="68" t="s">
        <v>188</v>
      </c>
      <c r="C17" s="1187">
        <v>1580000</v>
      </c>
      <c r="D17" s="117"/>
      <c r="E17" s="117"/>
      <c r="F17" s="50"/>
    </row>
    <row r="18" spans="1:8" x14ac:dyDescent="0.35">
      <c r="A18" s="51">
        <v>45755</v>
      </c>
      <c r="B18" s="68" t="s">
        <v>189</v>
      </c>
      <c r="C18" s="52">
        <v>550000</v>
      </c>
      <c r="D18" s="52"/>
      <c r="E18" s="52"/>
      <c r="F18" s="50"/>
    </row>
    <row r="19" spans="1:8" x14ac:dyDescent="0.35">
      <c r="A19" s="51">
        <v>45768</v>
      </c>
      <c r="B19" s="68" t="s">
        <v>190</v>
      </c>
      <c r="C19" s="52">
        <v>1030000</v>
      </c>
      <c r="D19" s="52"/>
      <c r="E19" s="52"/>
      <c r="F19" s="53"/>
    </row>
    <row r="20" spans="1:8" x14ac:dyDescent="0.35">
      <c r="A20" s="51">
        <v>45785</v>
      </c>
      <c r="B20" s="68" t="s">
        <v>191</v>
      </c>
      <c r="C20" s="52">
        <v>1030000</v>
      </c>
      <c r="D20" s="52"/>
      <c r="E20" s="875"/>
      <c r="F20" s="55"/>
    </row>
    <row r="21" spans="1:8" x14ac:dyDescent="0.35">
      <c r="A21" s="51">
        <v>45796</v>
      </c>
      <c r="B21" s="68" t="s">
        <v>821</v>
      </c>
      <c r="C21" s="52">
        <v>1944000</v>
      </c>
      <c r="D21" s="52"/>
      <c r="E21" s="875"/>
      <c r="F21" s="55"/>
    </row>
    <row r="22" spans="1:8" x14ac:dyDescent="0.35">
      <c r="A22" s="51">
        <v>45834</v>
      </c>
      <c r="B22" s="68" t="s">
        <v>822</v>
      </c>
      <c r="C22" s="52">
        <v>1696000</v>
      </c>
      <c r="D22" s="52"/>
      <c r="E22" s="875"/>
      <c r="F22" s="55"/>
    </row>
    <row r="23" spans="1:8" x14ac:dyDescent="0.35">
      <c r="A23" s="51">
        <v>45849</v>
      </c>
      <c r="B23" s="68" t="s">
        <v>838</v>
      </c>
      <c r="C23" s="52">
        <v>1416000</v>
      </c>
      <c r="D23" s="52"/>
      <c r="E23" s="875"/>
      <c r="F23" s="55"/>
    </row>
    <row r="24" spans="1:8" x14ac:dyDescent="0.35">
      <c r="A24" s="51"/>
      <c r="B24" s="54"/>
      <c r="C24" s="52"/>
      <c r="D24" s="52"/>
      <c r="E24" s="875"/>
      <c r="F24" s="55"/>
    </row>
    <row r="25" spans="1:8" ht="15" thickBot="1" x14ac:dyDescent="0.4">
      <c r="A25" s="56"/>
      <c r="B25" s="57"/>
      <c r="C25" s="1191">
        <f>SUM(C17:C24)</f>
        <v>9246000</v>
      </c>
      <c r="D25" s="1191">
        <f>SUM(D17:D24)</f>
        <v>0</v>
      </c>
      <c r="E25" s="1191">
        <f>SUM(E16:E24)</f>
        <v>0</v>
      </c>
      <c r="F25" s="1192">
        <f>+E25-C25</f>
        <v>-9246000</v>
      </c>
    </row>
    <row r="27" spans="1:8" ht="15" thickBot="1" x14ac:dyDescent="0.4"/>
    <row r="28" spans="1:8" x14ac:dyDescent="0.35">
      <c r="A28" s="1335" t="s">
        <v>839</v>
      </c>
      <c r="B28" s="1336"/>
      <c r="C28" s="1336"/>
      <c r="D28" s="1336" t="s">
        <v>840</v>
      </c>
      <c r="E28" s="1336"/>
      <c r="F28" s="1337"/>
    </row>
    <row r="29" spans="1:8" x14ac:dyDescent="0.35">
      <c r="A29" s="224" t="s">
        <v>83</v>
      </c>
      <c r="B29" s="225" t="s">
        <v>182</v>
      </c>
      <c r="C29" s="226" t="s">
        <v>183</v>
      </c>
      <c r="D29" s="226" t="s">
        <v>86</v>
      </c>
      <c r="E29" s="226" t="s">
        <v>159</v>
      </c>
      <c r="F29" s="227"/>
    </row>
    <row r="30" spans="1:8" x14ac:dyDescent="0.35">
      <c r="A30" s="116">
        <v>45717</v>
      </c>
      <c r="B30" s="68" t="s">
        <v>181</v>
      </c>
      <c r="C30" s="49"/>
      <c r="D30" s="49"/>
      <c r="E30" s="117">
        <v>26250240</v>
      </c>
      <c r="F30" s="50"/>
      <c r="H30" s="1340"/>
    </row>
    <row r="31" spans="1:8" x14ac:dyDescent="0.35">
      <c r="A31" s="116">
        <v>45717</v>
      </c>
      <c r="B31" s="68" t="s">
        <v>842</v>
      </c>
      <c r="C31" s="1187"/>
      <c r="D31" s="117"/>
      <c r="E31" s="117">
        <f>11484480*0.92</f>
        <v>10565721.6</v>
      </c>
      <c r="F31" s="50"/>
    </row>
    <row r="32" spans="1:8" x14ac:dyDescent="0.35">
      <c r="A32" s="116">
        <v>45717</v>
      </c>
      <c r="B32" s="68" t="s">
        <v>848</v>
      </c>
      <c r="C32" s="1187"/>
      <c r="D32" s="117"/>
      <c r="E32" s="117">
        <v>845257.73</v>
      </c>
      <c r="F32" s="50"/>
    </row>
    <row r="33" spans="1:8" x14ac:dyDescent="0.35">
      <c r="A33" s="116">
        <v>45839</v>
      </c>
      <c r="B33" s="68" t="s">
        <v>843</v>
      </c>
      <c r="C33" s="52"/>
      <c r="D33" s="52"/>
      <c r="E33" s="52">
        <f>10933680*0.92</f>
        <v>10058985.6</v>
      </c>
      <c r="F33" s="50"/>
    </row>
    <row r="34" spans="1:8" x14ac:dyDescent="0.35">
      <c r="A34" s="116">
        <v>45839</v>
      </c>
      <c r="B34" s="68" t="s">
        <v>849</v>
      </c>
      <c r="C34" s="52"/>
      <c r="D34" s="52"/>
      <c r="E34" s="52">
        <v>874694.4</v>
      </c>
      <c r="F34" s="50"/>
    </row>
    <row r="35" spans="1:8" x14ac:dyDescent="0.35">
      <c r="A35" s="116">
        <v>45839</v>
      </c>
      <c r="B35" s="68" t="s">
        <v>844</v>
      </c>
      <c r="C35" s="52"/>
      <c r="D35" s="52"/>
      <c r="E35" s="52">
        <f t="shared" ref="E35" si="0">10933680*0.92</f>
        <v>10058985.6</v>
      </c>
      <c r="F35" s="53"/>
    </row>
    <row r="36" spans="1:8" x14ac:dyDescent="0.35">
      <c r="A36" s="116">
        <v>45839</v>
      </c>
      <c r="B36" s="68" t="s">
        <v>850</v>
      </c>
      <c r="C36" s="52"/>
      <c r="D36" s="52"/>
      <c r="E36" s="52">
        <v>874694.4</v>
      </c>
      <c r="F36" s="53"/>
    </row>
    <row r="37" spans="1:8" x14ac:dyDescent="0.35">
      <c r="A37" s="116">
        <v>45839</v>
      </c>
      <c r="B37" s="68" t="s">
        <v>845</v>
      </c>
      <c r="C37" s="52"/>
      <c r="D37" s="52"/>
      <c r="E37" s="52">
        <f t="shared" ref="E37" si="1">10933680*0.92</f>
        <v>10058985.6</v>
      </c>
      <c r="F37" s="55"/>
    </row>
    <row r="38" spans="1:8" x14ac:dyDescent="0.35">
      <c r="A38" s="116">
        <v>45839</v>
      </c>
      <c r="B38" s="68" t="s">
        <v>851</v>
      </c>
      <c r="C38" s="52"/>
      <c r="D38" s="52"/>
      <c r="E38" s="52">
        <v>874694.4</v>
      </c>
      <c r="F38" s="55"/>
    </row>
    <row r="39" spans="1:8" x14ac:dyDescent="0.35">
      <c r="A39" s="116">
        <v>45839</v>
      </c>
      <c r="B39" s="68" t="s">
        <v>846</v>
      </c>
      <c r="C39" s="52"/>
      <c r="D39" s="52"/>
      <c r="E39" s="52">
        <f t="shared" ref="E39" si="2">10933680*0.92</f>
        <v>10058985.6</v>
      </c>
      <c r="F39" s="55"/>
    </row>
    <row r="40" spans="1:8" x14ac:dyDescent="0.35">
      <c r="A40" s="116">
        <v>45839</v>
      </c>
      <c r="B40" s="68" t="s">
        <v>852</v>
      </c>
      <c r="C40" s="52"/>
      <c r="D40" s="52"/>
      <c r="E40" s="52">
        <v>874694.4</v>
      </c>
      <c r="F40" s="55"/>
    </row>
    <row r="41" spans="1:8" x14ac:dyDescent="0.35">
      <c r="A41" s="116">
        <v>45839</v>
      </c>
      <c r="B41" s="68" t="s">
        <v>847</v>
      </c>
      <c r="C41" s="52"/>
      <c r="D41" s="52"/>
      <c r="E41" s="875">
        <v>6562560</v>
      </c>
      <c r="F41" s="55"/>
    </row>
    <row r="42" spans="1:8" x14ac:dyDescent="0.35">
      <c r="A42" s="116"/>
      <c r="B42" s="68" t="s">
        <v>862</v>
      </c>
      <c r="C42" s="52"/>
      <c r="E42" s="52">
        <f>91634+96000</f>
        <v>187634</v>
      </c>
      <c r="F42" s="55"/>
    </row>
    <row r="43" spans="1:8" x14ac:dyDescent="0.35">
      <c r="A43" s="116"/>
      <c r="B43" s="68" t="s">
        <v>863</v>
      </c>
      <c r="C43" s="52"/>
      <c r="E43" s="52">
        <f>158083+163538</f>
        <v>321621</v>
      </c>
      <c r="F43" s="55"/>
    </row>
    <row r="44" spans="1:8" x14ac:dyDescent="0.35">
      <c r="A44" s="116"/>
      <c r="B44" s="68" t="s">
        <v>873</v>
      </c>
      <c r="C44" s="52"/>
      <c r="E44" s="52">
        <v>314662</v>
      </c>
      <c r="F44" s="55"/>
    </row>
    <row r="45" spans="1:8" x14ac:dyDescent="0.35">
      <c r="A45" s="116"/>
      <c r="B45" s="68" t="s">
        <v>889</v>
      </c>
      <c r="C45" s="52"/>
      <c r="E45" s="52">
        <v>375155</v>
      </c>
      <c r="F45" s="55"/>
    </row>
    <row r="46" spans="1:8" x14ac:dyDescent="0.35">
      <c r="A46" s="116"/>
      <c r="B46" s="68" t="s">
        <v>910</v>
      </c>
      <c r="C46" s="52"/>
      <c r="E46" s="52">
        <v>621500</v>
      </c>
      <c r="F46" s="55"/>
    </row>
    <row r="47" spans="1:8" x14ac:dyDescent="0.35">
      <c r="A47" s="116"/>
      <c r="B47" s="68" t="s">
        <v>853</v>
      </c>
      <c r="C47" s="52">
        <v>3126233.38</v>
      </c>
      <c r="D47" s="52"/>
      <c r="E47" s="875"/>
      <c r="F47" s="55"/>
      <c r="H47" s="1340"/>
    </row>
    <row r="48" spans="1:8" x14ac:dyDescent="0.35">
      <c r="A48" s="116"/>
      <c r="B48" s="68" t="s">
        <v>854</v>
      </c>
      <c r="C48" s="52">
        <v>3199438.64</v>
      </c>
      <c r="D48" s="52"/>
      <c r="E48" s="875"/>
      <c r="F48" s="55"/>
      <c r="H48" s="1340"/>
    </row>
    <row r="49" spans="1:8" x14ac:dyDescent="0.35">
      <c r="A49" s="116"/>
      <c r="B49" s="68" t="s">
        <v>855</v>
      </c>
      <c r="C49" s="52">
        <v>2759345.88</v>
      </c>
      <c r="D49" s="52"/>
      <c r="E49" s="875"/>
      <c r="F49" s="55"/>
      <c r="H49" s="1340"/>
    </row>
    <row r="50" spans="1:8" x14ac:dyDescent="0.35">
      <c r="A50" s="116"/>
      <c r="B50" s="68" t="s">
        <v>856</v>
      </c>
      <c r="C50" s="52">
        <v>3249575</v>
      </c>
      <c r="D50" s="52"/>
      <c r="E50" s="875"/>
      <c r="F50" s="55"/>
      <c r="H50" s="1340"/>
    </row>
    <row r="51" spans="1:8" x14ac:dyDescent="0.35">
      <c r="A51" s="116"/>
      <c r="B51" s="68" t="s">
        <v>857</v>
      </c>
      <c r="C51" s="52">
        <v>2891567.77</v>
      </c>
      <c r="D51" s="52"/>
      <c r="E51" s="875"/>
      <c r="F51" s="55"/>
    </row>
    <row r="52" spans="1:8" x14ac:dyDescent="0.35">
      <c r="A52" s="116"/>
      <c r="B52" s="68" t="s">
        <v>858</v>
      </c>
      <c r="C52" s="52">
        <v>3128229.65</v>
      </c>
      <c r="D52" s="52"/>
      <c r="E52" s="875"/>
      <c r="F52" s="55"/>
    </row>
    <row r="53" spans="1:8" x14ac:dyDescent="0.35">
      <c r="A53" s="51">
        <v>45849</v>
      </c>
      <c r="B53" s="68" t="s">
        <v>859</v>
      </c>
      <c r="C53" s="245">
        <f>8132693-D53-C54</f>
        <v>7395819</v>
      </c>
      <c r="D53" s="52">
        <v>236874</v>
      </c>
      <c r="E53" s="875"/>
      <c r="F53" s="55"/>
      <c r="H53" s="245"/>
    </row>
    <row r="54" spans="1:8" x14ac:dyDescent="0.35">
      <c r="A54" s="51">
        <v>45877</v>
      </c>
      <c r="B54" s="68" t="s">
        <v>859</v>
      </c>
      <c r="C54" s="52">
        <v>500000</v>
      </c>
      <c r="D54" s="52"/>
      <c r="E54" s="875"/>
      <c r="F54" s="55"/>
    </row>
    <row r="55" spans="1:8" x14ac:dyDescent="0.35">
      <c r="A55" s="51"/>
      <c r="B55" s="68" t="s">
        <v>864</v>
      </c>
      <c r="C55" s="52">
        <v>4477445.58</v>
      </c>
      <c r="D55" s="52"/>
      <c r="E55" s="875"/>
      <c r="F55" s="55"/>
    </row>
    <row r="56" spans="1:8" x14ac:dyDescent="0.35">
      <c r="A56" s="51"/>
      <c r="B56" s="68" t="s">
        <v>865</v>
      </c>
      <c r="C56" s="52">
        <v>5021968</v>
      </c>
      <c r="D56" s="52"/>
      <c r="E56" s="875"/>
      <c r="F56" s="55"/>
    </row>
    <row r="57" spans="1:8" x14ac:dyDescent="0.35">
      <c r="A57" s="51"/>
      <c r="B57" s="68" t="s">
        <v>866</v>
      </c>
      <c r="C57" s="52">
        <v>2147885.38</v>
      </c>
      <c r="D57" s="52"/>
      <c r="E57" s="875"/>
      <c r="F57" s="55"/>
    </row>
    <row r="58" spans="1:8" x14ac:dyDescent="0.35">
      <c r="A58" s="51"/>
      <c r="B58" s="68" t="s">
        <v>866</v>
      </c>
      <c r="C58" s="52">
        <v>2455944.62</v>
      </c>
      <c r="D58" s="52"/>
      <c r="E58" s="875"/>
      <c r="F58" s="55"/>
    </row>
    <row r="59" spans="1:8" x14ac:dyDescent="0.35">
      <c r="A59" s="51"/>
      <c r="B59" s="68" t="s">
        <v>871</v>
      </c>
      <c r="C59" s="52">
        <v>4159148.64</v>
      </c>
      <c r="D59" s="52"/>
      <c r="E59" s="875"/>
      <c r="F59" s="55"/>
    </row>
    <row r="60" spans="1:8" x14ac:dyDescent="0.35">
      <c r="A60" s="51"/>
      <c r="B60" s="68" t="s">
        <v>872</v>
      </c>
      <c r="C60" s="52">
        <v>2647015.44</v>
      </c>
      <c r="D60" s="52"/>
      <c r="E60" s="875"/>
      <c r="F60" s="55"/>
    </row>
    <row r="61" spans="1:8" x14ac:dyDescent="0.35">
      <c r="A61" s="51"/>
      <c r="B61" s="68" t="s">
        <v>874</v>
      </c>
      <c r="C61" s="52">
        <v>1265804.75</v>
      </c>
      <c r="D61" s="52"/>
      <c r="E61" s="875"/>
      <c r="F61" s="55"/>
    </row>
    <row r="62" spans="1:8" x14ac:dyDescent="0.35">
      <c r="A62" s="51"/>
      <c r="B62" s="68" t="s">
        <v>872</v>
      </c>
      <c r="C62" s="52">
        <v>2248365.59</v>
      </c>
      <c r="D62" s="52"/>
      <c r="E62" s="875"/>
      <c r="F62" s="55"/>
    </row>
    <row r="63" spans="1:8" x14ac:dyDescent="0.35">
      <c r="A63" s="51"/>
      <c r="B63" s="68" t="s">
        <v>890</v>
      </c>
      <c r="C63" s="52">
        <v>5351748.0199999996</v>
      </c>
      <c r="D63" s="52"/>
      <c r="E63" s="875"/>
      <c r="F63" s="55"/>
    </row>
    <row r="64" spans="1:8" x14ac:dyDescent="0.35">
      <c r="A64" s="51">
        <v>45939</v>
      </c>
      <c r="B64" s="68" t="s">
        <v>908</v>
      </c>
      <c r="C64" s="52">
        <f>4422083-D64</f>
        <v>4316384.2</v>
      </c>
      <c r="D64" s="52">
        <f>80377+25321.8</f>
        <v>105698.8</v>
      </c>
      <c r="E64" s="875"/>
      <c r="F64" s="55"/>
    </row>
    <row r="65" spans="1:8" x14ac:dyDescent="0.35">
      <c r="A65" s="51"/>
      <c r="B65" s="68" t="s">
        <v>909</v>
      </c>
      <c r="C65" s="52">
        <v>5995300</v>
      </c>
      <c r="D65" s="52"/>
      <c r="E65" s="875"/>
      <c r="F65" s="55"/>
    </row>
    <row r="66" spans="1:8" x14ac:dyDescent="0.35">
      <c r="A66" s="51"/>
      <c r="B66" s="68" t="s">
        <v>911</v>
      </c>
      <c r="C66" s="52">
        <v>3149970</v>
      </c>
      <c r="D66" s="52"/>
      <c r="E66" s="875"/>
      <c r="F66" s="55"/>
    </row>
    <row r="67" spans="1:8" x14ac:dyDescent="0.35">
      <c r="A67" s="51">
        <v>45986</v>
      </c>
      <c r="B67" s="68" t="s">
        <v>912</v>
      </c>
      <c r="C67" s="52">
        <f>1860510-72100</f>
        <v>1788410</v>
      </c>
      <c r="D67" s="52">
        <f>26110+45990</f>
        <v>72100</v>
      </c>
      <c r="E67" s="875"/>
      <c r="F67" s="55"/>
    </row>
    <row r="68" spans="1:8" x14ac:dyDescent="0.35">
      <c r="A68" s="51"/>
      <c r="B68" s="68" t="s">
        <v>911</v>
      </c>
      <c r="C68" s="52">
        <v>4199960</v>
      </c>
      <c r="D68" s="52"/>
      <c r="E68" s="875"/>
      <c r="F68" s="55"/>
    </row>
    <row r="69" spans="1:8" x14ac:dyDescent="0.35">
      <c r="A69" s="51"/>
      <c r="B69" s="68" t="s">
        <v>913</v>
      </c>
      <c r="C69" s="52">
        <v>5440300</v>
      </c>
      <c r="D69" s="52"/>
      <c r="E69" s="875"/>
      <c r="F69" s="55"/>
    </row>
    <row r="70" spans="1:8" x14ac:dyDescent="0.35">
      <c r="A70" s="51">
        <v>45986</v>
      </c>
      <c r="B70" s="68" t="s">
        <v>914</v>
      </c>
      <c r="C70" s="52">
        <f>1620678-327258</f>
        <v>1293420</v>
      </c>
      <c r="D70" s="52">
        <f>62860+264398</f>
        <v>327258</v>
      </c>
      <c r="E70" s="875"/>
      <c r="F70" s="55"/>
    </row>
    <row r="71" spans="1:8" x14ac:dyDescent="0.35">
      <c r="A71" s="51"/>
      <c r="B71" s="54"/>
      <c r="C71" s="52"/>
      <c r="D71" s="52"/>
      <c r="E71" s="875"/>
      <c r="F71" s="55"/>
      <c r="H71" s="1340"/>
    </row>
    <row r="72" spans="1:8" ht="15" thickBot="1" x14ac:dyDescent="0.4">
      <c r="A72" s="56"/>
      <c r="B72" s="57"/>
      <c r="C72" s="1338">
        <f>SUM(C31:C71)</f>
        <v>82209279.539999992</v>
      </c>
      <c r="D72" s="1338">
        <f>SUM(D31:D71)</f>
        <v>741930.8</v>
      </c>
      <c r="E72" s="1338">
        <f>SUM(E30:E57)</f>
        <v>89779071.329999998</v>
      </c>
      <c r="F72" s="1339">
        <f>+E72-C72</f>
        <v>7569791.7900000066</v>
      </c>
    </row>
    <row r="73" spans="1:8" x14ac:dyDescent="0.35">
      <c r="H73" s="1340"/>
    </row>
    <row r="74" spans="1:8" ht="15" thickBot="1" x14ac:dyDescent="0.4"/>
    <row r="75" spans="1:8" x14ac:dyDescent="0.35">
      <c r="A75" s="1335" t="s">
        <v>839</v>
      </c>
      <c r="B75" s="1336"/>
      <c r="C75" s="1336"/>
      <c r="D75" s="1336" t="s">
        <v>841</v>
      </c>
      <c r="E75" s="1336"/>
      <c r="F75" s="1337"/>
    </row>
    <row r="76" spans="1:8" x14ac:dyDescent="0.35">
      <c r="A76" s="224" t="s">
        <v>83</v>
      </c>
      <c r="B76" s="225" t="s">
        <v>182</v>
      </c>
      <c r="C76" s="226" t="s">
        <v>860</v>
      </c>
      <c r="D76" s="226"/>
      <c r="E76" s="226" t="s">
        <v>861</v>
      </c>
      <c r="F76" s="227"/>
    </row>
    <row r="77" spans="1:8" x14ac:dyDescent="0.35">
      <c r="A77" s="116"/>
      <c r="B77" s="68" t="s">
        <v>853</v>
      </c>
      <c r="C77" s="52">
        <v>2415168</v>
      </c>
      <c r="D77" s="1341">
        <v>0.5</v>
      </c>
      <c r="E77" s="117">
        <f>+C77*D77</f>
        <v>1207584</v>
      </c>
      <c r="F77" s="50"/>
    </row>
    <row r="78" spans="1:8" x14ac:dyDescent="0.35">
      <c r="A78" s="51"/>
      <c r="B78" s="68" t="s">
        <v>854</v>
      </c>
      <c r="C78" s="52">
        <v>2415168</v>
      </c>
      <c r="D78" s="1341">
        <v>0.5</v>
      </c>
      <c r="E78" s="117">
        <f t="shared" ref="E78:E91" si="3">+C78*D78</f>
        <v>1207584</v>
      </c>
      <c r="F78" s="50"/>
    </row>
    <row r="79" spans="1:8" x14ac:dyDescent="0.35">
      <c r="A79" s="51"/>
      <c r="B79" s="68" t="s">
        <v>855</v>
      </c>
      <c r="C79" s="52">
        <f>SUM(C74:C78)</f>
        <v>4830336</v>
      </c>
      <c r="D79" s="1341">
        <v>0.5</v>
      </c>
      <c r="E79" s="117">
        <f t="shared" si="3"/>
        <v>2415168</v>
      </c>
      <c r="F79" s="50"/>
    </row>
    <row r="80" spans="1:8" x14ac:dyDescent="0.35">
      <c r="A80" s="51"/>
      <c r="B80" s="68" t="s">
        <v>856</v>
      </c>
      <c r="C80" s="52">
        <v>2515800</v>
      </c>
      <c r="D80" s="1341">
        <v>0.5</v>
      </c>
      <c r="E80" s="117">
        <f t="shared" si="3"/>
        <v>1257900</v>
      </c>
      <c r="F80" s="53"/>
    </row>
    <row r="81" spans="1:6" x14ac:dyDescent="0.35">
      <c r="A81" s="51"/>
      <c r="B81" s="68" t="s">
        <v>857</v>
      </c>
      <c r="C81" s="52">
        <v>2181513.6</v>
      </c>
      <c r="D81" s="1341">
        <v>0.5</v>
      </c>
      <c r="E81" s="117">
        <f t="shared" si="3"/>
        <v>1090756.8</v>
      </c>
      <c r="F81" s="55"/>
    </row>
    <row r="82" spans="1:6" x14ac:dyDescent="0.35">
      <c r="A82" s="51"/>
      <c r="B82" s="68" t="s">
        <v>858</v>
      </c>
      <c r="C82" s="52">
        <v>2493158.3999999999</v>
      </c>
      <c r="D82" s="1341">
        <v>0.5</v>
      </c>
      <c r="E82" s="117">
        <f t="shared" si="3"/>
        <v>1246579.2</v>
      </c>
      <c r="F82" s="55"/>
    </row>
    <row r="83" spans="1:6" x14ac:dyDescent="0.35">
      <c r="A83" s="51"/>
      <c r="B83" s="68" t="s">
        <v>875</v>
      </c>
      <c r="C83" s="52">
        <v>1717540.66</v>
      </c>
      <c r="D83" s="1341">
        <v>0.5</v>
      </c>
      <c r="E83" s="117">
        <f t="shared" si="3"/>
        <v>858770.33</v>
      </c>
      <c r="F83" s="55"/>
    </row>
    <row r="84" spans="1:6" x14ac:dyDescent="0.35">
      <c r="A84" s="51"/>
      <c r="B84" s="68" t="s">
        <v>864</v>
      </c>
      <c r="C84" s="52">
        <v>3418243.1999999997</v>
      </c>
      <c r="D84" s="1341">
        <v>0.5</v>
      </c>
      <c r="E84" s="117">
        <f t="shared" si="3"/>
        <v>1709121.5999999999</v>
      </c>
      <c r="F84" s="55"/>
    </row>
    <row r="85" spans="1:6" x14ac:dyDescent="0.35">
      <c r="A85" s="51"/>
      <c r="B85" s="68" t="s">
        <v>865</v>
      </c>
      <c r="C85" s="52">
        <v>3828393.6</v>
      </c>
      <c r="D85" s="1341">
        <v>0.5</v>
      </c>
      <c r="E85" s="117">
        <f t="shared" si="3"/>
        <v>1914196.8</v>
      </c>
      <c r="F85" s="55"/>
    </row>
    <row r="86" spans="1:6" x14ac:dyDescent="0.35">
      <c r="A86" s="51"/>
      <c r="B86" s="68" t="s">
        <v>866</v>
      </c>
      <c r="C86" s="52">
        <v>3496550.3999999999</v>
      </c>
      <c r="D86" s="1341">
        <v>0.5</v>
      </c>
      <c r="E86" s="117">
        <f t="shared" si="3"/>
        <v>1748275.2</v>
      </c>
      <c r="F86" s="55"/>
    </row>
    <row r="87" spans="1:6" x14ac:dyDescent="0.35">
      <c r="A87" s="51"/>
      <c r="B87" s="68" t="s">
        <v>871</v>
      </c>
      <c r="C87" s="52">
        <v>3171472.4</v>
      </c>
      <c r="D87" s="1341">
        <v>0.5</v>
      </c>
      <c r="E87" s="117">
        <f t="shared" si="3"/>
        <v>1585736.2</v>
      </c>
      <c r="F87" s="55"/>
    </row>
    <row r="88" spans="1:6" x14ac:dyDescent="0.35">
      <c r="A88" s="51"/>
      <c r="B88" s="68" t="s">
        <v>891</v>
      </c>
      <c r="C88" s="52">
        <v>3965204.8</v>
      </c>
      <c r="D88" s="1341">
        <v>0.5</v>
      </c>
      <c r="E88" s="117">
        <f t="shared" si="3"/>
        <v>1982602.4</v>
      </c>
      <c r="F88" s="55"/>
    </row>
    <row r="89" spans="1:6" x14ac:dyDescent="0.35">
      <c r="A89" s="51"/>
      <c r="B89" s="68" t="s">
        <v>892</v>
      </c>
      <c r="C89" s="52">
        <v>3852136</v>
      </c>
      <c r="D89" s="1341">
        <v>0.5</v>
      </c>
      <c r="E89" s="117">
        <f t="shared" si="3"/>
        <v>1926068</v>
      </c>
      <c r="F89" s="55"/>
    </row>
    <row r="90" spans="1:6" x14ac:dyDescent="0.35">
      <c r="A90" s="51"/>
      <c r="B90" s="68" t="s">
        <v>909</v>
      </c>
      <c r="C90" s="52">
        <v>3242870.4</v>
      </c>
      <c r="D90" s="1341">
        <v>0.5</v>
      </c>
      <c r="E90" s="117">
        <f t="shared" si="3"/>
        <v>1621435.2</v>
      </c>
      <c r="F90" s="55"/>
    </row>
    <row r="91" spans="1:6" x14ac:dyDescent="0.35">
      <c r="A91" s="51"/>
      <c r="B91" s="68" t="s">
        <v>911</v>
      </c>
      <c r="C91" s="52">
        <v>5112881.3999999994</v>
      </c>
      <c r="D91" s="1341">
        <v>0.5</v>
      </c>
      <c r="E91" s="117">
        <f t="shared" si="3"/>
        <v>2556440.6999999997</v>
      </c>
      <c r="F91" s="55"/>
    </row>
    <row r="92" spans="1:6" x14ac:dyDescent="0.35">
      <c r="A92" s="51"/>
      <c r="B92" s="68"/>
      <c r="C92" s="52"/>
      <c r="D92" s="1341"/>
      <c r="E92" s="117"/>
      <c r="F92" s="55"/>
    </row>
    <row r="93" spans="1:6" x14ac:dyDescent="0.35">
      <c r="A93" s="51"/>
      <c r="B93" s="54"/>
      <c r="C93" s="52"/>
      <c r="D93" s="52"/>
      <c r="E93" s="875"/>
      <c r="F93" s="55"/>
    </row>
    <row r="94" spans="1:6" ht="15" thickBot="1" x14ac:dyDescent="0.4">
      <c r="A94" s="56"/>
      <c r="B94" s="57"/>
      <c r="C94" s="1338">
        <f>SUM(C78:C93)</f>
        <v>46241268.859999992</v>
      </c>
      <c r="D94" s="1338"/>
      <c r="E94" s="1338">
        <f>SUM(E77:E93)</f>
        <v>24328218.429999996</v>
      </c>
      <c r="F94" s="1339"/>
    </row>
    <row r="95" spans="1:6" ht="15" thickBot="1" x14ac:dyDescent="0.4"/>
    <row r="96" spans="1:6" x14ac:dyDescent="0.35">
      <c r="A96" s="118" t="s">
        <v>946</v>
      </c>
      <c r="B96" s="119"/>
      <c r="C96" s="119"/>
      <c r="D96" s="119" t="s">
        <v>947</v>
      </c>
      <c r="E96" s="119"/>
      <c r="F96" s="120"/>
    </row>
    <row r="97" spans="1:6" x14ac:dyDescent="0.35">
      <c r="A97" s="224" t="s">
        <v>83</v>
      </c>
      <c r="B97" s="225" t="s">
        <v>182</v>
      </c>
      <c r="C97" s="226" t="s">
        <v>183</v>
      </c>
      <c r="D97" s="226" t="s">
        <v>86</v>
      </c>
      <c r="E97" s="226" t="s">
        <v>159</v>
      </c>
      <c r="F97" s="227"/>
    </row>
    <row r="98" spans="1:6" x14ac:dyDescent="0.35">
      <c r="A98" s="116"/>
      <c r="B98" s="68" t="s">
        <v>30</v>
      </c>
      <c r="C98" s="49"/>
      <c r="D98" s="49"/>
      <c r="E98" s="117">
        <v>14940000</v>
      </c>
      <c r="F98" s="50"/>
    </row>
    <row r="99" spans="1:6" x14ac:dyDescent="0.35">
      <c r="A99" s="51">
        <v>46052</v>
      </c>
      <c r="B99" s="68" t="s">
        <v>188</v>
      </c>
      <c r="C99" s="1187">
        <v>1000000</v>
      </c>
      <c r="D99" s="117"/>
      <c r="E99" s="117"/>
      <c r="F99" s="50"/>
    </row>
    <row r="100" spans="1:6" x14ac:dyDescent="0.35">
      <c r="A100" s="51">
        <v>46092</v>
      </c>
      <c r="B100" s="68" t="s">
        <v>189</v>
      </c>
      <c r="C100" s="52">
        <v>3000200</v>
      </c>
      <c r="D100" s="52"/>
      <c r="E100" s="875"/>
      <c r="F100" s="55"/>
    </row>
    <row r="101" spans="1:6" x14ac:dyDescent="0.35">
      <c r="A101" s="51">
        <v>46106</v>
      </c>
      <c r="B101" s="68" t="s">
        <v>190</v>
      </c>
      <c r="C101" s="52">
        <f>4321800-495672</f>
        <v>3826128</v>
      </c>
      <c r="D101" s="52">
        <v>267829</v>
      </c>
      <c r="E101" s="875"/>
      <c r="F101" s="55"/>
    </row>
    <row r="102" spans="1:6" x14ac:dyDescent="0.35">
      <c r="A102" s="51">
        <v>46106</v>
      </c>
      <c r="B102" s="68" t="s">
        <v>974</v>
      </c>
      <c r="C102" s="52">
        <v>495672</v>
      </c>
      <c r="D102" s="52">
        <v>0</v>
      </c>
      <c r="E102" s="875"/>
      <c r="F102" s="55"/>
    </row>
    <row r="103" spans="1:6" x14ac:dyDescent="0.35">
      <c r="A103" s="51">
        <v>46120</v>
      </c>
      <c r="B103" s="68" t="s">
        <v>191</v>
      </c>
      <c r="C103" s="52">
        <f>3018000-766799</f>
        <v>2251201</v>
      </c>
      <c r="D103" s="52">
        <v>157584</v>
      </c>
      <c r="E103" s="875"/>
      <c r="F103" s="55"/>
    </row>
    <row r="104" spans="1:6" x14ac:dyDescent="0.35">
      <c r="A104" s="51">
        <v>46120</v>
      </c>
      <c r="B104" s="68" t="s">
        <v>975</v>
      </c>
      <c r="C104" s="52">
        <v>766799</v>
      </c>
      <c r="D104" s="52">
        <v>0</v>
      </c>
      <c r="E104" s="875"/>
      <c r="F104" s="55"/>
    </row>
    <row r="105" spans="1:6" x14ac:dyDescent="0.35">
      <c r="A105" s="51">
        <v>46134</v>
      </c>
      <c r="B105" s="68" t="s">
        <v>821</v>
      </c>
      <c r="C105" s="52">
        <v>252000</v>
      </c>
      <c r="D105" s="52">
        <v>22680</v>
      </c>
      <c r="E105" s="875"/>
      <c r="F105" s="55"/>
    </row>
    <row r="106" spans="1:6" x14ac:dyDescent="0.35">
      <c r="A106" s="51">
        <v>46140</v>
      </c>
      <c r="B106" s="68" t="s">
        <v>822</v>
      </c>
      <c r="C106" s="52">
        <v>828000</v>
      </c>
      <c r="D106" s="52">
        <v>74500</v>
      </c>
      <c r="E106" s="875"/>
      <c r="F106" s="55"/>
    </row>
    <row r="107" spans="1:6" x14ac:dyDescent="0.35">
      <c r="A107" s="51"/>
      <c r="B107" s="54"/>
      <c r="C107" s="52"/>
      <c r="D107" s="52"/>
      <c r="E107" s="875"/>
      <c r="F107" s="55"/>
    </row>
    <row r="108" spans="1:6" ht="15" thickBot="1" x14ac:dyDescent="0.4">
      <c r="A108" s="56"/>
      <c r="B108" s="57"/>
      <c r="C108" s="1191">
        <f>SUM(C99:C107)</f>
        <v>12420000</v>
      </c>
      <c r="D108" s="1191">
        <f>SUM(D99:D107)</f>
        <v>522593</v>
      </c>
      <c r="E108" s="1191">
        <f>SUM(E98:E107)</f>
        <v>14940000</v>
      </c>
      <c r="F108" s="1192">
        <f>+E108-C108</f>
        <v>2520000</v>
      </c>
    </row>
    <row r="109" spans="1:6" ht="15" thickBot="1" x14ac:dyDescent="0.4"/>
    <row r="110" spans="1:6" x14ac:dyDescent="0.35">
      <c r="A110" s="1379" t="s">
        <v>946</v>
      </c>
      <c r="B110" s="1380"/>
      <c r="C110" s="1380"/>
      <c r="D110" s="1380" t="s">
        <v>948</v>
      </c>
      <c r="E110" s="1380"/>
      <c r="F110" s="1381"/>
    </row>
    <row r="111" spans="1:6" x14ac:dyDescent="0.35">
      <c r="A111" s="224" t="s">
        <v>83</v>
      </c>
      <c r="B111" s="225" t="s">
        <v>182</v>
      </c>
      <c r="C111" s="226" t="s">
        <v>183</v>
      </c>
      <c r="D111" s="226" t="s">
        <v>86</v>
      </c>
      <c r="E111" s="226" t="s">
        <v>159</v>
      </c>
      <c r="F111" s="227"/>
    </row>
    <row r="112" spans="1:6" x14ac:dyDescent="0.35">
      <c r="A112" s="116"/>
      <c r="B112" s="68" t="s">
        <v>30</v>
      </c>
      <c r="C112" s="49"/>
      <c r="D112" s="49"/>
      <c r="E112" s="117">
        <v>8360000</v>
      </c>
      <c r="F112" s="50"/>
    </row>
    <row r="113" spans="1:8" x14ac:dyDescent="0.35">
      <c r="A113" s="51">
        <v>46080</v>
      </c>
      <c r="B113" s="68" t="s">
        <v>188</v>
      </c>
      <c r="C113" s="1187">
        <v>1940620</v>
      </c>
      <c r="D113" s="117"/>
      <c r="E113" s="117"/>
      <c r="F113" s="50"/>
    </row>
    <row r="114" spans="1:8" x14ac:dyDescent="0.35">
      <c r="A114" s="51">
        <v>46092</v>
      </c>
      <c r="B114" s="68" t="s">
        <v>189</v>
      </c>
      <c r="C114" s="52">
        <v>1552062</v>
      </c>
      <c r="D114" s="52"/>
      <c r="E114" s="875"/>
      <c r="F114" s="55"/>
    </row>
    <row r="115" spans="1:8" x14ac:dyDescent="0.35">
      <c r="A115" s="51">
        <v>46092</v>
      </c>
      <c r="B115" s="68" t="s">
        <v>951</v>
      </c>
      <c r="C115" s="52">
        <v>192230</v>
      </c>
      <c r="D115" s="52"/>
      <c r="E115" s="875"/>
      <c r="F115" s="55"/>
    </row>
    <row r="116" spans="1:8" x14ac:dyDescent="0.35">
      <c r="A116" s="51">
        <v>46092</v>
      </c>
      <c r="B116" s="68" t="s">
        <v>952</v>
      </c>
      <c r="C116" s="52">
        <v>10840</v>
      </c>
      <c r="D116" s="52"/>
      <c r="E116" s="875"/>
      <c r="F116" s="55"/>
    </row>
    <row r="117" spans="1:8" x14ac:dyDescent="0.35">
      <c r="A117" s="51">
        <v>46092</v>
      </c>
      <c r="B117" s="68" t="s">
        <v>952</v>
      </c>
      <c r="C117" s="52">
        <v>31768</v>
      </c>
      <c r="D117" s="52"/>
      <c r="E117" s="875"/>
      <c r="F117" s="55"/>
    </row>
    <row r="118" spans="1:8" x14ac:dyDescent="0.35">
      <c r="A118" s="51">
        <v>46106</v>
      </c>
      <c r="B118" s="68" t="s">
        <v>190</v>
      </c>
      <c r="C118" s="52">
        <v>1181800</v>
      </c>
      <c r="D118" s="52">
        <v>82700</v>
      </c>
      <c r="E118" s="875"/>
      <c r="F118" s="55"/>
    </row>
    <row r="119" spans="1:8" x14ac:dyDescent="0.35">
      <c r="A119" s="51">
        <v>46120</v>
      </c>
      <c r="B119" s="68" t="s">
        <v>191</v>
      </c>
      <c r="C119" s="52">
        <v>1709500</v>
      </c>
      <c r="D119" s="52">
        <v>119665</v>
      </c>
      <c r="E119" s="875"/>
      <c r="F119" s="55"/>
    </row>
    <row r="120" spans="1:8" x14ac:dyDescent="0.35">
      <c r="A120" s="51"/>
      <c r="B120" s="54"/>
      <c r="C120" s="52"/>
      <c r="D120" s="52"/>
      <c r="E120" s="875"/>
      <c r="F120" s="55"/>
    </row>
    <row r="121" spans="1:8" ht="15" thickBot="1" x14ac:dyDescent="0.4">
      <c r="A121" s="56"/>
      <c r="B121" s="57"/>
      <c r="C121" s="1191">
        <f>SUM(C113:C120)</f>
        <v>6618820</v>
      </c>
      <c r="D121" s="1191">
        <f>SUM(D113:D120)</f>
        <v>202365</v>
      </c>
      <c r="E121" s="1191">
        <f>SUM(E112:E120)</f>
        <v>8360000</v>
      </c>
      <c r="F121" s="1192">
        <f>+E121-C121</f>
        <v>1741180</v>
      </c>
      <c r="H121" s="1382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E7C3-12BC-4941-98C2-843C20EF149C}">
  <dimension ref="A1:H244"/>
  <sheetViews>
    <sheetView topLeftCell="A24" workbookViewId="0">
      <selection activeCell="C242" sqref="C242"/>
    </sheetView>
  </sheetViews>
  <sheetFormatPr defaultColWidth="11.54296875" defaultRowHeight="12.75" customHeight="1" outlineLevelRow="1" outlineLevelCol="1" x14ac:dyDescent="0.3"/>
  <cols>
    <col min="1" max="1" width="6.54296875" style="279" bestFit="1" customWidth="1"/>
    <col min="2" max="2" width="4.7265625" style="279" hidden="1" customWidth="1" outlineLevel="1"/>
    <col min="3" max="3" width="121" style="280" bestFit="1" customWidth="1" collapsed="1"/>
    <col min="4" max="4" width="5.26953125" style="595" bestFit="1" customWidth="1"/>
    <col min="5" max="5" width="6.54296875" style="282" bestFit="1" customWidth="1"/>
    <col min="6" max="6" width="16.7265625" style="596" customWidth="1"/>
    <col min="7" max="7" width="15.81640625" style="596" customWidth="1"/>
    <col min="8" max="8" width="16.453125" style="606" bestFit="1" customWidth="1"/>
    <col min="9" max="16384" width="11.54296875" style="598"/>
  </cols>
  <sheetData>
    <row r="1" spans="1:8" ht="12.75" customHeight="1" x14ac:dyDescent="0.3">
      <c r="G1" s="597" t="s">
        <v>192</v>
      </c>
      <c r="H1" s="597" t="s">
        <v>193</v>
      </c>
    </row>
    <row r="2" spans="1:8" ht="13" x14ac:dyDescent="0.3">
      <c r="G2" s="291">
        <v>1066.5</v>
      </c>
      <c r="H2" s="291">
        <v>1170</v>
      </c>
    </row>
    <row r="3" spans="1:8" s="173" customFormat="1" ht="13" x14ac:dyDescent="0.35">
      <c r="A3" s="600"/>
      <c r="B3" s="292"/>
      <c r="C3" s="293"/>
      <c r="D3" s="174"/>
      <c r="E3" s="294"/>
      <c r="F3" s="601"/>
      <c r="G3" s="601"/>
      <c r="H3" s="602"/>
    </row>
    <row r="4" spans="1:8" s="173" customFormat="1" ht="13" x14ac:dyDescent="0.35">
      <c r="A4" s="600"/>
      <c r="B4" s="292"/>
      <c r="C4" s="293"/>
      <c r="D4" s="174"/>
      <c r="E4" s="294"/>
      <c r="F4" s="601"/>
      <c r="G4" s="304">
        <v>45667</v>
      </c>
      <c r="H4" s="602"/>
    </row>
    <row r="5" spans="1:8" s="173" customFormat="1" ht="13" x14ac:dyDescent="0.35">
      <c r="A5" s="600"/>
      <c r="B5" s="292"/>
      <c r="C5" s="305" t="s">
        <v>194</v>
      </c>
      <c r="D5" s="174"/>
      <c r="E5" s="294"/>
      <c r="F5" s="603"/>
      <c r="G5" s="603"/>
      <c r="H5" s="602"/>
    </row>
    <row r="6" spans="1:8" s="173" customFormat="1" ht="13" x14ac:dyDescent="0.35">
      <c r="A6" s="600"/>
      <c r="B6" s="292"/>
      <c r="C6" s="305" t="s">
        <v>195</v>
      </c>
      <c r="D6" s="175"/>
      <c r="E6" s="312"/>
      <c r="F6" s="604"/>
      <c r="G6" s="604"/>
      <c r="H6" s="602"/>
    </row>
    <row r="7" spans="1:8" ht="13" x14ac:dyDescent="0.3">
      <c r="A7" s="325" t="s">
        <v>196</v>
      </c>
      <c r="B7" s="316" t="s">
        <v>197</v>
      </c>
      <c r="C7" s="317" t="s">
        <v>198</v>
      </c>
      <c r="D7" s="176" t="s">
        <v>199</v>
      </c>
      <c r="E7" s="318" t="s">
        <v>200</v>
      </c>
      <c r="F7" s="605" t="s">
        <v>201</v>
      </c>
      <c r="G7" s="605" t="s">
        <v>165</v>
      </c>
    </row>
    <row r="8" spans="1:8" s="609" customFormat="1" ht="13" x14ac:dyDescent="0.3">
      <c r="A8" s="325">
        <v>1</v>
      </c>
      <c r="B8" s="326"/>
      <c r="C8" s="607" t="s">
        <v>204</v>
      </c>
      <c r="D8" s="177"/>
      <c r="E8" s="327"/>
      <c r="F8" s="465"/>
      <c r="G8" s="465"/>
      <c r="H8" s="608">
        <f>SUM(G9:G17)</f>
        <v>19888202</v>
      </c>
    </row>
    <row r="9" spans="1:8" ht="13" outlineLevel="1" x14ac:dyDescent="0.3">
      <c r="A9" s="331">
        <v>1.01</v>
      </c>
      <c r="B9" s="350" t="s">
        <v>205</v>
      </c>
      <c r="C9" s="333" t="s">
        <v>206</v>
      </c>
      <c r="D9" s="610" t="s">
        <v>207</v>
      </c>
      <c r="E9" s="332">
        <v>1</v>
      </c>
      <c r="F9" s="611">
        <v>0</v>
      </c>
      <c r="G9" s="611">
        <f t="shared" ref="G9:G17" si="0">+F9*E9</f>
        <v>0</v>
      </c>
    </row>
    <row r="10" spans="1:8" ht="13" outlineLevel="1" x14ac:dyDescent="0.3">
      <c r="A10" s="339">
        <v>1.02</v>
      </c>
      <c r="B10" s="350" t="s">
        <v>205</v>
      </c>
      <c r="C10" s="341" t="s">
        <v>208</v>
      </c>
      <c r="D10" s="612" t="s">
        <v>207</v>
      </c>
      <c r="E10" s="342">
        <v>3</v>
      </c>
      <c r="F10" s="613">
        <v>384981</v>
      </c>
      <c r="G10" s="613">
        <f t="shared" si="0"/>
        <v>1154943</v>
      </c>
    </row>
    <row r="11" spans="1:8" ht="13" outlineLevel="1" x14ac:dyDescent="0.3">
      <c r="A11" s="339">
        <v>1.03</v>
      </c>
      <c r="B11" s="350" t="s">
        <v>205</v>
      </c>
      <c r="C11" s="341" t="s">
        <v>209</v>
      </c>
      <c r="D11" s="180" t="s">
        <v>207</v>
      </c>
      <c r="E11" s="125">
        <v>1</v>
      </c>
      <c r="F11" s="613">
        <v>0</v>
      </c>
      <c r="G11" s="613">
        <f t="shared" si="0"/>
        <v>0</v>
      </c>
    </row>
    <row r="12" spans="1:8" ht="13" outlineLevel="1" x14ac:dyDescent="0.3">
      <c r="A12" s="339">
        <v>1.04</v>
      </c>
      <c r="B12" s="350" t="s">
        <v>205</v>
      </c>
      <c r="C12" s="341" t="s">
        <v>210</v>
      </c>
      <c r="D12" s="612" t="s">
        <v>211</v>
      </c>
      <c r="E12" s="342">
        <v>10</v>
      </c>
      <c r="F12" s="613">
        <v>256997</v>
      </c>
      <c r="G12" s="613">
        <f t="shared" si="0"/>
        <v>2569970</v>
      </c>
    </row>
    <row r="13" spans="1:8" ht="13" outlineLevel="1" x14ac:dyDescent="0.3">
      <c r="A13" s="339">
        <v>1.05</v>
      </c>
      <c r="B13" s="350" t="s">
        <v>205</v>
      </c>
      <c r="C13" s="341" t="s">
        <v>212</v>
      </c>
      <c r="D13" s="612" t="s">
        <v>207</v>
      </c>
      <c r="E13" s="342">
        <v>1</v>
      </c>
      <c r="F13" s="613">
        <v>9812332</v>
      </c>
      <c r="G13" s="613">
        <f t="shared" si="0"/>
        <v>9812332</v>
      </c>
    </row>
    <row r="14" spans="1:8" ht="13" outlineLevel="1" x14ac:dyDescent="0.3">
      <c r="A14" s="339">
        <v>1.06</v>
      </c>
      <c r="B14" s="350" t="s">
        <v>205</v>
      </c>
      <c r="C14" s="341" t="s">
        <v>213</v>
      </c>
      <c r="D14" s="612" t="s">
        <v>214</v>
      </c>
      <c r="E14" s="342">
        <v>4</v>
      </c>
      <c r="F14" s="613">
        <v>442847</v>
      </c>
      <c r="G14" s="613">
        <f t="shared" si="0"/>
        <v>1771388</v>
      </c>
    </row>
    <row r="15" spans="1:8" ht="13" outlineLevel="1" x14ac:dyDescent="0.3">
      <c r="A15" s="339">
        <v>1.07</v>
      </c>
      <c r="B15" s="350" t="s">
        <v>205</v>
      </c>
      <c r="C15" s="341" t="s">
        <v>215</v>
      </c>
      <c r="D15" s="612" t="s">
        <v>207</v>
      </c>
      <c r="E15" s="342">
        <v>1</v>
      </c>
      <c r="F15" s="613">
        <v>2287982</v>
      </c>
      <c r="G15" s="613">
        <f t="shared" si="0"/>
        <v>2287982</v>
      </c>
    </row>
    <row r="16" spans="1:8" ht="13" outlineLevel="1" x14ac:dyDescent="0.3">
      <c r="A16" s="339">
        <v>1.08</v>
      </c>
      <c r="B16" s="350" t="s">
        <v>205</v>
      </c>
      <c r="C16" s="341" t="s">
        <v>216</v>
      </c>
      <c r="D16" s="612" t="s">
        <v>207</v>
      </c>
      <c r="E16" s="342">
        <v>1</v>
      </c>
      <c r="F16" s="613">
        <v>1808218</v>
      </c>
      <c r="G16" s="613">
        <f t="shared" si="0"/>
        <v>1808218</v>
      </c>
    </row>
    <row r="17" spans="1:8" ht="13" outlineLevel="1" x14ac:dyDescent="0.3">
      <c r="A17" s="339">
        <v>1.0900000000000001</v>
      </c>
      <c r="B17" s="350" t="s">
        <v>205</v>
      </c>
      <c r="C17" s="341" t="s">
        <v>217</v>
      </c>
      <c r="D17" s="612" t="s">
        <v>207</v>
      </c>
      <c r="E17" s="342">
        <v>1</v>
      </c>
      <c r="F17" s="613">
        <v>483369</v>
      </c>
      <c r="G17" s="613">
        <f t="shared" si="0"/>
        <v>483369</v>
      </c>
    </row>
    <row r="18" spans="1:8" ht="13.9" customHeight="1" x14ac:dyDescent="0.3">
      <c r="A18" s="325">
        <v>2</v>
      </c>
      <c r="B18" s="326"/>
      <c r="C18" s="607" t="s">
        <v>231</v>
      </c>
      <c r="D18" s="177"/>
      <c r="E18" s="327"/>
      <c r="F18" s="465">
        <v>0</v>
      </c>
      <c r="G18" s="465"/>
      <c r="H18" s="608">
        <f>SUM(G19:G23)</f>
        <v>29649894</v>
      </c>
    </row>
    <row r="19" spans="1:8" ht="13" outlineLevel="1" x14ac:dyDescent="0.3">
      <c r="A19" s="339">
        <v>2.0099999999999998</v>
      </c>
      <c r="B19" s="350" t="s">
        <v>205</v>
      </c>
      <c r="C19" s="361" t="s">
        <v>232</v>
      </c>
      <c r="D19" s="362" t="s">
        <v>233</v>
      </c>
      <c r="E19" s="363">
        <v>308</v>
      </c>
      <c r="F19" s="613">
        <v>52801</v>
      </c>
      <c r="G19" s="613">
        <f>+F19*E19</f>
        <v>16262708</v>
      </c>
    </row>
    <row r="20" spans="1:8" ht="13" outlineLevel="1" x14ac:dyDescent="0.3">
      <c r="A20" s="339">
        <v>2.02</v>
      </c>
      <c r="B20" s="350" t="s">
        <v>205</v>
      </c>
      <c r="C20" s="361" t="s">
        <v>234</v>
      </c>
      <c r="D20" s="362" t="s">
        <v>207</v>
      </c>
      <c r="E20" s="363">
        <v>1</v>
      </c>
      <c r="F20" s="613">
        <v>11624716</v>
      </c>
      <c r="G20" s="613">
        <f>+F20*E20</f>
        <v>11624716</v>
      </c>
    </row>
    <row r="21" spans="1:8" ht="13" outlineLevel="1" x14ac:dyDescent="0.3">
      <c r="A21" s="339">
        <v>2.0299999999999998</v>
      </c>
      <c r="B21" s="350" t="s">
        <v>205</v>
      </c>
      <c r="C21" s="361" t="s">
        <v>235</v>
      </c>
      <c r="D21" s="362" t="s">
        <v>233</v>
      </c>
      <c r="E21" s="363">
        <v>15</v>
      </c>
      <c r="F21" s="613">
        <v>117498</v>
      </c>
      <c r="G21" s="613">
        <f>+F21*E21</f>
        <v>1762470</v>
      </c>
    </row>
    <row r="22" spans="1:8" ht="13" outlineLevel="1" x14ac:dyDescent="0.3">
      <c r="A22" s="621">
        <v>2.04</v>
      </c>
      <c r="B22" s="375" t="s">
        <v>236</v>
      </c>
      <c r="C22" s="622" t="s">
        <v>237</v>
      </c>
      <c r="D22" s="377" t="s">
        <v>238</v>
      </c>
      <c r="E22" s="378">
        <v>0</v>
      </c>
      <c r="F22" s="613">
        <v>28536</v>
      </c>
      <c r="G22" s="613">
        <f>+F22*E22</f>
        <v>0</v>
      </c>
    </row>
    <row r="23" spans="1:8" s="394" customFormat="1" ht="13" outlineLevel="1" x14ac:dyDescent="0.3">
      <c r="A23" s="351">
        <v>2.0499999999999998</v>
      </c>
      <c r="B23" s="352" t="s">
        <v>205</v>
      </c>
      <c r="C23" s="623" t="s">
        <v>239</v>
      </c>
      <c r="D23" s="405" t="s">
        <v>207</v>
      </c>
      <c r="E23" s="379">
        <v>0</v>
      </c>
      <c r="F23" s="613">
        <v>0</v>
      </c>
      <c r="G23" s="613">
        <f>+F23*E23</f>
        <v>0</v>
      </c>
      <c r="H23" s="606"/>
    </row>
    <row r="24" spans="1:8" s="394" customFormat="1" ht="13" outlineLevel="1" x14ac:dyDescent="0.3">
      <c r="A24" s="325">
        <v>3</v>
      </c>
      <c r="B24" s="326"/>
      <c r="C24" s="607" t="s">
        <v>240</v>
      </c>
      <c r="D24" s="177"/>
      <c r="E24" s="327"/>
      <c r="F24" s="465">
        <v>0</v>
      </c>
      <c r="G24" s="465"/>
      <c r="H24" s="624">
        <f>SUM(G25:G45)</f>
        <v>451369624</v>
      </c>
    </row>
    <row r="25" spans="1:8" s="394" customFormat="1" ht="13" outlineLevel="1" x14ac:dyDescent="0.3">
      <c r="A25" s="339">
        <v>3.01</v>
      </c>
      <c r="B25" s="350" t="s">
        <v>205</v>
      </c>
      <c r="C25" s="367" t="s">
        <v>241</v>
      </c>
      <c r="D25" s="180" t="s">
        <v>233</v>
      </c>
      <c r="E25" s="125">
        <v>13</v>
      </c>
      <c r="F25" s="613">
        <v>293139</v>
      </c>
      <c r="G25" s="613">
        <f t="shared" ref="G25:G45" si="1">+F25*E25</f>
        <v>3810807</v>
      </c>
      <c r="H25" s="606"/>
    </row>
    <row r="26" spans="1:8" s="394" customFormat="1" ht="13" outlineLevel="1" x14ac:dyDescent="0.3">
      <c r="A26" s="339">
        <v>3.02</v>
      </c>
      <c r="B26" s="350" t="s">
        <v>205</v>
      </c>
      <c r="C26" s="367" t="s">
        <v>242</v>
      </c>
      <c r="D26" s="180" t="s">
        <v>243</v>
      </c>
      <c r="E26" s="125">
        <v>18</v>
      </c>
      <c r="F26" s="613">
        <v>460697</v>
      </c>
      <c r="G26" s="613">
        <f t="shared" si="1"/>
        <v>8292546</v>
      </c>
      <c r="H26" s="606"/>
    </row>
    <row r="27" spans="1:8" s="513" customFormat="1" ht="13" outlineLevel="1" x14ac:dyDescent="0.3">
      <c r="A27" s="339">
        <v>3.03</v>
      </c>
      <c r="B27" s="350" t="s">
        <v>205</v>
      </c>
      <c r="C27" s="367" t="s">
        <v>244</v>
      </c>
      <c r="D27" s="180" t="s">
        <v>233</v>
      </c>
      <c r="E27" s="125">
        <v>12</v>
      </c>
      <c r="F27" s="613">
        <v>1027679</v>
      </c>
      <c r="G27" s="613">
        <f t="shared" si="1"/>
        <v>12332148</v>
      </c>
      <c r="H27" s="606"/>
    </row>
    <row r="28" spans="1:8" ht="13" x14ac:dyDescent="0.3">
      <c r="A28" s="339">
        <v>3.04</v>
      </c>
      <c r="B28" s="350" t="s">
        <v>205</v>
      </c>
      <c r="C28" s="367" t="s">
        <v>245</v>
      </c>
      <c r="D28" s="180" t="s">
        <v>233</v>
      </c>
      <c r="E28" s="125">
        <v>7</v>
      </c>
      <c r="F28" s="613">
        <v>960201</v>
      </c>
      <c r="G28" s="613">
        <f t="shared" si="1"/>
        <v>6721407</v>
      </c>
    </row>
    <row r="29" spans="1:8" s="609" customFormat="1" ht="13" outlineLevel="1" x14ac:dyDescent="0.3">
      <c r="A29" s="339">
        <v>3.05</v>
      </c>
      <c r="B29" s="350" t="s">
        <v>205</v>
      </c>
      <c r="C29" s="367" t="s">
        <v>246</v>
      </c>
      <c r="D29" s="180" t="s">
        <v>233</v>
      </c>
      <c r="E29" s="125">
        <v>38</v>
      </c>
      <c r="F29" s="613">
        <v>714274</v>
      </c>
      <c r="G29" s="613">
        <f t="shared" si="1"/>
        <v>27142412</v>
      </c>
      <c r="H29" s="606"/>
    </row>
    <row r="30" spans="1:8" s="609" customFormat="1" ht="13" outlineLevel="1" x14ac:dyDescent="0.3">
      <c r="A30" s="339">
        <v>3.06</v>
      </c>
      <c r="B30" s="350" t="s">
        <v>205</v>
      </c>
      <c r="C30" s="367" t="s">
        <v>247</v>
      </c>
      <c r="D30" s="180" t="s">
        <v>233</v>
      </c>
      <c r="E30" s="125">
        <v>51</v>
      </c>
      <c r="F30" s="613">
        <v>634926</v>
      </c>
      <c r="G30" s="613">
        <f t="shared" si="1"/>
        <v>32381226</v>
      </c>
      <c r="H30" s="606"/>
    </row>
    <row r="31" spans="1:8" s="609" customFormat="1" ht="13" x14ac:dyDescent="0.3">
      <c r="A31" s="339">
        <v>3.07</v>
      </c>
      <c r="B31" s="350" t="s">
        <v>205</v>
      </c>
      <c r="C31" s="367" t="s">
        <v>248</v>
      </c>
      <c r="D31" s="180" t="s">
        <v>233</v>
      </c>
      <c r="E31" s="125">
        <v>16</v>
      </c>
      <c r="F31" s="613">
        <v>1289285</v>
      </c>
      <c r="G31" s="613">
        <f t="shared" si="1"/>
        <v>20628560</v>
      </c>
      <c r="H31" s="606"/>
    </row>
    <row r="32" spans="1:8" ht="13" outlineLevel="1" x14ac:dyDescent="0.3">
      <c r="A32" s="339">
        <v>3.08</v>
      </c>
      <c r="B32" s="350" t="s">
        <v>205</v>
      </c>
      <c r="C32" s="367" t="s">
        <v>249</v>
      </c>
      <c r="D32" s="180" t="s">
        <v>233</v>
      </c>
      <c r="E32" s="125">
        <v>7</v>
      </c>
      <c r="F32" s="613">
        <v>1096226</v>
      </c>
      <c r="G32" s="613">
        <f t="shared" si="1"/>
        <v>7673582</v>
      </c>
    </row>
    <row r="33" spans="1:8" ht="13" outlineLevel="1" x14ac:dyDescent="0.3">
      <c r="A33" s="339">
        <v>3.09</v>
      </c>
      <c r="B33" s="350" t="s">
        <v>205</v>
      </c>
      <c r="C33" s="341" t="s">
        <v>250</v>
      </c>
      <c r="D33" s="362" t="s">
        <v>233</v>
      </c>
      <c r="E33" s="342">
        <v>90</v>
      </c>
      <c r="F33" s="613">
        <v>804023</v>
      </c>
      <c r="G33" s="613">
        <f t="shared" si="1"/>
        <v>72362070</v>
      </c>
    </row>
    <row r="34" spans="1:8" ht="13" outlineLevel="1" x14ac:dyDescent="0.3">
      <c r="A34" s="339">
        <v>3.1</v>
      </c>
      <c r="B34" s="350" t="s">
        <v>205</v>
      </c>
      <c r="C34" s="341" t="s">
        <v>251</v>
      </c>
      <c r="D34" s="362" t="s">
        <v>233</v>
      </c>
      <c r="E34" s="342">
        <v>32</v>
      </c>
      <c r="F34" s="613">
        <v>888733</v>
      </c>
      <c r="G34" s="613">
        <f t="shared" si="1"/>
        <v>28439456</v>
      </c>
    </row>
    <row r="35" spans="1:8" ht="13.9" customHeight="1" outlineLevel="1" x14ac:dyDescent="0.3">
      <c r="A35" s="339">
        <v>3.11</v>
      </c>
      <c r="B35" s="350" t="s">
        <v>205</v>
      </c>
      <c r="C35" s="341" t="s">
        <v>252</v>
      </c>
      <c r="D35" s="362" t="s">
        <v>233</v>
      </c>
      <c r="E35" s="342">
        <v>46</v>
      </c>
      <c r="F35" s="613">
        <v>1494687</v>
      </c>
      <c r="G35" s="613">
        <f t="shared" si="1"/>
        <v>68755602</v>
      </c>
    </row>
    <row r="36" spans="1:8" ht="13" outlineLevel="1" x14ac:dyDescent="0.3">
      <c r="A36" s="339">
        <v>3.12</v>
      </c>
      <c r="B36" s="350" t="s">
        <v>205</v>
      </c>
      <c r="C36" s="341" t="s">
        <v>253</v>
      </c>
      <c r="D36" s="362" t="s">
        <v>233</v>
      </c>
      <c r="E36" s="342">
        <v>31</v>
      </c>
      <c r="F36" s="613">
        <v>1673385</v>
      </c>
      <c r="G36" s="613">
        <f t="shared" si="1"/>
        <v>51874935</v>
      </c>
    </row>
    <row r="37" spans="1:8" s="609" customFormat="1" ht="13" x14ac:dyDescent="0.3">
      <c r="A37" s="339">
        <v>3.13</v>
      </c>
      <c r="B37" s="350" t="s">
        <v>205</v>
      </c>
      <c r="C37" s="341" t="s">
        <v>254</v>
      </c>
      <c r="D37" s="362" t="s">
        <v>233</v>
      </c>
      <c r="E37" s="342">
        <v>24</v>
      </c>
      <c r="F37" s="613">
        <v>1039014</v>
      </c>
      <c r="G37" s="613">
        <f t="shared" si="1"/>
        <v>24936336</v>
      </c>
      <c r="H37" s="606"/>
    </row>
    <row r="38" spans="1:8" ht="13" outlineLevel="1" x14ac:dyDescent="0.3">
      <c r="A38" s="339">
        <v>3.14</v>
      </c>
      <c r="B38" s="350" t="s">
        <v>205</v>
      </c>
      <c r="C38" s="341" t="s">
        <v>255</v>
      </c>
      <c r="D38" s="362" t="s">
        <v>233</v>
      </c>
      <c r="E38" s="342">
        <v>39</v>
      </c>
      <c r="F38" s="613">
        <v>1153260</v>
      </c>
      <c r="G38" s="613">
        <f t="shared" si="1"/>
        <v>44977140</v>
      </c>
    </row>
    <row r="39" spans="1:8" ht="13" outlineLevel="1" x14ac:dyDescent="0.3">
      <c r="A39" s="339">
        <v>3.16</v>
      </c>
      <c r="B39" s="350" t="s">
        <v>205</v>
      </c>
      <c r="C39" s="341" t="s">
        <v>256</v>
      </c>
      <c r="D39" s="362" t="s">
        <v>233</v>
      </c>
      <c r="E39" s="342">
        <v>4</v>
      </c>
      <c r="F39" s="613">
        <v>1254164</v>
      </c>
      <c r="G39" s="613">
        <f t="shared" si="1"/>
        <v>5016656</v>
      </c>
    </row>
    <row r="40" spans="1:8" ht="13" outlineLevel="1" x14ac:dyDescent="0.3">
      <c r="A40" s="339">
        <v>3.17</v>
      </c>
      <c r="B40" s="350" t="s">
        <v>205</v>
      </c>
      <c r="C40" s="341" t="s">
        <v>257</v>
      </c>
      <c r="D40" s="362" t="s">
        <v>233</v>
      </c>
      <c r="E40" s="342">
        <v>10</v>
      </c>
      <c r="F40" s="613">
        <v>1111535</v>
      </c>
      <c r="G40" s="613">
        <f t="shared" si="1"/>
        <v>11115350</v>
      </c>
    </row>
    <row r="41" spans="1:8" ht="13" outlineLevel="1" x14ac:dyDescent="0.3">
      <c r="A41" s="339">
        <v>3.18</v>
      </c>
      <c r="B41" s="350" t="s">
        <v>205</v>
      </c>
      <c r="C41" s="341" t="s">
        <v>258</v>
      </c>
      <c r="D41" s="362" t="s">
        <v>233</v>
      </c>
      <c r="E41" s="342">
        <v>6</v>
      </c>
      <c r="F41" s="613">
        <v>1039014</v>
      </c>
      <c r="G41" s="613">
        <f t="shared" si="1"/>
        <v>6234084</v>
      </c>
    </row>
    <row r="42" spans="1:8" ht="13" outlineLevel="1" x14ac:dyDescent="0.3">
      <c r="A42" s="339">
        <v>3.19</v>
      </c>
      <c r="B42" s="350" t="s">
        <v>205</v>
      </c>
      <c r="C42" s="372" t="s">
        <v>259</v>
      </c>
      <c r="D42" s="362" t="s">
        <v>207</v>
      </c>
      <c r="E42" s="625">
        <v>1</v>
      </c>
      <c r="F42" s="613">
        <v>11272951</v>
      </c>
      <c r="G42" s="613">
        <f t="shared" si="1"/>
        <v>11272951</v>
      </c>
    </row>
    <row r="43" spans="1:8" ht="13" outlineLevel="1" x14ac:dyDescent="0.3">
      <c r="A43" s="339">
        <v>3.2</v>
      </c>
      <c r="B43" s="350" t="s">
        <v>205</v>
      </c>
      <c r="C43" s="372" t="s">
        <v>260</v>
      </c>
      <c r="D43" s="362" t="s">
        <v>243</v>
      </c>
      <c r="E43" s="363">
        <v>15</v>
      </c>
      <c r="F43" s="613">
        <v>304811</v>
      </c>
      <c r="G43" s="613">
        <f t="shared" si="1"/>
        <v>4572165</v>
      </c>
    </row>
    <row r="44" spans="1:8" ht="13" outlineLevel="1" x14ac:dyDescent="0.3">
      <c r="A44" s="339">
        <v>3.21</v>
      </c>
      <c r="B44" s="350" t="s">
        <v>205</v>
      </c>
      <c r="C44" s="376" t="s">
        <v>261</v>
      </c>
      <c r="D44" s="377" t="s">
        <v>207</v>
      </c>
      <c r="E44" s="378">
        <v>3</v>
      </c>
      <c r="F44" s="613">
        <v>68289</v>
      </c>
      <c r="G44" s="613">
        <f t="shared" si="1"/>
        <v>204867</v>
      </c>
    </row>
    <row r="45" spans="1:8" ht="13" outlineLevel="1" x14ac:dyDescent="0.3">
      <c r="A45" s="339">
        <v>3.22</v>
      </c>
      <c r="B45" s="350" t="s">
        <v>205</v>
      </c>
      <c r="C45" s="353" t="s">
        <v>262</v>
      </c>
      <c r="D45" s="626" t="s">
        <v>238</v>
      </c>
      <c r="E45" s="379">
        <v>78</v>
      </c>
      <c r="F45" s="613">
        <v>33658</v>
      </c>
      <c r="G45" s="613">
        <f t="shared" si="1"/>
        <v>2625324</v>
      </c>
    </row>
    <row r="46" spans="1:8" ht="13" outlineLevel="1" x14ac:dyDescent="0.3">
      <c r="A46" s="1199"/>
      <c r="B46" s="909"/>
      <c r="C46" s="276" t="s">
        <v>893</v>
      </c>
      <c r="D46" s="916"/>
      <c r="E46" s="917"/>
      <c r="F46" s="917"/>
      <c r="G46" s="917"/>
      <c r="H46" s="966">
        <f>SUM(H8:H45)</f>
        <v>500907720</v>
      </c>
    </row>
    <row r="47" spans="1:8" ht="13" outlineLevel="1" x14ac:dyDescent="0.3">
      <c r="A47" s="1330"/>
      <c r="B47" s="1331"/>
      <c r="C47" s="964"/>
      <c r="D47" s="916"/>
      <c r="E47" s="917"/>
      <c r="F47" s="917"/>
      <c r="G47" s="917"/>
      <c r="H47" s="965"/>
    </row>
    <row r="48" spans="1:8" ht="13" outlineLevel="1" x14ac:dyDescent="0.3">
      <c r="A48" s="325">
        <v>4</v>
      </c>
      <c r="B48" s="326"/>
      <c r="C48" s="607" t="s">
        <v>263</v>
      </c>
      <c r="D48" s="177"/>
      <c r="E48" s="327"/>
      <c r="F48" s="465"/>
      <c r="G48" s="465"/>
      <c r="H48" s="608">
        <f>SUM(G49:G62)</f>
        <v>51045774</v>
      </c>
    </row>
    <row r="49" spans="1:8" ht="13" outlineLevel="1" x14ac:dyDescent="0.3">
      <c r="A49" s="331">
        <v>4.01</v>
      </c>
      <c r="B49" s="380" t="s">
        <v>205</v>
      </c>
      <c r="C49" s="333" t="s">
        <v>264</v>
      </c>
      <c r="D49" s="182" t="s">
        <v>238</v>
      </c>
      <c r="E49" s="381">
        <v>621</v>
      </c>
      <c r="F49" s="611">
        <v>22140</v>
      </c>
      <c r="G49" s="611">
        <f t="shared" ref="G49:G62" si="2">+F49*E49</f>
        <v>13748940</v>
      </c>
      <c r="H49" s="630"/>
    </row>
    <row r="50" spans="1:8" ht="13" outlineLevel="1" x14ac:dyDescent="0.3">
      <c r="A50" s="339">
        <v>4.0199999999999996</v>
      </c>
      <c r="B50" s="350" t="s">
        <v>205</v>
      </c>
      <c r="C50" s="386" t="s">
        <v>265</v>
      </c>
      <c r="D50" s="362" t="s">
        <v>238</v>
      </c>
      <c r="E50" s="363">
        <v>780</v>
      </c>
      <c r="F50" s="618">
        <v>24437</v>
      </c>
      <c r="G50" s="613">
        <f t="shared" si="2"/>
        <v>19060860</v>
      </c>
      <c r="H50" s="630"/>
    </row>
    <row r="51" spans="1:8" ht="13" outlineLevel="1" x14ac:dyDescent="0.3">
      <c r="A51" s="339">
        <v>4.03</v>
      </c>
      <c r="B51" s="350" t="s">
        <v>205</v>
      </c>
      <c r="C51" s="341" t="s">
        <v>266</v>
      </c>
      <c r="D51" s="362" t="s">
        <v>238</v>
      </c>
      <c r="E51" s="363">
        <v>56</v>
      </c>
      <c r="F51" s="618">
        <v>23248</v>
      </c>
      <c r="G51" s="613">
        <f t="shared" si="2"/>
        <v>1301888</v>
      </c>
      <c r="H51" s="630"/>
    </row>
    <row r="52" spans="1:8" ht="13" outlineLevel="1" x14ac:dyDescent="0.3">
      <c r="A52" s="339">
        <v>4.04</v>
      </c>
      <c r="B52" s="350" t="s">
        <v>205</v>
      </c>
      <c r="C52" s="341" t="s">
        <v>267</v>
      </c>
      <c r="D52" s="362" t="s">
        <v>238</v>
      </c>
      <c r="E52" s="363">
        <v>42</v>
      </c>
      <c r="F52" s="618">
        <v>28746</v>
      </c>
      <c r="G52" s="613">
        <f t="shared" si="2"/>
        <v>1207332</v>
      </c>
      <c r="H52" s="630"/>
    </row>
    <row r="53" spans="1:8" ht="13" outlineLevel="1" x14ac:dyDescent="0.3">
      <c r="A53" s="339">
        <v>4.05</v>
      </c>
      <c r="B53" s="350" t="s">
        <v>236</v>
      </c>
      <c r="C53" s="341" t="s">
        <v>268</v>
      </c>
      <c r="D53" s="362" t="s">
        <v>238</v>
      </c>
      <c r="E53" s="363">
        <v>70</v>
      </c>
      <c r="F53" s="618">
        <v>36933</v>
      </c>
      <c r="G53" s="613">
        <f t="shared" si="2"/>
        <v>2585310</v>
      </c>
      <c r="H53" s="630"/>
    </row>
    <row r="54" spans="1:8" ht="13" outlineLevel="1" x14ac:dyDescent="0.3">
      <c r="A54" s="339">
        <v>4.0599999999999996</v>
      </c>
      <c r="B54" s="350" t="s">
        <v>205</v>
      </c>
      <c r="C54" s="341" t="s">
        <v>269</v>
      </c>
      <c r="D54" s="362" t="s">
        <v>238</v>
      </c>
      <c r="E54" s="363">
        <v>5</v>
      </c>
      <c r="F54" s="618">
        <v>28672</v>
      </c>
      <c r="G54" s="613">
        <f t="shared" si="2"/>
        <v>143360</v>
      </c>
      <c r="H54" s="630"/>
    </row>
    <row r="55" spans="1:8" ht="13" outlineLevel="1" x14ac:dyDescent="0.3">
      <c r="A55" s="339">
        <v>4.07</v>
      </c>
      <c r="B55" s="350" t="s">
        <v>205</v>
      </c>
      <c r="C55" s="341" t="s">
        <v>270</v>
      </c>
      <c r="D55" s="362" t="s">
        <v>238</v>
      </c>
      <c r="E55" s="625">
        <v>193</v>
      </c>
      <c r="F55" s="618">
        <v>18611</v>
      </c>
      <c r="G55" s="613">
        <f t="shared" si="2"/>
        <v>3591923</v>
      </c>
      <c r="H55" s="630"/>
    </row>
    <row r="56" spans="1:8" ht="13" outlineLevel="1" x14ac:dyDescent="0.3">
      <c r="A56" s="339">
        <v>4.08</v>
      </c>
      <c r="B56" s="350" t="s">
        <v>236</v>
      </c>
      <c r="C56" s="341" t="s">
        <v>271</v>
      </c>
      <c r="D56" s="362" t="s">
        <v>211</v>
      </c>
      <c r="E56" s="625">
        <v>61</v>
      </c>
      <c r="F56" s="618">
        <v>28578</v>
      </c>
      <c r="G56" s="613">
        <f t="shared" si="2"/>
        <v>1743258</v>
      </c>
      <c r="H56" s="630"/>
    </row>
    <row r="57" spans="1:8" ht="13" outlineLevel="1" x14ac:dyDescent="0.3">
      <c r="A57" s="339">
        <v>4.09</v>
      </c>
      <c r="B57" s="350" t="s">
        <v>236</v>
      </c>
      <c r="C57" s="341" t="s">
        <v>272</v>
      </c>
      <c r="D57" s="362" t="s">
        <v>207</v>
      </c>
      <c r="E57" s="625">
        <v>1</v>
      </c>
      <c r="F57" s="618">
        <v>280823</v>
      </c>
      <c r="G57" s="613">
        <f t="shared" si="2"/>
        <v>280823</v>
      </c>
      <c r="H57" s="630"/>
    </row>
    <row r="58" spans="1:8" ht="13" outlineLevel="1" x14ac:dyDescent="0.3">
      <c r="A58" s="339">
        <v>4.0999999999999996</v>
      </c>
      <c r="B58" s="350" t="s">
        <v>236</v>
      </c>
      <c r="C58" s="341" t="s">
        <v>273</v>
      </c>
      <c r="D58" s="362" t="s">
        <v>207</v>
      </c>
      <c r="E58" s="625">
        <v>1</v>
      </c>
      <c r="F58" s="618">
        <v>801214</v>
      </c>
      <c r="G58" s="613">
        <f t="shared" si="2"/>
        <v>801214</v>
      </c>
      <c r="H58" s="630"/>
    </row>
    <row r="59" spans="1:8" ht="13" outlineLevel="1" x14ac:dyDescent="0.3">
      <c r="A59" s="339">
        <v>4.1100000000000003</v>
      </c>
      <c r="B59" s="350" t="s">
        <v>205</v>
      </c>
      <c r="C59" s="341" t="s">
        <v>274</v>
      </c>
      <c r="D59" s="362" t="s">
        <v>207</v>
      </c>
      <c r="E59" s="625">
        <v>1</v>
      </c>
      <c r="F59" s="618">
        <v>525234</v>
      </c>
      <c r="G59" s="613">
        <f t="shared" si="2"/>
        <v>525234</v>
      </c>
      <c r="H59" s="630"/>
    </row>
    <row r="60" spans="1:8" ht="13" outlineLevel="1" x14ac:dyDescent="0.3">
      <c r="A60" s="339">
        <v>4.12</v>
      </c>
      <c r="B60" s="350" t="s">
        <v>205</v>
      </c>
      <c r="C60" s="341" t="s">
        <v>275</v>
      </c>
      <c r="D60" s="362" t="s">
        <v>243</v>
      </c>
      <c r="E60" s="625">
        <v>3</v>
      </c>
      <c r="F60" s="618">
        <v>237784</v>
      </c>
      <c r="G60" s="613">
        <f t="shared" si="2"/>
        <v>713352</v>
      </c>
      <c r="H60" s="630"/>
    </row>
    <row r="61" spans="1:8" s="609" customFormat="1" ht="13.9" customHeight="1" x14ac:dyDescent="0.3">
      <c r="A61" s="339">
        <v>4.13</v>
      </c>
      <c r="B61" s="350" t="s">
        <v>236</v>
      </c>
      <c r="C61" s="341" t="s">
        <v>276</v>
      </c>
      <c r="D61" s="362" t="s">
        <v>211</v>
      </c>
      <c r="E61" s="625">
        <v>40</v>
      </c>
      <c r="F61" s="618">
        <v>98026</v>
      </c>
      <c r="G61" s="613">
        <f t="shared" si="2"/>
        <v>3921040</v>
      </c>
      <c r="H61" s="630"/>
    </row>
    <row r="62" spans="1:8" s="609" customFormat="1" ht="13.9" customHeight="1" outlineLevel="1" x14ac:dyDescent="0.3">
      <c r="A62" s="339">
        <v>4.1399999999999997</v>
      </c>
      <c r="B62" s="352" t="s">
        <v>236</v>
      </c>
      <c r="C62" s="353" t="s">
        <v>277</v>
      </c>
      <c r="D62" s="405" t="s">
        <v>243</v>
      </c>
      <c r="E62" s="631">
        <v>8</v>
      </c>
      <c r="F62" s="618">
        <v>177655</v>
      </c>
      <c r="G62" s="613">
        <f t="shared" si="2"/>
        <v>1421240</v>
      </c>
      <c r="H62" s="630"/>
    </row>
    <row r="63" spans="1:8" s="609" customFormat="1" ht="13.9" customHeight="1" outlineLevel="1" x14ac:dyDescent="0.3">
      <c r="A63" s="325">
        <v>5</v>
      </c>
      <c r="B63" s="326"/>
      <c r="C63" s="276" t="s">
        <v>278</v>
      </c>
      <c r="D63" s="177"/>
      <c r="E63" s="327"/>
      <c r="F63" s="465"/>
      <c r="G63" s="465"/>
      <c r="H63" s="608">
        <f>SUM(G64:G70)</f>
        <v>19239698</v>
      </c>
    </row>
    <row r="64" spans="1:8" s="609" customFormat="1" ht="13.9" customHeight="1" outlineLevel="1" x14ac:dyDescent="0.3">
      <c r="A64" s="331">
        <v>5.01</v>
      </c>
      <c r="B64" s="380" t="s">
        <v>205</v>
      </c>
      <c r="C64" s="333" t="s">
        <v>279</v>
      </c>
      <c r="D64" s="182" t="s">
        <v>211</v>
      </c>
      <c r="E64" s="632">
        <v>136</v>
      </c>
      <c r="F64" s="618">
        <v>6496</v>
      </c>
      <c r="G64" s="613">
        <f t="shared" ref="G64:G70" si="3">+F64*E64</f>
        <v>883456</v>
      </c>
      <c r="H64" s="630"/>
    </row>
    <row r="65" spans="1:8" s="609" customFormat="1" ht="13.9" customHeight="1" outlineLevel="1" x14ac:dyDescent="0.3">
      <c r="A65" s="339">
        <v>5.0199999999999996</v>
      </c>
      <c r="B65" s="350" t="s">
        <v>205</v>
      </c>
      <c r="C65" s="450" t="s">
        <v>280</v>
      </c>
      <c r="D65" s="362" t="s">
        <v>238</v>
      </c>
      <c r="E65" s="363">
        <v>77</v>
      </c>
      <c r="F65" s="617">
        <v>33270</v>
      </c>
      <c r="G65" s="618">
        <f t="shared" si="3"/>
        <v>2561790</v>
      </c>
      <c r="H65" s="630"/>
    </row>
    <row r="66" spans="1:8" s="609" customFormat="1" ht="13.9" customHeight="1" outlineLevel="1" x14ac:dyDescent="0.3">
      <c r="A66" s="339">
        <v>5.03</v>
      </c>
      <c r="B66" s="350" t="s">
        <v>205</v>
      </c>
      <c r="C66" s="341" t="s">
        <v>281</v>
      </c>
      <c r="D66" s="362" t="s">
        <v>238</v>
      </c>
      <c r="E66" s="363">
        <v>107</v>
      </c>
      <c r="F66" s="617">
        <v>6496</v>
      </c>
      <c r="G66" s="613">
        <f t="shared" si="3"/>
        <v>695072</v>
      </c>
      <c r="H66" s="630"/>
    </row>
    <row r="67" spans="1:8" s="609" customFormat="1" ht="13.9" customHeight="1" outlineLevel="1" x14ac:dyDescent="0.3">
      <c r="A67" s="339">
        <v>5.04</v>
      </c>
      <c r="B67" s="350" t="s">
        <v>205</v>
      </c>
      <c r="C67" s="341" t="s">
        <v>282</v>
      </c>
      <c r="D67" s="362" t="s">
        <v>238</v>
      </c>
      <c r="E67" s="363">
        <v>186</v>
      </c>
      <c r="F67" s="617">
        <v>4832</v>
      </c>
      <c r="G67" s="613">
        <f t="shared" si="3"/>
        <v>898752</v>
      </c>
      <c r="H67" s="630"/>
    </row>
    <row r="68" spans="1:8" s="609" customFormat="1" ht="13.9" customHeight="1" outlineLevel="1" x14ac:dyDescent="0.3">
      <c r="A68" s="339">
        <v>5.05</v>
      </c>
      <c r="B68" s="350" t="s">
        <v>205</v>
      </c>
      <c r="C68" s="341" t="s">
        <v>283</v>
      </c>
      <c r="D68" s="362" t="s">
        <v>238</v>
      </c>
      <c r="E68" s="363">
        <v>186</v>
      </c>
      <c r="F68" s="617">
        <v>4134</v>
      </c>
      <c r="G68" s="613">
        <f t="shared" si="3"/>
        <v>768924</v>
      </c>
      <c r="H68" s="630"/>
    </row>
    <row r="69" spans="1:8" s="609" customFormat="1" ht="13.9" customHeight="1" outlineLevel="1" x14ac:dyDescent="0.3">
      <c r="A69" s="339">
        <v>5.0599999999999996</v>
      </c>
      <c r="B69" s="350" t="s">
        <v>205</v>
      </c>
      <c r="C69" s="341" t="s">
        <v>284</v>
      </c>
      <c r="D69" s="392" t="s">
        <v>238</v>
      </c>
      <c r="E69" s="363">
        <v>390</v>
      </c>
      <c r="F69" s="617">
        <v>28187</v>
      </c>
      <c r="G69" s="613">
        <f t="shared" si="3"/>
        <v>10992930</v>
      </c>
      <c r="H69" s="633"/>
    </row>
    <row r="70" spans="1:8" s="609" customFormat="1" ht="13.9" customHeight="1" outlineLevel="1" x14ac:dyDescent="0.3">
      <c r="A70" s="339">
        <v>5.07</v>
      </c>
      <c r="B70" s="350" t="s">
        <v>205</v>
      </c>
      <c r="C70" s="341" t="s">
        <v>285</v>
      </c>
      <c r="D70" s="392" t="s">
        <v>207</v>
      </c>
      <c r="E70" s="363">
        <v>1</v>
      </c>
      <c r="F70" s="617">
        <v>2438774</v>
      </c>
      <c r="G70" s="613">
        <f t="shared" si="3"/>
        <v>2438774</v>
      </c>
      <c r="H70" s="568"/>
    </row>
    <row r="71" spans="1:8" s="609" customFormat="1" ht="13.9" customHeight="1" outlineLevel="1" x14ac:dyDescent="0.3">
      <c r="A71" s="325">
        <v>6</v>
      </c>
      <c r="B71" s="326"/>
      <c r="C71" s="607" t="s">
        <v>286</v>
      </c>
      <c r="D71" s="177"/>
      <c r="E71" s="327"/>
      <c r="F71" s="465"/>
      <c r="G71" s="465"/>
      <c r="H71" s="608">
        <f>SUM(G72:G72)</f>
        <v>1722875</v>
      </c>
    </row>
    <row r="72" spans="1:8" s="609" customFormat="1" ht="13.9" customHeight="1" outlineLevel="1" x14ac:dyDescent="0.3">
      <c r="A72" s="350">
        <v>6.02</v>
      </c>
      <c r="B72" s="350" t="s">
        <v>205</v>
      </c>
      <c r="C72" s="353" t="s">
        <v>287</v>
      </c>
      <c r="D72" s="398" t="s">
        <v>211</v>
      </c>
      <c r="E72" s="354">
        <v>55</v>
      </c>
      <c r="F72" s="613">
        <v>31325</v>
      </c>
      <c r="G72" s="613">
        <f>+F72*E72</f>
        <v>1722875</v>
      </c>
      <c r="H72" s="633"/>
    </row>
    <row r="73" spans="1:8" s="609" customFormat="1" ht="13.9" customHeight="1" outlineLevel="1" x14ac:dyDescent="0.3">
      <c r="A73" s="325">
        <v>7</v>
      </c>
      <c r="B73" s="326"/>
      <c r="C73" s="276" t="s">
        <v>288</v>
      </c>
      <c r="D73" s="177"/>
      <c r="E73" s="327"/>
      <c r="F73" s="465"/>
      <c r="G73" s="465"/>
      <c r="H73" s="608">
        <f>SUM(G74:G79)</f>
        <v>92324467</v>
      </c>
    </row>
    <row r="74" spans="1:8" s="609" customFormat="1" ht="13.9" customHeight="1" outlineLevel="1" x14ac:dyDescent="0.3">
      <c r="A74" s="331">
        <v>7.01</v>
      </c>
      <c r="B74" s="380" t="s">
        <v>205</v>
      </c>
      <c r="C74" s="400" t="s">
        <v>289</v>
      </c>
      <c r="D74" s="182" t="s">
        <v>238</v>
      </c>
      <c r="E74" s="381">
        <v>879</v>
      </c>
      <c r="F74" s="611">
        <v>19943</v>
      </c>
      <c r="G74" s="611">
        <f t="shared" ref="G74:G79" si="4">+F74*E74</f>
        <v>17529897</v>
      </c>
      <c r="H74" s="634"/>
    </row>
    <row r="75" spans="1:8" s="609" customFormat="1" ht="13.9" customHeight="1" outlineLevel="1" x14ac:dyDescent="0.3">
      <c r="A75" s="339">
        <v>7.02</v>
      </c>
      <c r="B75" s="350" t="s">
        <v>205</v>
      </c>
      <c r="C75" s="402" t="s">
        <v>290</v>
      </c>
      <c r="D75" s="362" t="s">
        <v>238</v>
      </c>
      <c r="E75" s="363">
        <v>716</v>
      </c>
      <c r="F75" s="613">
        <v>26767</v>
      </c>
      <c r="G75" s="613">
        <f t="shared" si="4"/>
        <v>19165172</v>
      </c>
      <c r="H75" s="633"/>
    </row>
    <row r="76" spans="1:8" ht="13.9" customHeight="1" x14ac:dyDescent="0.3">
      <c r="A76" s="339">
        <v>7.03</v>
      </c>
      <c r="B76" s="350" t="s">
        <v>205</v>
      </c>
      <c r="C76" s="341" t="s">
        <v>291</v>
      </c>
      <c r="D76" s="362" t="s">
        <v>238</v>
      </c>
      <c r="E76" s="363">
        <v>1439</v>
      </c>
      <c r="F76" s="613">
        <v>22963</v>
      </c>
      <c r="G76" s="613">
        <f t="shared" si="4"/>
        <v>33043757</v>
      </c>
      <c r="H76" s="633"/>
    </row>
    <row r="77" spans="1:8" s="609" customFormat="1" ht="13.9" customHeight="1" outlineLevel="1" x14ac:dyDescent="0.3">
      <c r="A77" s="350">
        <v>7.04</v>
      </c>
      <c r="B77" s="350" t="s">
        <v>205</v>
      </c>
      <c r="C77" s="403" t="s">
        <v>292</v>
      </c>
      <c r="D77" s="362" t="s">
        <v>211</v>
      </c>
      <c r="E77" s="363">
        <v>347</v>
      </c>
      <c r="F77" s="613">
        <v>16909</v>
      </c>
      <c r="G77" s="613">
        <f t="shared" si="4"/>
        <v>5867423</v>
      </c>
      <c r="H77" s="633"/>
    </row>
    <row r="78" spans="1:8" s="609" customFormat="1" ht="13" outlineLevel="1" x14ac:dyDescent="0.3">
      <c r="A78" s="339">
        <v>7.05</v>
      </c>
      <c r="B78" s="350" t="s">
        <v>205</v>
      </c>
      <c r="C78" s="403" t="s">
        <v>293</v>
      </c>
      <c r="D78" s="362" t="s">
        <v>294</v>
      </c>
      <c r="E78" s="363">
        <v>132</v>
      </c>
      <c r="F78" s="613">
        <v>19384</v>
      </c>
      <c r="G78" s="613">
        <f t="shared" si="4"/>
        <v>2558688</v>
      </c>
      <c r="H78" s="633"/>
    </row>
    <row r="79" spans="1:8" s="609" customFormat="1" ht="13.9" customHeight="1" outlineLevel="1" x14ac:dyDescent="0.3">
      <c r="A79" s="350">
        <v>7.06</v>
      </c>
      <c r="B79" s="350" t="s">
        <v>205</v>
      </c>
      <c r="C79" s="341" t="s">
        <v>295</v>
      </c>
      <c r="D79" s="362" t="s">
        <v>238</v>
      </c>
      <c r="E79" s="363">
        <v>710</v>
      </c>
      <c r="F79" s="613">
        <v>19943</v>
      </c>
      <c r="G79" s="613">
        <f t="shared" si="4"/>
        <v>14159530</v>
      </c>
      <c r="H79" s="633"/>
    </row>
    <row r="80" spans="1:8" s="609" customFormat="1" ht="13.9" customHeight="1" outlineLevel="1" x14ac:dyDescent="0.3">
      <c r="A80" s="325">
        <v>8</v>
      </c>
      <c r="B80" s="326"/>
      <c r="C80" s="607" t="s">
        <v>296</v>
      </c>
      <c r="D80" s="177"/>
      <c r="E80" s="327"/>
      <c r="F80" s="465"/>
      <c r="G80" s="465"/>
      <c r="H80" s="608">
        <f>SUM(G81:G88)</f>
        <v>49520833</v>
      </c>
    </row>
    <row r="81" spans="1:8" s="609" customFormat="1" ht="13.9" customHeight="1" outlineLevel="1" x14ac:dyDescent="0.3">
      <c r="A81" s="331">
        <v>8.01</v>
      </c>
      <c r="B81" s="635" t="s">
        <v>236</v>
      </c>
      <c r="C81" s="333" t="s">
        <v>297</v>
      </c>
      <c r="D81" s="182" t="s">
        <v>238</v>
      </c>
      <c r="E81" s="381">
        <v>107</v>
      </c>
      <c r="F81" s="618">
        <v>58580</v>
      </c>
      <c r="G81" s="618">
        <f t="shared" ref="G81:G88" si="5">+F81*E81</f>
        <v>6268060</v>
      </c>
      <c r="H81" s="630"/>
    </row>
    <row r="82" spans="1:8" s="394" customFormat="1" ht="13.9" customHeight="1" outlineLevel="1" x14ac:dyDescent="0.3">
      <c r="A82" s="413">
        <v>8.02</v>
      </c>
      <c r="B82" s="636" t="s">
        <v>236</v>
      </c>
      <c r="C82" s="415" t="s">
        <v>298</v>
      </c>
      <c r="D82" s="637" t="s">
        <v>238</v>
      </c>
      <c r="E82" s="378">
        <v>258</v>
      </c>
      <c r="F82" s="618">
        <v>38729</v>
      </c>
      <c r="G82" s="618">
        <f t="shared" si="5"/>
        <v>9992082</v>
      </c>
      <c r="H82" s="630"/>
    </row>
    <row r="83" spans="1:8" s="394" customFormat="1" ht="13.9" customHeight="1" outlineLevel="1" x14ac:dyDescent="0.3">
      <c r="A83" s="339">
        <v>8.0299999999999994</v>
      </c>
      <c r="B83" s="638" t="s">
        <v>205</v>
      </c>
      <c r="C83" s="341" t="s">
        <v>299</v>
      </c>
      <c r="D83" s="362" t="s">
        <v>238</v>
      </c>
      <c r="E83" s="363">
        <v>425</v>
      </c>
      <c r="F83" s="618">
        <v>22943</v>
      </c>
      <c r="G83" s="618">
        <f t="shared" si="5"/>
        <v>9750775</v>
      </c>
      <c r="H83" s="630"/>
    </row>
    <row r="84" spans="1:8" s="609" customFormat="1" ht="13.9" customHeight="1" x14ac:dyDescent="0.3">
      <c r="A84" s="413">
        <v>8.0399999999999991</v>
      </c>
      <c r="B84" s="638" t="s">
        <v>236</v>
      </c>
      <c r="C84" s="341" t="s">
        <v>300</v>
      </c>
      <c r="D84" s="362" t="s">
        <v>238</v>
      </c>
      <c r="E84" s="363">
        <v>200</v>
      </c>
      <c r="F84" s="618">
        <v>40355</v>
      </c>
      <c r="G84" s="618">
        <f t="shared" si="5"/>
        <v>8071000</v>
      </c>
      <c r="H84" s="630"/>
    </row>
    <row r="85" spans="1:8" s="394" customFormat="1" ht="13.9" customHeight="1" outlineLevel="1" x14ac:dyDescent="0.3">
      <c r="A85" s="339">
        <v>8.0500000000000007</v>
      </c>
      <c r="B85" s="638" t="s">
        <v>236</v>
      </c>
      <c r="C85" s="341" t="s">
        <v>301</v>
      </c>
      <c r="D85" s="362" t="s">
        <v>238</v>
      </c>
      <c r="E85" s="363">
        <v>77</v>
      </c>
      <c r="F85" s="618">
        <v>31515</v>
      </c>
      <c r="G85" s="618">
        <f t="shared" si="5"/>
        <v>2426655</v>
      </c>
      <c r="H85" s="630"/>
    </row>
    <row r="86" spans="1:8" ht="13.9" customHeight="1" x14ac:dyDescent="0.3">
      <c r="A86" s="413">
        <v>8.06</v>
      </c>
      <c r="B86" s="638" t="s">
        <v>236</v>
      </c>
      <c r="C86" s="341" t="s">
        <v>302</v>
      </c>
      <c r="D86" s="362" t="s">
        <v>238</v>
      </c>
      <c r="E86" s="363">
        <v>77</v>
      </c>
      <c r="F86" s="618">
        <v>19683</v>
      </c>
      <c r="G86" s="618">
        <f t="shared" si="5"/>
        <v>1515591</v>
      </c>
      <c r="H86" s="630"/>
    </row>
    <row r="87" spans="1:8" s="609" customFormat="1" ht="13.9" customHeight="1" outlineLevel="1" x14ac:dyDescent="0.3">
      <c r="A87" s="339">
        <v>8.07</v>
      </c>
      <c r="B87" s="638" t="s">
        <v>205</v>
      </c>
      <c r="C87" s="341" t="s">
        <v>303</v>
      </c>
      <c r="D87" s="362" t="s">
        <v>238</v>
      </c>
      <c r="E87" s="363">
        <v>442</v>
      </c>
      <c r="F87" s="618">
        <v>14335</v>
      </c>
      <c r="G87" s="618">
        <f t="shared" si="5"/>
        <v>6336070</v>
      </c>
      <c r="H87" s="630"/>
    </row>
    <row r="88" spans="1:8" s="609" customFormat="1" ht="13.9" customHeight="1" outlineLevel="1" x14ac:dyDescent="0.3">
      <c r="A88" s="413">
        <v>8.08</v>
      </c>
      <c r="B88" s="638" t="s">
        <v>205</v>
      </c>
      <c r="C88" s="341" t="s">
        <v>304</v>
      </c>
      <c r="D88" s="362" t="s">
        <v>238</v>
      </c>
      <c r="E88" s="363">
        <v>360</v>
      </c>
      <c r="F88" s="618">
        <v>14335</v>
      </c>
      <c r="G88" s="618">
        <f t="shared" si="5"/>
        <v>5160600</v>
      </c>
      <c r="H88" s="630"/>
    </row>
    <row r="89" spans="1:8" s="609" customFormat="1" ht="13.9" customHeight="1" outlineLevel="1" x14ac:dyDescent="0.3">
      <c r="A89" s="325">
        <v>9</v>
      </c>
      <c r="B89" s="326"/>
      <c r="C89" s="607" t="s">
        <v>305</v>
      </c>
      <c r="D89" s="177"/>
      <c r="E89" s="327"/>
      <c r="F89" s="465"/>
      <c r="G89" s="465"/>
      <c r="H89" s="608">
        <f>SUM(G90:G92)</f>
        <v>4852846</v>
      </c>
    </row>
    <row r="90" spans="1:8" s="609" customFormat="1" ht="13.9" customHeight="1" outlineLevel="1" x14ac:dyDescent="0.3">
      <c r="A90" s="331">
        <v>9.01</v>
      </c>
      <c r="B90" s="380" t="s">
        <v>205</v>
      </c>
      <c r="C90" s="333" t="s">
        <v>306</v>
      </c>
      <c r="D90" s="639" t="s">
        <v>207</v>
      </c>
      <c r="E90" s="381">
        <v>1</v>
      </c>
      <c r="F90" s="613">
        <v>2109310</v>
      </c>
      <c r="G90" s="613">
        <f>+F90*E90</f>
        <v>2109310</v>
      </c>
      <c r="H90" s="568"/>
    </row>
    <row r="91" spans="1:8" s="609" customFormat="1" ht="13.9" customHeight="1" outlineLevel="1" x14ac:dyDescent="0.3">
      <c r="A91" s="339">
        <v>9.02</v>
      </c>
      <c r="B91" s="350" t="s">
        <v>205</v>
      </c>
      <c r="C91" s="341" t="s">
        <v>307</v>
      </c>
      <c r="D91" s="640" t="s">
        <v>294</v>
      </c>
      <c r="E91" s="363">
        <v>81</v>
      </c>
      <c r="F91" s="613">
        <v>28022</v>
      </c>
      <c r="G91" s="613">
        <f>+F91*E91</f>
        <v>2269782</v>
      </c>
      <c r="H91" s="568"/>
    </row>
    <row r="92" spans="1:8" s="609" customFormat="1" ht="13.9" customHeight="1" outlineLevel="1" x14ac:dyDescent="0.3">
      <c r="A92" s="351">
        <v>9.0299999999999994</v>
      </c>
      <c r="B92" s="352" t="s">
        <v>205</v>
      </c>
      <c r="C92" s="353" t="s">
        <v>308</v>
      </c>
      <c r="D92" s="641" t="s">
        <v>211</v>
      </c>
      <c r="E92" s="379">
        <v>46</v>
      </c>
      <c r="F92" s="613">
        <v>10299</v>
      </c>
      <c r="G92" s="613">
        <f>+F92*E92</f>
        <v>473754</v>
      </c>
      <c r="H92" s="568"/>
    </row>
    <row r="93" spans="1:8" s="609" customFormat="1" ht="13.9" customHeight="1" x14ac:dyDescent="0.3">
      <c r="A93" s="325">
        <v>10</v>
      </c>
      <c r="B93" s="326"/>
      <c r="C93" s="276" t="s">
        <v>309</v>
      </c>
      <c r="D93" s="177"/>
      <c r="E93" s="327"/>
      <c r="F93" s="465"/>
      <c r="G93" s="465"/>
      <c r="H93" s="608">
        <f>SUM(G94:G97)</f>
        <v>4184652</v>
      </c>
    </row>
    <row r="94" spans="1:8" s="609" customFormat="1" ht="13.9" customHeight="1" outlineLevel="1" x14ac:dyDescent="0.3">
      <c r="A94" s="339">
        <v>10.01</v>
      </c>
      <c r="B94" s="340" t="s">
        <v>236</v>
      </c>
      <c r="C94" s="341" t="s">
        <v>310</v>
      </c>
      <c r="D94" s="642" t="s">
        <v>207</v>
      </c>
      <c r="E94" s="342">
        <v>1</v>
      </c>
      <c r="F94" s="613">
        <v>1844532</v>
      </c>
      <c r="G94" s="613">
        <f>+F94*E94</f>
        <v>1844532</v>
      </c>
      <c r="H94" s="643"/>
    </row>
    <row r="95" spans="1:8" s="609" customFormat="1" ht="13.9" customHeight="1" outlineLevel="1" x14ac:dyDescent="0.3">
      <c r="A95" s="339">
        <v>10.02</v>
      </c>
      <c r="B95" s="340" t="s">
        <v>236</v>
      </c>
      <c r="C95" s="341" t="s">
        <v>311</v>
      </c>
      <c r="D95" s="642" t="s">
        <v>207</v>
      </c>
      <c r="E95" s="342">
        <v>1</v>
      </c>
      <c r="F95" s="613">
        <v>1214937</v>
      </c>
      <c r="G95" s="613">
        <f>+F95*E95</f>
        <v>1214937</v>
      </c>
      <c r="H95" s="606"/>
    </row>
    <row r="96" spans="1:8" s="609" customFormat="1" ht="13.9" customHeight="1" outlineLevel="1" x14ac:dyDescent="0.3">
      <c r="A96" s="339">
        <v>10.029999999999999</v>
      </c>
      <c r="B96" s="340" t="s">
        <v>236</v>
      </c>
      <c r="C96" s="341" t="s">
        <v>312</v>
      </c>
      <c r="D96" s="642" t="s">
        <v>207</v>
      </c>
      <c r="E96" s="342">
        <v>1</v>
      </c>
      <c r="F96" s="613">
        <v>539833</v>
      </c>
      <c r="G96" s="613">
        <f>+F96*E96</f>
        <v>539833</v>
      </c>
      <c r="H96" s="606"/>
    </row>
    <row r="97" spans="1:8" s="609" customFormat="1" ht="13.9" customHeight="1" outlineLevel="1" x14ac:dyDescent="0.3">
      <c r="A97" s="339">
        <v>10.039999999999999</v>
      </c>
      <c r="B97" s="350" t="s">
        <v>236</v>
      </c>
      <c r="C97" s="341" t="s">
        <v>313</v>
      </c>
      <c r="D97" s="362" t="s">
        <v>243</v>
      </c>
      <c r="E97" s="363">
        <v>10</v>
      </c>
      <c r="F97" s="613">
        <v>58535</v>
      </c>
      <c r="G97" s="613">
        <f>+F97*E97</f>
        <v>585350</v>
      </c>
      <c r="H97" s="630"/>
    </row>
    <row r="98" spans="1:8" s="609" customFormat="1" ht="13.9" customHeight="1" outlineLevel="1" x14ac:dyDescent="0.3">
      <c r="A98" s="325">
        <v>11</v>
      </c>
      <c r="B98" s="326"/>
      <c r="C98" s="607" t="s">
        <v>314</v>
      </c>
      <c r="D98" s="177"/>
      <c r="E98" s="327"/>
      <c r="F98" s="465"/>
      <c r="G98" s="465"/>
      <c r="H98" s="608">
        <f>SUM(G99:G109)</f>
        <v>31170783</v>
      </c>
    </row>
    <row r="99" spans="1:8" s="609" customFormat="1" ht="13.9" customHeight="1" outlineLevel="1" x14ac:dyDescent="0.3">
      <c r="A99" s="331">
        <v>11.01</v>
      </c>
      <c r="B99" s="380" t="s">
        <v>205</v>
      </c>
      <c r="C99" s="333" t="s">
        <v>315</v>
      </c>
      <c r="D99" s="639" t="s">
        <v>238</v>
      </c>
      <c r="E99" s="381">
        <v>0</v>
      </c>
      <c r="F99" s="613">
        <v>0</v>
      </c>
      <c r="G99" s="613">
        <f t="shared" ref="G99:G109" si="6">+F99*E99</f>
        <v>0</v>
      </c>
      <c r="H99" s="633"/>
    </row>
    <row r="100" spans="1:8" s="609" customFormat="1" ht="13.9" customHeight="1" outlineLevel="1" x14ac:dyDescent="0.3">
      <c r="A100" s="339">
        <v>11.02</v>
      </c>
      <c r="B100" s="350" t="s">
        <v>205</v>
      </c>
      <c r="C100" s="341" t="s">
        <v>316</v>
      </c>
      <c r="D100" s="640" t="s">
        <v>238</v>
      </c>
      <c r="E100" s="363">
        <v>39</v>
      </c>
      <c r="F100" s="613">
        <v>19280</v>
      </c>
      <c r="G100" s="613">
        <f t="shared" si="6"/>
        <v>751920</v>
      </c>
      <c r="H100" s="568"/>
    </row>
    <row r="101" spans="1:8" s="609" customFormat="1" ht="13.9" customHeight="1" outlineLevel="1" x14ac:dyDescent="0.3">
      <c r="A101" s="339">
        <v>11.03</v>
      </c>
      <c r="B101" s="350" t="s">
        <v>205</v>
      </c>
      <c r="C101" s="341" t="s">
        <v>317</v>
      </c>
      <c r="D101" s="640" t="s">
        <v>238</v>
      </c>
      <c r="E101" s="363">
        <v>48</v>
      </c>
      <c r="F101" s="613">
        <v>25362</v>
      </c>
      <c r="G101" s="613">
        <f t="shared" si="6"/>
        <v>1217376</v>
      </c>
      <c r="H101" s="568"/>
    </row>
    <row r="102" spans="1:8" s="609" customFormat="1" ht="13.9" customHeight="1" x14ac:dyDescent="0.3">
      <c r="A102" s="339">
        <v>11.04</v>
      </c>
      <c r="B102" s="350" t="s">
        <v>205</v>
      </c>
      <c r="C102" s="341" t="s">
        <v>318</v>
      </c>
      <c r="D102" s="362" t="s">
        <v>238</v>
      </c>
      <c r="E102" s="363">
        <v>174</v>
      </c>
      <c r="F102" s="613">
        <v>19164</v>
      </c>
      <c r="G102" s="613">
        <f t="shared" si="6"/>
        <v>3334536</v>
      </c>
      <c r="H102" s="630"/>
    </row>
    <row r="103" spans="1:8" ht="13.9" customHeight="1" outlineLevel="1" x14ac:dyDescent="0.3">
      <c r="A103" s="339">
        <v>11.05</v>
      </c>
      <c r="B103" s="350" t="s">
        <v>205</v>
      </c>
      <c r="C103" s="341" t="s">
        <v>319</v>
      </c>
      <c r="D103" s="640" t="s">
        <v>238</v>
      </c>
      <c r="E103" s="363">
        <v>92</v>
      </c>
      <c r="F103" s="613">
        <v>19164</v>
      </c>
      <c r="G103" s="613">
        <f t="shared" si="6"/>
        <v>1763088</v>
      </c>
      <c r="H103" s="633"/>
    </row>
    <row r="104" spans="1:8" ht="13.9" customHeight="1" outlineLevel="1" x14ac:dyDescent="0.3">
      <c r="A104" s="339">
        <v>11.06</v>
      </c>
      <c r="B104" s="350" t="s">
        <v>205</v>
      </c>
      <c r="C104" s="341" t="s">
        <v>320</v>
      </c>
      <c r="D104" s="362" t="s">
        <v>238</v>
      </c>
      <c r="E104" s="363">
        <v>8</v>
      </c>
      <c r="F104" s="613">
        <v>14043</v>
      </c>
      <c r="G104" s="613">
        <f t="shared" si="6"/>
        <v>112344</v>
      </c>
      <c r="H104" s="630"/>
    </row>
    <row r="105" spans="1:8" ht="13.9" customHeight="1" outlineLevel="1" x14ac:dyDescent="0.3">
      <c r="A105" s="339">
        <v>11.07</v>
      </c>
      <c r="B105" s="350" t="s">
        <v>205</v>
      </c>
      <c r="C105" s="341" t="s">
        <v>321</v>
      </c>
      <c r="D105" s="640" t="s">
        <v>238</v>
      </c>
      <c r="E105" s="363">
        <v>46</v>
      </c>
      <c r="F105" s="613">
        <v>26630</v>
      </c>
      <c r="G105" s="613">
        <f t="shared" si="6"/>
        <v>1224980</v>
      </c>
      <c r="H105" s="568"/>
    </row>
    <row r="106" spans="1:8" ht="13.9" customHeight="1" x14ac:dyDescent="0.3">
      <c r="A106" s="339">
        <v>11.08</v>
      </c>
      <c r="B106" s="350" t="s">
        <v>205</v>
      </c>
      <c r="C106" s="341" t="s">
        <v>322</v>
      </c>
      <c r="D106" s="640" t="s">
        <v>238</v>
      </c>
      <c r="E106" s="363">
        <v>562</v>
      </c>
      <c r="F106" s="613">
        <v>25362</v>
      </c>
      <c r="G106" s="613">
        <f t="shared" si="6"/>
        <v>14253444</v>
      </c>
      <c r="H106" s="568"/>
    </row>
    <row r="107" spans="1:8" ht="13.9" customHeight="1" outlineLevel="1" x14ac:dyDescent="0.3">
      <c r="A107" s="339">
        <v>11.09</v>
      </c>
      <c r="B107" s="375" t="s">
        <v>205</v>
      </c>
      <c r="C107" s="341" t="s">
        <v>323</v>
      </c>
      <c r="D107" s="644" t="s">
        <v>238</v>
      </c>
      <c r="E107" s="378">
        <v>73</v>
      </c>
      <c r="F107" s="613">
        <v>30109</v>
      </c>
      <c r="G107" s="613">
        <f t="shared" si="6"/>
        <v>2197957</v>
      </c>
      <c r="H107" s="568"/>
    </row>
    <row r="108" spans="1:8" ht="13.9" customHeight="1" outlineLevel="1" x14ac:dyDescent="0.3">
      <c r="A108" s="339">
        <v>11.1</v>
      </c>
      <c r="B108" s="375" t="s">
        <v>205</v>
      </c>
      <c r="C108" s="341" t="s">
        <v>324</v>
      </c>
      <c r="D108" s="644" t="s">
        <v>238</v>
      </c>
      <c r="E108" s="378">
        <v>143</v>
      </c>
      <c r="F108" s="613">
        <v>25362</v>
      </c>
      <c r="G108" s="613">
        <f t="shared" si="6"/>
        <v>3626766</v>
      </c>
      <c r="H108" s="568"/>
    </row>
    <row r="109" spans="1:8" ht="13.9" customHeight="1" outlineLevel="1" x14ac:dyDescent="0.3">
      <c r="A109" s="339">
        <v>11.11</v>
      </c>
      <c r="B109" s="352" t="s">
        <v>205</v>
      </c>
      <c r="C109" s="341" t="s">
        <v>325</v>
      </c>
      <c r="D109" s="641" t="s">
        <v>238</v>
      </c>
      <c r="E109" s="379">
        <v>106</v>
      </c>
      <c r="F109" s="613">
        <v>25362</v>
      </c>
      <c r="G109" s="613">
        <f t="shared" si="6"/>
        <v>2688372</v>
      </c>
      <c r="H109" s="568"/>
    </row>
    <row r="110" spans="1:8" s="609" customFormat="1" ht="13.9" customHeight="1" outlineLevel="1" x14ac:dyDescent="0.3">
      <c r="A110" s="325">
        <v>12</v>
      </c>
      <c r="B110" s="326"/>
      <c r="C110" s="607" t="s">
        <v>326</v>
      </c>
      <c r="D110" s="177"/>
      <c r="E110" s="327"/>
      <c r="F110" s="465"/>
      <c r="G110" s="465"/>
      <c r="H110" s="608">
        <f>SUM(G111:G113)</f>
        <v>8990052</v>
      </c>
    </row>
    <row r="111" spans="1:8" s="609" customFormat="1" ht="13.9" customHeight="1" x14ac:dyDescent="0.3">
      <c r="A111" s="331">
        <f>+A110+0.01</f>
        <v>12.01</v>
      </c>
      <c r="B111" s="380" t="s">
        <v>205</v>
      </c>
      <c r="C111" s="333" t="s">
        <v>327</v>
      </c>
      <c r="D111" s="639" t="s">
        <v>211</v>
      </c>
      <c r="E111" s="381">
        <v>19</v>
      </c>
      <c r="F111" s="613">
        <v>6496</v>
      </c>
      <c r="G111" s="613">
        <f>+F111*E111</f>
        <v>123424</v>
      </c>
      <c r="H111" s="606"/>
    </row>
    <row r="112" spans="1:8" ht="13.9" customHeight="1" outlineLevel="1" x14ac:dyDescent="0.3">
      <c r="A112" s="413">
        <v>12.02</v>
      </c>
      <c r="B112" s="414" t="s">
        <v>205</v>
      </c>
      <c r="C112" s="341" t="s">
        <v>328</v>
      </c>
      <c r="D112" s="645" t="s">
        <v>211</v>
      </c>
      <c r="E112" s="363">
        <v>626</v>
      </c>
      <c r="F112" s="613">
        <v>9059</v>
      </c>
      <c r="G112" s="613">
        <f>+F112*E112</f>
        <v>5670934</v>
      </c>
    </row>
    <row r="113" spans="1:8" ht="13.9" customHeight="1" outlineLevel="1" x14ac:dyDescent="0.3">
      <c r="A113" s="413">
        <v>12.03</v>
      </c>
      <c r="B113" s="414" t="s">
        <v>205</v>
      </c>
      <c r="C113" s="415" t="s">
        <v>329</v>
      </c>
      <c r="D113" s="645" t="s">
        <v>211</v>
      </c>
      <c r="E113" s="379">
        <v>386</v>
      </c>
      <c r="F113" s="613">
        <v>8279</v>
      </c>
      <c r="G113" s="613">
        <f>+F113*E113</f>
        <v>3195694</v>
      </c>
    </row>
    <row r="114" spans="1:8" ht="13.9" customHeight="1" outlineLevel="1" x14ac:dyDescent="0.3">
      <c r="A114" s="325">
        <v>13</v>
      </c>
      <c r="B114" s="326"/>
      <c r="C114" s="607" t="s">
        <v>330</v>
      </c>
      <c r="D114" s="177"/>
      <c r="E114" s="327"/>
      <c r="F114" s="465"/>
      <c r="G114" s="465"/>
      <c r="H114" s="608">
        <f>SUM(G115:G118)</f>
        <v>14836279</v>
      </c>
    </row>
    <row r="115" spans="1:8" s="609" customFormat="1" ht="13.9" customHeight="1" outlineLevel="1" x14ac:dyDescent="0.3">
      <c r="A115" s="380">
        <v>13.01</v>
      </c>
      <c r="B115" s="380" t="s">
        <v>205</v>
      </c>
      <c r="C115" s="646" t="s">
        <v>331</v>
      </c>
      <c r="D115" s="647" t="s">
        <v>238</v>
      </c>
      <c r="E115" s="332">
        <v>413</v>
      </c>
      <c r="F115" s="613">
        <v>30109</v>
      </c>
      <c r="G115" s="613">
        <f>+F115*E115</f>
        <v>12435017</v>
      </c>
      <c r="H115" s="606"/>
    </row>
    <row r="116" spans="1:8" ht="13.9" customHeight="1" outlineLevel="1" x14ac:dyDescent="0.3">
      <c r="A116" s="414">
        <v>13.02</v>
      </c>
      <c r="B116" s="414" t="s">
        <v>205</v>
      </c>
      <c r="C116" s="430" t="s">
        <v>332</v>
      </c>
      <c r="D116" s="648" t="s">
        <v>238</v>
      </c>
      <c r="E116" s="484">
        <v>18</v>
      </c>
      <c r="F116" s="613">
        <v>30109</v>
      </c>
      <c r="G116" s="613">
        <f>+F116*E116</f>
        <v>541962</v>
      </c>
    </row>
    <row r="117" spans="1:8" s="609" customFormat="1" ht="13.9" customHeight="1" outlineLevel="1" x14ac:dyDescent="0.3">
      <c r="A117" s="350">
        <v>13.03</v>
      </c>
      <c r="B117" s="350" t="s">
        <v>205</v>
      </c>
      <c r="C117" s="430" t="s">
        <v>333</v>
      </c>
      <c r="D117" s="640" t="s">
        <v>238</v>
      </c>
      <c r="E117" s="363">
        <v>20</v>
      </c>
      <c r="F117" s="613">
        <v>92965</v>
      </c>
      <c r="G117" s="613">
        <f>+F117*E117</f>
        <v>1859300</v>
      </c>
      <c r="H117" s="568"/>
    </row>
    <row r="118" spans="1:8" ht="13.9" customHeight="1" outlineLevel="1" x14ac:dyDescent="0.3">
      <c r="A118" s="350">
        <v>13.04</v>
      </c>
      <c r="B118" s="350" t="s">
        <v>205</v>
      </c>
      <c r="C118" s="341" t="s">
        <v>334</v>
      </c>
      <c r="D118" s="640" t="s">
        <v>238</v>
      </c>
      <c r="E118" s="363">
        <v>0</v>
      </c>
      <c r="F118" s="613">
        <v>0</v>
      </c>
      <c r="G118" s="613">
        <f>+F118*E118</f>
        <v>0</v>
      </c>
      <c r="H118" s="568"/>
    </row>
    <row r="119" spans="1:8" ht="13.9" customHeight="1" outlineLevel="1" x14ac:dyDescent="0.3">
      <c r="A119" s="325">
        <v>14</v>
      </c>
      <c r="B119" s="326"/>
      <c r="C119" s="607" t="s">
        <v>335</v>
      </c>
      <c r="D119" s="177"/>
      <c r="E119" s="327"/>
      <c r="F119" s="465"/>
      <c r="G119" s="465"/>
      <c r="H119" s="608">
        <f>SUM(G120:G126)</f>
        <v>33813897</v>
      </c>
    </row>
    <row r="120" spans="1:8" ht="13.9" customHeight="1" outlineLevel="1" x14ac:dyDescent="0.3">
      <c r="A120" s="331">
        <f>+A119+0.01</f>
        <v>14.01</v>
      </c>
      <c r="B120" s="380" t="s">
        <v>205</v>
      </c>
      <c r="C120" s="333" t="s">
        <v>336</v>
      </c>
      <c r="D120" s="647" t="s">
        <v>238</v>
      </c>
      <c r="E120" s="332">
        <v>460</v>
      </c>
      <c r="F120" s="613">
        <v>23624</v>
      </c>
      <c r="G120" s="613">
        <f t="shared" ref="G120:G126" si="7">+F120*E120</f>
        <v>10867040</v>
      </c>
    </row>
    <row r="121" spans="1:8" ht="13.9" customHeight="1" outlineLevel="1" x14ac:dyDescent="0.3">
      <c r="A121" s="413">
        <v>14.02</v>
      </c>
      <c r="B121" s="414" t="s">
        <v>205</v>
      </c>
      <c r="C121" s="415" t="s">
        <v>337</v>
      </c>
      <c r="D121" s="648" t="s">
        <v>211</v>
      </c>
      <c r="E121" s="484">
        <v>434</v>
      </c>
      <c r="F121" s="613">
        <v>16659</v>
      </c>
      <c r="G121" s="613">
        <f t="shared" si="7"/>
        <v>7230006</v>
      </c>
    </row>
    <row r="122" spans="1:8" ht="13.9" customHeight="1" outlineLevel="1" x14ac:dyDescent="0.3">
      <c r="A122" s="339">
        <v>14.03</v>
      </c>
      <c r="B122" s="350" t="s">
        <v>205</v>
      </c>
      <c r="C122" s="341" t="s">
        <v>338</v>
      </c>
      <c r="D122" s="642" t="s">
        <v>238</v>
      </c>
      <c r="E122" s="342">
        <v>115</v>
      </c>
      <c r="F122" s="613">
        <v>35817</v>
      </c>
      <c r="G122" s="613">
        <f t="shared" si="7"/>
        <v>4118955</v>
      </c>
    </row>
    <row r="123" spans="1:8" s="609" customFormat="1" ht="13.9" customHeight="1" x14ac:dyDescent="0.3">
      <c r="A123" s="413">
        <v>14.04</v>
      </c>
      <c r="B123" s="350" t="s">
        <v>205</v>
      </c>
      <c r="C123" s="341" t="s">
        <v>339</v>
      </c>
      <c r="D123" s="642" t="s">
        <v>238</v>
      </c>
      <c r="E123" s="342">
        <v>89</v>
      </c>
      <c r="F123" s="613">
        <v>41132</v>
      </c>
      <c r="G123" s="613">
        <f t="shared" si="7"/>
        <v>3660748</v>
      </c>
      <c r="H123" s="606"/>
    </row>
    <row r="124" spans="1:8" ht="13.9" customHeight="1" outlineLevel="1" x14ac:dyDescent="0.3">
      <c r="A124" s="339">
        <v>14.05</v>
      </c>
      <c r="B124" s="350" t="s">
        <v>205</v>
      </c>
      <c r="C124" s="341" t="s">
        <v>340</v>
      </c>
      <c r="D124" s="642" t="s">
        <v>211</v>
      </c>
      <c r="E124" s="342">
        <v>530</v>
      </c>
      <c r="F124" s="613">
        <v>9274</v>
      </c>
      <c r="G124" s="613">
        <f t="shared" si="7"/>
        <v>4915220</v>
      </c>
    </row>
    <row r="125" spans="1:8" ht="13.9" customHeight="1" outlineLevel="1" x14ac:dyDescent="0.3">
      <c r="A125" s="413">
        <v>14.06</v>
      </c>
      <c r="B125" s="350" t="s">
        <v>205</v>
      </c>
      <c r="C125" s="341" t="s">
        <v>341</v>
      </c>
      <c r="D125" s="642" t="s">
        <v>211</v>
      </c>
      <c r="E125" s="342">
        <v>56</v>
      </c>
      <c r="F125" s="613">
        <v>9274</v>
      </c>
      <c r="G125" s="613">
        <f t="shared" si="7"/>
        <v>519344</v>
      </c>
    </row>
    <row r="126" spans="1:8" ht="13.9" customHeight="1" outlineLevel="1" x14ac:dyDescent="0.3">
      <c r="A126" s="339">
        <v>14.07</v>
      </c>
      <c r="B126" s="350" t="s">
        <v>205</v>
      </c>
      <c r="C126" s="341" t="s">
        <v>342</v>
      </c>
      <c r="D126" s="642" t="s">
        <v>238</v>
      </c>
      <c r="E126" s="342">
        <v>469</v>
      </c>
      <c r="F126" s="613">
        <v>5336</v>
      </c>
      <c r="G126" s="613">
        <f t="shared" si="7"/>
        <v>2502584</v>
      </c>
    </row>
    <row r="127" spans="1:8" s="609" customFormat="1" ht="13.9" customHeight="1" x14ac:dyDescent="0.3">
      <c r="A127" s="325">
        <v>15</v>
      </c>
      <c r="B127" s="326"/>
      <c r="C127" s="607" t="s">
        <v>343</v>
      </c>
      <c r="D127" s="177"/>
      <c r="E127" s="327"/>
      <c r="F127" s="465"/>
      <c r="G127" s="465"/>
      <c r="H127" s="608">
        <f>SUM(G128:G139)</f>
        <v>81675029</v>
      </c>
    </row>
    <row r="128" spans="1:8" ht="13.9" customHeight="1" outlineLevel="1" x14ac:dyDescent="0.3">
      <c r="A128" s="380">
        <v>15.01</v>
      </c>
      <c r="B128" s="380" t="s">
        <v>205</v>
      </c>
      <c r="C128" s="646" t="s">
        <v>344</v>
      </c>
      <c r="D128" s="183" t="s">
        <v>238</v>
      </c>
      <c r="E128" s="131">
        <v>739</v>
      </c>
      <c r="F128" s="613">
        <v>22075</v>
      </c>
      <c r="G128" s="613">
        <f t="shared" ref="G128:G139" si="8">+F128*E128</f>
        <v>16313425</v>
      </c>
      <c r="H128" s="568"/>
    </row>
    <row r="129" spans="1:8" ht="13.9" customHeight="1" outlineLevel="1" x14ac:dyDescent="0.3">
      <c r="A129" s="350">
        <v>15.02</v>
      </c>
      <c r="B129" s="350" t="s">
        <v>205</v>
      </c>
      <c r="C129" s="341" t="s">
        <v>345</v>
      </c>
      <c r="D129" s="640" t="s">
        <v>238</v>
      </c>
      <c r="E129" s="125">
        <v>1439</v>
      </c>
      <c r="F129" s="613">
        <v>8883</v>
      </c>
      <c r="G129" s="613">
        <f t="shared" si="8"/>
        <v>12782637</v>
      </c>
      <c r="H129" s="568"/>
    </row>
    <row r="130" spans="1:8" ht="13.9" customHeight="1" outlineLevel="1" x14ac:dyDescent="0.3">
      <c r="A130" s="350">
        <v>15.03</v>
      </c>
      <c r="B130" s="350" t="s">
        <v>205</v>
      </c>
      <c r="C130" s="341" t="s">
        <v>346</v>
      </c>
      <c r="D130" s="640" t="s">
        <v>238</v>
      </c>
      <c r="E130" s="125">
        <v>462</v>
      </c>
      <c r="F130" s="613">
        <v>14295</v>
      </c>
      <c r="G130" s="613">
        <f t="shared" si="8"/>
        <v>6604290</v>
      </c>
      <c r="H130" s="568"/>
    </row>
    <row r="131" spans="1:8" ht="13.9" customHeight="1" outlineLevel="1" x14ac:dyDescent="0.3">
      <c r="A131" s="350">
        <v>15.04</v>
      </c>
      <c r="B131" s="350" t="s">
        <v>205</v>
      </c>
      <c r="C131" s="341" t="s">
        <v>347</v>
      </c>
      <c r="D131" s="640" t="s">
        <v>238</v>
      </c>
      <c r="E131" s="125">
        <v>144</v>
      </c>
      <c r="F131" s="613">
        <v>7538</v>
      </c>
      <c r="G131" s="613">
        <f t="shared" si="8"/>
        <v>1085472</v>
      </c>
      <c r="H131" s="568"/>
    </row>
    <row r="132" spans="1:8" s="609" customFormat="1" ht="13.9" customHeight="1" x14ac:dyDescent="0.3">
      <c r="A132" s="350">
        <v>15.05</v>
      </c>
      <c r="B132" s="350" t="s">
        <v>205</v>
      </c>
      <c r="C132" s="341" t="s">
        <v>348</v>
      </c>
      <c r="D132" s="640" t="s">
        <v>238</v>
      </c>
      <c r="E132" s="125">
        <v>460</v>
      </c>
      <c r="F132" s="613">
        <v>8883</v>
      </c>
      <c r="G132" s="613">
        <f t="shared" si="8"/>
        <v>4086180</v>
      </c>
      <c r="H132" s="568"/>
    </row>
    <row r="133" spans="1:8" ht="13.9" customHeight="1" outlineLevel="1" x14ac:dyDescent="0.3">
      <c r="A133" s="350">
        <v>15.06</v>
      </c>
      <c r="B133" s="350" t="s">
        <v>205</v>
      </c>
      <c r="C133" s="341" t="s">
        <v>349</v>
      </c>
      <c r="D133" s="640" t="s">
        <v>238</v>
      </c>
      <c r="E133" s="125">
        <v>204</v>
      </c>
      <c r="F133" s="613">
        <v>15750</v>
      </c>
      <c r="G133" s="613">
        <f t="shared" si="8"/>
        <v>3213000</v>
      </c>
      <c r="H133" s="568"/>
    </row>
    <row r="134" spans="1:8" ht="13.9" customHeight="1" outlineLevel="1" x14ac:dyDescent="0.3">
      <c r="A134" s="350">
        <v>15.07</v>
      </c>
      <c r="B134" s="350" t="s">
        <v>236</v>
      </c>
      <c r="C134" s="341" t="s">
        <v>350</v>
      </c>
      <c r="D134" s="180" t="s">
        <v>238</v>
      </c>
      <c r="E134" s="125">
        <v>262</v>
      </c>
      <c r="F134" s="613">
        <v>17154</v>
      </c>
      <c r="G134" s="613">
        <f t="shared" si="8"/>
        <v>4494348</v>
      </c>
      <c r="H134" s="568"/>
    </row>
    <row r="135" spans="1:8" ht="13.9" customHeight="1" outlineLevel="1" x14ac:dyDescent="0.3">
      <c r="A135" s="350">
        <v>15.08</v>
      </c>
      <c r="B135" s="350" t="s">
        <v>236</v>
      </c>
      <c r="C135" s="341" t="s">
        <v>351</v>
      </c>
      <c r="D135" s="640" t="s">
        <v>238</v>
      </c>
      <c r="E135" s="363">
        <v>756</v>
      </c>
      <c r="F135" s="613">
        <v>26534</v>
      </c>
      <c r="G135" s="613">
        <f t="shared" si="8"/>
        <v>20059704</v>
      </c>
      <c r="H135" s="568"/>
    </row>
    <row r="136" spans="1:8" ht="13.9" customHeight="1" outlineLevel="1" x14ac:dyDescent="0.3">
      <c r="A136" s="350">
        <v>15.09</v>
      </c>
      <c r="B136" s="350" t="s">
        <v>236</v>
      </c>
      <c r="C136" s="341" t="s">
        <v>352</v>
      </c>
      <c r="D136" s="640" t="s">
        <v>238</v>
      </c>
      <c r="E136" s="363">
        <v>56</v>
      </c>
      <c r="F136" s="613">
        <v>31737</v>
      </c>
      <c r="G136" s="613">
        <f t="shared" si="8"/>
        <v>1777272</v>
      </c>
      <c r="H136" s="568"/>
    </row>
    <row r="137" spans="1:8" ht="13.9" customHeight="1" outlineLevel="1" x14ac:dyDescent="0.3">
      <c r="A137" s="350">
        <v>15.1</v>
      </c>
      <c r="B137" s="350" t="s">
        <v>236</v>
      </c>
      <c r="C137" s="341" t="s">
        <v>353</v>
      </c>
      <c r="D137" s="640" t="s">
        <v>207</v>
      </c>
      <c r="E137" s="363">
        <v>1</v>
      </c>
      <c r="F137" s="613">
        <v>885031</v>
      </c>
      <c r="G137" s="613">
        <f t="shared" si="8"/>
        <v>885031</v>
      </c>
    </row>
    <row r="138" spans="1:8" ht="13.9" customHeight="1" outlineLevel="1" x14ac:dyDescent="0.3">
      <c r="A138" s="350">
        <v>15.11</v>
      </c>
      <c r="B138" s="350" t="s">
        <v>205</v>
      </c>
      <c r="C138" s="341" t="s">
        <v>354</v>
      </c>
      <c r="D138" s="640" t="s">
        <v>294</v>
      </c>
      <c r="E138" s="363">
        <v>73</v>
      </c>
      <c r="F138" s="613">
        <v>83386</v>
      </c>
      <c r="G138" s="613">
        <f t="shared" si="8"/>
        <v>6087178</v>
      </c>
    </row>
    <row r="139" spans="1:8" ht="13.9" customHeight="1" outlineLevel="1" x14ac:dyDescent="0.3">
      <c r="A139" s="350">
        <v>15.12</v>
      </c>
      <c r="B139" s="352" t="s">
        <v>205</v>
      </c>
      <c r="C139" s="434" t="s">
        <v>355</v>
      </c>
      <c r="D139" s="641" t="s">
        <v>207</v>
      </c>
      <c r="E139" s="379">
        <v>1</v>
      </c>
      <c r="F139" s="613">
        <v>4286492</v>
      </c>
      <c r="G139" s="613">
        <f t="shared" si="8"/>
        <v>4286492</v>
      </c>
    </row>
    <row r="140" spans="1:8" s="609" customFormat="1" ht="13.9" customHeight="1" x14ac:dyDescent="0.3">
      <c r="A140" s="325">
        <v>16</v>
      </c>
      <c r="B140" s="326"/>
      <c r="C140" s="436" t="s">
        <v>356</v>
      </c>
      <c r="D140" s="177"/>
      <c r="E140" s="327"/>
      <c r="F140" s="465"/>
      <c r="G140" s="465"/>
      <c r="H140" s="608">
        <f>SUM(G141:G141)</f>
        <v>0</v>
      </c>
    </row>
    <row r="141" spans="1:8" s="609" customFormat="1" ht="13.9" customHeight="1" outlineLevel="1" x14ac:dyDescent="0.3">
      <c r="A141" s="331"/>
      <c r="B141" s="380"/>
      <c r="C141" s="333"/>
      <c r="D141" s="182"/>
      <c r="E141" s="381"/>
      <c r="F141" s="617">
        <v>0</v>
      </c>
      <c r="G141" s="618">
        <f>+F141*E141</f>
        <v>0</v>
      </c>
      <c r="H141" s="633"/>
    </row>
    <row r="142" spans="1:8" s="609" customFormat="1" ht="13.9" customHeight="1" outlineLevel="1" x14ac:dyDescent="0.3">
      <c r="A142" s="325">
        <v>17</v>
      </c>
      <c r="B142" s="326"/>
      <c r="C142" s="607" t="s">
        <v>357</v>
      </c>
      <c r="D142" s="177"/>
      <c r="E142" s="327"/>
      <c r="F142" s="465"/>
      <c r="G142" s="465"/>
      <c r="H142" s="608">
        <f>SUM(G143:G146)</f>
        <v>9415299</v>
      </c>
    </row>
    <row r="143" spans="1:8" s="609" customFormat="1" ht="13.9" customHeight="1" outlineLevel="1" x14ac:dyDescent="0.3">
      <c r="A143" s="331">
        <f>+A142+0.01</f>
        <v>17.010000000000002</v>
      </c>
      <c r="B143" s="380" t="s">
        <v>205</v>
      </c>
      <c r="C143" s="437" t="s">
        <v>358</v>
      </c>
      <c r="D143" s="649" t="s">
        <v>243</v>
      </c>
      <c r="E143" s="381">
        <v>57</v>
      </c>
      <c r="F143" s="611">
        <v>79321</v>
      </c>
      <c r="G143" s="611">
        <f>+F143*E143</f>
        <v>4521297</v>
      </c>
      <c r="H143" s="630"/>
    </row>
    <row r="144" spans="1:8" s="609" customFormat="1" ht="13.9" customHeight="1" outlineLevel="1" x14ac:dyDescent="0.3">
      <c r="A144" s="339">
        <v>17.02</v>
      </c>
      <c r="B144" s="350" t="s">
        <v>205</v>
      </c>
      <c r="C144" s="440" t="s">
        <v>359</v>
      </c>
      <c r="D144" s="650" t="s">
        <v>243</v>
      </c>
      <c r="E144" s="363">
        <v>11</v>
      </c>
      <c r="F144" s="613">
        <v>79321</v>
      </c>
      <c r="G144" s="613">
        <f>+F144*E144</f>
        <v>872531</v>
      </c>
      <c r="H144" s="630"/>
    </row>
    <row r="145" spans="1:8" s="609" customFormat="1" ht="13.9" customHeight="1" outlineLevel="1" x14ac:dyDescent="0.3">
      <c r="A145" s="339">
        <v>17.03</v>
      </c>
      <c r="B145" s="350" t="s">
        <v>205</v>
      </c>
      <c r="C145" s="440" t="s">
        <v>360</v>
      </c>
      <c r="D145" s="650" t="s">
        <v>243</v>
      </c>
      <c r="E145" s="363">
        <v>65</v>
      </c>
      <c r="F145" s="613">
        <v>51161</v>
      </c>
      <c r="G145" s="613">
        <f>+F145*E145</f>
        <v>3325465</v>
      </c>
      <c r="H145" s="630"/>
    </row>
    <row r="146" spans="1:8" s="609" customFormat="1" ht="13.9" customHeight="1" outlineLevel="1" x14ac:dyDescent="0.3">
      <c r="A146" s="352">
        <v>17.04</v>
      </c>
      <c r="B146" s="352" t="s">
        <v>205</v>
      </c>
      <c r="C146" s="353" t="s">
        <v>361</v>
      </c>
      <c r="D146" s="405" t="s">
        <v>243</v>
      </c>
      <c r="E146" s="379">
        <v>6</v>
      </c>
      <c r="F146" s="616">
        <v>116001</v>
      </c>
      <c r="G146" s="616">
        <f>+F146*E146</f>
        <v>696006</v>
      </c>
      <c r="H146" s="630"/>
    </row>
    <row r="147" spans="1:8" ht="13.9" customHeight="1" outlineLevel="1" x14ac:dyDescent="0.3">
      <c r="A147" s="325">
        <v>18</v>
      </c>
      <c r="B147" s="326"/>
      <c r="C147" s="276" t="s">
        <v>367</v>
      </c>
      <c r="D147" s="177"/>
      <c r="E147" s="327"/>
      <c r="F147" s="465"/>
      <c r="G147" s="465"/>
      <c r="H147" s="608">
        <f>SUM(G148:G180)</f>
        <v>87609553</v>
      </c>
    </row>
    <row r="148" spans="1:8" ht="13.9" customHeight="1" outlineLevel="1" x14ac:dyDescent="0.3">
      <c r="A148" s="380">
        <f>+A147+0.01</f>
        <v>18.010000000000002</v>
      </c>
      <c r="B148" s="380" t="s">
        <v>205</v>
      </c>
      <c r="C148" s="445" t="s">
        <v>368</v>
      </c>
      <c r="D148" s="654" t="s">
        <v>243</v>
      </c>
      <c r="E148" s="381">
        <v>260</v>
      </c>
      <c r="F148" s="611">
        <v>76531</v>
      </c>
      <c r="G148" s="611">
        <f t="shared" ref="G148:G180" si="9">+F148*E148</f>
        <v>19898060</v>
      </c>
    </row>
    <row r="149" spans="1:8" ht="13.9" customHeight="1" outlineLevel="1" x14ac:dyDescent="0.3">
      <c r="A149" s="350">
        <v>18.02</v>
      </c>
      <c r="B149" s="350" t="s">
        <v>205</v>
      </c>
      <c r="C149" s="450" t="s">
        <v>369</v>
      </c>
      <c r="D149" s="655" t="s">
        <v>243</v>
      </c>
      <c r="E149" s="363">
        <v>62</v>
      </c>
      <c r="F149" s="613">
        <v>73235</v>
      </c>
      <c r="G149" s="613">
        <f t="shared" si="9"/>
        <v>4540570</v>
      </c>
    </row>
    <row r="150" spans="1:8" ht="13.9" customHeight="1" outlineLevel="1" x14ac:dyDescent="0.3">
      <c r="A150" s="350">
        <v>18.03</v>
      </c>
      <c r="B150" s="350" t="s">
        <v>205</v>
      </c>
      <c r="C150" s="450" t="s">
        <v>370</v>
      </c>
      <c r="D150" s="655" t="s">
        <v>243</v>
      </c>
      <c r="E150" s="363">
        <v>12</v>
      </c>
      <c r="F150" s="613">
        <v>73235</v>
      </c>
      <c r="G150" s="613">
        <f t="shared" si="9"/>
        <v>878820</v>
      </c>
    </row>
    <row r="151" spans="1:8" ht="13.9" customHeight="1" outlineLevel="1" x14ac:dyDescent="0.3">
      <c r="A151" s="350">
        <v>18.04</v>
      </c>
      <c r="B151" s="350" t="s">
        <v>205</v>
      </c>
      <c r="C151" s="450" t="s">
        <v>371</v>
      </c>
      <c r="D151" s="655" t="s">
        <v>243</v>
      </c>
      <c r="E151" s="363">
        <v>16</v>
      </c>
      <c r="F151" s="613">
        <v>73235</v>
      </c>
      <c r="G151" s="613">
        <f t="shared" si="9"/>
        <v>1171760</v>
      </c>
    </row>
    <row r="152" spans="1:8" ht="13.9" customHeight="1" outlineLevel="1" x14ac:dyDescent="0.3">
      <c r="A152" s="350">
        <v>18.05</v>
      </c>
      <c r="B152" s="350" t="s">
        <v>205</v>
      </c>
      <c r="C152" s="450" t="s">
        <v>372</v>
      </c>
      <c r="D152" s="655" t="s">
        <v>243</v>
      </c>
      <c r="E152" s="363">
        <v>1</v>
      </c>
      <c r="F152" s="613">
        <v>73235</v>
      </c>
      <c r="G152" s="613">
        <f t="shared" si="9"/>
        <v>73235</v>
      </c>
    </row>
    <row r="153" spans="1:8" ht="13.9" customHeight="1" x14ac:dyDescent="0.3">
      <c r="A153" s="350">
        <v>18.059999999999999</v>
      </c>
      <c r="B153" s="350" t="s">
        <v>205</v>
      </c>
      <c r="C153" s="450" t="s">
        <v>373</v>
      </c>
      <c r="D153" s="655" t="s">
        <v>243</v>
      </c>
      <c r="E153" s="363">
        <v>24</v>
      </c>
      <c r="F153" s="613">
        <v>73235</v>
      </c>
      <c r="G153" s="613">
        <f t="shared" si="9"/>
        <v>1757640</v>
      </c>
    </row>
    <row r="154" spans="1:8" s="609" customFormat="1" ht="13.9" customHeight="1" outlineLevel="1" x14ac:dyDescent="0.3">
      <c r="A154" s="350">
        <v>18.07</v>
      </c>
      <c r="B154" s="350" t="s">
        <v>205</v>
      </c>
      <c r="C154" s="450" t="s">
        <v>374</v>
      </c>
      <c r="D154" s="655" t="s">
        <v>243</v>
      </c>
      <c r="E154" s="363">
        <v>226</v>
      </c>
      <c r="F154" s="613">
        <v>69154</v>
      </c>
      <c r="G154" s="613">
        <f t="shared" si="9"/>
        <v>15628804</v>
      </c>
      <c r="H154" s="606"/>
    </row>
    <row r="155" spans="1:8" s="609" customFormat="1" ht="13.9" customHeight="1" x14ac:dyDescent="0.3">
      <c r="A155" s="350">
        <v>18.079999999999998</v>
      </c>
      <c r="B155" s="350" t="s">
        <v>205</v>
      </c>
      <c r="C155" s="450" t="s">
        <v>375</v>
      </c>
      <c r="D155" s="655" t="s">
        <v>243</v>
      </c>
      <c r="E155" s="363">
        <v>32</v>
      </c>
      <c r="F155" s="613">
        <v>95308</v>
      </c>
      <c r="G155" s="613">
        <f t="shared" si="9"/>
        <v>3049856</v>
      </c>
      <c r="H155" s="606"/>
    </row>
    <row r="156" spans="1:8" s="609" customFormat="1" ht="13.9" customHeight="1" outlineLevel="1" x14ac:dyDescent="0.3">
      <c r="A156" s="350">
        <v>18.09</v>
      </c>
      <c r="B156" s="350" t="s">
        <v>205</v>
      </c>
      <c r="C156" s="450" t="s">
        <v>376</v>
      </c>
      <c r="D156" s="655" t="s">
        <v>243</v>
      </c>
      <c r="E156" s="363">
        <v>8</v>
      </c>
      <c r="F156" s="613">
        <v>69154</v>
      </c>
      <c r="G156" s="613">
        <f t="shared" si="9"/>
        <v>553232</v>
      </c>
      <c r="H156" s="606"/>
    </row>
    <row r="157" spans="1:8" s="609" customFormat="1" ht="13.9" customHeight="1" outlineLevel="1" x14ac:dyDescent="0.3">
      <c r="A157" s="350">
        <v>18.100000000000001</v>
      </c>
      <c r="B157" s="350" t="s">
        <v>205</v>
      </c>
      <c r="C157" s="450" t="s">
        <v>377</v>
      </c>
      <c r="D157" s="655" t="s">
        <v>243</v>
      </c>
      <c r="E157" s="363">
        <v>8</v>
      </c>
      <c r="F157" s="613">
        <v>69154</v>
      </c>
      <c r="G157" s="613">
        <f t="shared" si="9"/>
        <v>553232</v>
      </c>
      <c r="H157" s="606"/>
    </row>
    <row r="158" spans="1:8" s="609" customFormat="1" ht="13.9" customHeight="1" outlineLevel="1" x14ac:dyDescent="0.3">
      <c r="A158" s="350">
        <v>18.11</v>
      </c>
      <c r="B158" s="350" t="s">
        <v>205</v>
      </c>
      <c r="C158" s="450" t="s">
        <v>378</v>
      </c>
      <c r="D158" s="655" t="s">
        <v>243</v>
      </c>
      <c r="E158" s="363">
        <v>26</v>
      </c>
      <c r="F158" s="613">
        <v>50616</v>
      </c>
      <c r="G158" s="613">
        <f t="shared" si="9"/>
        <v>1316016</v>
      </c>
      <c r="H158" s="606"/>
    </row>
    <row r="159" spans="1:8" s="609" customFormat="1" ht="13.9" customHeight="1" outlineLevel="1" x14ac:dyDescent="0.3">
      <c r="A159" s="350">
        <v>18.12</v>
      </c>
      <c r="B159" s="350" t="s">
        <v>205</v>
      </c>
      <c r="C159" s="450" t="s">
        <v>379</v>
      </c>
      <c r="D159" s="655" t="s">
        <v>243</v>
      </c>
      <c r="E159" s="363">
        <v>27</v>
      </c>
      <c r="F159" s="613">
        <v>50616</v>
      </c>
      <c r="G159" s="613">
        <f t="shared" si="9"/>
        <v>1366632</v>
      </c>
      <c r="H159" s="606"/>
    </row>
    <row r="160" spans="1:8" ht="13.9" customHeight="1" x14ac:dyDescent="0.3">
      <c r="A160" s="350">
        <v>18.13</v>
      </c>
      <c r="B160" s="350" t="s">
        <v>205</v>
      </c>
      <c r="C160" s="450" t="s">
        <v>380</v>
      </c>
      <c r="D160" s="655" t="s">
        <v>243</v>
      </c>
      <c r="E160" s="363">
        <v>9</v>
      </c>
      <c r="F160" s="613">
        <v>50616</v>
      </c>
      <c r="G160" s="613">
        <f t="shared" si="9"/>
        <v>455544</v>
      </c>
    </row>
    <row r="161" spans="1:8" s="609" customFormat="1" ht="13.9" customHeight="1" outlineLevel="1" x14ac:dyDescent="0.3">
      <c r="A161" s="350">
        <v>18.14</v>
      </c>
      <c r="B161" s="350" t="s">
        <v>205</v>
      </c>
      <c r="C161" s="450" t="s">
        <v>381</v>
      </c>
      <c r="D161" s="655" t="s">
        <v>243</v>
      </c>
      <c r="E161" s="363">
        <v>29</v>
      </c>
      <c r="F161" s="613">
        <v>50616</v>
      </c>
      <c r="G161" s="613">
        <f t="shared" si="9"/>
        <v>1467864</v>
      </c>
      <c r="H161" s="606"/>
    </row>
    <row r="162" spans="1:8" ht="13.9" customHeight="1" outlineLevel="1" x14ac:dyDescent="0.3">
      <c r="A162" s="350">
        <v>18.149999999999999</v>
      </c>
      <c r="B162" s="350" t="s">
        <v>205</v>
      </c>
      <c r="C162" s="450" t="s">
        <v>382</v>
      </c>
      <c r="D162" s="655" t="s">
        <v>243</v>
      </c>
      <c r="E162" s="363">
        <v>3</v>
      </c>
      <c r="F162" s="613">
        <v>50616</v>
      </c>
      <c r="G162" s="613">
        <f t="shared" si="9"/>
        <v>151848</v>
      </c>
    </row>
    <row r="163" spans="1:8" ht="13.9" customHeight="1" outlineLevel="1" x14ac:dyDescent="0.3">
      <c r="A163" s="350">
        <v>18.16</v>
      </c>
      <c r="B163" s="350" t="s">
        <v>205</v>
      </c>
      <c r="C163" s="450" t="s">
        <v>383</v>
      </c>
      <c r="D163" s="655" t="s">
        <v>243</v>
      </c>
      <c r="E163" s="363">
        <v>1</v>
      </c>
      <c r="F163" s="613">
        <v>2245770</v>
      </c>
      <c r="G163" s="613">
        <f t="shared" si="9"/>
        <v>2245770</v>
      </c>
    </row>
    <row r="164" spans="1:8" ht="13.9" customHeight="1" outlineLevel="1" x14ac:dyDescent="0.3">
      <c r="A164" s="350">
        <v>18.170000000000002</v>
      </c>
      <c r="B164" s="350" t="s">
        <v>205</v>
      </c>
      <c r="C164" s="450" t="s">
        <v>384</v>
      </c>
      <c r="D164" s="655" t="s">
        <v>243</v>
      </c>
      <c r="E164" s="363">
        <v>1</v>
      </c>
      <c r="F164" s="613">
        <v>1116033</v>
      </c>
      <c r="G164" s="613">
        <f t="shared" si="9"/>
        <v>1116033</v>
      </c>
    </row>
    <row r="165" spans="1:8" ht="13" outlineLevel="1" x14ac:dyDescent="0.3">
      <c r="A165" s="350">
        <v>18.18</v>
      </c>
      <c r="B165" s="350" t="s">
        <v>205</v>
      </c>
      <c r="C165" s="450" t="s">
        <v>385</v>
      </c>
      <c r="D165" s="655" t="s">
        <v>243</v>
      </c>
      <c r="E165" s="363">
        <v>2</v>
      </c>
      <c r="F165" s="613">
        <v>530996</v>
      </c>
      <c r="G165" s="613">
        <f t="shared" si="9"/>
        <v>1061992</v>
      </c>
    </row>
    <row r="166" spans="1:8" s="599" customFormat="1" ht="13.9" customHeight="1" x14ac:dyDescent="0.3">
      <c r="A166" s="350">
        <v>18.190000000000001</v>
      </c>
      <c r="B166" s="350" t="s">
        <v>205</v>
      </c>
      <c r="C166" s="450" t="s">
        <v>386</v>
      </c>
      <c r="D166" s="655" t="s">
        <v>243</v>
      </c>
      <c r="E166" s="363">
        <v>9</v>
      </c>
      <c r="F166" s="613">
        <v>595409</v>
      </c>
      <c r="G166" s="613">
        <f t="shared" si="9"/>
        <v>5358681</v>
      </c>
      <c r="H166" s="606"/>
    </row>
    <row r="167" spans="1:8" s="599" customFormat="1" ht="13.9" customHeight="1" outlineLevel="1" x14ac:dyDescent="0.3">
      <c r="A167" s="350">
        <v>18.2</v>
      </c>
      <c r="B167" s="350" t="s">
        <v>205</v>
      </c>
      <c r="C167" s="450" t="s">
        <v>387</v>
      </c>
      <c r="D167" s="655" t="s">
        <v>207</v>
      </c>
      <c r="E167" s="363">
        <v>1</v>
      </c>
      <c r="F167" s="613">
        <v>6378278</v>
      </c>
      <c r="G167" s="613">
        <f t="shared" si="9"/>
        <v>6378278</v>
      </c>
      <c r="H167" s="606"/>
    </row>
    <row r="168" spans="1:8" s="599" customFormat="1" ht="13.9" customHeight="1" outlineLevel="1" x14ac:dyDescent="0.3">
      <c r="A168" s="350">
        <v>18.21</v>
      </c>
      <c r="B168" s="350" t="s">
        <v>205</v>
      </c>
      <c r="C168" s="450" t="s">
        <v>388</v>
      </c>
      <c r="D168" s="655" t="s">
        <v>207</v>
      </c>
      <c r="E168" s="363">
        <v>1</v>
      </c>
      <c r="F168" s="613">
        <v>1695726</v>
      </c>
      <c r="G168" s="613">
        <f t="shared" si="9"/>
        <v>1695726</v>
      </c>
      <c r="H168" s="606"/>
    </row>
    <row r="169" spans="1:8" s="599" customFormat="1" ht="13.9" customHeight="1" outlineLevel="1" x14ac:dyDescent="0.3">
      <c r="A169" s="350">
        <v>18.22</v>
      </c>
      <c r="B169" s="350" t="s">
        <v>205</v>
      </c>
      <c r="C169" s="450" t="s">
        <v>389</v>
      </c>
      <c r="D169" s="655" t="s">
        <v>207</v>
      </c>
      <c r="E169" s="363">
        <v>1</v>
      </c>
      <c r="F169" s="613">
        <v>1695726</v>
      </c>
      <c r="G169" s="613">
        <f t="shared" si="9"/>
        <v>1695726</v>
      </c>
      <c r="H169" s="606"/>
    </row>
    <row r="170" spans="1:8" s="599" customFormat="1" ht="13.9" customHeight="1" outlineLevel="1" x14ac:dyDescent="0.3">
      <c r="A170" s="350">
        <v>18.23</v>
      </c>
      <c r="B170" s="350" t="s">
        <v>205</v>
      </c>
      <c r="C170" s="450" t="s">
        <v>390</v>
      </c>
      <c r="D170" s="655" t="s">
        <v>243</v>
      </c>
      <c r="E170" s="363">
        <v>16</v>
      </c>
      <c r="F170" s="613">
        <v>15984</v>
      </c>
      <c r="G170" s="613">
        <f t="shared" si="9"/>
        <v>255744</v>
      </c>
      <c r="H170" s="606"/>
    </row>
    <row r="171" spans="1:8" s="599" customFormat="1" ht="13.9" customHeight="1" outlineLevel="1" x14ac:dyDescent="0.3">
      <c r="A171" s="350">
        <v>18.239999999999998</v>
      </c>
      <c r="B171" s="350" t="s">
        <v>205</v>
      </c>
      <c r="C171" s="450" t="s">
        <v>391</v>
      </c>
      <c r="D171" s="655" t="s">
        <v>243</v>
      </c>
      <c r="E171" s="363">
        <v>140</v>
      </c>
      <c r="F171" s="613">
        <v>10416</v>
      </c>
      <c r="G171" s="613">
        <f t="shared" si="9"/>
        <v>1458240</v>
      </c>
      <c r="H171" s="606"/>
    </row>
    <row r="172" spans="1:8" s="599" customFormat="1" ht="13.9" customHeight="1" outlineLevel="1" x14ac:dyDescent="0.3">
      <c r="A172" s="350">
        <v>18.25</v>
      </c>
      <c r="B172" s="350" t="s">
        <v>205</v>
      </c>
      <c r="C172" s="450" t="s">
        <v>392</v>
      </c>
      <c r="D172" s="655" t="s">
        <v>243</v>
      </c>
      <c r="E172" s="363">
        <v>226</v>
      </c>
      <c r="F172" s="613">
        <v>10416</v>
      </c>
      <c r="G172" s="613">
        <f t="shared" si="9"/>
        <v>2354016</v>
      </c>
      <c r="H172" s="606"/>
    </row>
    <row r="173" spans="1:8" s="599" customFormat="1" ht="13.9" customHeight="1" outlineLevel="1" x14ac:dyDescent="0.3">
      <c r="A173" s="350">
        <v>18.260000000000002</v>
      </c>
      <c r="B173" s="350" t="s">
        <v>205</v>
      </c>
      <c r="C173" s="450" t="s">
        <v>393</v>
      </c>
      <c r="D173" s="655" t="s">
        <v>243</v>
      </c>
      <c r="E173" s="363">
        <v>8</v>
      </c>
      <c r="F173" s="613">
        <v>25377</v>
      </c>
      <c r="G173" s="613">
        <f t="shared" si="9"/>
        <v>203016</v>
      </c>
      <c r="H173" s="606"/>
    </row>
    <row r="174" spans="1:8" s="599" customFormat="1" ht="13.9" customHeight="1" outlineLevel="1" x14ac:dyDescent="0.3">
      <c r="A174" s="350">
        <v>18.27</v>
      </c>
      <c r="B174" s="350" t="s">
        <v>205</v>
      </c>
      <c r="C174" s="450" t="s">
        <v>394</v>
      </c>
      <c r="D174" s="655" t="s">
        <v>243</v>
      </c>
      <c r="E174" s="363">
        <v>24</v>
      </c>
      <c r="F174" s="613">
        <v>93081</v>
      </c>
      <c r="G174" s="613">
        <f t="shared" si="9"/>
        <v>2233944</v>
      </c>
      <c r="H174" s="606"/>
    </row>
    <row r="175" spans="1:8" s="599" customFormat="1" ht="13.9" customHeight="1" outlineLevel="1" x14ac:dyDescent="0.3">
      <c r="A175" s="350">
        <v>18.28</v>
      </c>
      <c r="B175" s="350" t="s">
        <v>205</v>
      </c>
      <c r="C175" s="450" t="s">
        <v>395</v>
      </c>
      <c r="D175" s="655" t="s">
        <v>243</v>
      </c>
      <c r="E175" s="363">
        <v>12</v>
      </c>
      <c r="F175" s="613">
        <v>25377</v>
      </c>
      <c r="G175" s="613">
        <f t="shared" si="9"/>
        <v>304524</v>
      </c>
      <c r="H175" s="606"/>
    </row>
    <row r="176" spans="1:8" s="599" customFormat="1" ht="13.9" customHeight="1" outlineLevel="1" x14ac:dyDescent="0.3">
      <c r="A176" s="350">
        <v>18.2899999999999</v>
      </c>
      <c r="B176" s="350" t="s">
        <v>205</v>
      </c>
      <c r="C176" s="450" t="s">
        <v>396</v>
      </c>
      <c r="D176" s="655" t="s">
        <v>243</v>
      </c>
      <c r="E176" s="363">
        <v>1</v>
      </c>
      <c r="F176" s="613">
        <v>25377</v>
      </c>
      <c r="G176" s="613">
        <f t="shared" si="9"/>
        <v>25377</v>
      </c>
      <c r="H176" s="606"/>
    </row>
    <row r="177" spans="1:8" s="599" customFormat="1" ht="13.9" customHeight="1" outlineLevel="1" x14ac:dyDescent="0.3">
      <c r="A177" s="350">
        <v>18.299999999999901</v>
      </c>
      <c r="B177" s="350" t="s">
        <v>205</v>
      </c>
      <c r="C177" s="450" t="s">
        <v>397</v>
      </c>
      <c r="D177" s="655" t="s">
        <v>243</v>
      </c>
      <c r="E177" s="363">
        <v>109</v>
      </c>
      <c r="F177" s="613">
        <v>15984</v>
      </c>
      <c r="G177" s="613">
        <f t="shared" si="9"/>
        <v>1742256</v>
      </c>
      <c r="H177" s="606"/>
    </row>
    <row r="178" spans="1:8" s="599" customFormat="1" ht="13.9" customHeight="1" outlineLevel="1" x14ac:dyDescent="0.3">
      <c r="A178" s="350">
        <v>18.309999999999899</v>
      </c>
      <c r="B178" s="350" t="s">
        <v>205</v>
      </c>
      <c r="C178" s="450" t="s">
        <v>398</v>
      </c>
      <c r="D178" s="655" t="s">
        <v>207</v>
      </c>
      <c r="E178" s="363">
        <v>1</v>
      </c>
      <c r="F178" s="613">
        <v>5516929</v>
      </c>
      <c r="G178" s="613">
        <f t="shared" si="9"/>
        <v>5516929</v>
      </c>
      <c r="H178" s="606"/>
    </row>
    <row r="179" spans="1:8" s="599" customFormat="1" ht="13.9" customHeight="1" outlineLevel="1" x14ac:dyDescent="0.3">
      <c r="A179" s="350">
        <v>18.319999999999901</v>
      </c>
      <c r="B179" s="350" t="s">
        <v>205</v>
      </c>
      <c r="C179" s="450" t="s">
        <v>399</v>
      </c>
      <c r="D179" s="655" t="s">
        <v>207</v>
      </c>
      <c r="E179" s="363">
        <v>1</v>
      </c>
      <c r="F179" s="613">
        <v>957554</v>
      </c>
      <c r="G179" s="613">
        <f t="shared" si="9"/>
        <v>957554</v>
      </c>
      <c r="H179" s="606"/>
    </row>
    <row r="180" spans="1:8" s="599" customFormat="1" ht="13.9" customHeight="1" outlineLevel="1" x14ac:dyDescent="0.3">
      <c r="A180" s="350">
        <v>18.329999999999899</v>
      </c>
      <c r="B180" s="352" t="s">
        <v>205</v>
      </c>
      <c r="C180" s="458" t="s">
        <v>400</v>
      </c>
      <c r="D180" s="656" t="s">
        <v>207</v>
      </c>
      <c r="E180" s="379">
        <v>1</v>
      </c>
      <c r="F180" s="613">
        <v>142634</v>
      </c>
      <c r="G180" s="613">
        <f t="shared" si="9"/>
        <v>142634</v>
      </c>
      <c r="H180" s="606"/>
    </row>
    <row r="181" spans="1:8" s="599" customFormat="1" ht="13.9" customHeight="1" outlineLevel="1" x14ac:dyDescent="0.3">
      <c r="A181" s="325">
        <v>19</v>
      </c>
      <c r="B181" s="326"/>
      <c r="C181" s="276" t="s">
        <v>401</v>
      </c>
      <c r="D181" s="177"/>
      <c r="E181" s="327"/>
      <c r="F181" s="657"/>
      <c r="G181" s="657"/>
      <c r="H181" s="658"/>
    </row>
    <row r="182" spans="1:8" s="599" customFormat="1" ht="13.9" customHeight="1" outlineLevel="1" x14ac:dyDescent="0.3">
      <c r="A182" s="325"/>
      <c r="B182" s="326"/>
      <c r="C182" s="276" t="s">
        <v>402</v>
      </c>
      <c r="D182" s="177"/>
      <c r="E182" s="327"/>
      <c r="F182" s="465"/>
      <c r="G182" s="465"/>
      <c r="H182" s="651">
        <f>SUM(G183:G185)</f>
        <v>21227962</v>
      </c>
    </row>
    <row r="183" spans="1:8" s="599" customFormat="1" ht="13.9" customHeight="1" outlineLevel="1" x14ac:dyDescent="0.3">
      <c r="A183" s="331">
        <v>19.010000000000002</v>
      </c>
      <c r="B183" s="380" t="s">
        <v>205</v>
      </c>
      <c r="C183" s="466" t="s">
        <v>404</v>
      </c>
      <c r="D183" s="183" t="s">
        <v>207</v>
      </c>
      <c r="E183" s="131">
        <v>1</v>
      </c>
      <c r="F183" s="618">
        <v>6793844</v>
      </c>
      <c r="G183" s="618">
        <f>+F183*E183</f>
        <v>6793844</v>
      </c>
      <c r="H183" s="606"/>
    </row>
    <row r="184" spans="1:8" s="599" customFormat="1" ht="13.9" customHeight="1" outlineLevel="1" x14ac:dyDescent="0.3">
      <c r="A184" s="339">
        <v>19.02</v>
      </c>
      <c r="B184" s="350" t="s">
        <v>205</v>
      </c>
      <c r="C184" s="367" t="s">
        <v>405</v>
      </c>
      <c r="D184" s="180" t="s">
        <v>207</v>
      </c>
      <c r="E184" s="125">
        <v>1</v>
      </c>
      <c r="F184" s="613">
        <v>9552583</v>
      </c>
      <c r="G184" s="613">
        <f>+F184*E184</f>
        <v>9552583</v>
      </c>
      <c r="H184" s="606"/>
    </row>
    <row r="185" spans="1:8" s="599" customFormat="1" ht="13.9" customHeight="1" outlineLevel="1" x14ac:dyDescent="0.3">
      <c r="A185" s="351">
        <v>19.03</v>
      </c>
      <c r="B185" s="352" t="s">
        <v>205</v>
      </c>
      <c r="C185" s="467" t="s">
        <v>406</v>
      </c>
      <c r="D185" s="190" t="s">
        <v>207</v>
      </c>
      <c r="E185" s="132">
        <v>1</v>
      </c>
      <c r="F185" s="613">
        <v>4881535</v>
      </c>
      <c r="G185" s="613">
        <f>+F185*E185</f>
        <v>4881535</v>
      </c>
      <c r="H185" s="606"/>
    </row>
    <row r="186" spans="1:8" s="599" customFormat="1" ht="13.9" customHeight="1" outlineLevel="1" x14ac:dyDescent="0.3">
      <c r="A186" s="468"/>
      <c r="B186" s="469"/>
      <c r="C186" s="470" t="s">
        <v>407</v>
      </c>
      <c r="D186" s="175"/>
      <c r="E186" s="312"/>
      <c r="F186" s="465"/>
      <c r="G186" s="465"/>
      <c r="H186" s="651">
        <f>SUM(G187:G189)</f>
        <v>7075989</v>
      </c>
    </row>
    <row r="187" spans="1:8" s="599" customFormat="1" ht="13.9" customHeight="1" outlineLevel="1" x14ac:dyDescent="0.3">
      <c r="A187" s="331">
        <v>19.04</v>
      </c>
      <c r="B187" s="380" t="s">
        <v>205</v>
      </c>
      <c r="C187" s="466" t="s">
        <v>408</v>
      </c>
      <c r="D187" s="183" t="s">
        <v>207</v>
      </c>
      <c r="E187" s="131">
        <v>1</v>
      </c>
      <c r="F187" s="613">
        <v>2476596</v>
      </c>
      <c r="G187" s="613">
        <f>+F187*E187</f>
        <v>2476596</v>
      </c>
      <c r="H187" s="606"/>
    </row>
    <row r="188" spans="1:8" s="599" customFormat="1" ht="13.9" customHeight="1" outlineLevel="1" x14ac:dyDescent="0.3">
      <c r="A188" s="339">
        <v>19.05</v>
      </c>
      <c r="B188" s="350" t="s">
        <v>205</v>
      </c>
      <c r="C188" s="367" t="s">
        <v>409</v>
      </c>
      <c r="D188" s="180" t="s">
        <v>207</v>
      </c>
      <c r="E188" s="125">
        <v>1</v>
      </c>
      <c r="F188" s="613">
        <v>3537994</v>
      </c>
      <c r="G188" s="613">
        <f>+F188*E188</f>
        <v>3537994</v>
      </c>
      <c r="H188" s="606"/>
    </row>
    <row r="189" spans="1:8" s="599" customFormat="1" ht="13.9" customHeight="1" outlineLevel="1" x14ac:dyDescent="0.3">
      <c r="A189" s="351">
        <v>19.059999999999999</v>
      </c>
      <c r="B189" s="350" t="s">
        <v>205</v>
      </c>
      <c r="C189" s="467" t="s">
        <v>410</v>
      </c>
      <c r="D189" s="190" t="s">
        <v>207</v>
      </c>
      <c r="E189" s="132">
        <v>1</v>
      </c>
      <c r="F189" s="613">
        <v>1061399</v>
      </c>
      <c r="G189" s="613">
        <f>+F189*E189</f>
        <v>1061399</v>
      </c>
      <c r="H189" s="606"/>
    </row>
    <row r="190" spans="1:8" s="599" customFormat="1" ht="13.9" customHeight="1" outlineLevel="1" x14ac:dyDescent="0.3">
      <c r="A190" s="325"/>
      <c r="B190" s="326"/>
      <c r="C190" s="276" t="s">
        <v>411</v>
      </c>
      <c r="D190" s="177"/>
      <c r="E190" s="327"/>
      <c r="F190" s="465"/>
      <c r="G190" s="465"/>
      <c r="H190" s="651">
        <f>SUM(G191:G195)</f>
        <v>34829620</v>
      </c>
    </row>
    <row r="191" spans="1:8" s="599" customFormat="1" ht="13.9" customHeight="1" outlineLevel="1" x14ac:dyDescent="0.3">
      <c r="A191" s="380">
        <v>19.07</v>
      </c>
      <c r="B191" s="380" t="s">
        <v>205</v>
      </c>
      <c r="C191" s="473" t="s">
        <v>412</v>
      </c>
      <c r="D191" s="183" t="s">
        <v>207</v>
      </c>
      <c r="E191" s="131">
        <v>1</v>
      </c>
      <c r="F191" s="611">
        <v>3263223</v>
      </c>
      <c r="G191" s="611">
        <f>+F191*E191</f>
        <v>3263223</v>
      </c>
      <c r="H191" s="606"/>
    </row>
    <row r="192" spans="1:8" s="599" customFormat="1" ht="13.9" customHeight="1" outlineLevel="1" x14ac:dyDescent="0.3">
      <c r="A192" s="350">
        <v>19.079999999999998</v>
      </c>
      <c r="B192" s="350" t="s">
        <v>205</v>
      </c>
      <c r="C192" s="474" t="s">
        <v>413</v>
      </c>
      <c r="D192" s="180" t="s">
        <v>207</v>
      </c>
      <c r="E192" s="125">
        <v>1</v>
      </c>
      <c r="F192" s="613">
        <v>3665831</v>
      </c>
      <c r="G192" s="613">
        <f>+F192*E192</f>
        <v>3665831</v>
      </c>
      <c r="H192" s="606"/>
    </row>
    <row r="193" spans="1:8" s="599" customFormat="1" ht="13.9" customHeight="1" outlineLevel="1" x14ac:dyDescent="0.3">
      <c r="A193" s="350">
        <v>19.09</v>
      </c>
      <c r="B193" s="350" t="s">
        <v>205</v>
      </c>
      <c r="C193" s="475" t="s">
        <v>414</v>
      </c>
      <c r="D193" s="180" t="s">
        <v>207</v>
      </c>
      <c r="E193" s="125">
        <v>1</v>
      </c>
      <c r="F193" s="613">
        <v>3263223</v>
      </c>
      <c r="G193" s="613">
        <f>+F193*E193</f>
        <v>3263223</v>
      </c>
      <c r="H193" s="606"/>
    </row>
    <row r="194" spans="1:8" s="599" customFormat="1" ht="13.9" customHeight="1" outlineLevel="1" x14ac:dyDescent="0.3">
      <c r="A194" s="350">
        <v>19.100000000000001</v>
      </c>
      <c r="B194" s="350" t="s">
        <v>205</v>
      </c>
      <c r="C194" s="474" t="s">
        <v>415</v>
      </c>
      <c r="D194" s="180" t="s">
        <v>207</v>
      </c>
      <c r="E194" s="125">
        <v>1</v>
      </c>
      <c r="F194" s="613">
        <v>18413869</v>
      </c>
      <c r="G194" s="613">
        <f>+F194*E194</f>
        <v>18413869</v>
      </c>
      <c r="H194" s="606"/>
    </row>
    <row r="195" spans="1:8" s="599" customFormat="1" ht="13.9" customHeight="1" outlineLevel="1" x14ac:dyDescent="0.3">
      <c r="A195" s="350">
        <v>19.11</v>
      </c>
      <c r="B195" s="352" t="s">
        <v>205</v>
      </c>
      <c r="C195" s="476" t="s">
        <v>416</v>
      </c>
      <c r="D195" s="190" t="s">
        <v>207</v>
      </c>
      <c r="E195" s="132">
        <v>1</v>
      </c>
      <c r="F195" s="616">
        <v>6223474</v>
      </c>
      <c r="G195" s="616">
        <f>+F195*E195</f>
        <v>6223474</v>
      </c>
      <c r="H195" s="606"/>
    </row>
    <row r="196" spans="1:8" s="599" customFormat="1" ht="13.9" customHeight="1" outlineLevel="1" x14ac:dyDescent="0.3">
      <c r="A196" s="325"/>
      <c r="B196" s="326"/>
      <c r="C196" s="276" t="s">
        <v>417</v>
      </c>
      <c r="D196" s="177"/>
      <c r="E196" s="327"/>
      <c r="F196" s="465"/>
      <c r="G196" s="465"/>
      <c r="H196" s="651">
        <f>SUM(G197)</f>
        <v>2637801</v>
      </c>
    </row>
    <row r="197" spans="1:8" s="599" customFormat="1" ht="13.9" customHeight="1" outlineLevel="1" x14ac:dyDescent="0.3">
      <c r="A197" s="339">
        <v>19.12</v>
      </c>
      <c r="B197" s="350" t="s">
        <v>205</v>
      </c>
      <c r="C197" s="367" t="s">
        <v>418</v>
      </c>
      <c r="D197" s="180" t="s">
        <v>207</v>
      </c>
      <c r="E197" s="125">
        <v>1</v>
      </c>
      <c r="F197" s="613">
        <v>2637801</v>
      </c>
      <c r="G197" s="613">
        <f>+F197*E197</f>
        <v>2637801</v>
      </c>
      <c r="H197" s="606"/>
    </row>
    <row r="198" spans="1:8" s="599" customFormat="1" ht="13.9" customHeight="1" outlineLevel="1" x14ac:dyDescent="0.3">
      <c r="A198" s="325"/>
      <c r="B198" s="326"/>
      <c r="C198" s="276" t="s">
        <v>419</v>
      </c>
      <c r="D198" s="177"/>
      <c r="E198" s="327"/>
      <c r="F198" s="465"/>
      <c r="G198" s="465"/>
      <c r="H198" s="651">
        <f>SUM(G199:G200)</f>
        <v>39784561</v>
      </c>
    </row>
    <row r="199" spans="1:8" s="599" customFormat="1" ht="13.9" customHeight="1" outlineLevel="1" x14ac:dyDescent="0.3">
      <c r="A199" s="331">
        <v>19.13</v>
      </c>
      <c r="B199" s="380" t="s">
        <v>205</v>
      </c>
      <c r="C199" s="466" t="s">
        <v>420</v>
      </c>
      <c r="D199" s="183" t="s">
        <v>207</v>
      </c>
      <c r="E199" s="131">
        <v>1</v>
      </c>
      <c r="F199" s="613">
        <v>36002858</v>
      </c>
      <c r="G199" s="613">
        <f>+F199*E199</f>
        <v>36002858</v>
      </c>
      <c r="H199" s="606"/>
    </row>
    <row r="200" spans="1:8" s="599" customFormat="1" ht="13.9" customHeight="1" x14ac:dyDescent="0.3">
      <c r="A200" s="351">
        <v>19.14</v>
      </c>
      <c r="B200" s="352" t="s">
        <v>205</v>
      </c>
      <c r="C200" s="467" t="s">
        <v>421</v>
      </c>
      <c r="D200" s="190" t="s">
        <v>207</v>
      </c>
      <c r="E200" s="132">
        <v>1</v>
      </c>
      <c r="F200" s="613">
        <v>3781703</v>
      </c>
      <c r="G200" s="613">
        <f>+F200*E200</f>
        <v>3781703</v>
      </c>
      <c r="H200" s="606"/>
    </row>
    <row r="201" spans="1:8" s="599" customFormat="1" ht="13.9" customHeight="1" outlineLevel="1" x14ac:dyDescent="0.3">
      <c r="A201" s="325"/>
      <c r="B201" s="326"/>
      <c r="C201" s="276" t="s">
        <v>422</v>
      </c>
      <c r="D201" s="177"/>
      <c r="E201" s="327"/>
      <c r="F201" s="465"/>
      <c r="G201" s="465"/>
      <c r="H201" s="651">
        <f>SUM(G202)</f>
        <v>6439007</v>
      </c>
    </row>
    <row r="202" spans="1:8" s="599" customFormat="1" ht="13.9" customHeight="1" outlineLevel="1" x14ac:dyDescent="0.3">
      <c r="A202" s="339">
        <v>19.149999999999999</v>
      </c>
      <c r="B202" s="350" t="s">
        <v>205</v>
      </c>
      <c r="C202" s="450" t="s">
        <v>423</v>
      </c>
      <c r="D202" s="180" t="s">
        <v>207</v>
      </c>
      <c r="E202" s="125">
        <v>1</v>
      </c>
      <c r="F202" s="613">
        <v>6439007</v>
      </c>
      <c r="G202" s="613">
        <f>+F202*E202</f>
        <v>6439007</v>
      </c>
      <c r="H202" s="606"/>
    </row>
    <row r="203" spans="1:8" s="599" customFormat="1" ht="13.9" customHeight="1" outlineLevel="1" x14ac:dyDescent="0.3">
      <c r="A203" s="325"/>
      <c r="B203" s="326"/>
      <c r="C203" s="276" t="s">
        <v>424</v>
      </c>
      <c r="D203" s="177"/>
      <c r="E203" s="327"/>
      <c r="F203" s="465"/>
      <c r="G203" s="465"/>
      <c r="H203" s="651">
        <f>SUM(G204:G207)</f>
        <v>33172785</v>
      </c>
    </row>
    <row r="204" spans="1:8" s="599" customFormat="1" ht="13.9" customHeight="1" outlineLevel="1" x14ac:dyDescent="0.3">
      <c r="A204" s="339">
        <v>19.16</v>
      </c>
      <c r="B204" s="350" t="s">
        <v>236</v>
      </c>
      <c r="C204" s="474" t="s">
        <v>425</v>
      </c>
      <c r="D204" s="180" t="s">
        <v>207</v>
      </c>
      <c r="E204" s="125">
        <v>1</v>
      </c>
      <c r="F204" s="613">
        <v>27794007</v>
      </c>
      <c r="G204" s="613">
        <f>+F204*E204</f>
        <v>27794007</v>
      </c>
      <c r="H204" s="606"/>
    </row>
    <row r="205" spans="1:8" s="599" customFormat="1" ht="13.9" customHeight="1" outlineLevel="1" x14ac:dyDescent="0.3">
      <c r="A205" s="339">
        <v>19.170000000000002</v>
      </c>
      <c r="B205" s="375" t="s">
        <v>236</v>
      </c>
      <c r="C205" s="659" t="s">
        <v>426</v>
      </c>
      <c r="D205" s="660" t="s">
        <v>243</v>
      </c>
      <c r="E205" s="661">
        <v>8</v>
      </c>
      <c r="F205" s="613">
        <v>59973</v>
      </c>
      <c r="G205" s="613">
        <f>+F205*E205</f>
        <v>479784</v>
      </c>
      <c r="H205" s="606"/>
    </row>
    <row r="206" spans="1:8" s="599" customFormat="1" ht="13.9" customHeight="1" outlineLevel="1" x14ac:dyDescent="0.3">
      <c r="A206" s="339">
        <v>19.18</v>
      </c>
      <c r="B206" s="375" t="s">
        <v>236</v>
      </c>
      <c r="C206" s="659" t="s">
        <v>427</v>
      </c>
      <c r="D206" s="660" t="s">
        <v>207</v>
      </c>
      <c r="E206" s="661">
        <v>8</v>
      </c>
      <c r="F206" s="613">
        <v>27640</v>
      </c>
      <c r="G206" s="613">
        <f>+F206*E206</f>
        <v>221120</v>
      </c>
      <c r="H206" s="606"/>
    </row>
    <row r="207" spans="1:8" s="599" customFormat="1" ht="13.9" customHeight="1" outlineLevel="1" x14ac:dyDescent="0.3">
      <c r="A207" s="350">
        <v>19.190000000000001</v>
      </c>
      <c r="B207" s="352" t="s">
        <v>428</v>
      </c>
      <c r="C207" s="476" t="s">
        <v>429</v>
      </c>
      <c r="D207" s="190" t="s">
        <v>207</v>
      </c>
      <c r="E207" s="132">
        <v>1</v>
      </c>
      <c r="F207" s="613">
        <v>4677874</v>
      </c>
      <c r="G207" s="613">
        <f>+F207*E207</f>
        <v>4677874</v>
      </c>
      <c r="H207" s="606"/>
    </row>
    <row r="208" spans="1:8" s="599" customFormat="1" ht="13.9" customHeight="1" outlineLevel="1" x14ac:dyDescent="0.3">
      <c r="A208" s="325">
        <v>20</v>
      </c>
      <c r="B208" s="326"/>
      <c r="C208" s="276" t="s">
        <v>430</v>
      </c>
      <c r="D208" s="177"/>
      <c r="E208" s="327"/>
      <c r="F208" s="465"/>
      <c r="G208" s="465"/>
      <c r="H208" s="651">
        <f>SUM(G209:G210)</f>
        <v>0</v>
      </c>
    </row>
    <row r="209" spans="1:8" s="599" customFormat="1" ht="13.9" customHeight="1" outlineLevel="1" x14ac:dyDescent="0.3">
      <c r="A209" s="413">
        <v>20.010000000000002</v>
      </c>
      <c r="B209" s="482" t="s">
        <v>205</v>
      </c>
      <c r="C209" s="415" t="s">
        <v>431</v>
      </c>
      <c r="D209" s="648" t="s">
        <v>243</v>
      </c>
      <c r="E209" s="484">
        <v>0</v>
      </c>
      <c r="F209" s="618">
        <v>0</v>
      </c>
      <c r="G209" s="618">
        <f>+F209*E209</f>
        <v>0</v>
      </c>
      <c r="H209" s="606"/>
    </row>
    <row r="210" spans="1:8" s="599" customFormat="1" ht="13.9" customHeight="1" outlineLevel="1" x14ac:dyDescent="0.3">
      <c r="A210" s="339">
        <v>20.02</v>
      </c>
      <c r="B210" s="340" t="s">
        <v>205</v>
      </c>
      <c r="C210" s="341" t="s">
        <v>432</v>
      </c>
      <c r="D210" s="642" t="s">
        <v>243</v>
      </c>
      <c r="E210" s="342">
        <v>0</v>
      </c>
      <c r="F210" s="613">
        <v>0</v>
      </c>
      <c r="G210" s="613">
        <f>+F210*E210</f>
        <v>0</v>
      </c>
      <c r="H210" s="606"/>
    </row>
    <row r="211" spans="1:8" s="599" customFormat="1" ht="13.9" customHeight="1" outlineLevel="1" x14ac:dyDescent="0.3">
      <c r="A211" s="325">
        <v>21</v>
      </c>
      <c r="B211" s="326"/>
      <c r="C211" s="276" t="s">
        <v>433</v>
      </c>
      <c r="D211" s="177"/>
      <c r="E211" s="327"/>
      <c r="F211" s="465"/>
      <c r="G211" s="465"/>
      <c r="H211" s="651">
        <f>SUM(G212)</f>
        <v>0</v>
      </c>
    </row>
    <row r="212" spans="1:8" s="599" customFormat="1" ht="13.9" customHeight="1" outlineLevel="1" x14ac:dyDescent="0.3">
      <c r="A212" s="490">
        <v>21.01</v>
      </c>
      <c r="B212" s="490" t="s">
        <v>205</v>
      </c>
      <c r="C212" s="491" t="s">
        <v>434</v>
      </c>
      <c r="D212" s="492" t="s">
        <v>207</v>
      </c>
      <c r="E212" s="493">
        <v>1</v>
      </c>
      <c r="F212" s="617">
        <v>0</v>
      </c>
      <c r="G212" s="613">
        <f>+F212*E212</f>
        <v>0</v>
      </c>
      <c r="H212" s="630"/>
    </row>
    <row r="213" spans="1:8" s="599" customFormat="1" ht="13.9" customHeight="1" outlineLevel="1" x14ac:dyDescent="0.3">
      <c r="A213" s="325">
        <v>22</v>
      </c>
      <c r="B213" s="326"/>
      <c r="C213" s="276" t="s">
        <v>435</v>
      </c>
      <c r="D213" s="177"/>
      <c r="E213" s="327"/>
      <c r="F213" s="465"/>
      <c r="G213" s="465"/>
      <c r="H213" s="651">
        <f>SUM(G214:G215)</f>
        <v>2934560</v>
      </c>
    </row>
    <row r="214" spans="1:8" s="599" customFormat="1" ht="13.9" customHeight="1" outlineLevel="1" x14ac:dyDescent="0.3">
      <c r="A214" s="380">
        <v>22.01</v>
      </c>
      <c r="B214" s="380" t="s">
        <v>205</v>
      </c>
      <c r="C214" s="445" t="s">
        <v>436</v>
      </c>
      <c r="D214" s="654" t="s">
        <v>243</v>
      </c>
      <c r="E214" s="662">
        <v>8</v>
      </c>
      <c r="F214" s="617">
        <v>91705</v>
      </c>
      <c r="G214" s="618">
        <f>+F214*E214</f>
        <v>733640</v>
      </c>
      <c r="H214" s="606"/>
    </row>
    <row r="215" spans="1:8" s="599" customFormat="1" ht="13.9" customHeight="1" outlineLevel="1" x14ac:dyDescent="0.3">
      <c r="A215" s="350">
        <v>22.02</v>
      </c>
      <c r="B215" s="350" t="s">
        <v>205</v>
      </c>
      <c r="C215" s="450" t="s">
        <v>437</v>
      </c>
      <c r="D215" s="655" t="s">
        <v>243</v>
      </c>
      <c r="E215" s="662">
        <v>24</v>
      </c>
      <c r="F215" s="617">
        <v>91705</v>
      </c>
      <c r="G215" s="618">
        <f>+F215*E215</f>
        <v>2200920</v>
      </c>
      <c r="H215" s="606"/>
    </row>
    <row r="216" spans="1:8" s="599" customFormat="1" ht="13.9" customHeight="1" outlineLevel="1" x14ac:dyDescent="0.3">
      <c r="A216" s="325">
        <v>23</v>
      </c>
      <c r="B216" s="326"/>
      <c r="C216" s="276" t="s">
        <v>362</v>
      </c>
      <c r="D216" s="177"/>
      <c r="E216" s="327"/>
      <c r="F216" s="465">
        <v>0</v>
      </c>
      <c r="G216" s="465"/>
      <c r="H216" s="651">
        <f>SUM(G217:G220)</f>
        <v>19050437</v>
      </c>
    </row>
    <row r="217" spans="1:8" s="599" customFormat="1" ht="13.9" customHeight="1" outlineLevel="1" x14ac:dyDescent="0.3">
      <c r="A217" s="380">
        <v>23.01</v>
      </c>
      <c r="B217" s="380" t="s">
        <v>236</v>
      </c>
      <c r="C217" s="333" t="s">
        <v>363</v>
      </c>
      <c r="D217" s="182" t="s">
        <v>207</v>
      </c>
      <c r="E217" s="381">
        <v>6</v>
      </c>
      <c r="F217" s="611">
        <v>259063</v>
      </c>
      <c r="G217" s="611">
        <f>+F217*E217</f>
        <v>1554378</v>
      </c>
      <c r="H217" s="630"/>
    </row>
    <row r="218" spans="1:8" s="599" customFormat="1" ht="13.9" customHeight="1" outlineLevel="1" x14ac:dyDescent="0.3">
      <c r="A218" s="350">
        <v>23.02</v>
      </c>
      <c r="B218" s="350" t="s">
        <v>205</v>
      </c>
      <c r="C218" s="341" t="s">
        <v>364</v>
      </c>
      <c r="D218" s="362" t="s">
        <v>207</v>
      </c>
      <c r="E218" s="363">
        <v>1</v>
      </c>
      <c r="F218" s="613">
        <v>793947</v>
      </c>
      <c r="G218" s="613">
        <f>+F218*E218</f>
        <v>793947</v>
      </c>
      <c r="H218" s="606"/>
    </row>
    <row r="219" spans="1:8" s="599" customFormat="1" ht="13.9" customHeight="1" outlineLevel="1" x14ac:dyDescent="0.3">
      <c r="A219" s="350">
        <v>23.03</v>
      </c>
      <c r="B219" s="350" t="s">
        <v>236</v>
      </c>
      <c r="C219" s="341" t="s">
        <v>365</v>
      </c>
      <c r="D219" s="362" t="s">
        <v>238</v>
      </c>
      <c r="E219" s="363">
        <v>26</v>
      </c>
      <c r="F219" s="613">
        <v>27076</v>
      </c>
      <c r="G219" s="613">
        <f>+F219*E219</f>
        <v>703976</v>
      </c>
      <c r="H219" s="606"/>
    </row>
    <row r="220" spans="1:8" s="599" customFormat="1" ht="13.9" customHeight="1" outlineLevel="1" x14ac:dyDescent="0.3">
      <c r="A220" s="352">
        <v>23.04</v>
      </c>
      <c r="B220" s="352" t="s">
        <v>205</v>
      </c>
      <c r="C220" s="652" t="s">
        <v>366</v>
      </c>
      <c r="D220" s="653" t="s">
        <v>238</v>
      </c>
      <c r="E220" s="354">
        <v>231</v>
      </c>
      <c r="F220" s="616">
        <v>69256</v>
      </c>
      <c r="G220" s="616">
        <f>+F220*E220</f>
        <v>15998136</v>
      </c>
      <c r="H220" s="606"/>
    </row>
    <row r="221" spans="1:8" s="599" customFormat="1" ht="13.9" customHeight="1" outlineLevel="1" x14ac:dyDescent="0.3">
      <c r="A221" s="325">
        <v>24</v>
      </c>
      <c r="B221" s="326"/>
      <c r="C221" s="276" t="s">
        <v>218</v>
      </c>
      <c r="D221" s="177"/>
      <c r="E221" s="327"/>
      <c r="F221" s="465"/>
      <c r="G221" s="465"/>
      <c r="H221" s="614">
        <f>SUM(G222:G230)</f>
        <v>76903896</v>
      </c>
    </row>
    <row r="222" spans="1:8" s="599" customFormat="1" ht="13.9" customHeight="1" outlineLevel="1" x14ac:dyDescent="0.3">
      <c r="A222" s="331">
        <v>24.01</v>
      </c>
      <c r="B222" s="422" t="s">
        <v>205</v>
      </c>
      <c r="C222" s="502" t="s">
        <v>219</v>
      </c>
      <c r="D222" s="610" t="s">
        <v>214</v>
      </c>
      <c r="E222" s="381">
        <v>17</v>
      </c>
      <c r="F222" s="613">
        <v>973327</v>
      </c>
      <c r="G222" s="613">
        <f t="shared" ref="G222:G230" si="10">+F222*E222</f>
        <v>16546559</v>
      </c>
      <c r="H222" s="606"/>
    </row>
    <row r="223" spans="1:8" s="599" customFormat="1" ht="13.9" customHeight="1" outlineLevel="1" x14ac:dyDescent="0.3">
      <c r="A223" s="339">
        <v>24.02</v>
      </c>
      <c r="B223" s="340" t="s">
        <v>205</v>
      </c>
      <c r="C223" s="562" t="s">
        <v>220</v>
      </c>
      <c r="D223" s="612" t="s">
        <v>214</v>
      </c>
      <c r="E223" s="363">
        <v>4</v>
      </c>
      <c r="F223" s="613">
        <v>2005316</v>
      </c>
      <c r="G223" s="613">
        <f t="shared" si="10"/>
        <v>8021264</v>
      </c>
      <c r="H223" s="606"/>
    </row>
    <row r="224" spans="1:8" s="599" customFormat="1" ht="13.9" customHeight="1" outlineLevel="1" x14ac:dyDescent="0.3">
      <c r="A224" s="339">
        <v>24.03</v>
      </c>
      <c r="B224" s="340" t="s">
        <v>205</v>
      </c>
      <c r="C224" s="509" t="s">
        <v>221</v>
      </c>
      <c r="D224" s="612" t="s">
        <v>214</v>
      </c>
      <c r="E224" s="363">
        <v>17</v>
      </c>
      <c r="F224" s="613">
        <v>199910</v>
      </c>
      <c r="G224" s="613">
        <f t="shared" si="10"/>
        <v>3398470</v>
      </c>
      <c r="H224" s="606"/>
    </row>
    <row r="225" spans="1:8" s="599" customFormat="1" ht="13.9" customHeight="1" outlineLevel="1" x14ac:dyDescent="0.3">
      <c r="A225" s="339">
        <v>24.04</v>
      </c>
      <c r="B225" s="340" t="s">
        <v>205</v>
      </c>
      <c r="C225" s="509" t="s">
        <v>222</v>
      </c>
      <c r="D225" s="612" t="s">
        <v>207</v>
      </c>
      <c r="E225" s="342">
        <v>1</v>
      </c>
      <c r="F225" s="613">
        <v>6284456</v>
      </c>
      <c r="G225" s="613">
        <f t="shared" si="10"/>
        <v>6284456</v>
      </c>
      <c r="H225" s="606"/>
    </row>
    <row r="226" spans="1:8" s="599" customFormat="1" ht="13.9" customHeight="1" outlineLevel="1" x14ac:dyDescent="0.3">
      <c r="A226" s="339">
        <v>24.05</v>
      </c>
      <c r="B226" s="340" t="s">
        <v>205</v>
      </c>
      <c r="C226" s="509" t="s">
        <v>223</v>
      </c>
      <c r="D226" s="510" t="s">
        <v>214</v>
      </c>
      <c r="E226" s="363">
        <v>17</v>
      </c>
      <c r="F226" s="613">
        <v>873895</v>
      </c>
      <c r="G226" s="613">
        <f t="shared" si="10"/>
        <v>14856215</v>
      </c>
      <c r="H226" s="615"/>
    </row>
    <row r="227" spans="1:8" s="599" customFormat="1" ht="13.9" customHeight="1" x14ac:dyDescent="0.3">
      <c r="A227" s="339">
        <v>24.06</v>
      </c>
      <c r="B227" s="340" t="s">
        <v>205</v>
      </c>
      <c r="C227" s="509" t="s">
        <v>224</v>
      </c>
      <c r="D227" s="510" t="s">
        <v>214</v>
      </c>
      <c r="E227" s="363">
        <v>17</v>
      </c>
      <c r="F227" s="613">
        <v>577178</v>
      </c>
      <c r="G227" s="613">
        <f t="shared" si="10"/>
        <v>9812026</v>
      </c>
      <c r="H227" s="615"/>
    </row>
    <row r="228" spans="1:8" s="599" customFormat="1" ht="13.9" customHeight="1" outlineLevel="1" x14ac:dyDescent="0.3">
      <c r="A228" s="339">
        <v>24.07</v>
      </c>
      <c r="B228" s="340" t="s">
        <v>205</v>
      </c>
      <c r="C228" s="509" t="s">
        <v>225</v>
      </c>
      <c r="D228" s="510" t="s">
        <v>207</v>
      </c>
      <c r="E228" s="342">
        <v>1</v>
      </c>
      <c r="F228" s="613">
        <v>5277814</v>
      </c>
      <c r="G228" s="613">
        <f t="shared" si="10"/>
        <v>5277814</v>
      </c>
      <c r="H228" s="615"/>
    </row>
    <row r="229" spans="1:8" s="599" customFormat="1" ht="13.9" customHeight="1" outlineLevel="1" x14ac:dyDescent="0.3">
      <c r="A229" s="339">
        <v>24.08</v>
      </c>
      <c r="B229" s="340" t="s">
        <v>205</v>
      </c>
      <c r="C229" s="509" t="s">
        <v>226</v>
      </c>
      <c r="D229" s="510" t="s">
        <v>214</v>
      </c>
      <c r="E229" s="363">
        <v>17</v>
      </c>
      <c r="F229" s="613">
        <v>399819</v>
      </c>
      <c r="G229" s="613">
        <f t="shared" si="10"/>
        <v>6796923</v>
      </c>
      <c r="H229" s="615"/>
    </row>
    <row r="230" spans="1:8" ht="13.9" customHeight="1" x14ac:dyDescent="0.3">
      <c r="A230" s="339">
        <v>24.09</v>
      </c>
      <c r="B230" s="404" t="s">
        <v>205</v>
      </c>
      <c r="C230" s="514" t="s">
        <v>227</v>
      </c>
      <c r="D230" s="515" t="s">
        <v>214</v>
      </c>
      <c r="E230" s="363">
        <v>17</v>
      </c>
      <c r="F230" s="616">
        <v>347657</v>
      </c>
      <c r="G230" s="616">
        <f t="shared" si="10"/>
        <v>5910169</v>
      </c>
      <c r="H230" s="615"/>
    </row>
    <row r="231" spans="1:8" s="609" customFormat="1" ht="13.9" customHeight="1" outlineLevel="1" x14ac:dyDescent="0.3">
      <c r="A231" s="325">
        <v>25</v>
      </c>
      <c r="B231" s="326"/>
      <c r="C231" s="276" t="s">
        <v>228</v>
      </c>
      <c r="D231" s="177"/>
      <c r="E231" s="327"/>
      <c r="F231" s="465"/>
      <c r="G231" s="465"/>
      <c r="H231" s="614">
        <f>SUM(G232:G233)</f>
        <v>110386593</v>
      </c>
    </row>
    <row r="232" spans="1:8" s="609" customFormat="1" ht="13.9" customHeight="1" x14ac:dyDescent="0.3">
      <c r="A232" s="331">
        <v>25.01</v>
      </c>
      <c r="B232" s="380" t="s">
        <v>205</v>
      </c>
      <c r="C232" s="333" t="s">
        <v>229</v>
      </c>
      <c r="D232" s="182" t="s">
        <v>214</v>
      </c>
      <c r="E232" s="381">
        <v>17</v>
      </c>
      <c r="F232" s="617">
        <v>5826965</v>
      </c>
      <c r="G232" s="618">
        <f>+F232*E232</f>
        <v>99058405</v>
      </c>
      <c r="H232" s="619"/>
    </row>
    <row r="233" spans="1:8" ht="13.9" customHeight="1" outlineLevel="1" x14ac:dyDescent="0.3">
      <c r="A233" s="351">
        <v>25.02</v>
      </c>
      <c r="B233" s="352" t="s">
        <v>205</v>
      </c>
      <c r="C233" s="353" t="s">
        <v>230</v>
      </c>
      <c r="D233" s="405" t="s">
        <v>214</v>
      </c>
      <c r="E233" s="379">
        <v>17</v>
      </c>
      <c r="F233" s="617">
        <v>666364</v>
      </c>
      <c r="G233" s="613">
        <f>+F233*E233</f>
        <v>11328188</v>
      </c>
      <c r="H233" s="620"/>
    </row>
    <row r="234" spans="1:8" s="394" customFormat="1" ht="13" x14ac:dyDescent="0.3">
      <c r="A234" s="325"/>
      <c r="B234" s="326"/>
      <c r="C234" s="276" t="s">
        <v>820</v>
      </c>
      <c r="D234" s="177"/>
      <c r="E234" s="327"/>
      <c r="F234" s="465"/>
      <c r="G234" s="316">
        <f>SUM(G8:G220)</f>
        <v>1158462479</v>
      </c>
      <c r="H234" s="651">
        <f>SUM(H48:H233)</f>
        <v>844845248</v>
      </c>
    </row>
    <row r="235" spans="1:8" s="394" customFormat="1" ht="13" x14ac:dyDescent="0.3">
      <c r="A235" s="663"/>
      <c r="B235" s="516"/>
      <c r="C235" s="664" t="s">
        <v>438</v>
      </c>
      <c r="D235" s="518"/>
      <c r="E235" s="520"/>
      <c r="F235" s="665"/>
      <c r="G235" s="665"/>
      <c r="H235" s="516"/>
    </row>
    <row r="236" spans="1:8" ht="12.75" customHeight="1" x14ac:dyDescent="0.3">
      <c r="A236" s="469"/>
      <c r="B236" s="469"/>
      <c r="C236" s="524"/>
      <c r="D236" s="666"/>
      <c r="E236" s="526"/>
      <c r="F236" s="667"/>
      <c r="G236" s="667"/>
      <c r="H236" s="668"/>
    </row>
    <row r="237" spans="1:8" ht="12.75" customHeight="1" x14ac:dyDescent="0.3">
      <c r="A237" s="325"/>
      <c r="B237" s="316"/>
      <c r="C237" s="530" t="s">
        <v>439</v>
      </c>
      <c r="D237" s="669" t="s">
        <v>238</v>
      </c>
      <c r="E237" s="572">
        <v>1150.8790000000001</v>
      </c>
      <c r="F237" s="670" t="s">
        <v>440</v>
      </c>
      <c r="G237" s="536">
        <f>+H237/E237</f>
        <v>627.4247384438811</v>
      </c>
      <c r="H237" s="671">
        <f>H234/H2</f>
        <v>722089.95555555553</v>
      </c>
    </row>
    <row r="238" spans="1:8" ht="12.75" customHeight="1" x14ac:dyDescent="0.3">
      <c r="A238" s="663"/>
      <c r="B238" s="538"/>
      <c r="C238" s="539"/>
      <c r="E238" s="540"/>
      <c r="F238" s="672"/>
      <c r="G238" s="673"/>
      <c r="H238" s="674"/>
    </row>
    <row r="239" spans="1:8" ht="12.75" customHeight="1" x14ac:dyDescent="0.3">
      <c r="C239" s="596"/>
      <c r="D239" s="596"/>
      <c r="E239" s="596"/>
    </row>
    <row r="240" spans="1:8" ht="12.75" customHeight="1" x14ac:dyDescent="0.3">
      <c r="C240" s="596"/>
      <c r="D240" s="596"/>
      <c r="E240" s="596"/>
    </row>
    <row r="241" spans="3:5" ht="14.25" customHeight="1" x14ac:dyDescent="0.3">
      <c r="C241" s="596"/>
      <c r="D241" s="596"/>
      <c r="E241" s="596"/>
    </row>
    <row r="242" spans="3:5" ht="12.75" customHeight="1" x14ac:dyDescent="0.3">
      <c r="C242" s="596"/>
      <c r="D242" s="596"/>
      <c r="E242" s="596"/>
    </row>
    <row r="243" spans="3:5" ht="12.75" customHeight="1" x14ac:dyDescent="0.3">
      <c r="C243" s="596"/>
      <c r="D243" s="596"/>
      <c r="E243" s="596"/>
    </row>
    <row r="244" spans="3:5" ht="12.75" customHeight="1" x14ac:dyDescent="0.3">
      <c r="C244" s="596"/>
      <c r="D244" s="596"/>
      <c r="E244" s="596"/>
    </row>
  </sheetData>
  <conditionalFormatting sqref="B1:B45 B48:B1048576">
    <cfRule type="cellIs" dxfId="87" priority="15" operator="equal">
      <formula>"C"</formula>
    </cfRule>
    <cfRule type="cellIs" dxfId="86" priority="16" operator="equal">
      <formula>"R"</formula>
    </cfRule>
    <cfRule type="cellIs" dxfId="85" priority="17" operator="equal">
      <formula>"IN"</formula>
    </cfRule>
    <cfRule type="cellIs" dxfId="84" priority="18" operator="equal">
      <formula>"OK"</formula>
    </cfRule>
    <cfRule type="cellIs" dxfId="83" priority="19" operator="equal">
      <formula>"SR"</formula>
    </cfRule>
  </conditionalFormatting>
  <conditionalFormatting sqref="D3:D11 D18:D32 D69:D78 D89:D93 D110:D114 D117:D119 D181:D211 D221:D231">
    <cfRule type="cellIs" dxfId="82" priority="3" operator="equal">
      <formula>"x"</formula>
    </cfRule>
  </conditionalFormatting>
  <conditionalFormatting sqref="D46:D48">
    <cfRule type="cellIs" dxfId="81" priority="1" operator="equal">
      <formula>"x"</formula>
    </cfRule>
  </conditionalFormatting>
  <conditionalFormatting sqref="D63:D64">
    <cfRule type="cellIs" dxfId="80" priority="9" operator="equal">
      <formula>"x"</formula>
    </cfRule>
  </conditionalFormatting>
  <conditionalFormatting sqref="D80:D82">
    <cfRule type="cellIs" dxfId="79" priority="5" operator="equal">
      <formula>"x"</formula>
    </cfRule>
  </conditionalFormatting>
  <conditionalFormatting sqref="D98:D103">
    <cfRule type="cellIs" dxfId="78" priority="6" operator="equal">
      <formula>"x"</formula>
    </cfRule>
  </conditionalFormatting>
  <conditionalFormatting sqref="D127:D128">
    <cfRule type="cellIs" dxfId="77" priority="7" operator="equal">
      <formula>"x"</formula>
    </cfRule>
  </conditionalFormatting>
  <conditionalFormatting sqref="D134:D136">
    <cfRule type="cellIs" dxfId="76" priority="2" operator="equal">
      <formula>"x"</formula>
    </cfRule>
  </conditionalFormatting>
  <conditionalFormatting sqref="D140">
    <cfRule type="cellIs" dxfId="75" priority="10" operator="equal">
      <formula>"x"</formula>
    </cfRule>
  </conditionalFormatting>
  <conditionalFormatting sqref="D142">
    <cfRule type="cellIs" dxfId="74" priority="11" operator="equal">
      <formula>"x"</formula>
    </cfRule>
  </conditionalFormatting>
  <conditionalFormatting sqref="D147">
    <cfRule type="cellIs" dxfId="73" priority="12" operator="equal">
      <formula>"x"</formula>
    </cfRule>
  </conditionalFormatting>
  <conditionalFormatting sqref="D213">
    <cfRule type="cellIs" dxfId="72" priority="8" operator="equal">
      <formula>"x"</formula>
    </cfRule>
  </conditionalFormatting>
  <conditionalFormatting sqref="D216">
    <cfRule type="cellIs" dxfId="71" priority="14" operator="equal">
      <formula>"x"</formula>
    </cfRule>
  </conditionalFormatting>
  <conditionalFormatting sqref="D234:D235">
    <cfRule type="cellIs" dxfId="70" priority="13" operator="equal">
      <formula>"x"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60" max="22" man="1"/>
    <brk id="165" max="22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6B62-6D10-498E-A31F-057D28C1416E}">
  <dimension ref="A1:Z251"/>
  <sheetViews>
    <sheetView workbookViewId="0"/>
  </sheetViews>
  <sheetFormatPr defaultColWidth="11.54296875" defaultRowHeight="12.75" customHeight="1" outlineLevelRow="1" outlineLevelCol="1" x14ac:dyDescent="0.3"/>
  <cols>
    <col min="1" max="1" width="11.54296875" style="678"/>
    <col min="2" max="2" width="6.54296875" style="279" bestFit="1" customWidth="1"/>
    <col min="3" max="3" width="4.7265625" style="279" hidden="1" customWidth="1" outlineLevel="1"/>
    <col min="4" max="4" width="84.26953125" style="280" bestFit="1" customWidth="1" collapsed="1"/>
    <col min="5" max="5" width="5.26953125" style="675" bestFit="1" customWidth="1"/>
    <col min="6" max="6" width="6.54296875" style="282" bestFit="1" customWidth="1"/>
    <col min="7" max="7" width="12.26953125" style="283" customWidth="1" outlineLevel="1"/>
    <col min="8" max="8" width="14.453125" style="283" customWidth="1" outlineLevel="1"/>
    <col min="9" max="9" width="14.7265625" style="283" customWidth="1" outlineLevel="1"/>
    <col min="10" max="10" width="12.26953125" style="283" customWidth="1" outlineLevel="1"/>
    <col min="11" max="12" width="12" style="283" customWidth="1" outlineLevel="1"/>
    <col min="13" max="13" width="12.26953125" style="283" customWidth="1" outlineLevel="1"/>
    <col min="14" max="14" width="14.7265625" style="676" bestFit="1" customWidth="1"/>
    <col min="15" max="15" width="13.7265625" style="677" bestFit="1" customWidth="1"/>
    <col min="16" max="16384" width="11.54296875" style="678"/>
  </cols>
  <sheetData>
    <row r="1" spans="1:15" ht="12.75" customHeight="1" x14ac:dyDescent="0.3">
      <c r="G1" s="286"/>
      <c r="H1" s="286"/>
      <c r="J1" s="287"/>
      <c r="K1" s="286"/>
      <c r="L1" s="286"/>
      <c r="M1" s="286"/>
    </row>
    <row r="2" spans="1:15" ht="13" x14ac:dyDescent="0.3">
      <c r="G2" s="286"/>
      <c r="H2" s="286"/>
      <c r="J2" s="287"/>
      <c r="K2" s="286"/>
      <c r="L2" s="286"/>
      <c r="M2" s="286"/>
    </row>
    <row r="3" spans="1:15" s="173" customFormat="1" ht="13" x14ac:dyDescent="0.35">
      <c r="B3" s="600"/>
      <c r="C3" s="292"/>
      <c r="D3" s="293"/>
      <c r="E3" s="174"/>
      <c r="F3" s="294"/>
      <c r="G3" s="294"/>
      <c r="H3" s="294"/>
      <c r="I3" s="296"/>
      <c r="J3" s="294"/>
      <c r="K3" s="298"/>
      <c r="L3" s="298"/>
      <c r="M3" s="298"/>
      <c r="N3" s="679"/>
      <c r="O3" s="680"/>
    </row>
    <row r="4" spans="1:15" s="173" customFormat="1" ht="13" x14ac:dyDescent="0.35">
      <c r="B4" s="600"/>
      <c r="C4" s="292"/>
      <c r="D4" s="293"/>
      <c r="E4" s="174"/>
      <c r="F4" s="294"/>
      <c r="G4" s="296"/>
      <c r="H4" s="296"/>
      <c r="I4" s="296"/>
      <c r="J4" s="294"/>
      <c r="K4" s="301"/>
      <c r="L4" s="301"/>
      <c r="M4" s="301"/>
      <c r="N4" s="679"/>
      <c r="O4" s="680"/>
    </row>
    <row r="5" spans="1:15" s="173" customFormat="1" ht="13" x14ac:dyDescent="0.3">
      <c r="B5" s="600"/>
      <c r="C5" s="292"/>
      <c r="D5" s="305" t="s">
        <v>194</v>
      </c>
      <c r="E5" s="174"/>
      <c r="F5" s="294"/>
      <c r="G5" s="1441" t="s">
        <v>444</v>
      </c>
      <c r="H5" s="1442"/>
      <c r="I5" s="296"/>
      <c r="J5" s="1441" t="s">
        <v>445</v>
      </c>
      <c r="K5" s="1442"/>
      <c r="L5" s="310"/>
      <c r="M5" s="310"/>
      <c r="N5" s="679"/>
      <c r="O5" s="680"/>
    </row>
    <row r="6" spans="1:15" s="173" customFormat="1" ht="13" x14ac:dyDescent="0.3">
      <c r="B6" s="600"/>
      <c r="C6" s="292"/>
      <c r="D6" s="305" t="s">
        <v>195</v>
      </c>
      <c r="E6" s="175"/>
      <c r="F6" s="312"/>
      <c r="G6" s="306"/>
      <c r="H6" s="307"/>
      <c r="I6" s="310"/>
      <c r="J6" s="306"/>
      <c r="K6" s="308"/>
      <c r="L6" s="310"/>
      <c r="M6" s="310"/>
      <c r="N6" s="679"/>
      <c r="O6" s="680"/>
    </row>
    <row r="7" spans="1:15" ht="13" x14ac:dyDescent="0.3">
      <c r="A7" s="275" t="s">
        <v>26</v>
      </c>
      <c r="B7" s="325" t="s">
        <v>196</v>
      </c>
      <c r="C7" s="316" t="s">
        <v>197</v>
      </c>
      <c r="D7" s="317" t="s">
        <v>198</v>
      </c>
      <c r="E7" s="176" t="s">
        <v>199</v>
      </c>
      <c r="F7" s="318" t="s">
        <v>200</v>
      </c>
      <c r="G7" s="318" t="s">
        <v>446</v>
      </c>
      <c r="H7" s="318" t="s">
        <v>447</v>
      </c>
      <c r="I7" s="322" t="s">
        <v>448</v>
      </c>
      <c r="J7" s="318" t="s">
        <v>446</v>
      </c>
      <c r="K7" s="318" t="s">
        <v>449</v>
      </c>
      <c r="L7" s="322" t="s">
        <v>450</v>
      </c>
      <c r="M7" s="318" t="s">
        <v>451</v>
      </c>
      <c r="N7" s="322" t="s">
        <v>87</v>
      </c>
    </row>
    <row r="8" spans="1:15" s="682" customFormat="1" ht="13" x14ac:dyDescent="0.3">
      <c r="A8" s="278"/>
      <c r="B8" s="325">
        <v>1</v>
      </c>
      <c r="C8" s="326"/>
      <c r="D8" s="607" t="s">
        <v>204</v>
      </c>
      <c r="E8" s="177"/>
      <c r="F8" s="327"/>
      <c r="G8" s="327"/>
      <c r="H8" s="327"/>
      <c r="I8" s="327"/>
      <c r="J8" s="327"/>
      <c r="K8" s="327"/>
      <c r="L8" s="327"/>
      <c r="M8" s="327"/>
      <c r="N8" s="327"/>
      <c r="O8" s="681"/>
    </row>
    <row r="9" spans="1:15" ht="13" outlineLevel="1" x14ac:dyDescent="0.3">
      <c r="A9" s="727" t="s">
        <v>56</v>
      </c>
      <c r="B9" s="331">
        <v>1.01</v>
      </c>
      <c r="C9" s="350" t="s">
        <v>205</v>
      </c>
      <c r="D9" s="333" t="s">
        <v>206</v>
      </c>
      <c r="E9" s="683" t="s">
        <v>207</v>
      </c>
      <c r="F9" s="332">
        <v>1</v>
      </c>
      <c r="G9" s="335">
        <v>0</v>
      </c>
      <c r="H9" s="335">
        <v>0</v>
      </c>
      <c r="I9" s="336">
        <f>SUM(G9:H9)</f>
        <v>0</v>
      </c>
      <c r="J9" s="335">
        <v>0</v>
      </c>
      <c r="K9" s="335">
        <v>0</v>
      </c>
      <c r="L9" s="336">
        <f>SUM(J9:K9)</f>
        <v>0</v>
      </c>
      <c r="M9" s="335">
        <v>0</v>
      </c>
      <c r="N9" s="336">
        <f>SUM(I9,L9)</f>
        <v>0</v>
      </c>
    </row>
    <row r="10" spans="1:15" ht="13" outlineLevel="1" x14ac:dyDescent="0.3">
      <c r="A10" s="727" t="s">
        <v>57</v>
      </c>
      <c r="B10" s="339">
        <v>1.02</v>
      </c>
      <c r="C10" s="350" t="s">
        <v>205</v>
      </c>
      <c r="D10" s="341" t="s">
        <v>208</v>
      </c>
      <c r="E10" s="684" t="s">
        <v>207</v>
      </c>
      <c r="F10" s="342">
        <v>3</v>
      </c>
      <c r="G10" s="345">
        <v>0</v>
      </c>
      <c r="H10" s="345">
        <v>75000</v>
      </c>
      <c r="I10" s="346">
        <f t="shared" ref="I10:I87" si="0">SUM(G10:H10)</f>
        <v>75000</v>
      </c>
      <c r="J10" s="345">
        <v>596210.53390909091</v>
      </c>
      <c r="K10" s="345">
        <v>182581.7423297159</v>
      </c>
      <c r="L10" s="346">
        <f t="shared" ref="L10:L17" si="1">SUM(J10:K10)</f>
        <v>778792.27623880678</v>
      </c>
      <c r="M10" s="345">
        <v>12806.884143582103</v>
      </c>
      <c r="N10" s="336">
        <f t="shared" ref="N10:N73" si="2">SUM(I10,L10)</f>
        <v>853792.27623880678</v>
      </c>
    </row>
    <row r="11" spans="1:15" ht="13" outlineLevel="1" x14ac:dyDescent="0.3">
      <c r="A11" s="727" t="s">
        <v>56</v>
      </c>
      <c r="B11" s="339">
        <v>1.03</v>
      </c>
      <c r="C11" s="350" t="s">
        <v>205</v>
      </c>
      <c r="D11" s="341" t="s">
        <v>209</v>
      </c>
      <c r="E11" s="180" t="s">
        <v>207</v>
      </c>
      <c r="F11" s="125">
        <v>1</v>
      </c>
      <c r="G11" s="345">
        <v>0</v>
      </c>
      <c r="H11" s="345">
        <v>0</v>
      </c>
      <c r="I11" s="346">
        <f t="shared" si="0"/>
        <v>0</v>
      </c>
      <c r="J11" s="345">
        <v>0</v>
      </c>
      <c r="K11" s="345">
        <v>0</v>
      </c>
      <c r="L11" s="346">
        <f t="shared" si="1"/>
        <v>0</v>
      </c>
      <c r="M11" s="345">
        <v>0</v>
      </c>
      <c r="N11" s="336">
        <f t="shared" si="2"/>
        <v>0</v>
      </c>
    </row>
    <row r="12" spans="1:15" ht="13" outlineLevel="1" x14ac:dyDescent="0.3">
      <c r="A12" s="727" t="s">
        <v>56</v>
      </c>
      <c r="B12" s="339">
        <v>1.04</v>
      </c>
      <c r="C12" s="350" t="s">
        <v>205</v>
      </c>
      <c r="D12" s="341" t="s">
        <v>210</v>
      </c>
      <c r="E12" s="684" t="s">
        <v>211</v>
      </c>
      <c r="F12" s="342">
        <v>10</v>
      </c>
      <c r="G12" s="345">
        <v>883307.02809917345</v>
      </c>
      <c r="H12" s="345">
        <v>0</v>
      </c>
      <c r="I12" s="346">
        <f t="shared" si="0"/>
        <v>883307.02809917345</v>
      </c>
      <c r="J12" s="345">
        <v>0</v>
      </c>
      <c r="K12" s="345">
        <v>1016543.6605985794</v>
      </c>
      <c r="L12" s="346">
        <f t="shared" si="1"/>
        <v>1016543.6605985794</v>
      </c>
      <c r="M12" s="345">
        <v>28497.760330466292</v>
      </c>
      <c r="N12" s="336">
        <f t="shared" si="2"/>
        <v>1899850.688697753</v>
      </c>
    </row>
    <row r="13" spans="1:15" ht="13" outlineLevel="1" x14ac:dyDescent="0.3">
      <c r="A13" s="727" t="s">
        <v>56</v>
      </c>
      <c r="B13" s="339">
        <v>1.05</v>
      </c>
      <c r="C13" s="350" t="s">
        <v>205</v>
      </c>
      <c r="D13" s="341" t="s">
        <v>212</v>
      </c>
      <c r="E13" s="684" t="s">
        <v>207</v>
      </c>
      <c r="F13" s="342">
        <v>1</v>
      </c>
      <c r="G13" s="345">
        <v>1878824.6995041324</v>
      </c>
      <c r="H13" s="345">
        <v>200000</v>
      </c>
      <c r="I13" s="346">
        <f t="shared" si="0"/>
        <v>2078824.6995041324</v>
      </c>
      <c r="J13" s="345">
        <v>750000</v>
      </c>
      <c r="K13" s="345">
        <v>4424962.8553190343</v>
      </c>
      <c r="L13" s="346">
        <f t="shared" si="1"/>
        <v>5174962.8553190343</v>
      </c>
      <c r="M13" s="345">
        <v>108806.8133223475</v>
      </c>
      <c r="N13" s="336">
        <f t="shared" si="2"/>
        <v>7253787.5548231667</v>
      </c>
    </row>
    <row r="14" spans="1:15" ht="13" outlineLevel="1" x14ac:dyDescent="0.3">
      <c r="A14" s="727" t="s">
        <v>69</v>
      </c>
      <c r="B14" s="339">
        <v>1.06</v>
      </c>
      <c r="C14" s="350" t="s">
        <v>205</v>
      </c>
      <c r="D14" s="341" t="s">
        <v>213</v>
      </c>
      <c r="E14" s="684" t="s">
        <v>214</v>
      </c>
      <c r="F14" s="342">
        <v>4</v>
      </c>
      <c r="G14" s="345">
        <v>0</v>
      </c>
      <c r="H14" s="345">
        <v>0</v>
      </c>
      <c r="I14" s="346">
        <f t="shared" si="0"/>
        <v>0</v>
      </c>
      <c r="J14" s="345">
        <v>1275976.4847030593</v>
      </c>
      <c r="K14" s="345">
        <v>53165.686862627474</v>
      </c>
      <c r="L14" s="346">
        <f t="shared" si="1"/>
        <v>1329142.1715656868</v>
      </c>
      <c r="M14" s="345">
        <v>0</v>
      </c>
      <c r="N14" s="336">
        <f t="shared" si="2"/>
        <v>1329142.1715656868</v>
      </c>
    </row>
    <row r="15" spans="1:15" ht="13" outlineLevel="1" x14ac:dyDescent="0.3">
      <c r="A15" s="727" t="s">
        <v>56</v>
      </c>
      <c r="B15" s="339">
        <v>1.07</v>
      </c>
      <c r="C15" s="350" t="s">
        <v>205</v>
      </c>
      <c r="D15" s="341" t="s">
        <v>215</v>
      </c>
      <c r="E15" s="684" t="s">
        <v>207</v>
      </c>
      <c r="F15" s="342">
        <v>1</v>
      </c>
      <c r="G15" s="345">
        <v>1040000</v>
      </c>
      <c r="H15" s="345">
        <v>50000</v>
      </c>
      <c r="I15" s="346">
        <f t="shared" si="0"/>
        <v>1090000</v>
      </c>
      <c r="J15" s="345">
        <v>0</v>
      </c>
      <c r="K15" s="345">
        <v>601395.6746925757</v>
      </c>
      <c r="L15" s="346">
        <f t="shared" si="1"/>
        <v>601395.6746925757</v>
      </c>
      <c r="M15" s="345">
        <v>25370.935120388636</v>
      </c>
      <c r="N15" s="336">
        <f t="shared" si="2"/>
        <v>1691395.6746925758</v>
      </c>
    </row>
    <row r="16" spans="1:15" ht="13" outlineLevel="1" x14ac:dyDescent="0.3">
      <c r="A16" s="727" t="s">
        <v>56</v>
      </c>
      <c r="B16" s="339">
        <v>1.08</v>
      </c>
      <c r="C16" s="350" t="s">
        <v>205</v>
      </c>
      <c r="D16" s="341" t="s">
        <v>216</v>
      </c>
      <c r="E16" s="684" t="s">
        <v>207</v>
      </c>
      <c r="F16" s="342">
        <v>1</v>
      </c>
      <c r="G16" s="345">
        <v>685200</v>
      </c>
      <c r="H16" s="345">
        <v>0</v>
      </c>
      <c r="I16" s="346">
        <f t="shared" si="0"/>
        <v>685200</v>
      </c>
      <c r="J16" s="345">
        <v>0</v>
      </c>
      <c r="K16" s="345">
        <v>651528.70745257568</v>
      </c>
      <c r="L16" s="346">
        <f t="shared" si="1"/>
        <v>651528.70745257568</v>
      </c>
      <c r="M16" s="345">
        <v>20050.930611788634</v>
      </c>
      <c r="N16" s="336">
        <f t="shared" si="2"/>
        <v>1336728.7074525757</v>
      </c>
    </row>
    <row r="17" spans="1:15" ht="13" outlineLevel="1" x14ac:dyDescent="0.3">
      <c r="A17" s="727" t="s">
        <v>56</v>
      </c>
      <c r="B17" s="339">
        <v>1.0900000000000001</v>
      </c>
      <c r="C17" s="350" t="s">
        <v>205</v>
      </c>
      <c r="D17" s="341" t="s">
        <v>217</v>
      </c>
      <c r="E17" s="684" t="s">
        <v>207</v>
      </c>
      <c r="F17" s="342">
        <v>1</v>
      </c>
      <c r="G17" s="345">
        <v>0</v>
      </c>
      <c r="H17" s="345">
        <v>0</v>
      </c>
      <c r="I17" s="346">
        <f t="shared" si="0"/>
        <v>0</v>
      </c>
      <c r="J17" s="345">
        <v>362691.08508372854</v>
      </c>
      <c r="K17" s="345">
        <v>0</v>
      </c>
      <c r="L17" s="346">
        <f t="shared" si="1"/>
        <v>362691.08508372854</v>
      </c>
      <c r="M17" s="345">
        <v>0</v>
      </c>
      <c r="N17" s="336">
        <f t="shared" si="2"/>
        <v>362691.08508372854</v>
      </c>
    </row>
    <row r="18" spans="1:15" ht="13" x14ac:dyDescent="0.3">
      <c r="A18" s="727"/>
      <c r="B18" s="325">
        <v>24</v>
      </c>
      <c r="C18" s="326"/>
      <c r="D18" s="276" t="s">
        <v>218</v>
      </c>
      <c r="E18" s="177"/>
      <c r="F18" s="327"/>
      <c r="G18" s="327"/>
      <c r="H18" s="327"/>
      <c r="I18" s="327">
        <f t="shared" si="0"/>
        <v>0</v>
      </c>
      <c r="J18" s="327"/>
      <c r="K18" s="327"/>
      <c r="L18" s="327">
        <f t="shared" ref="L18:L28" si="3">SUM(H18:K18)</f>
        <v>0</v>
      </c>
      <c r="M18" s="327"/>
      <c r="N18" s="336">
        <f t="shared" si="2"/>
        <v>0</v>
      </c>
    </row>
    <row r="19" spans="1:15" ht="13" outlineLevel="1" x14ac:dyDescent="0.3">
      <c r="A19" s="727" t="s">
        <v>62</v>
      </c>
      <c r="B19" s="331">
        <v>24.01</v>
      </c>
      <c r="C19" s="422" t="s">
        <v>205</v>
      </c>
      <c r="D19" s="502" t="s">
        <v>219</v>
      </c>
      <c r="E19" s="683" t="s">
        <v>214</v>
      </c>
      <c r="F19" s="381">
        <v>17</v>
      </c>
      <c r="G19" s="345">
        <v>0</v>
      </c>
      <c r="H19" s="345">
        <v>0</v>
      </c>
      <c r="I19" s="346">
        <f t="shared" si="0"/>
        <v>0</v>
      </c>
      <c r="J19" s="345">
        <v>12415558.47842068</v>
      </c>
      <c r="K19" s="345">
        <v>0</v>
      </c>
      <c r="L19" s="346">
        <f t="shared" ref="L19:L27" si="4">SUM(J19:K19)</f>
        <v>12415558.47842068</v>
      </c>
      <c r="M19" s="345">
        <v>0</v>
      </c>
      <c r="N19" s="336">
        <f t="shared" si="2"/>
        <v>12415558.47842068</v>
      </c>
    </row>
    <row r="20" spans="1:15" ht="13" outlineLevel="1" x14ac:dyDescent="0.3">
      <c r="A20" s="727" t="s">
        <v>53</v>
      </c>
      <c r="B20" s="339">
        <v>24.02</v>
      </c>
      <c r="C20" s="340" t="s">
        <v>205</v>
      </c>
      <c r="D20" s="562" t="s">
        <v>220</v>
      </c>
      <c r="E20" s="684" t="s">
        <v>214</v>
      </c>
      <c r="F20" s="363">
        <v>4</v>
      </c>
      <c r="G20" s="345">
        <v>0</v>
      </c>
      <c r="H20" s="345">
        <v>0</v>
      </c>
      <c r="I20" s="346">
        <f t="shared" si="0"/>
        <v>0</v>
      </c>
      <c r="J20" s="345">
        <v>6018681.1639999999</v>
      </c>
      <c r="K20" s="345">
        <v>0</v>
      </c>
      <c r="L20" s="346">
        <f t="shared" si="4"/>
        <v>6018681.1639999999</v>
      </c>
      <c r="M20" s="345">
        <v>0</v>
      </c>
      <c r="N20" s="336">
        <f t="shared" si="2"/>
        <v>6018681.1639999999</v>
      </c>
    </row>
    <row r="21" spans="1:15" ht="13" outlineLevel="1" x14ac:dyDescent="0.3">
      <c r="A21" s="727" t="s">
        <v>53</v>
      </c>
      <c r="B21" s="339">
        <v>24.03</v>
      </c>
      <c r="C21" s="340" t="s">
        <v>205</v>
      </c>
      <c r="D21" s="509" t="s">
        <v>221</v>
      </c>
      <c r="E21" s="684" t="s">
        <v>214</v>
      </c>
      <c r="F21" s="363">
        <v>17</v>
      </c>
      <c r="G21" s="345">
        <v>0</v>
      </c>
      <c r="H21" s="345">
        <v>0</v>
      </c>
      <c r="I21" s="346">
        <f t="shared" si="0"/>
        <v>0</v>
      </c>
      <c r="J21" s="345">
        <v>2550000</v>
      </c>
      <c r="K21" s="345">
        <v>0</v>
      </c>
      <c r="L21" s="346">
        <f t="shared" si="4"/>
        <v>2550000</v>
      </c>
      <c r="M21" s="345">
        <v>0</v>
      </c>
      <c r="N21" s="336">
        <f t="shared" si="2"/>
        <v>2550000</v>
      </c>
    </row>
    <row r="22" spans="1:15" ht="13" outlineLevel="1" x14ac:dyDescent="0.3">
      <c r="A22" s="727" t="s">
        <v>62</v>
      </c>
      <c r="B22" s="339">
        <v>24.04</v>
      </c>
      <c r="C22" s="340" t="s">
        <v>205</v>
      </c>
      <c r="D22" s="509" t="s">
        <v>222</v>
      </c>
      <c r="E22" s="684" t="s">
        <v>207</v>
      </c>
      <c r="F22" s="342">
        <v>1</v>
      </c>
      <c r="G22" s="345">
        <v>2304593.0853333334</v>
      </c>
      <c r="H22" s="345">
        <v>0</v>
      </c>
      <c r="I22" s="346">
        <f t="shared" si="0"/>
        <v>2304593.0853333334</v>
      </c>
      <c r="J22" s="345">
        <v>0</v>
      </c>
      <c r="K22" s="345">
        <v>2341204.7030503028</v>
      </c>
      <c r="L22" s="346">
        <f t="shared" si="4"/>
        <v>2341204.7030503028</v>
      </c>
      <c r="M22" s="345">
        <v>69686.966825754542</v>
      </c>
      <c r="N22" s="336">
        <f t="shared" si="2"/>
        <v>4645797.7883836366</v>
      </c>
    </row>
    <row r="23" spans="1:15" s="686" customFormat="1" ht="13" outlineLevel="1" x14ac:dyDescent="0.3">
      <c r="A23" s="727" t="s">
        <v>62</v>
      </c>
      <c r="B23" s="339">
        <v>24.05</v>
      </c>
      <c r="C23" s="340" t="s">
        <v>205</v>
      </c>
      <c r="D23" s="509" t="s">
        <v>223</v>
      </c>
      <c r="E23" s="685" t="s">
        <v>214</v>
      </c>
      <c r="F23" s="363">
        <v>17</v>
      </c>
      <c r="G23" s="345">
        <v>0</v>
      </c>
      <c r="H23" s="345">
        <v>850000</v>
      </c>
      <c r="I23" s="346">
        <f t="shared" si="0"/>
        <v>850000</v>
      </c>
      <c r="J23" s="345">
        <v>0</v>
      </c>
      <c r="K23" s="345">
        <v>10132488.304245511</v>
      </c>
      <c r="L23" s="346">
        <f t="shared" si="4"/>
        <v>10132488.304245511</v>
      </c>
      <c r="M23" s="345">
        <v>164737.32456368266</v>
      </c>
      <c r="N23" s="336">
        <f t="shared" si="2"/>
        <v>10982488.304245511</v>
      </c>
      <c r="O23" s="677"/>
    </row>
    <row r="24" spans="1:15" s="686" customFormat="1" ht="13" outlineLevel="1" x14ac:dyDescent="0.3">
      <c r="A24" s="727" t="s">
        <v>62</v>
      </c>
      <c r="B24" s="339">
        <v>24.06</v>
      </c>
      <c r="C24" s="340" t="s">
        <v>205</v>
      </c>
      <c r="D24" s="509" t="s">
        <v>224</v>
      </c>
      <c r="E24" s="685" t="s">
        <v>214</v>
      </c>
      <c r="F24" s="363">
        <v>17</v>
      </c>
      <c r="G24" s="345">
        <v>0</v>
      </c>
      <c r="H24" s="345">
        <v>425000</v>
      </c>
      <c r="I24" s="346">
        <f t="shared" si="0"/>
        <v>425000</v>
      </c>
      <c r="J24" s="345">
        <v>0</v>
      </c>
      <c r="K24" s="345">
        <v>6828557.1631313739</v>
      </c>
      <c r="L24" s="346">
        <f t="shared" si="4"/>
        <v>6828557.1631313739</v>
      </c>
      <c r="M24" s="345">
        <v>108803.35744697059</v>
      </c>
      <c r="N24" s="336">
        <f t="shared" si="2"/>
        <v>7253557.1631313739</v>
      </c>
      <c r="O24" s="677"/>
    </row>
    <row r="25" spans="1:15" s="686" customFormat="1" ht="13" outlineLevel="1" x14ac:dyDescent="0.3">
      <c r="A25" s="727" t="s">
        <v>62</v>
      </c>
      <c r="B25" s="339">
        <v>24.07</v>
      </c>
      <c r="C25" s="340" t="s">
        <v>205</v>
      </c>
      <c r="D25" s="509" t="s">
        <v>225</v>
      </c>
      <c r="E25" s="685" t="s">
        <v>207</v>
      </c>
      <c r="F25" s="342">
        <v>1</v>
      </c>
      <c r="G25" s="345">
        <v>250000</v>
      </c>
      <c r="H25" s="345">
        <v>0</v>
      </c>
      <c r="I25" s="346">
        <f t="shared" si="0"/>
        <v>250000</v>
      </c>
      <c r="J25" s="345">
        <v>0</v>
      </c>
      <c r="K25" s="345">
        <v>3651634.8465943178</v>
      </c>
      <c r="L25" s="346">
        <f t="shared" si="4"/>
        <v>3651634.8465943178</v>
      </c>
      <c r="M25" s="345">
        <v>58524.522698914763</v>
      </c>
      <c r="N25" s="336">
        <f t="shared" si="2"/>
        <v>3901634.8465943178</v>
      </c>
      <c r="O25" s="677"/>
    </row>
    <row r="26" spans="1:15" s="686" customFormat="1" ht="13" outlineLevel="1" x14ac:dyDescent="0.3">
      <c r="A26" s="727" t="s">
        <v>55</v>
      </c>
      <c r="B26" s="339">
        <v>24.08</v>
      </c>
      <c r="C26" s="340" t="s">
        <v>205</v>
      </c>
      <c r="D26" s="509" t="s">
        <v>226</v>
      </c>
      <c r="E26" s="685" t="s">
        <v>214</v>
      </c>
      <c r="F26" s="363">
        <v>17</v>
      </c>
      <c r="G26" s="345">
        <v>0</v>
      </c>
      <c r="H26" s="345">
        <v>0</v>
      </c>
      <c r="I26" s="346">
        <f t="shared" si="0"/>
        <v>0</v>
      </c>
      <c r="J26" s="345">
        <v>5100000</v>
      </c>
      <c r="K26" s="345">
        <v>0</v>
      </c>
      <c r="L26" s="346">
        <f t="shared" si="4"/>
        <v>5100000</v>
      </c>
      <c r="M26" s="345">
        <v>0</v>
      </c>
      <c r="N26" s="336">
        <f t="shared" si="2"/>
        <v>5100000</v>
      </c>
      <c r="O26" s="677"/>
    </row>
    <row r="27" spans="1:15" s="688" customFormat="1" ht="13" outlineLevel="1" x14ac:dyDescent="0.3">
      <c r="A27" s="727" t="s">
        <v>69</v>
      </c>
      <c r="B27" s="339">
        <v>24.09</v>
      </c>
      <c r="C27" s="404" t="s">
        <v>205</v>
      </c>
      <c r="D27" s="514" t="s">
        <v>227</v>
      </c>
      <c r="E27" s="687" t="s">
        <v>214</v>
      </c>
      <c r="F27" s="363">
        <v>17</v>
      </c>
      <c r="G27" s="359">
        <v>3400000</v>
      </c>
      <c r="H27" s="359">
        <v>0</v>
      </c>
      <c r="I27" s="346">
        <f t="shared" si="0"/>
        <v>3400000</v>
      </c>
      <c r="J27" s="359">
        <v>0</v>
      </c>
      <c r="K27" s="359">
        <v>1034629.8732017234</v>
      </c>
      <c r="L27" s="346">
        <f t="shared" si="4"/>
        <v>1034629.8732017234</v>
      </c>
      <c r="M27" s="359">
        <v>0</v>
      </c>
      <c r="N27" s="336">
        <f t="shared" si="2"/>
        <v>4434629.8732017232</v>
      </c>
      <c r="O27" s="677"/>
    </row>
    <row r="28" spans="1:15" ht="13" x14ac:dyDescent="0.3">
      <c r="A28" s="727"/>
      <c r="B28" s="325">
        <v>25</v>
      </c>
      <c r="C28" s="326"/>
      <c r="D28" s="276" t="s">
        <v>228</v>
      </c>
      <c r="E28" s="177"/>
      <c r="F28" s="327"/>
      <c r="G28" s="327"/>
      <c r="H28" s="327"/>
      <c r="I28" s="327">
        <f t="shared" si="0"/>
        <v>0</v>
      </c>
      <c r="J28" s="327"/>
      <c r="K28" s="327"/>
      <c r="L28" s="327">
        <f t="shared" si="3"/>
        <v>0</v>
      </c>
      <c r="M28" s="327"/>
      <c r="N28" s="336">
        <f t="shared" si="2"/>
        <v>0</v>
      </c>
    </row>
    <row r="29" spans="1:15" s="682" customFormat="1" ht="13" outlineLevel="1" x14ac:dyDescent="0.3">
      <c r="A29" s="727" t="s">
        <v>54</v>
      </c>
      <c r="B29" s="331">
        <v>25.01</v>
      </c>
      <c r="C29" s="380" t="s">
        <v>205</v>
      </c>
      <c r="D29" s="333" t="s">
        <v>229</v>
      </c>
      <c r="E29" s="182" t="s">
        <v>214</v>
      </c>
      <c r="F29" s="381">
        <v>17</v>
      </c>
      <c r="G29" s="335">
        <v>0</v>
      </c>
      <c r="H29" s="335">
        <v>0</v>
      </c>
      <c r="I29" s="336">
        <f t="shared" si="0"/>
        <v>0</v>
      </c>
      <c r="J29" s="335">
        <v>74327579.894000009</v>
      </c>
      <c r="K29" s="335">
        <v>0</v>
      </c>
      <c r="L29" s="336">
        <f t="shared" ref="L29:L92" si="5">SUM(J29:K29)</f>
        <v>74327579.894000009</v>
      </c>
      <c r="M29" s="335">
        <v>0</v>
      </c>
      <c r="N29" s="336">
        <f t="shared" si="2"/>
        <v>74327579.894000009</v>
      </c>
      <c r="O29" s="677"/>
    </row>
    <row r="30" spans="1:15" s="682" customFormat="1" ht="13" outlineLevel="1" x14ac:dyDescent="0.3">
      <c r="A30" s="727" t="s">
        <v>55</v>
      </c>
      <c r="B30" s="351">
        <v>25.02</v>
      </c>
      <c r="C30" s="352" t="s">
        <v>205</v>
      </c>
      <c r="D30" s="353" t="s">
        <v>230</v>
      </c>
      <c r="E30" s="405" t="s">
        <v>214</v>
      </c>
      <c r="F30" s="379">
        <v>17</v>
      </c>
      <c r="G30" s="359">
        <v>0</v>
      </c>
      <c r="H30" s="359">
        <v>0</v>
      </c>
      <c r="I30" s="360">
        <f t="shared" si="0"/>
        <v>0</v>
      </c>
      <c r="J30" s="359">
        <v>8500000</v>
      </c>
      <c r="K30" s="359">
        <v>0</v>
      </c>
      <c r="L30" s="360">
        <f t="shared" si="5"/>
        <v>8500000</v>
      </c>
      <c r="M30" s="359">
        <v>0</v>
      </c>
      <c r="N30" s="336">
        <f t="shared" si="2"/>
        <v>8500000</v>
      </c>
      <c r="O30" s="677"/>
    </row>
    <row r="31" spans="1:15" s="682" customFormat="1" ht="13" x14ac:dyDescent="0.3">
      <c r="A31" s="727"/>
      <c r="B31" s="325">
        <v>2</v>
      </c>
      <c r="C31" s="326"/>
      <c r="D31" s="607" t="s">
        <v>231</v>
      </c>
      <c r="E31" s="177"/>
      <c r="F31" s="327"/>
      <c r="G31" s="327"/>
      <c r="H31" s="327"/>
      <c r="I31" s="327">
        <f t="shared" si="0"/>
        <v>0</v>
      </c>
      <c r="J31" s="327"/>
      <c r="K31" s="327"/>
      <c r="L31" s="327">
        <f t="shared" si="5"/>
        <v>0</v>
      </c>
      <c r="M31" s="327"/>
      <c r="N31" s="336">
        <f t="shared" si="2"/>
        <v>0</v>
      </c>
      <c r="O31" s="677"/>
    </row>
    <row r="32" spans="1:15" ht="13" outlineLevel="1" x14ac:dyDescent="0.3">
      <c r="A32" s="727" t="s">
        <v>58</v>
      </c>
      <c r="B32" s="339">
        <v>2.0099999999999998</v>
      </c>
      <c r="C32" s="350" t="s">
        <v>205</v>
      </c>
      <c r="D32" s="361" t="s">
        <v>232</v>
      </c>
      <c r="E32" s="362" t="s">
        <v>233</v>
      </c>
      <c r="F32" s="363">
        <v>308</v>
      </c>
      <c r="G32" s="345">
        <v>0</v>
      </c>
      <c r="H32" s="345">
        <v>0</v>
      </c>
      <c r="I32" s="346">
        <f t="shared" si="0"/>
        <v>0</v>
      </c>
      <c r="J32" s="345">
        <v>10164000</v>
      </c>
      <c r="K32" s="345">
        <v>2008399.1656268749</v>
      </c>
      <c r="L32" s="346">
        <f t="shared" si="5"/>
        <v>12172399.165626874</v>
      </c>
      <c r="M32" s="345">
        <v>30125.987484403122</v>
      </c>
      <c r="N32" s="336">
        <f t="shared" si="2"/>
        <v>12172399.165626874</v>
      </c>
    </row>
    <row r="33" spans="1:15" ht="13" outlineLevel="1" x14ac:dyDescent="0.3">
      <c r="A33" s="727" t="s">
        <v>58</v>
      </c>
      <c r="B33" s="339">
        <v>2.02</v>
      </c>
      <c r="C33" s="350" t="s">
        <v>205</v>
      </c>
      <c r="D33" s="361" t="s">
        <v>234</v>
      </c>
      <c r="E33" s="362" t="s">
        <v>207</v>
      </c>
      <c r="F33" s="363">
        <v>1</v>
      </c>
      <c r="G33" s="345">
        <v>105000</v>
      </c>
      <c r="H33" s="345">
        <v>0</v>
      </c>
      <c r="I33" s="346">
        <f t="shared" si="0"/>
        <v>105000</v>
      </c>
      <c r="J33" s="345">
        <v>455000</v>
      </c>
      <c r="K33" s="345">
        <v>8033596.6625074996</v>
      </c>
      <c r="L33" s="346">
        <f t="shared" si="5"/>
        <v>8488596.6625075005</v>
      </c>
      <c r="M33" s="345">
        <v>128903.9499376125</v>
      </c>
      <c r="N33" s="336">
        <f t="shared" si="2"/>
        <v>8593596.6625075005</v>
      </c>
    </row>
    <row r="34" spans="1:15" ht="13" outlineLevel="1" x14ac:dyDescent="0.3">
      <c r="A34" s="727" t="s">
        <v>58</v>
      </c>
      <c r="B34" s="339">
        <v>2.0299999999999998</v>
      </c>
      <c r="C34" s="350" t="s">
        <v>205</v>
      </c>
      <c r="D34" s="361" t="s">
        <v>235</v>
      </c>
      <c r="E34" s="362" t="s">
        <v>233</v>
      </c>
      <c r="F34" s="363">
        <v>15</v>
      </c>
      <c r="G34" s="345">
        <v>390000.00000000006</v>
      </c>
      <c r="H34" s="345">
        <v>0</v>
      </c>
      <c r="I34" s="346">
        <f t="shared" si="0"/>
        <v>390000.00000000006</v>
      </c>
      <c r="J34" s="345">
        <v>0</v>
      </c>
      <c r="K34" s="345">
        <v>912908.71164857945</v>
      </c>
      <c r="L34" s="346">
        <f t="shared" si="5"/>
        <v>912908.71164857945</v>
      </c>
      <c r="M34" s="345">
        <v>19543.630674728691</v>
      </c>
      <c r="N34" s="336">
        <f t="shared" si="2"/>
        <v>1302908.7116485795</v>
      </c>
    </row>
    <row r="35" spans="1:15" ht="13.9" customHeight="1" outlineLevel="1" x14ac:dyDescent="0.3">
      <c r="A35" s="727" t="s">
        <v>58</v>
      </c>
      <c r="B35" s="621">
        <v>2.04</v>
      </c>
      <c r="C35" s="375" t="s">
        <v>236</v>
      </c>
      <c r="D35" s="622" t="s">
        <v>237</v>
      </c>
      <c r="E35" s="377" t="s">
        <v>238</v>
      </c>
      <c r="F35" s="378">
        <v>0</v>
      </c>
      <c r="G35" s="345">
        <v>0</v>
      </c>
      <c r="H35" s="345">
        <v>0</v>
      </c>
      <c r="I35" s="346">
        <f t="shared" si="0"/>
        <v>0</v>
      </c>
      <c r="J35" s="345">
        <v>0</v>
      </c>
      <c r="K35" s="345">
        <v>0</v>
      </c>
      <c r="L35" s="346">
        <f t="shared" si="5"/>
        <v>0</v>
      </c>
      <c r="M35" s="345">
        <v>0</v>
      </c>
      <c r="N35" s="336">
        <f t="shared" si="2"/>
        <v>0</v>
      </c>
    </row>
    <row r="36" spans="1:15" ht="13" outlineLevel="1" x14ac:dyDescent="0.3">
      <c r="A36" s="727" t="s">
        <v>58</v>
      </c>
      <c r="B36" s="351">
        <v>2.0499999999999998</v>
      </c>
      <c r="C36" s="352" t="s">
        <v>205</v>
      </c>
      <c r="D36" s="623" t="s">
        <v>239</v>
      </c>
      <c r="E36" s="405" t="s">
        <v>207</v>
      </c>
      <c r="F36" s="379">
        <v>0</v>
      </c>
      <c r="G36" s="359">
        <v>0</v>
      </c>
      <c r="H36" s="359">
        <v>0</v>
      </c>
      <c r="I36" s="360">
        <f t="shared" si="0"/>
        <v>0</v>
      </c>
      <c r="J36" s="359">
        <v>0</v>
      </c>
      <c r="K36" s="359">
        <v>0</v>
      </c>
      <c r="L36" s="360">
        <f t="shared" si="5"/>
        <v>0</v>
      </c>
      <c r="M36" s="359">
        <v>0</v>
      </c>
      <c r="N36" s="336">
        <f t="shared" si="2"/>
        <v>0</v>
      </c>
    </row>
    <row r="37" spans="1:15" s="682" customFormat="1" ht="13" x14ac:dyDescent="0.3">
      <c r="A37" s="727"/>
      <c r="B37" s="325">
        <v>3</v>
      </c>
      <c r="C37" s="326"/>
      <c r="D37" s="607" t="s">
        <v>240</v>
      </c>
      <c r="E37" s="177"/>
      <c r="F37" s="327"/>
      <c r="G37" s="327"/>
      <c r="H37" s="327"/>
      <c r="I37" s="327">
        <f t="shared" si="0"/>
        <v>0</v>
      </c>
      <c r="J37" s="327"/>
      <c r="K37" s="327"/>
      <c r="L37" s="327">
        <f t="shared" si="5"/>
        <v>0</v>
      </c>
      <c r="M37" s="327"/>
      <c r="N37" s="336">
        <f t="shared" si="2"/>
        <v>0</v>
      </c>
      <c r="O37" s="677"/>
    </row>
    <row r="38" spans="1:15" ht="13" outlineLevel="1" x14ac:dyDescent="0.3">
      <c r="A38" s="727" t="s">
        <v>59</v>
      </c>
      <c r="B38" s="339">
        <v>3.01</v>
      </c>
      <c r="C38" s="350" t="s">
        <v>205</v>
      </c>
      <c r="D38" s="367" t="s">
        <v>241</v>
      </c>
      <c r="E38" s="180" t="s">
        <v>233</v>
      </c>
      <c r="F38" s="125">
        <v>13</v>
      </c>
      <c r="G38" s="345">
        <v>1496300</v>
      </c>
      <c r="H38" s="345">
        <v>0</v>
      </c>
      <c r="I38" s="346">
        <f t="shared" si="0"/>
        <v>1496300</v>
      </c>
      <c r="J38" s="345">
        <v>0</v>
      </c>
      <c r="K38" s="345">
        <v>1320846.5644814395</v>
      </c>
      <c r="L38" s="346">
        <f t="shared" si="5"/>
        <v>1320846.5644814395</v>
      </c>
      <c r="M38" s="345">
        <v>42257.198467221591</v>
      </c>
      <c r="N38" s="336">
        <f t="shared" si="2"/>
        <v>2817146.5644814395</v>
      </c>
    </row>
    <row r="39" spans="1:15" ht="13" outlineLevel="1" x14ac:dyDescent="0.3">
      <c r="A39" s="727" t="s">
        <v>59</v>
      </c>
      <c r="B39" s="339">
        <v>3.02</v>
      </c>
      <c r="C39" s="350" t="s">
        <v>205</v>
      </c>
      <c r="D39" s="367" t="s">
        <v>242</v>
      </c>
      <c r="E39" s="180" t="s">
        <v>243</v>
      </c>
      <c r="F39" s="125">
        <v>18</v>
      </c>
      <c r="G39" s="345">
        <v>1630274.3341920001</v>
      </c>
      <c r="H39" s="345">
        <v>0</v>
      </c>
      <c r="I39" s="346">
        <f t="shared" si="0"/>
        <v>1630274.3341920001</v>
      </c>
      <c r="J39" s="345">
        <v>4500000</v>
      </c>
      <c r="K39" s="345">
        <v>0</v>
      </c>
      <c r="L39" s="346">
        <f t="shared" si="5"/>
        <v>4500000</v>
      </c>
      <c r="M39" s="345">
        <v>91954.115012880007</v>
      </c>
      <c r="N39" s="336">
        <f t="shared" si="2"/>
        <v>6130274.3341920003</v>
      </c>
    </row>
    <row r="40" spans="1:15" ht="13" outlineLevel="1" x14ac:dyDescent="0.3">
      <c r="A40" s="727" t="s">
        <v>59</v>
      </c>
      <c r="B40" s="339">
        <v>3.03</v>
      </c>
      <c r="C40" s="350" t="s">
        <v>205</v>
      </c>
      <c r="D40" s="367" t="s">
        <v>244</v>
      </c>
      <c r="E40" s="180" t="s">
        <v>233</v>
      </c>
      <c r="F40" s="125">
        <v>12</v>
      </c>
      <c r="G40" s="345">
        <v>4824870.50070218</v>
      </c>
      <c r="H40" s="345">
        <v>0</v>
      </c>
      <c r="I40" s="346">
        <f t="shared" si="0"/>
        <v>4824870.50070218</v>
      </c>
      <c r="J40" s="345">
        <v>4291690.7984939935</v>
      </c>
      <c r="K40" s="345">
        <v>0</v>
      </c>
      <c r="L40" s="346">
        <f t="shared" si="5"/>
        <v>4291690.7984939935</v>
      </c>
      <c r="M40" s="345">
        <v>136748.41948794259</v>
      </c>
      <c r="N40" s="336">
        <f t="shared" si="2"/>
        <v>9116561.2991961725</v>
      </c>
    </row>
    <row r="41" spans="1:15" ht="13" outlineLevel="1" x14ac:dyDescent="0.3">
      <c r="A41" s="727" t="s">
        <v>59</v>
      </c>
      <c r="B41" s="339">
        <v>3.04</v>
      </c>
      <c r="C41" s="350" t="s">
        <v>205</v>
      </c>
      <c r="D41" s="367" t="s">
        <v>245</v>
      </c>
      <c r="E41" s="180" t="s">
        <v>233</v>
      </c>
      <c r="F41" s="125">
        <v>7</v>
      </c>
      <c r="G41" s="345">
        <v>2997376.0617934172</v>
      </c>
      <c r="H41" s="345">
        <v>0</v>
      </c>
      <c r="I41" s="346">
        <f t="shared" si="0"/>
        <v>2997376.0617934172</v>
      </c>
      <c r="J41" s="345">
        <v>1971437.7352277006</v>
      </c>
      <c r="K41" s="345">
        <v>0</v>
      </c>
      <c r="L41" s="346">
        <f t="shared" si="5"/>
        <v>1971437.7352277006</v>
      </c>
      <c r="M41" s="345">
        <v>74532.206955316768</v>
      </c>
      <c r="N41" s="336">
        <f t="shared" si="2"/>
        <v>4968813.797021118</v>
      </c>
    </row>
    <row r="42" spans="1:15" ht="13" outlineLevel="1" x14ac:dyDescent="0.3">
      <c r="A42" s="727" t="s">
        <v>59</v>
      </c>
      <c r="B42" s="339">
        <v>3.05</v>
      </c>
      <c r="C42" s="350" t="s">
        <v>205</v>
      </c>
      <c r="D42" s="367" t="s">
        <v>246</v>
      </c>
      <c r="E42" s="180" t="s">
        <v>233</v>
      </c>
      <c r="F42" s="125">
        <v>38</v>
      </c>
      <c r="G42" s="345">
        <v>12680619.220034372</v>
      </c>
      <c r="H42" s="345">
        <v>0</v>
      </c>
      <c r="I42" s="346">
        <f t="shared" si="0"/>
        <v>12680619.220034372</v>
      </c>
      <c r="J42" s="345">
        <v>7384442.488238615</v>
      </c>
      <c r="K42" s="345">
        <v>0</v>
      </c>
      <c r="L42" s="346">
        <f t="shared" si="5"/>
        <v>7384442.488238615</v>
      </c>
      <c r="M42" s="345">
        <v>300975.92562409479</v>
      </c>
      <c r="N42" s="336">
        <f t="shared" si="2"/>
        <v>20065061.708272986</v>
      </c>
    </row>
    <row r="43" spans="1:15" ht="13" outlineLevel="1" x14ac:dyDescent="0.3">
      <c r="A43" s="727" t="s">
        <v>59</v>
      </c>
      <c r="B43" s="339">
        <v>3.06</v>
      </c>
      <c r="C43" s="350" t="s">
        <v>205</v>
      </c>
      <c r="D43" s="367" t="s">
        <v>247</v>
      </c>
      <c r="E43" s="180" t="s">
        <v>233</v>
      </c>
      <c r="F43" s="125">
        <v>51</v>
      </c>
      <c r="G43" s="345">
        <v>14027161.292809289</v>
      </c>
      <c r="H43" s="345">
        <v>0</v>
      </c>
      <c r="I43" s="346">
        <f t="shared" si="0"/>
        <v>14027161.292809289</v>
      </c>
      <c r="J43" s="345">
        <v>9910699.1289518252</v>
      </c>
      <c r="K43" s="345">
        <v>0</v>
      </c>
      <c r="L43" s="346">
        <f t="shared" si="5"/>
        <v>9910699.1289518252</v>
      </c>
      <c r="M43" s="345">
        <v>359067.90632641671</v>
      </c>
      <c r="N43" s="336">
        <f t="shared" si="2"/>
        <v>23937860.421761114</v>
      </c>
    </row>
    <row r="44" spans="1:15" ht="13" outlineLevel="1" x14ac:dyDescent="0.3">
      <c r="A44" s="727" t="s">
        <v>59</v>
      </c>
      <c r="B44" s="339">
        <v>3.07</v>
      </c>
      <c r="C44" s="350" t="s">
        <v>205</v>
      </c>
      <c r="D44" s="367" t="s">
        <v>248</v>
      </c>
      <c r="E44" s="180" t="s">
        <v>233</v>
      </c>
      <c r="F44" s="125">
        <v>16</v>
      </c>
      <c r="G44" s="345">
        <v>10163083.475618247</v>
      </c>
      <c r="H44" s="345">
        <v>0</v>
      </c>
      <c r="I44" s="346">
        <f t="shared" si="0"/>
        <v>10163083.475618247</v>
      </c>
      <c r="J44" s="345">
        <v>5086624.7601995915</v>
      </c>
      <c r="K44" s="345">
        <v>0</v>
      </c>
      <c r="L44" s="346">
        <f t="shared" si="5"/>
        <v>5086624.7601995915</v>
      </c>
      <c r="M44" s="345">
        <v>228745.62353726756</v>
      </c>
      <c r="N44" s="336">
        <f t="shared" si="2"/>
        <v>15249708.235817838</v>
      </c>
    </row>
    <row r="45" spans="1:15" ht="13" outlineLevel="1" x14ac:dyDescent="0.3">
      <c r="A45" s="727" t="s">
        <v>59</v>
      </c>
      <c r="B45" s="339">
        <v>3.08</v>
      </c>
      <c r="C45" s="350" t="s">
        <v>205</v>
      </c>
      <c r="D45" s="367" t="s">
        <v>249</v>
      </c>
      <c r="E45" s="180" t="s">
        <v>233</v>
      </c>
      <c r="F45" s="125">
        <v>7</v>
      </c>
      <c r="G45" s="345">
        <v>3701273.5917934179</v>
      </c>
      <c r="H45" s="345">
        <v>0</v>
      </c>
      <c r="I45" s="346">
        <f t="shared" si="0"/>
        <v>3701273.5917934179</v>
      </c>
      <c r="J45" s="345">
        <v>1971437.7352277006</v>
      </c>
      <c r="K45" s="345">
        <v>0</v>
      </c>
      <c r="L45" s="346">
        <f t="shared" si="5"/>
        <v>1971437.7352277006</v>
      </c>
      <c r="M45" s="345">
        <v>85090.669905316783</v>
      </c>
      <c r="N45" s="336">
        <f t="shared" si="2"/>
        <v>5672711.3270211183</v>
      </c>
    </row>
    <row r="46" spans="1:15" ht="13" outlineLevel="1" x14ac:dyDescent="0.3">
      <c r="A46" s="727" t="s">
        <v>59</v>
      </c>
      <c r="B46" s="339">
        <v>3.09</v>
      </c>
      <c r="C46" s="350" t="s">
        <v>205</v>
      </c>
      <c r="D46" s="341" t="s">
        <v>250</v>
      </c>
      <c r="E46" s="362" t="s">
        <v>233</v>
      </c>
      <c r="F46" s="342">
        <v>90</v>
      </c>
      <c r="G46" s="345">
        <v>33532589.695414953</v>
      </c>
      <c r="H46" s="345">
        <v>0</v>
      </c>
      <c r="I46" s="346">
        <f t="shared" si="0"/>
        <v>33532589.695414953</v>
      </c>
      <c r="J46" s="345">
        <v>19961171.543937702</v>
      </c>
      <c r="K46" s="345">
        <v>0</v>
      </c>
      <c r="L46" s="346">
        <f t="shared" si="5"/>
        <v>19961171.543937702</v>
      </c>
      <c r="M46" s="345">
        <v>802406.41859028989</v>
      </c>
      <c r="N46" s="336">
        <f t="shared" si="2"/>
        <v>53493761.239352658</v>
      </c>
    </row>
    <row r="47" spans="1:15" ht="13" outlineLevel="1" x14ac:dyDescent="0.3">
      <c r="A47" s="727" t="s">
        <v>59</v>
      </c>
      <c r="B47" s="339">
        <v>3.1</v>
      </c>
      <c r="C47" s="350" t="s">
        <v>205</v>
      </c>
      <c r="D47" s="341" t="s">
        <v>251</v>
      </c>
      <c r="E47" s="362" t="s">
        <v>233</v>
      </c>
      <c r="F47" s="342">
        <v>32</v>
      </c>
      <c r="G47" s="345">
        <v>12152282.684160748</v>
      </c>
      <c r="H47" s="345">
        <v>0</v>
      </c>
      <c r="I47" s="346">
        <f t="shared" si="0"/>
        <v>12152282.684160748</v>
      </c>
      <c r="J47" s="345">
        <v>7097305.4378445167</v>
      </c>
      <c r="K47" s="345">
        <v>1774326.3594611292</v>
      </c>
      <c r="L47" s="346">
        <f t="shared" si="5"/>
        <v>8871631.7973056454</v>
      </c>
      <c r="M47" s="345">
        <v>315358.71722199587</v>
      </c>
      <c r="N47" s="336">
        <f t="shared" si="2"/>
        <v>21023914.481466394</v>
      </c>
    </row>
    <row r="48" spans="1:15" ht="13" outlineLevel="1" x14ac:dyDescent="0.3">
      <c r="A48" s="727" t="s">
        <v>59</v>
      </c>
      <c r="B48" s="339">
        <v>3.11</v>
      </c>
      <c r="C48" s="350" t="s">
        <v>205</v>
      </c>
      <c r="D48" s="341" t="s">
        <v>252</v>
      </c>
      <c r="E48" s="362" t="s">
        <v>233</v>
      </c>
      <c r="F48" s="342">
        <v>46</v>
      </c>
      <c r="G48" s="345">
        <v>26124021.305646308</v>
      </c>
      <c r="H48" s="345">
        <v>0</v>
      </c>
      <c r="I48" s="346">
        <f t="shared" si="0"/>
        <v>26124021.305646308</v>
      </c>
      <c r="J48" s="345">
        <v>24703693.110096723</v>
      </c>
      <c r="K48" s="345">
        <v>0</v>
      </c>
      <c r="L48" s="346">
        <f t="shared" si="5"/>
        <v>24703693.110096723</v>
      </c>
      <c r="M48" s="345">
        <v>762415.71623614535</v>
      </c>
      <c r="N48" s="336">
        <f t="shared" si="2"/>
        <v>50827714.415743031</v>
      </c>
    </row>
    <row r="49" spans="1:15" ht="13" outlineLevel="1" x14ac:dyDescent="0.3">
      <c r="A49" s="727" t="s">
        <v>59</v>
      </c>
      <c r="B49" s="339">
        <v>3.12</v>
      </c>
      <c r="C49" s="350" t="s">
        <v>205</v>
      </c>
      <c r="D49" s="341" t="s">
        <v>253</v>
      </c>
      <c r="E49" s="362" t="s">
        <v>233</v>
      </c>
      <c r="F49" s="342">
        <v>31</v>
      </c>
      <c r="G49" s="345">
        <v>17538462.817036878</v>
      </c>
      <c r="H49" s="345">
        <v>0</v>
      </c>
      <c r="I49" s="346">
        <f t="shared" si="0"/>
        <v>17538462.817036878</v>
      </c>
      <c r="J49" s="345">
        <v>16648141.008978225</v>
      </c>
      <c r="K49" s="345">
        <v>4162035.2522445563</v>
      </c>
      <c r="L49" s="346">
        <f t="shared" si="5"/>
        <v>20810176.26122278</v>
      </c>
      <c r="M49" s="345">
        <v>575229.58617389482</v>
      </c>
      <c r="N49" s="336">
        <f t="shared" si="2"/>
        <v>38348639.078259662</v>
      </c>
    </row>
    <row r="50" spans="1:15" ht="13" outlineLevel="1" x14ac:dyDescent="0.3">
      <c r="A50" s="727" t="s">
        <v>59</v>
      </c>
      <c r="B50" s="339">
        <v>3.13</v>
      </c>
      <c r="C50" s="350" t="s">
        <v>205</v>
      </c>
      <c r="D50" s="341" t="s">
        <v>254</v>
      </c>
      <c r="E50" s="362" t="s">
        <v>233</v>
      </c>
      <c r="F50" s="342">
        <v>24</v>
      </c>
      <c r="G50" s="345">
        <v>9850854.5814043581</v>
      </c>
      <c r="H50" s="345">
        <v>0</v>
      </c>
      <c r="I50" s="346">
        <f t="shared" si="0"/>
        <v>9850854.5814043581</v>
      </c>
      <c r="J50" s="345">
        <v>8583381.5969879869</v>
      </c>
      <c r="K50" s="345">
        <v>0</v>
      </c>
      <c r="L50" s="346">
        <f t="shared" si="5"/>
        <v>8583381.5969879869</v>
      </c>
      <c r="M50" s="345">
        <v>276513.5426758852</v>
      </c>
      <c r="N50" s="336">
        <f t="shared" si="2"/>
        <v>18434236.178392343</v>
      </c>
    </row>
    <row r="51" spans="1:15" ht="13" outlineLevel="1" x14ac:dyDescent="0.3">
      <c r="A51" s="727" t="s">
        <v>59</v>
      </c>
      <c r="B51" s="339">
        <v>3.14</v>
      </c>
      <c r="C51" s="350" t="s">
        <v>205</v>
      </c>
      <c r="D51" s="341" t="s">
        <v>255</v>
      </c>
      <c r="E51" s="362" t="s">
        <v>233</v>
      </c>
      <c r="F51" s="342">
        <v>39</v>
      </c>
      <c r="G51" s="345">
        <v>20850801.161819477</v>
      </c>
      <c r="H51" s="345">
        <v>0</v>
      </c>
      <c r="I51" s="346">
        <f t="shared" si="0"/>
        <v>20850801.161819477</v>
      </c>
      <c r="J51" s="345">
        <v>12398647.852986503</v>
      </c>
      <c r="K51" s="345">
        <v>0</v>
      </c>
      <c r="L51" s="346">
        <f t="shared" si="5"/>
        <v>12398647.852986503</v>
      </c>
      <c r="M51" s="345">
        <v>498741.73522208969</v>
      </c>
      <c r="N51" s="336">
        <f t="shared" si="2"/>
        <v>33249449.01480598</v>
      </c>
    </row>
    <row r="52" spans="1:15" ht="13" outlineLevel="1" x14ac:dyDescent="0.3">
      <c r="A52" s="727" t="s">
        <v>59</v>
      </c>
      <c r="B52" s="339">
        <v>3.16</v>
      </c>
      <c r="C52" s="350" t="s">
        <v>205</v>
      </c>
      <c r="D52" s="341" t="s">
        <v>256</v>
      </c>
      <c r="E52" s="362" t="s">
        <v>233</v>
      </c>
      <c r="F52" s="342">
        <v>4</v>
      </c>
      <c r="G52" s="345">
        <v>2174631.8423657315</v>
      </c>
      <c r="H52" s="345">
        <v>0</v>
      </c>
      <c r="I52" s="346">
        <f t="shared" si="0"/>
        <v>2174631.8423657315</v>
      </c>
      <c r="J52" s="345">
        <v>1271656.1900498979</v>
      </c>
      <c r="K52" s="345">
        <v>317914.04751247447</v>
      </c>
      <c r="L52" s="346">
        <f t="shared" si="5"/>
        <v>1589570.2375623723</v>
      </c>
      <c r="M52" s="345">
        <v>0</v>
      </c>
      <c r="N52" s="336">
        <f t="shared" si="2"/>
        <v>3764202.0799281038</v>
      </c>
    </row>
    <row r="53" spans="1:15" ht="13" outlineLevel="1" x14ac:dyDescent="0.3">
      <c r="A53" s="727" t="s">
        <v>59</v>
      </c>
      <c r="B53" s="339">
        <v>3.17</v>
      </c>
      <c r="C53" s="350" t="s">
        <v>205</v>
      </c>
      <c r="D53" s="341" t="s">
        <v>257</v>
      </c>
      <c r="E53" s="362" t="s">
        <v>233</v>
      </c>
      <c r="F53" s="342">
        <v>10</v>
      </c>
      <c r="G53" s="345">
        <v>4161736.0204176838</v>
      </c>
      <c r="H53" s="345">
        <v>0</v>
      </c>
      <c r="I53" s="346">
        <f t="shared" si="0"/>
        <v>4161736.0204176838</v>
      </c>
      <c r="J53" s="345">
        <v>3244244.3495983491</v>
      </c>
      <c r="K53" s="345">
        <v>811061.08739958727</v>
      </c>
      <c r="L53" s="346">
        <f t="shared" si="5"/>
        <v>4055305.4369979361</v>
      </c>
      <c r="M53" s="345">
        <v>123255.62186123431</v>
      </c>
      <c r="N53" s="336">
        <f t="shared" si="2"/>
        <v>8217041.4574156199</v>
      </c>
    </row>
    <row r="54" spans="1:15" ht="13" outlineLevel="1" x14ac:dyDescent="0.3">
      <c r="A54" s="727" t="s">
        <v>59</v>
      </c>
      <c r="B54" s="339">
        <v>3.18</v>
      </c>
      <c r="C54" s="350" t="s">
        <v>205</v>
      </c>
      <c r="D54" s="341" t="s">
        <v>258</v>
      </c>
      <c r="E54" s="362" t="s">
        <v>233</v>
      </c>
      <c r="F54" s="342">
        <v>6</v>
      </c>
      <c r="G54" s="345">
        <v>2462713.6453510895</v>
      </c>
      <c r="H54" s="345">
        <v>0</v>
      </c>
      <c r="I54" s="346">
        <f t="shared" si="0"/>
        <v>2462713.6453510895</v>
      </c>
      <c r="J54" s="345">
        <v>2145845.3992469967</v>
      </c>
      <c r="K54" s="345">
        <v>0</v>
      </c>
      <c r="L54" s="346">
        <f t="shared" si="5"/>
        <v>2145845.3992469967</v>
      </c>
      <c r="M54" s="345">
        <v>69128.385668971299</v>
      </c>
      <c r="N54" s="336">
        <f t="shared" si="2"/>
        <v>4608559.0445980858</v>
      </c>
    </row>
    <row r="55" spans="1:15" ht="13" outlineLevel="1" x14ac:dyDescent="0.3">
      <c r="A55" s="727" t="s">
        <v>59</v>
      </c>
      <c r="B55" s="339">
        <v>3.19</v>
      </c>
      <c r="C55" s="350" t="s">
        <v>205</v>
      </c>
      <c r="D55" s="372" t="s">
        <v>259</v>
      </c>
      <c r="E55" s="362" t="s">
        <v>207</v>
      </c>
      <c r="F55" s="625">
        <v>1</v>
      </c>
      <c r="G55" s="345">
        <v>0</v>
      </c>
      <c r="H55" s="345">
        <v>0</v>
      </c>
      <c r="I55" s="346">
        <f t="shared" si="0"/>
        <v>0</v>
      </c>
      <c r="J55" s="345">
        <v>0</v>
      </c>
      <c r="K55" s="345">
        <v>0</v>
      </c>
      <c r="L55" s="346">
        <f t="shared" si="5"/>
        <v>0</v>
      </c>
      <c r="M55" s="345">
        <v>8458556.625</v>
      </c>
      <c r="N55" s="336">
        <f t="shared" si="2"/>
        <v>0</v>
      </c>
    </row>
    <row r="56" spans="1:15" ht="13" outlineLevel="1" x14ac:dyDescent="0.3">
      <c r="A56" s="727" t="s">
        <v>59</v>
      </c>
      <c r="B56" s="339">
        <v>3.2</v>
      </c>
      <c r="C56" s="350" t="s">
        <v>205</v>
      </c>
      <c r="D56" s="372" t="s">
        <v>260</v>
      </c>
      <c r="E56" s="362" t="s">
        <v>243</v>
      </c>
      <c r="F56" s="363">
        <v>15</v>
      </c>
      <c r="G56" s="345">
        <v>0</v>
      </c>
      <c r="H56" s="345">
        <v>0</v>
      </c>
      <c r="I56" s="346">
        <f t="shared" si="0"/>
        <v>0</v>
      </c>
      <c r="J56" s="345">
        <v>3430680</v>
      </c>
      <c r="K56" s="345">
        <v>0</v>
      </c>
      <c r="L56" s="346">
        <f t="shared" si="5"/>
        <v>3430680</v>
      </c>
      <c r="M56" s="345">
        <v>0</v>
      </c>
      <c r="N56" s="336">
        <f t="shared" si="2"/>
        <v>3430680</v>
      </c>
    </row>
    <row r="57" spans="1:15" ht="13" outlineLevel="1" x14ac:dyDescent="0.3">
      <c r="A57" s="727" t="s">
        <v>59</v>
      </c>
      <c r="B57" s="339">
        <v>3.21</v>
      </c>
      <c r="C57" s="350" t="s">
        <v>205</v>
      </c>
      <c r="D57" s="376" t="s">
        <v>261</v>
      </c>
      <c r="E57" s="377" t="s">
        <v>207</v>
      </c>
      <c r="F57" s="378">
        <v>3</v>
      </c>
      <c r="G57" s="345">
        <v>153719.00826446281</v>
      </c>
      <c r="H57" s="345">
        <v>0</v>
      </c>
      <c r="I57" s="346">
        <f t="shared" si="0"/>
        <v>153719.00826446281</v>
      </c>
      <c r="J57" s="345">
        <v>0</v>
      </c>
      <c r="K57" s="345">
        <v>0</v>
      </c>
      <c r="L57" s="346">
        <f t="shared" si="5"/>
        <v>0</v>
      </c>
      <c r="M57" s="345">
        <v>0</v>
      </c>
      <c r="N57" s="336">
        <f t="shared" si="2"/>
        <v>153719.00826446281</v>
      </c>
    </row>
    <row r="58" spans="1:15" ht="13" outlineLevel="1" x14ac:dyDescent="0.3">
      <c r="A58" s="727" t="s">
        <v>59</v>
      </c>
      <c r="B58" s="339">
        <v>3.22</v>
      </c>
      <c r="C58" s="350" t="s">
        <v>205</v>
      </c>
      <c r="D58" s="353" t="s">
        <v>262</v>
      </c>
      <c r="E58" s="689" t="s">
        <v>238</v>
      </c>
      <c r="F58" s="379">
        <v>78</v>
      </c>
      <c r="G58" s="345">
        <v>400000</v>
      </c>
      <c r="H58" s="345">
        <v>150000</v>
      </c>
      <c r="I58" s="346">
        <f t="shared" si="0"/>
        <v>550000</v>
      </c>
      <c r="J58" s="345">
        <v>0</v>
      </c>
      <c r="K58" s="345">
        <v>1390733.6888180112</v>
      </c>
      <c r="L58" s="346">
        <f t="shared" si="5"/>
        <v>1390733.6888180112</v>
      </c>
      <c r="M58" s="345">
        <v>29111.005332270164</v>
      </c>
      <c r="N58" s="336">
        <f t="shared" si="2"/>
        <v>1940733.6888180112</v>
      </c>
    </row>
    <row r="59" spans="1:15" ht="13" outlineLevel="1" x14ac:dyDescent="0.3">
      <c r="A59" s="727"/>
      <c r="B59" s="627"/>
      <c r="C59" s="578"/>
      <c r="D59" s="628"/>
      <c r="E59" s="690"/>
      <c r="F59" s="629"/>
      <c r="G59" s="329">
        <f>SUM(G8:G58)</f>
        <v>191859696.05176127</v>
      </c>
      <c r="H59" s="329">
        <f t="shared" ref="H59:M59" si="6">SUM(H8:H58)</f>
        <v>1750000</v>
      </c>
      <c r="I59" s="329">
        <f t="shared" si="6"/>
        <v>193609696.05176127</v>
      </c>
      <c r="J59" s="329">
        <f t="shared" si="6"/>
        <v>257116796.77618289</v>
      </c>
      <c r="K59" s="329">
        <f t="shared" si="6"/>
        <v>51650514.757178478</v>
      </c>
      <c r="L59" s="329">
        <f t="shared" si="5"/>
        <v>308767311.53336138</v>
      </c>
      <c r="M59" s="329">
        <f t="shared" si="6"/>
        <v>14005948.482459875</v>
      </c>
      <c r="N59" s="336">
        <f t="shared" si="2"/>
        <v>502377007.58512264</v>
      </c>
    </row>
    <row r="60" spans="1:15" s="682" customFormat="1" ht="13" x14ac:dyDescent="0.3">
      <c r="A60" s="727"/>
      <c r="B60" s="325">
        <v>4</v>
      </c>
      <c r="C60" s="326"/>
      <c r="D60" s="607" t="s">
        <v>263</v>
      </c>
      <c r="E60" s="177"/>
      <c r="F60" s="327"/>
      <c r="G60" s="327"/>
      <c r="H60" s="327"/>
      <c r="I60" s="327">
        <f t="shared" si="0"/>
        <v>0</v>
      </c>
      <c r="J60" s="327"/>
      <c r="K60" s="327"/>
      <c r="L60" s="327">
        <f t="shared" si="5"/>
        <v>0</v>
      </c>
      <c r="M60" s="327"/>
      <c r="N60" s="336">
        <f t="shared" si="2"/>
        <v>0</v>
      </c>
      <c r="O60" s="677"/>
    </row>
    <row r="61" spans="1:15" s="682" customFormat="1" ht="13" outlineLevel="1" x14ac:dyDescent="0.3">
      <c r="A61" s="727" t="s">
        <v>62</v>
      </c>
      <c r="B61" s="331">
        <v>4.01</v>
      </c>
      <c r="C61" s="380" t="s">
        <v>205</v>
      </c>
      <c r="D61" s="333" t="s">
        <v>264</v>
      </c>
      <c r="E61" s="182" t="s">
        <v>238</v>
      </c>
      <c r="F61" s="381">
        <v>621</v>
      </c>
      <c r="G61" s="335">
        <v>0</v>
      </c>
      <c r="H61" s="335">
        <v>4093008.655763627</v>
      </c>
      <c r="I61" s="336">
        <f t="shared" si="0"/>
        <v>4093008.655763627</v>
      </c>
      <c r="J61" s="335">
        <v>0</v>
      </c>
      <c r="K61" s="335">
        <v>6077009.8664321592</v>
      </c>
      <c r="L61" s="336">
        <f t="shared" si="5"/>
        <v>6077009.8664321592</v>
      </c>
      <c r="M61" s="335">
        <v>146141.11763091732</v>
      </c>
      <c r="N61" s="336">
        <f>SUM(I61,L61)</f>
        <v>10170018.522195786</v>
      </c>
      <c r="O61" s="677"/>
    </row>
    <row r="62" spans="1:15" s="682" customFormat="1" ht="13" outlineLevel="1" x14ac:dyDescent="0.3">
      <c r="A62" s="727" t="s">
        <v>62</v>
      </c>
      <c r="B62" s="339">
        <v>4.0199999999999996</v>
      </c>
      <c r="C62" s="350" t="s">
        <v>205</v>
      </c>
      <c r="D62" s="386" t="s">
        <v>265</v>
      </c>
      <c r="E62" s="362" t="s">
        <v>238</v>
      </c>
      <c r="F62" s="363">
        <v>780</v>
      </c>
      <c r="G62" s="345">
        <v>0</v>
      </c>
      <c r="H62" s="345">
        <v>6485308.4836800005</v>
      </c>
      <c r="I62" s="346">
        <f t="shared" si="0"/>
        <v>6485308.4836800005</v>
      </c>
      <c r="J62" s="345">
        <v>0</v>
      </c>
      <c r="K62" s="345">
        <v>7632959.2525234856</v>
      </c>
      <c r="L62" s="346">
        <f t="shared" si="5"/>
        <v>7632959.2525234856</v>
      </c>
      <c r="M62" s="345">
        <v>183558.89171033094</v>
      </c>
      <c r="N62" s="336">
        <f t="shared" si="2"/>
        <v>14118267.736203486</v>
      </c>
      <c r="O62" s="677"/>
    </row>
    <row r="63" spans="1:15" s="682" customFormat="1" ht="13" outlineLevel="1" x14ac:dyDescent="0.3">
      <c r="A63" s="727" t="s">
        <v>62</v>
      </c>
      <c r="B63" s="339">
        <v>4.03</v>
      </c>
      <c r="C63" s="350" t="s">
        <v>205</v>
      </c>
      <c r="D63" s="341" t="s">
        <v>266</v>
      </c>
      <c r="E63" s="362" t="s">
        <v>238</v>
      </c>
      <c r="F63" s="363">
        <v>56</v>
      </c>
      <c r="G63" s="345">
        <v>0</v>
      </c>
      <c r="H63" s="345">
        <v>361462.64779314207</v>
      </c>
      <c r="I63" s="346">
        <f t="shared" si="0"/>
        <v>361462.64779314207</v>
      </c>
      <c r="J63" s="345">
        <v>0</v>
      </c>
      <c r="K63" s="345">
        <v>587150.71173257579</v>
      </c>
      <c r="L63" s="346">
        <f t="shared" si="5"/>
        <v>587150.71173257579</v>
      </c>
      <c r="M63" s="345">
        <v>28239.829493897065</v>
      </c>
      <c r="N63" s="336">
        <f t="shared" si="2"/>
        <v>948613.35952571779</v>
      </c>
      <c r="O63" s="677"/>
    </row>
    <row r="64" spans="1:15" s="682" customFormat="1" ht="13" outlineLevel="1" x14ac:dyDescent="0.3">
      <c r="A64" s="727" t="s">
        <v>62</v>
      </c>
      <c r="B64" s="339">
        <v>4.04</v>
      </c>
      <c r="C64" s="350" t="s">
        <v>205</v>
      </c>
      <c r="D64" s="341" t="s">
        <v>267</v>
      </c>
      <c r="E64" s="362" t="s">
        <v>238</v>
      </c>
      <c r="F64" s="363">
        <v>42</v>
      </c>
      <c r="G64" s="345">
        <v>0</v>
      </c>
      <c r="H64" s="345">
        <v>485011.5368900256</v>
      </c>
      <c r="I64" s="346">
        <f t="shared" si="0"/>
        <v>485011.5368900256</v>
      </c>
      <c r="J64" s="345">
        <v>0</v>
      </c>
      <c r="K64" s="345">
        <v>411005.49821280304</v>
      </c>
      <c r="L64" s="346">
        <f t="shared" si="5"/>
        <v>411005.49821280304</v>
      </c>
      <c r="M64" s="345">
        <v>9883.9403228639731</v>
      </c>
      <c r="N64" s="336">
        <f t="shared" si="2"/>
        <v>896017.03510282864</v>
      </c>
      <c r="O64" s="677"/>
    </row>
    <row r="65" spans="1:15" s="682" customFormat="1" ht="13" outlineLevel="1" x14ac:dyDescent="0.3">
      <c r="A65" s="727" t="s">
        <v>62</v>
      </c>
      <c r="B65" s="339">
        <v>4.05</v>
      </c>
      <c r="C65" s="350" t="s">
        <v>236</v>
      </c>
      <c r="D65" s="341" t="s">
        <v>268</v>
      </c>
      <c r="E65" s="362" t="s">
        <v>238</v>
      </c>
      <c r="F65" s="363">
        <v>70</v>
      </c>
      <c r="G65" s="345">
        <v>0</v>
      </c>
      <c r="H65" s="345">
        <v>1177255.848</v>
      </c>
      <c r="I65" s="346">
        <f t="shared" si="0"/>
        <v>1177255.848</v>
      </c>
      <c r="J65" s="345">
        <v>0</v>
      </c>
      <c r="K65" s="345">
        <v>733938.38966571959</v>
      </c>
      <c r="L65" s="346">
        <f t="shared" si="5"/>
        <v>733938.38966571959</v>
      </c>
      <c r="M65" s="345">
        <v>28667.913564985793</v>
      </c>
      <c r="N65" s="336">
        <f t="shared" si="2"/>
        <v>1911194.2376657196</v>
      </c>
      <c r="O65" s="677"/>
    </row>
    <row r="66" spans="1:15" s="682" customFormat="1" ht="13" outlineLevel="1" x14ac:dyDescent="0.3">
      <c r="A66" s="727" t="s">
        <v>62</v>
      </c>
      <c r="B66" s="339">
        <v>4.0599999999999996</v>
      </c>
      <c r="C66" s="350" t="s">
        <v>205</v>
      </c>
      <c r="D66" s="341" t="s">
        <v>269</v>
      </c>
      <c r="E66" s="362" t="s">
        <v>238</v>
      </c>
      <c r="F66" s="363">
        <v>5</v>
      </c>
      <c r="G66" s="345">
        <v>0</v>
      </c>
      <c r="H66" s="345">
        <v>57462.201854457009</v>
      </c>
      <c r="I66" s="346">
        <f t="shared" si="0"/>
        <v>57462.201854457009</v>
      </c>
      <c r="J66" s="345">
        <v>0</v>
      </c>
      <c r="K66" s="345">
        <v>48929.225977714654</v>
      </c>
      <c r="L66" s="346">
        <f t="shared" si="5"/>
        <v>48929.225977714654</v>
      </c>
      <c r="M66" s="345">
        <v>1176.659562245711</v>
      </c>
      <c r="N66" s="336">
        <f t="shared" si="2"/>
        <v>106391.42783217167</v>
      </c>
      <c r="O66" s="677"/>
    </row>
    <row r="67" spans="1:15" s="682" customFormat="1" ht="26" outlineLevel="1" x14ac:dyDescent="0.3">
      <c r="A67" s="727" t="s">
        <v>62</v>
      </c>
      <c r="B67" s="339">
        <v>4.07</v>
      </c>
      <c r="C67" s="350" t="s">
        <v>205</v>
      </c>
      <c r="D67" s="341" t="s">
        <v>270</v>
      </c>
      <c r="E67" s="362" t="s">
        <v>238</v>
      </c>
      <c r="F67" s="625">
        <v>193</v>
      </c>
      <c r="G67" s="345">
        <v>0</v>
      </c>
      <c r="H67" s="345">
        <v>622877.59842925367</v>
      </c>
      <c r="I67" s="346">
        <f t="shared" si="0"/>
        <v>622877.59842925367</v>
      </c>
      <c r="J67" s="345">
        <v>0</v>
      </c>
      <c r="K67" s="345">
        <v>2023572.9886497702</v>
      </c>
      <c r="L67" s="346">
        <f t="shared" si="5"/>
        <v>2023572.9886497702</v>
      </c>
      <c r="M67" s="345">
        <v>48663.277610019053</v>
      </c>
      <c r="N67" s="336">
        <f t="shared" si="2"/>
        <v>2646450.5870790239</v>
      </c>
      <c r="O67" s="677"/>
    </row>
    <row r="68" spans="1:15" s="682" customFormat="1" ht="13" outlineLevel="1" x14ac:dyDescent="0.3">
      <c r="A68" s="727" t="s">
        <v>62</v>
      </c>
      <c r="B68" s="339">
        <v>4.08</v>
      </c>
      <c r="C68" s="350" t="s">
        <v>236</v>
      </c>
      <c r="D68" s="341" t="s">
        <v>271</v>
      </c>
      <c r="E68" s="362" t="s">
        <v>211</v>
      </c>
      <c r="F68" s="625">
        <v>61</v>
      </c>
      <c r="G68" s="345">
        <v>469822.10900000005</v>
      </c>
      <c r="H68" s="345">
        <v>84911.054500000013</v>
      </c>
      <c r="I68" s="346">
        <f t="shared" si="0"/>
        <v>554733.16350000002</v>
      </c>
      <c r="J68" s="345">
        <v>0</v>
      </c>
      <c r="K68" s="345">
        <v>733938.3896657197</v>
      </c>
      <c r="L68" s="346">
        <f t="shared" si="5"/>
        <v>733938.3896657197</v>
      </c>
      <c r="M68" s="345">
        <v>19330.073297485797</v>
      </c>
      <c r="N68" s="336">
        <f t="shared" si="2"/>
        <v>1288671.5531657198</v>
      </c>
      <c r="O68" s="677"/>
    </row>
    <row r="69" spans="1:15" s="682" customFormat="1" ht="13" outlineLevel="1" x14ac:dyDescent="0.3">
      <c r="A69" s="727" t="s">
        <v>62</v>
      </c>
      <c r="B69" s="339">
        <v>4.09</v>
      </c>
      <c r="C69" s="350" t="s">
        <v>236</v>
      </c>
      <c r="D69" s="341" t="s">
        <v>272</v>
      </c>
      <c r="E69" s="362" t="s">
        <v>207</v>
      </c>
      <c r="F69" s="625">
        <v>1</v>
      </c>
      <c r="G69" s="345">
        <v>0</v>
      </c>
      <c r="H69" s="345">
        <v>60811.031153400014</v>
      </c>
      <c r="I69" s="346">
        <f t="shared" si="0"/>
        <v>60811.031153400014</v>
      </c>
      <c r="J69" s="345">
        <v>0</v>
      </c>
      <c r="K69" s="345">
        <v>146787.67793314395</v>
      </c>
      <c r="L69" s="346">
        <f t="shared" si="5"/>
        <v>146787.67793314395</v>
      </c>
      <c r="M69" s="345">
        <v>3113.9806362981594</v>
      </c>
      <c r="N69" s="336">
        <f t="shared" si="2"/>
        <v>207598.70908654397</v>
      </c>
      <c r="O69" s="677"/>
    </row>
    <row r="70" spans="1:15" s="682" customFormat="1" ht="13" outlineLevel="1" x14ac:dyDescent="0.3">
      <c r="A70" s="727" t="s">
        <v>62</v>
      </c>
      <c r="B70" s="339">
        <v>4.0999999999999996</v>
      </c>
      <c r="C70" s="350" t="s">
        <v>236</v>
      </c>
      <c r="D70" s="341" t="s">
        <v>273</v>
      </c>
      <c r="E70" s="362" t="s">
        <v>207</v>
      </c>
      <c r="F70" s="625">
        <v>1</v>
      </c>
      <c r="G70" s="345">
        <v>0</v>
      </c>
      <c r="H70" s="345">
        <v>151935.62173020007</v>
      </c>
      <c r="I70" s="346">
        <f t="shared" si="0"/>
        <v>151935.62173020007</v>
      </c>
      <c r="J70" s="345">
        <v>0</v>
      </c>
      <c r="K70" s="345">
        <v>440363.03379943187</v>
      </c>
      <c r="L70" s="346">
        <f t="shared" si="5"/>
        <v>440363.03379943187</v>
      </c>
      <c r="M70" s="345">
        <v>8884.4798329444802</v>
      </c>
      <c r="N70" s="336">
        <f t="shared" si="2"/>
        <v>592298.655529632</v>
      </c>
      <c r="O70" s="677"/>
    </row>
    <row r="71" spans="1:15" s="682" customFormat="1" ht="13" outlineLevel="1" x14ac:dyDescent="0.3">
      <c r="A71" s="727" t="s">
        <v>62</v>
      </c>
      <c r="B71" s="339">
        <v>4.1100000000000003</v>
      </c>
      <c r="C71" s="350" t="s">
        <v>205</v>
      </c>
      <c r="D71" s="341" t="s">
        <v>274</v>
      </c>
      <c r="E71" s="362" t="s">
        <v>207</v>
      </c>
      <c r="F71" s="625">
        <v>1</v>
      </c>
      <c r="G71" s="345">
        <v>0</v>
      </c>
      <c r="H71" s="345">
        <v>128742.89499999999</v>
      </c>
      <c r="I71" s="346">
        <f t="shared" si="0"/>
        <v>128742.89499999999</v>
      </c>
      <c r="J71" s="345">
        <v>0</v>
      </c>
      <c r="K71" s="345">
        <v>259536.82203628783</v>
      </c>
      <c r="L71" s="346">
        <f t="shared" si="5"/>
        <v>259536.82203628783</v>
      </c>
      <c r="M71" s="345">
        <v>5824.1957555443169</v>
      </c>
      <c r="N71" s="336">
        <f t="shared" si="2"/>
        <v>388279.71703628782</v>
      </c>
      <c r="O71" s="677"/>
    </row>
    <row r="72" spans="1:15" s="682" customFormat="1" ht="13" outlineLevel="1" x14ac:dyDescent="0.3">
      <c r="A72" s="727" t="s">
        <v>62</v>
      </c>
      <c r="B72" s="339">
        <v>4.12</v>
      </c>
      <c r="C72" s="350" t="s">
        <v>205</v>
      </c>
      <c r="D72" s="341" t="s">
        <v>275</v>
      </c>
      <c r="E72" s="362" t="s">
        <v>243</v>
      </c>
      <c r="F72" s="625">
        <v>3</v>
      </c>
      <c r="G72" s="345">
        <v>364462.80991735542</v>
      </c>
      <c r="H72" s="345">
        <v>0</v>
      </c>
      <c r="I72" s="346">
        <f t="shared" si="0"/>
        <v>364462.80991735542</v>
      </c>
      <c r="J72" s="345">
        <v>0</v>
      </c>
      <c r="K72" s="345">
        <v>162882.17686314392</v>
      </c>
      <c r="L72" s="346">
        <f t="shared" si="5"/>
        <v>162882.17686314392</v>
      </c>
      <c r="M72" s="345">
        <v>7910.1748017074897</v>
      </c>
      <c r="N72" s="336">
        <f t="shared" si="2"/>
        <v>527344.98678049934</v>
      </c>
      <c r="O72" s="677"/>
    </row>
    <row r="73" spans="1:15" s="682" customFormat="1" ht="13" outlineLevel="1" x14ac:dyDescent="0.3">
      <c r="A73" s="727" t="s">
        <v>62</v>
      </c>
      <c r="B73" s="339">
        <v>4.13</v>
      </c>
      <c r="C73" s="350" t="s">
        <v>236</v>
      </c>
      <c r="D73" s="341" t="s">
        <v>276</v>
      </c>
      <c r="E73" s="362" t="s">
        <v>211</v>
      </c>
      <c r="F73" s="625">
        <v>40</v>
      </c>
      <c r="G73" s="345">
        <v>1469955.3</v>
      </c>
      <c r="H73" s="345">
        <v>0</v>
      </c>
      <c r="I73" s="346">
        <f t="shared" si="0"/>
        <v>1469955.3</v>
      </c>
      <c r="J73" s="345">
        <v>0</v>
      </c>
      <c r="K73" s="345">
        <v>1428670.2534545832</v>
      </c>
      <c r="L73" s="346">
        <f t="shared" si="5"/>
        <v>1428670.2534545832</v>
      </c>
      <c r="M73" s="345">
        <v>43479.383301818743</v>
      </c>
      <c r="N73" s="336">
        <f t="shared" si="2"/>
        <v>2898625.5534545835</v>
      </c>
      <c r="O73" s="677"/>
    </row>
    <row r="74" spans="1:15" s="682" customFormat="1" ht="13" outlineLevel="1" x14ac:dyDescent="0.3">
      <c r="A74" s="727" t="s">
        <v>62</v>
      </c>
      <c r="B74" s="339">
        <v>4.1399999999999997</v>
      </c>
      <c r="C74" s="352" t="s">
        <v>236</v>
      </c>
      <c r="D74" s="353" t="s">
        <v>277</v>
      </c>
      <c r="E74" s="405" t="s">
        <v>243</v>
      </c>
      <c r="F74" s="631">
        <v>8</v>
      </c>
      <c r="G74" s="359">
        <v>60000</v>
      </c>
      <c r="H74" s="359">
        <v>131570.09672690529</v>
      </c>
      <c r="I74" s="360">
        <f t="shared" si="0"/>
        <v>191570.09672690529</v>
      </c>
      <c r="J74" s="359">
        <v>0</v>
      </c>
      <c r="K74" s="359">
        <v>859082.96075886348</v>
      </c>
      <c r="L74" s="360">
        <f t="shared" si="5"/>
        <v>859082.96075886348</v>
      </c>
      <c r="M74" s="359">
        <v>15759.795862286532</v>
      </c>
      <c r="N74" s="336">
        <f t="shared" ref="N74:N137" si="7">SUM(I74,L74)</f>
        <v>1050653.0574857688</v>
      </c>
      <c r="O74" s="677"/>
    </row>
    <row r="75" spans="1:15" ht="13" x14ac:dyDescent="0.3">
      <c r="A75" s="727"/>
      <c r="B75" s="325">
        <v>5</v>
      </c>
      <c r="C75" s="326"/>
      <c r="D75" s="276" t="s">
        <v>278</v>
      </c>
      <c r="E75" s="177"/>
      <c r="F75" s="327"/>
      <c r="G75" s="327"/>
      <c r="H75" s="327"/>
      <c r="I75" s="327">
        <f t="shared" si="0"/>
        <v>0</v>
      </c>
      <c r="J75" s="327"/>
      <c r="K75" s="327"/>
      <c r="L75" s="327">
        <f t="shared" si="5"/>
        <v>0</v>
      </c>
      <c r="M75" s="327"/>
      <c r="N75" s="336">
        <f t="shared" si="7"/>
        <v>0</v>
      </c>
    </row>
    <row r="76" spans="1:15" s="682" customFormat="1" ht="13" outlineLevel="1" x14ac:dyDescent="0.3">
      <c r="A76" s="727" t="s">
        <v>62</v>
      </c>
      <c r="B76" s="331">
        <v>5.01</v>
      </c>
      <c r="C76" s="380" t="s">
        <v>205</v>
      </c>
      <c r="D76" s="333" t="s">
        <v>279</v>
      </c>
      <c r="E76" s="182" t="s">
        <v>211</v>
      </c>
      <c r="F76" s="632">
        <v>136</v>
      </c>
      <c r="G76" s="335">
        <v>0</v>
      </c>
      <c r="H76" s="335">
        <v>110107.64462400002</v>
      </c>
      <c r="I76" s="336">
        <f t="shared" si="0"/>
        <v>110107.64462400002</v>
      </c>
      <c r="J76" s="335">
        <v>0</v>
      </c>
      <c r="K76" s="335">
        <v>535603.60026926082</v>
      </c>
      <c r="L76" s="336">
        <f t="shared" si="5"/>
        <v>535603.60026926082</v>
      </c>
      <c r="M76" s="335">
        <v>17145.610764151788</v>
      </c>
      <c r="N76" s="336">
        <f t="shared" si="7"/>
        <v>645711.24489326088</v>
      </c>
      <c r="O76" s="677"/>
    </row>
    <row r="77" spans="1:15" s="682" customFormat="1" ht="13" outlineLevel="1" x14ac:dyDescent="0.3">
      <c r="A77" s="727" t="s">
        <v>62</v>
      </c>
      <c r="B77" s="339">
        <v>5.0199999999999996</v>
      </c>
      <c r="C77" s="350" t="s">
        <v>205</v>
      </c>
      <c r="D77" s="450" t="s">
        <v>280</v>
      </c>
      <c r="E77" s="362" t="s">
        <v>238</v>
      </c>
      <c r="F77" s="363">
        <v>77</v>
      </c>
      <c r="G77" s="345">
        <v>263278.69434588141</v>
      </c>
      <c r="H77" s="345">
        <v>752224.84098823264</v>
      </c>
      <c r="I77" s="346">
        <f t="shared" si="0"/>
        <v>1015503.535334114</v>
      </c>
      <c r="J77" s="345">
        <v>452106.04803408333</v>
      </c>
      <c r="K77" s="345">
        <v>452106.04803408333</v>
      </c>
      <c r="L77" s="346">
        <f t="shared" si="5"/>
        <v>904212.09606816666</v>
      </c>
      <c r="M77" s="345">
        <v>2477.8775164564963</v>
      </c>
      <c r="N77" s="336">
        <f t="shared" si="7"/>
        <v>1919715.6314022806</v>
      </c>
      <c r="O77" s="677"/>
    </row>
    <row r="78" spans="1:15" s="682" customFormat="1" ht="13" outlineLevel="1" x14ac:dyDescent="0.3">
      <c r="A78" s="727" t="s">
        <v>62</v>
      </c>
      <c r="B78" s="339">
        <v>5.03</v>
      </c>
      <c r="C78" s="350" t="s">
        <v>205</v>
      </c>
      <c r="D78" s="341" t="s">
        <v>281</v>
      </c>
      <c r="E78" s="362" t="s">
        <v>238</v>
      </c>
      <c r="F78" s="363">
        <v>107</v>
      </c>
      <c r="G78" s="345">
        <v>0</v>
      </c>
      <c r="H78" s="345">
        <v>86628.808638000017</v>
      </c>
      <c r="I78" s="346">
        <f t="shared" si="0"/>
        <v>86628.808638000017</v>
      </c>
      <c r="J78" s="345">
        <v>0</v>
      </c>
      <c r="K78" s="345">
        <v>421394.00903537433</v>
      </c>
      <c r="L78" s="346">
        <f t="shared" si="5"/>
        <v>421394.00903537433</v>
      </c>
      <c r="M78" s="345">
        <v>13489.561410031187</v>
      </c>
      <c r="N78" s="336">
        <f t="shared" si="7"/>
        <v>508022.81767337432</v>
      </c>
      <c r="O78" s="677"/>
    </row>
    <row r="79" spans="1:15" s="682" customFormat="1" ht="13" outlineLevel="1" x14ac:dyDescent="0.3">
      <c r="A79" s="727" t="s">
        <v>62</v>
      </c>
      <c r="B79" s="339">
        <v>5.04</v>
      </c>
      <c r="C79" s="350" t="s">
        <v>205</v>
      </c>
      <c r="D79" s="341" t="s">
        <v>282</v>
      </c>
      <c r="E79" s="362" t="s">
        <v>238</v>
      </c>
      <c r="F79" s="363">
        <v>186</v>
      </c>
      <c r="G79" s="345">
        <v>0</v>
      </c>
      <c r="H79" s="345">
        <v>674324.4</v>
      </c>
      <c r="I79" s="346">
        <f t="shared" si="0"/>
        <v>674324.4</v>
      </c>
      <c r="J79" s="345">
        <v>0</v>
      </c>
      <c r="K79" s="345">
        <v>0</v>
      </c>
      <c r="L79" s="346">
        <f t="shared" si="5"/>
        <v>0</v>
      </c>
      <c r="M79" s="345">
        <v>0</v>
      </c>
      <c r="N79" s="336">
        <f t="shared" si="7"/>
        <v>674324.4</v>
      </c>
      <c r="O79" s="677"/>
    </row>
    <row r="80" spans="1:15" s="682" customFormat="1" ht="13" outlineLevel="1" x14ac:dyDescent="0.3">
      <c r="A80" s="727" t="s">
        <v>62</v>
      </c>
      <c r="B80" s="339">
        <v>5.05</v>
      </c>
      <c r="C80" s="350" t="s">
        <v>205</v>
      </c>
      <c r="D80" s="341" t="s">
        <v>283</v>
      </c>
      <c r="E80" s="362" t="s">
        <v>238</v>
      </c>
      <c r="F80" s="363">
        <v>186</v>
      </c>
      <c r="G80" s="345">
        <v>0</v>
      </c>
      <c r="H80" s="345">
        <v>233729.9303113333</v>
      </c>
      <c r="I80" s="346">
        <f t="shared" si="0"/>
        <v>233729.9303113333</v>
      </c>
      <c r="J80" s="345">
        <v>0</v>
      </c>
      <c r="K80" s="345">
        <v>341281.35119455971</v>
      </c>
      <c r="L80" s="346">
        <f t="shared" si="5"/>
        <v>341281.35119455971</v>
      </c>
      <c r="M80" s="345">
        <v>1870.47572264979</v>
      </c>
      <c r="N80" s="336">
        <f t="shared" si="7"/>
        <v>575011.28150589298</v>
      </c>
      <c r="O80" s="677"/>
    </row>
    <row r="81" spans="1:15" s="686" customFormat="1" ht="13" outlineLevel="1" x14ac:dyDescent="0.3">
      <c r="A81" s="727" t="s">
        <v>62</v>
      </c>
      <c r="B81" s="339">
        <v>5.0599999999999996</v>
      </c>
      <c r="C81" s="350" t="s">
        <v>205</v>
      </c>
      <c r="D81" s="341" t="s">
        <v>284</v>
      </c>
      <c r="E81" s="692" t="s">
        <v>238</v>
      </c>
      <c r="F81" s="363">
        <v>390</v>
      </c>
      <c r="G81" s="345">
        <v>761993.99476730055</v>
      </c>
      <c r="H81" s="345">
        <v>3809969.973836503</v>
      </c>
      <c r="I81" s="346">
        <f t="shared" si="0"/>
        <v>4571963.9686038038</v>
      </c>
      <c r="J81" s="345">
        <v>1373932.6654542272</v>
      </c>
      <c r="K81" s="345">
        <v>2289887.7757570455</v>
      </c>
      <c r="L81" s="346">
        <f t="shared" si="5"/>
        <v>3663820.441211273</v>
      </c>
      <c r="M81" s="345">
        <v>12550.288719714721</v>
      </c>
      <c r="N81" s="336">
        <f t="shared" si="7"/>
        <v>8235784.4098150767</v>
      </c>
      <c r="O81" s="677"/>
    </row>
    <row r="82" spans="1:15" s="686" customFormat="1" ht="13" outlineLevel="1" x14ac:dyDescent="0.3">
      <c r="A82" s="727" t="s">
        <v>62</v>
      </c>
      <c r="B82" s="339">
        <v>5.07</v>
      </c>
      <c r="C82" s="350" t="s">
        <v>205</v>
      </c>
      <c r="D82" s="341" t="s">
        <v>285</v>
      </c>
      <c r="E82" s="692" t="s">
        <v>207</v>
      </c>
      <c r="F82" s="363">
        <v>1</v>
      </c>
      <c r="G82" s="345">
        <v>0</v>
      </c>
      <c r="H82" s="345">
        <v>0</v>
      </c>
      <c r="I82" s="346">
        <f t="shared" si="0"/>
        <v>0</v>
      </c>
      <c r="J82" s="345">
        <v>1829911.588442879</v>
      </c>
      <c r="K82" s="345">
        <v>0</v>
      </c>
      <c r="L82" s="346">
        <f t="shared" si="5"/>
        <v>1829911.588442879</v>
      </c>
      <c r="M82" s="345">
        <v>0</v>
      </c>
      <c r="N82" s="336">
        <f t="shared" si="7"/>
        <v>1829911.588442879</v>
      </c>
      <c r="O82" s="677"/>
    </row>
    <row r="83" spans="1:15" s="682" customFormat="1" ht="13" x14ac:dyDescent="0.3">
      <c r="A83" s="727"/>
      <c r="B83" s="325">
        <v>6</v>
      </c>
      <c r="C83" s="326"/>
      <c r="D83" s="607" t="s">
        <v>286</v>
      </c>
      <c r="E83" s="177"/>
      <c r="F83" s="327"/>
      <c r="G83" s="327"/>
      <c r="H83" s="327"/>
      <c r="I83" s="327">
        <f t="shared" si="0"/>
        <v>0</v>
      </c>
      <c r="J83" s="327"/>
      <c r="K83" s="327"/>
      <c r="L83" s="327">
        <f t="shared" si="5"/>
        <v>0</v>
      </c>
      <c r="M83" s="327"/>
      <c r="N83" s="336">
        <f t="shared" si="7"/>
        <v>0</v>
      </c>
      <c r="O83" s="677"/>
    </row>
    <row r="84" spans="1:15" s="686" customFormat="1" ht="13" outlineLevel="1" x14ac:dyDescent="0.3">
      <c r="A84" s="727" t="s">
        <v>62</v>
      </c>
      <c r="B84" s="350">
        <v>6.02</v>
      </c>
      <c r="C84" s="350" t="s">
        <v>205</v>
      </c>
      <c r="D84" s="353" t="s">
        <v>287</v>
      </c>
      <c r="E84" s="693" t="s">
        <v>211</v>
      </c>
      <c r="F84" s="354">
        <v>55</v>
      </c>
      <c r="G84" s="359">
        <v>819363.63636363635</v>
      </c>
      <c r="H84" s="359">
        <v>0</v>
      </c>
      <c r="I84" s="360">
        <f t="shared" si="0"/>
        <v>819363.63636363635</v>
      </c>
      <c r="J84" s="359">
        <v>0</v>
      </c>
      <c r="K84" s="359">
        <v>454260.50637943193</v>
      </c>
      <c r="L84" s="360">
        <f t="shared" si="5"/>
        <v>454260.50637943193</v>
      </c>
      <c r="M84" s="359">
        <v>19104.362141146023</v>
      </c>
      <c r="N84" s="336">
        <f t="shared" si="7"/>
        <v>1273624.1427430683</v>
      </c>
      <c r="O84" s="677"/>
    </row>
    <row r="85" spans="1:15" ht="13" x14ac:dyDescent="0.3">
      <c r="A85" s="727"/>
      <c r="B85" s="325">
        <v>7</v>
      </c>
      <c r="C85" s="326"/>
      <c r="D85" s="276" t="s">
        <v>288</v>
      </c>
      <c r="E85" s="177"/>
      <c r="F85" s="327"/>
      <c r="G85" s="327"/>
      <c r="H85" s="327"/>
      <c r="I85" s="327">
        <f t="shared" si="0"/>
        <v>0</v>
      </c>
      <c r="J85" s="327"/>
      <c r="K85" s="327"/>
      <c r="L85" s="327">
        <f t="shared" si="5"/>
        <v>0</v>
      </c>
      <c r="M85" s="327"/>
      <c r="N85" s="336">
        <f t="shared" si="7"/>
        <v>0</v>
      </c>
    </row>
    <row r="86" spans="1:15" s="682" customFormat="1" ht="13" outlineLevel="1" x14ac:dyDescent="0.3">
      <c r="A86" s="727" t="s">
        <v>62</v>
      </c>
      <c r="B86" s="331">
        <v>7.01</v>
      </c>
      <c r="C86" s="380" t="s">
        <v>205</v>
      </c>
      <c r="D86" s="400" t="s">
        <v>289</v>
      </c>
      <c r="E86" s="182" t="s">
        <v>238</v>
      </c>
      <c r="F86" s="381">
        <v>879</v>
      </c>
      <c r="G86" s="335">
        <v>0</v>
      </c>
      <c r="H86" s="335">
        <v>3524110.1937060002</v>
      </c>
      <c r="I86" s="336">
        <f t="shared" si="0"/>
        <v>3524110.1937060002</v>
      </c>
      <c r="J86" s="335">
        <v>0</v>
      </c>
      <c r="K86" s="335">
        <v>9358938.1480165944</v>
      </c>
      <c r="L86" s="336">
        <f t="shared" si="5"/>
        <v>9358938.1480165944</v>
      </c>
      <c r="M86" s="335">
        <v>269813.15353408176</v>
      </c>
      <c r="N86" s="336">
        <f t="shared" si="7"/>
        <v>12883048.341722595</v>
      </c>
      <c r="O86" s="677"/>
    </row>
    <row r="87" spans="1:15" s="682" customFormat="1" ht="13" outlineLevel="1" x14ac:dyDescent="0.3">
      <c r="A87" s="727" t="s">
        <v>62</v>
      </c>
      <c r="B87" s="339">
        <v>7.02</v>
      </c>
      <c r="C87" s="350" t="s">
        <v>205</v>
      </c>
      <c r="D87" s="402" t="s">
        <v>290</v>
      </c>
      <c r="E87" s="362" t="s">
        <v>238</v>
      </c>
      <c r="F87" s="363">
        <v>716</v>
      </c>
      <c r="G87" s="345">
        <v>0</v>
      </c>
      <c r="H87" s="345">
        <v>2870606.255624</v>
      </c>
      <c r="I87" s="346">
        <f t="shared" si="0"/>
        <v>2870606.255624</v>
      </c>
      <c r="J87" s="345">
        <v>0</v>
      </c>
      <c r="K87" s="345">
        <v>10958688.383215107</v>
      </c>
      <c r="L87" s="346">
        <f t="shared" si="5"/>
        <v>10958688.383215107</v>
      </c>
      <c r="M87" s="345">
        <v>550829.72865825088</v>
      </c>
      <c r="N87" s="336">
        <f t="shared" si="7"/>
        <v>13829294.638839107</v>
      </c>
      <c r="O87" s="677"/>
    </row>
    <row r="88" spans="1:15" s="682" customFormat="1" ht="13" outlineLevel="1" x14ac:dyDescent="0.3">
      <c r="A88" s="727" t="s">
        <v>63</v>
      </c>
      <c r="B88" s="339">
        <v>7.03</v>
      </c>
      <c r="C88" s="350" t="s">
        <v>205</v>
      </c>
      <c r="D88" s="341" t="s">
        <v>291</v>
      </c>
      <c r="E88" s="362" t="s">
        <v>238</v>
      </c>
      <c r="F88" s="363">
        <v>1439</v>
      </c>
      <c r="G88" s="345">
        <v>0</v>
      </c>
      <c r="H88" s="345">
        <v>7661482.7400000012</v>
      </c>
      <c r="I88" s="346">
        <f t="shared" ref="I88:I151" si="8">SUM(G88:H88)</f>
        <v>7661482.7400000012</v>
      </c>
      <c r="J88" s="345">
        <v>16766103.151091676</v>
      </c>
      <c r="K88" s="345">
        <v>0</v>
      </c>
      <c r="L88" s="346">
        <f t="shared" si="5"/>
        <v>16766103.151091676</v>
      </c>
      <c r="M88" s="345">
        <v>366413.78836637514</v>
      </c>
      <c r="N88" s="336">
        <f t="shared" si="7"/>
        <v>24427585.891091678</v>
      </c>
      <c r="O88" s="677"/>
    </row>
    <row r="89" spans="1:15" s="682" customFormat="1" ht="13" outlineLevel="1" x14ac:dyDescent="0.3">
      <c r="A89" s="727" t="s">
        <v>63</v>
      </c>
      <c r="B89" s="350">
        <v>7.04</v>
      </c>
      <c r="C89" s="350" t="s">
        <v>205</v>
      </c>
      <c r="D89" s="403" t="s">
        <v>292</v>
      </c>
      <c r="E89" s="362" t="s">
        <v>211</v>
      </c>
      <c r="F89" s="363">
        <v>347</v>
      </c>
      <c r="G89" s="345">
        <v>0</v>
      </c>
      <c r="H89" s="345">
        <v>0</v>
      </c>
      <c r="I89" s="346">
        <f t="shared" si="8"/>
        <v>0</v>
      </c>
      <c r="J89" s="345">
        <v>4337317.1855160221</v>
      </c>
      <c r="K89" s="345">
        <v>0</v>
      </c>
      <c r="L89" s="346">
        <f t="shared" si="5"/>
        <v>4337317.1855160221</v>
      </c>
      <c r="M89" s="345">
        <v>65059.757782740329</v>
      </c>
      <c r="N89" s="336">
        <f t="shared" si="7"/>
        <v>4337317.1855160221</v>
      </c>
      <c r="O89" s="677"/>
    </row>
    <row r="90" spans="1:15" s="682" customFormat="1" ht="13" outlineLevel="1" x14ac:dyDescent="0.3">
      <c r="A90" s="727" t="s">
        <v>62</v>
      </c>
      <c r="B90" s="339">
        <v>7.05</v>
      </c>
      <c r="C90" s="350" t="s">
        <v>205</v>
      </c>
      <c r="D90" s="403" t="s">
        <v>293</v>
      </c>
      <c r="E90" s="362" t="s">
        <v>294</v>
      </c>
      <c r="F90" s="363">
        <v>132</v>
      </c>
      <c r="G90" s="345">
        <v>0</v>
      </c>
      <c r="H90" s="345">
        <v>154080.11000000002</v>
      </c>
      <c r="I90" s="346">
        <f t="shared" si="8"/>
        <v>154080.11000000002</v>
      </c>
      <c r="J90" s="345">
        <v>1737426.7688378301</v>
      </c>
      <c r="K90" s="345">
        <v>0</v>
      </c>
      <c r="L90" s="346">
        <f t="shared" si="5"/>
        <v>1737426.7688378301</v>
      </c>
      <c r="M90" s="345">
        <v>28372.603182567451</v>
      </c>
      <c r="N90" s="336">
        <f t="shared" si="7"/>
        <v>1891506.8788378302</v>
      </c>
      <c r="O90" s="677"/>
    </row>
    <row r="91" spans="1:15" s="682" customFormat="1" ht="13" outlineLevel="1" x14ac:dyDescent="0.3">
      <c r="A91" s="727" t="s">
        <v>62</v>
      </c>
      <c r="B91" s="350">
        <v>7.06</v>
      </c>
      <c r="C91" s="350" t="s">
        <v>205</v>
      </c>
      <c r="D91" s="341" t="s">
        <v>295</v>
      </c>
      <c r="E91" s="362" t="s">
        <v>238</v>
      </c>
      <c r="F91" s="363">
        <v>710</v>
      </c>
      <c r="G91" s="345">
        <v>0</v>
      </c>
      <c r="H91" s="345">
        <v>2846550.8959400002</v>
      </c>
      <c r="I91" s="346">
        <f t="shared" si="8"/>
        <v>2846550.8959400002</v>
      </c>
      <c r="J91" s="345">
        <v>0</v>
      </c>
      <c r="K91" s="345">
        <v>7559551.8601726759</v>
      </c>
      <c r="L91" s="346">
        <f t="shared" si="5"/>
        <v>7559551.8601726759</v>
      </c>
      <c r="M91" s="345">
        <v>217937.81457246648</v>
      </c>
      <c r="N91" s="336">
        <f t="shared" si="7"/>
        <v>10406102.756112676</v>
      </c>
      <c r="O91" s="677"/>
    </row>
    <row r="92" spans="1:15" s="682" customFormat="1" ht="13" x14ac:dyDescent="0.3">
      <c r="A92" s="727"/>
      <c r="B92" s="325">
        <v>8</v>
      </c>
      <c r="C92" s="326"/>
      <c r="D92" s="607" t="s">
        <v>296</v>
      </c>
      <c r="E92" s="177"/>
      <c r="F92" s="327"/>
      <c r="G92" s="327"/>
      <c r="H92" s="327"/>
      <c r="I92" s="327">
        <f t="shared" si="8"/>
        <v>0</v>
      </c>
      <c r="J92" s="327"/>
      <c r="K92" s="327"/>
      <c r="L92" s="327">
        <f t="shared" si="5"/>
        <v>0</v>
      </c>
      <c r="M92" s="327"/>
      <c r="N92" s="336">
        <f t="shared" si="7"/>
        <v>0</v>
      </c>
      <c r="O92" s="677"/>
    </row>
    <row r="93" spans="1:15" s="682" customFormat="1" ht="13" outlineLevel="1" x14ac:dyDescent="0.3">
      <c r="A93" s="727" t="s">
        <v>62</v>
      </c>
      <c r="B93" s="331">
        <v>8.01</v>
      </c>
      <c r="C93" s="635" t="s">
        <v>236</v>
      </c>
      <c r="D93" s="333" t="s">
        <v>297</v>
      </c>
      <c r="E93" s="182" t="s">
        <v>238</v>
      </c>
      <c r="F93" s="381">
        <v>107</v>
      </c>
      <c r="G93" s="335">
        <v>0</v>
      </c>
      <c r="H93" s="335">
        <v>3310580.7319999998</v>
      </c>
      <c r="I93" s="336">
        <f t="shared" si="8"/>
        <v>3310580.7319999998</v>
      </c>
      <c r="J93" s="335">
        <v>0</v>
      </c>
      <c r="K93" s="335">
        <v>1323043.5908314392</v>
      </c>
      <c r="L93" s="336">
        <f t="shared" ref="L93:L156" si="9">SUM(J93:K93)</f>
        <v>1323043.5908314392</v>
      </c>
      <c r="M93" s="335">
        <v>69504.364842471594</v>
      </c>
      <c r="N93" s="336">
        <f t="shared" si="7"/>
        <v>4633624.3228314389</v>
      </c>
      <c r="O93" s="677"/>
    </row>
    <row r="94" spans="1:15" s="682" customFormat="1" ht="13" outlineLevel="1" x14ac:dyDescent="0.3">
      <c r="A94" s="727" t="s">
        <v>62</v>
      </c>
      <c r="B94" s="413">
        <v>8.02</v>
      </c>
      <c r="C94" s="636" t="s">
        <v>236</v>
      </c>
      <c r="D94" s="415" t="s">
        <v>298</v>
      </c>
      <c r="E94" s="637" t="s">
        <v>238</v>
      </c>
      <c r="F94" s="378">
        <v>258</v>
      </c>
      <c r="G94" s="345">
        <v>5686649.5999999996</v>
      </c>
      <c r="H94" s="345">
        <v>0</v>
      </c>
      <c r="I94" s="346">
        <f t="shared" si="8"/>
        <v>5686649.5999999996</v>
      </c>
      <c r="J94" s="345">
        <v>230000</v>
      </c>
      <c r="K94" s="345">
        <v>1469831.2687645832</v>
      </c>
      <c r="L94" s="346">
        <f t="shared" si="9"/>
        <v>1699831.2687645832</v>
      </c>
      <c r="M94" s="345">
        <v>110797.21303146874</v>
      </c>
      <c r="N94" s="336">
        <f t="shared" si="7"/>
        <v>7386480.868764583</v>
      </c>
      <c r="O94" s="677"/>
    </row>
    <row r="95" spans="1:15" s="682" customFormat="1" ht="13" outlineLevel="1" x14ac:dyDescent="0.3">
      <c r="A95" s="727" t="s">
        <v>62</v>
      </c>
      <c r="B95" s="339">
        <v>8.0299999999999994</v>
      </c>
      <c r="C95" s="638" t="s">
        <v>205</v>
      </c>
      <c r="D95" s="341" t="s">
        <v>299</v>
      </c>
      <c r="E95" s="362" t="s">
        <v>238</v>
      </c>
      <c r="F95" s="363">
        <v>425</v>
      </c>
      <c r="G95" s="345">
        <v>0</v>
      </c>
      <c r="H95" s="345">
        <v>2961413.0173864672</v>
      </c>
      <c r="I95" s="346">
        <f t="shared" si="8"/>
        <v>2961413.0173864672</v>
      </c>
      <c r="J95" s="345">
        <v>0</v>
      </c>
      <c r="K95" s="345">
        <v>4303864.9449490122</v>
      </c>
      <c r="L95" s="346">
        <f t="shared" si="9"/>
        <v>4303864.9449490122</v>
      </c>
      <c r="M95" s="345">
        <v>51019.940239817057</v>
      </c>
      <c r="N95" s="336">
        <f t="shared" si="7"/>
        <v>7265277.9623354794</v>
      </c>
      <c r="O95" s="677"/>
    </row>
    <row r="96" spans="1:15" s="682" customFormat="1" ht="13" outlineLevel="1" x14ac:dyDescent="0.3">
      <c r="A96" s="727" t="s">
        <v>62</v>
      </c>
      <c r="B96" s="413">
        <v>8.0399999999999991</v>
      </c>
      <c r="C96" s="638" t="s">
        <v>236</v>
      </c>
      <c r="D96" s="341" t="s">
        <v>300</v>
      </c>
      <c r="E96" s="362" t="s">
        <v>238</v>
      </c>
      <c r="F96" s="363">
        <v>200</v>
      </c>
      <c r="G96" s="345">
        <v>4833890</v>
      </c>
      <c r="H96" s="345">
        <v>60000</v>
      </c>
      <c r="I96" s="346">
        <f t="shared" si="8"/>
        <v>4893890</v>
      </c>
      <c r="J96" s="345">
        <v>0</v>
      </c>
      <c r="K96" s="345">
        <v>1072478.7862451514</v>
      </c>
      <c r="L96" s="346">
        <f t="shared" si="9"/>
        <v>1072478.7862451514</v>
      </c>
      <c r="M96" s="345">
        <v>89495.531793677277</v>
      </c>
      <c r="N96" s="336">
        <f t="shared" si="7"/>
        <v>5966368.7862451514</v>
      </c>
      <c r="O96" s="677"/>
    </row>
    <row r="97" spans="1:15" s="682" customFormat="1" ht="13" outlineLevel="1" x14ac:dyDescent="0.3">
      <c r="A97" s="727" t="s">
        <v>62</v>
      </c>
      <c r="B97" s="339">
        <v>8.0500000000000007</v>
      </c>
      <c r="C97" s="638" t="s">
        <v>236</v>
      </c>
      <c r="D97" s="341" t="s">
        <v>301</v>
      </c>
      <c r="E97" s="362" t="s">
        <v>238</v>
      </c>
      <c r="F97" s="363">
        <v>77</v>
      </c>
      <c r="G97" s="345">
        <v>0</v>
      </c>
      <c r="H97" s="345">
        <v>634014.88</v>
      </c>
      <c r="I97" s="346">
        <f t="shared" si="8"/>
        <v>634014.88</v>
      </c>
      <c r="J97" s="345">
        <v>0</v>
      </c>
      <c r="K97" s="345">
        <v>1159868.4496982952</v>
      </c>
      <c r="L97" s="346">
        <f t="shared" si="9"/>
        <v>1159868.4496982952</v>
      </c>
      <c r="M97" s="345">
        <v>26908.249945474425</v>
      </c>
      <c r="N97" s="336">
        <f t="shared" si="7"/>
        <v>1793883.3296982953</v>
      </c>
      <c r="O97" s="677"/>
    </row>
    <row r="98" spans="1:15" s="682" customFormat="1" ht="13" outlineLevel="1" x14ac:dyDescent="0.3">
      <c r="A98" s="727" t="s">
        <v>62</v>
      </c>
      <c r="B98" s="413">
        <v>8.06</v>
      </c>
      <c r="C98" s="638" t="s">
        <v>236</v>
      </c>
      <c r="D98" s="341" t="s">
        <v>302</v>
      </c>
      <c r="E98" s="362" t="s">
        <v>238</v>
      </c>
      <c r="F98" s="363">
        <v>77</v>
      </c>
      <c r="G98" s="345">
        <v>517355.37190082646</v>
      </c>
      <c r="H98" s="345">
        <v>51735.53719008265</v>
      </c>
      <c r="I98" s="346">
        <f t="shared" si="8"/>
        <v>569090.90909090906</v>
      </c>
      <c r="J98" s="345">
        <v>0</v>
      </c>
      <c r="K98" s="345">
        <v>551262.64193257573</v>
      </c>
      <c r="L98" s="346">
        <f t="shared" si="9"/>
        <v>551262.64193257573</v>
      </c>
      <c r="M98" s="345">
        <v>16805.303265352271</v>
      </c>
      <c r="N98" s="336">
        <f t="shared" si="7"/>
        <v>1120353.5510234847</v>
      </c>
      <c r="O98" s="677"/>
    </row>
    <row r="99" spans="1:15" s="682" customFormat="1" ht="13" outlineLevel="1" x14ac:dyDescent="0.3">
      <c r="A99" s="727" t="s">
        <v>62</v>
      </c>
      <c r="B99" s="339">
        <v>8.07</v>
      </c>
      <c r="C99" s="638" t="s">
        <v>205</v>
      </c>
      <c r="D99" s="341" t="s">
        <v>303</v>
      </c>
      <c r="E99" s="362" t="s">
        <v>238</v>
      </c>
      <c r="F99" s="363">
        <v>442</v>
      </c>
      <c r="G99" s="345">
        <v>0</v>
      </c>
      <c r="H99" s="345">
        <v>1201142.8932360001</v>
      </c>
      <c r="I99" s="346">
        <f t="shared" si="8"/>
        <v>1201142.8932360001</v>
      </c>
      <c r="J99" s="345">
        <v>0</v>
      </c>
      <c r="K99" s="345">
        <v>3454134.2385975849</v>
      </c>
      <c r="L99" s="346">
        <f t="shared" si="9"/>
        <v>3454134.2385975849</v>
      </c>
      <c r="M99" s="345">
        <v>98897.924967659623</v>
      </c>
      <c r="N99" s="336">
        <f t="shared" si="7"/>
        <v>4655277.131833585</v>
      </c>
      <c r="O99" s="677"/>
    </row>
    <row r="100" spans="1:15" s="682" customFormat="1" ht="13" outlineLevel="1" x14ac:dyDescent="0.3">
      <c r="A100" s="727" t="s">
        <v>62</v>
      </c>
      <c r="B100" s="413">
        <v>8.08</v>
      </c>
      <c r="C100" s="638" t="s">
        <v>205</v>
      </c>
      <c r="D100" s="341" t="s">
        <v>304</v>
      </c>
      <c r="E100" s="362" t="s">
        <v>238</v>
      </c>
      <c r="F100" s="363">
        <v>360</v>
      </c>
      <c r="G100" s="345">
        <v>0</v>
      </c>
      <c r="H100" s="345">
        <v>978306.42888000002</v>
      </c>
      <c r="I100" s="346">
        <f t="shared" si="8"/>
        <v>978306.42888000002</v>
      </c>
      <c r="J100" s="345">
        <v>0</v>
      </c>
      <c r="K100" s="345">
        <v>2813322.0042876257</v>
      </c>
      <c r="L100" s="346">
        <f t="shared" si="9"/>
        <v>2813322.0042876257</v>
      </c>
      <c r="M100" s="345">
        <v>80550.346127505574</v>
      </c>
      <c r="N100" s="336">
        <f t="shared" si="7"/>
        <v>3791628.4331676257</v>
      </c>
      <c r="O100" s="677"/>
    </row>
    <row r="101" spans="1:15" s="682" customFormat="1" ht="13" x14ac:dyDescent="0.3">
      <c r="A101" s="727"/>
      <c r="B101" s="325">
        <v>9</v>
      </c>
      <c r="C101" s="326"/>
      <c r="D101" s="607" t="s">
        <v>305</v>
      </c>
      <c r="E101" s="177"/>
      <c r="F101" s="327"/>
      <c r="G101" s="327"/>
      <c r="H101" s="327"/>
      <c r="I101" s="327">
        <f t="shared" si="8"/>
        <v>0</v>
      </c>
      <c r="J101" s="327"/>
      <c r="K101" s="327"/>
      <c r="L101" s="327">
        <f t="shared" si="9"/>
        <v>0</v>
      </c>
      <c r="M101" s="327"/>
      <c r="N101" s="336">
        <f t="shared" si="7"/>
        <v>0</v>
      </c>
      <c r="O101" s="677"/>
    </row>
    <row r="102" spans="1:15" ht="13" outlineLevel="1" x14ac:dyDescent="0.3">
      <c r="A102" s="727" t="s">
        <v>62</v>
      </c>
      <c r="B102" s="331">
        <v>9.01</v>
      </c>
      <c r="C102" s="380" t="s">
        <v>205</v>
      </c>
      <c r="D102" s="333" t="s">
        <v>306</v>
      </c>
      <c r="E102" s="694" t="s">
        <v>207</v>
      </c>
      <c r="F102" s="381">
        <v>1</v>
      </c>
      <c r="G102" s="335">
        <v>0</v>
      </c>
      <c r="H102" s="335">
        <v>181154.98207620005</v>
      </c>
      <c r="I102" s="336">
        <f t="shared" si="8"/>
        <v>181154.98207620005</v>
      </c>
      <c r="J102" s="335">
        <v>0</v>
      </c>
      <c r="K102" s="335">
        <v>1378156.6048314394</v>
      </c>
      <c r="L102" s="336">
        <f t="shared" si="9"/>
        <v>1378156.6048314394</v>
      </c>
      <c r="M102" s="335">
        <v>23389.673803614591</v>
      </c>
      <c r="N102" s="336">
        <f t="shared" si="7"/>
        <v>1559311.5869076394</v>
      </c>
    </row>
    <row r="103" spans="1:15" ht="13" outlineLevel="1" x14ac:dyDescent="0.3">
      <c r="A103" s="727" t="s">
        <v>62</v>
      </c>
      <c r="B103" s="339">
        <v>9.02</v>
      </c>
      <c r="C103" s="350" t="s">
        <v>205</v>
      </c>
      <c r="D103" s="341" t="s">
        <v>307</v>
      </c>
      <c r="E103" s="695" t="s">
        <v>294</v>
      </c>
      <c r="F103" s="363">
        <v>81</v>
      </c>
      <c r="G103" s="345">
        <v>210031.16528925623</v>
      </c>
      <c r="H103" s="345">
        <v>0</v>
      </c>
      <c r="I103" s="346">
        <f t="shared" si="8"/>
        <v>210031.16528925623</v>
      </c>
      <c r="J103" s="345">
        <v>0</v>
      </c>
      <c r="K103" s="345">
        <v>1467876.7793314394</v>
      </c>
      <c r="L103" s="346">
        <f t="shared" si="9"/>
        <v>1467876.7793314394</v>
      </c>
      <c r="M103" s="345">
        <v>25168.619169310434</v>
      </c>
      <c r="N103" s="336">
        <f t="shared" si="7"/>
        <v>1677907.9446206957</v>
      </c>
    </row>
    <row r="104" spans="1:15" ht="13" outlineLevel="1" x14ac:dyDescent="0.3">
      <c r="A104" s="727" t="s">
        <v>62</v>
      </c>
      <c r="B104" s="351">
        <v>9.0299999999999994</v>
      </c>
      <c r="C104" s="352" t="s">
        <v>205</v>
      </c>
      <c r="D104" s="353" t="s">
        <v>308</v>
      </c>
      <c r="E104" s="696" t="s">
        <v>211</v>
      </c>
      <c r="F104" s="379">
        <v>46</v>
      </c>
      <c r="G104" s="359">
        <v>0</v>
      </c>
      <c r="H104" s="359">
        <v>28057.673991600001</v>
      </c>
      <c r="I104" s="360">
        <f t="shared" si="8"/>
        <v>28057.673991600001</v>
      </c>
      <c r="J104" s="359">
        <v>0</v>
      </c>
      <c r="K104" s="359">
        <v>322156.11028457381</v>
      </c>
      <c r="L104" s="360">
        <f t="shared" si="9"/>
        <v>322156.11028457381</v>
      </c>
      <c r="M104" s="359">
        <v>5253.2067641426074</v>
      </c>
      <c r="N104" s="336">
        <f t="shared" si="7"/>
        <v>350213.7842761738</v>
      </c>
    </row>
    <row r="105" spans="1:15" ht="13" x14ac:dyDescent="0.3">
      <c r="A105" s="727"/>
      <c r="B105" s="325">
        <v>10</v>
      </c>
      <c r="C105" s="326"/>
      <c r="D105" s="276" t="s">
        <v>309</v>
      </c>
      <c r="E105" s="177"/>
      <c r="F105" s="327"/>
      <c r="G105" s="327"/>
      <c r="H105" s="327"/>
      <c r="I105" s="327">
        <f t="shared" si="8"/>
        <v>0</v>
      </c>
      <c r="J105" s="327"/>
      <c r="K105" s="327"/>
      <c r="L105" s="327">
        <f t="shared" si="9"/>
        <v>0</v>
      </c>
      <c r="M105" s="327"/>
      <c r="N105" s="336">
        <f t="shared" si="7"/>
        <v>0</v>
      </c>
    </row>
    <row r="106" spans="1:15" ht="13" outlineLevel="1" x14ac:dyDescent="0.3">
      <c r="A106" s="727" t="s">
        <v>62</v>
      </c>
      <c r="B106" s="339">
        <v>10.01</v>
      </c>
      <c r="C106" s="340" t="s">
        <v>236</v>
      </c>
      <c r="D106" s="341" t="s">
        <v>310</v>
      </c>
      <c r="E106" s="697" t="s">
        <v>207</v>
      </c>
      <c r="F106" s="342">
        <v>1</v>
      </c>
      <c r="G106" s="345">
        <v>200000</v>
      </c>
      <c r="H106" s="345">
        <v>0</v>
      </c>
      <c r="I106" s="346">
        <f t="shared" si="8"/>
        <v>200000</v>
      </c>
      <c r="J106" s="345">
        <v>0</v>
      </c>
      <c r="K106" s="345">
        <v>1163573.8754485797</v>
      </c>
      <c r="L106" s="346">
        <f t="shared" si="9"/>
        <v>1163573.8754485797</v>
      </c>
      <c r="M106" s="345">
        <v>20453.608131728695</v>
      </c>
      <c r="N106" s="336">
        <f t="shared" si="7"/>
        <v>1363573.8754485797</v>
      </c>
    </row>
    <row r="107" spans="1:15" ht="13" outlineLevel="1" x14ac:dyDescent="0.3">
      <c r="A107" s="727" t="s">
        <v>62</v>
      </c>
      <c r="B107" s="339">
        <v>10.02</v>
      </c>
      <c r="C107" s="340" t="s">
        <v>236</v>
      </c>
      <c r="D107" s="341" t="s">
        <v>311</v>
      </c>
      <c r="E107" s="697" t="s">
        <v>207</v>
      </c>
      <c r="F107" s="342">
        <v>1</v>
      </c>
      <c r="G107" s="345">
        <v>200000</v>
      </c>
      <c r="H107" s="345">
        <v>0</v>
      </c>
      <c r="I107" s="346">
        <f t="shared" si="8"/>
        <v>200000</v>
      </c>
      <c r="J107" s="345">
        <v>0</v>
      </c>
      <c r="K107" s="345">
        <v>698144.32526914775</v>
      </c>
      <c r="L107" s="346">
        <f t="shared" si="9"/>
        <v>698144.32526914775</v>
      </c>
      <c r="M107" s="345">
        <v>13472.164879037216</v>
      </c>
      <c r="N107" s="336">
        <f t="shared" si="7"/>
        <v>898144.32526914775</v>
      </c>
    </row>
    <row r="108" spans="1:15" ht="13" outlineLevel="1" x14ac:dyDescent="0.3">
      <c r="A108" s="727" t="s">
        <v>62</v>
      </c>
      <c r="B108" s="339">
        <v>10.029999999999999</v>
      </c>
      <c r="C108" s="340" t="s">
        <v>236</v>
      </c>
      <c r="D108" s="341" t="s">
        <v>312</v>
      </c>
      <c r="E108" s="697" t="s">
        <v>207</v>
      </c>
      <c r="F108" s="342">
        <v>1</v>
      </c>
      <c r="G108" s="345">
        <v>50000</v>
      </c>
      <c r="H108" s="345">
        <v>0</v>
      </c>
      <c r="I108" s="346">
        <f t="shared" si="8"/>
        <v>50000</v>
      </c>
      <c r="J108" s="345">
        <v>0</v>
      </c>
      <c r="K108" s="345">
        <v>349072.16263457388</v>
      </c>
      <c r="L108" s="346">
        <f t="shared" si="9"/>
        <v>349072.16263457388</v>
      </c>
      <c r="M108" s="345">
        <v>5986.0824395186082</v>
      </c>
      <c r="N108" s="336">
        <f t="shared" si="7"/>
        <v>399072.16263457388</v>
      </c>
    </row>
    <row r="109" spans="1:15" s="682" customFormat="1" ht="13" outlineLevel="1" x14ac:dyDescent="0.3">
      <c r="A109" s="727" t="s">
        <v>62</v>
      </c>
      <c r="B109" s="339">
        <v>10.039999999999999</v>
      </c>
      <c r="C109" s="350" t="s">
        <v>236</v>
      </c>
      <c r="D109" s="341" t="s">
        <v>313</v>
      </c>
      <c r="E109" s="362" t="s">
        <v>243</v>
      </c>
      <c r="F109" s="363">
        <v>10</v>
      </c>
      <c r="G109" s="345">
        <v>200000</v>
      </c>
      <c r="H109" s="345">
        <v>0</v>
      </c>
      <c r="I109" s="346">
        <f t="shared" si="8"/>
        <v>200000</v>
      </c>
      <c r="J109" s="345">
        <v>0</v>
      </c>
      <c r="K109" s="345">
        <v>232714.7750897159</v>
      </c>
      <c r="L109" s="346">
        <f t="shared" si="9"/>
        <v>232714.7750897159</v>
      </c>
      <c r="M109" s="345">
        <v>6490.7216263457385</v>
      </c>
      <c r="N109" s="336">
        <f t="shared" si="7"/>
        <v>432714.7750897159</v>
      </c>
      <c r="O109" s="677"/>
    </row>
    <row r="110" spans="1:15" s="682" customFormat="1" ht="13" x14ac:dyDescent="0.3">
      <c r="A110" s="727"/>
      <c r="B110" s="325">
        <v>11</v>
      </c>
      <c r="C110" s="326"/>
      <c r="D110" s="607" t="s">
        <v>314</v>
      </c>
      <c r="E110" s="177"/>
      <c r="F110" s="327"/>
      <c r="G110" s="327"/>
      <c r="H110" s="327"/>
      <c r="I110" s="327">
        <f t="shared" si="8"/>
        <v>0</v>
      </c>
      <c r="J110" s="327"/>
      <c r="K110" s="327"/>
      <c r="L110" s="327">
        <f t="shared" si="9"/>
        <v>0</v>
      </c>
      <c r="M110" s="327"/>
      <c r="N110" s="336">
        <f t="shared" si="7"/>
        <v>0</v>
      </c>
      <c r="O110" s="677"/>
    </row>
    <row r="111" spans="1:15" ht="13" outlineLevel="1" x14ac:dyDescent="0.3">
      <c r="A111" s="727" t="s">
        <v>65</v>
      </c>
      <c r="B111" s="331">
        <v>11.01</v>
      </c>
      <c r="C111" s="380" t="s">
        <v>205</v>
      </c>
      <c r="D111" s="333" t="s">
        <v>315</v>
      </c>
      <c r="E111" s="694" t="s">
        <v>238</v>
      </c>
      <c r="F111" s="381">
        <v>0</v>
      </c>
      <c r="G111" s="335">
        <v>0</v>
      </c>
      <c r="H111" s="335">
        <v>0</v>
      </c>
      <c r="I111" s="336">
        <f t="shared" si="8"/>
        <v>0</v>
      </c>
      <c r="J111" s="335">
        <v>0</v>
      </c>
      <c r="K111" s="335">
        <v>0</v>
      </c>
      <c r="L111" s="336">
        <f t="shared" si="9"/>
        <v>0</v>
      </c>
      <c r="M111" s="335">
        <v>0</v>
      </c>
      <c r="N111" s="336">
        <f t="shared" si="7"/>
        <v>0</v>
      </c>
    </row>
    <row r="112" spans="1:15" ht="13" outlineLevel="1" x14ac:dyDescent="0.3">
      <c r="A112" s="727" t="s">
        <v>65</v>
      </c>
      <c r="B112" s="339">
        <v>11.02</v>
      </c>
      <c r="C112" s="350" t="s">
        <v>205</v>
      </c>
      <c r="D112" s="341" t="s">
        <v>316</v>
      </c>
      <c r="E112" s="695" t="s">
        <v>238</v>
      </c>
      <c r="F112" s="363">
        <v>39</v>
      </c>
      <c r="G112" s="345">
        <v>0</v>
      </c>
      <c r="H112" s="345">
        <v>158586.85299600003</v>
      </c>
      <c r="I112" s="346">
        <f t="shared" si="8"/>
        <v>158586.85299600003</v>
      </c>
      <c r="J112" s="345">
        <v>0</v>
      </c>
      <c r="K112" s="345">
        <v>394603.31428256183</v>
      </c>
      <c r="L112" s="346">
        <f t="shared" si="9"/>
        <v>394603.31428256183</v>
      </c>
      <c r="M112" s="345">
        <v>11002.710322488985</v>
      </c>
      <c r="N112" s="336">
        <f t="shared" si="7"/>
        <v>553190.16727856186</v>
      </c>
    </row>
    <row r="113" spans="1:15" ht="13" outlineLevel="1" x14ac:dyDescent="0.3">
      <c r="A113" s="727" t="s">
        <v>65</v>
      </c>
      <c r="B113" s="339">
        <v>11.03</v>
      </c>
      <c r="C113" s="350" t="s">
        <v>205</v>
      </c>
      <c r="D113" s="341" t="s">
        <v>317</v>
      </c>
      <c r="E113" s="695" t="s">
        <v>238</v>
      </c>
      <c r="F113" s="363">
        <v>48</v>
      </c>
      <c r="G113" s="345">
        <v>0</v>
      </c>
      <c r="H113" s="345">
        <v>343502.33282300824</v>
      </c>
      <c r="I113" s="346">
        <f t="shared" si="8"/>
        <v>343502.33282300824</v>
      </c>
      <c r="J113" s="345">
        <v>0</v>
      </c>
      <c r="K113" s="345">
        <v>559089.85400545457</v>
      </c>
      <c r="L113" s="346">
        <f t="shared" si="9"/>
        <v>559089.85400545457</v>
      </c>
      <c r="M113" s="345">
        <v>10839.011771338131</v>
      </c>
      <c r="N113" s="336">
        <f t="shared" si="7"/>
        <v>902592.18682846287</v>
      </c>
    </row>
    <row r="114" spans="1:15" s="682" customFormat="1" ht="26" outlineLevel="1" x14ac:dyDescent="0.3">
      <c r="A114" s="727" t="s">
        <v>65</v>
      </c>
      <c r="B114" s="339">
        <v>11.04</v>
      </c>
      <c r="C114" s="350" t="s">
        <v>205</v>
      </c>
      <c r="D114" s="341" t="s">
        <v>318</v>
      </c>
      <c r="E114" s="362" t="s">
        <v>238</v>
      </c>
      <c r="F114" s="363">
        <v>174</v>
      </c>
      <c r="G114" s="345">
        <v>0</v>
      </c>
      <c r="H114" s="345">
        <v>226798.39000000004</v>
      </c>
      <c r="I114" s="346">
        <f t="shared" si="8"/>
        <v>226798.39000000004</v>
      </c>
      <c r="J114" s="345">
        <v>280000</v>
      </c>
      <c r="K114" s="345">
        <v>1958221.1374723015</v>
      </c>
      <c r="L114" s="346">
        <f t="shared" si="9"/>
        <v>2238221.1374723017</v>
      </c>
      <c r="M114" s="345">
        <v>36975.292912084522</v>
      </c>
      <c r="N114" s="336">
        <f t="shared" si="7"/>
        <v>2465019.5274723019</v>
      </c>
      <c r="O114" s="677"/>
    </row>
    <row r="115" spans="1:15" ht="26" outlineLevel="1" x14ac:dyDescent="0.3">
      <c r="A115" s="727" t="s">
        <v>65</v>
      </c>
      <c r="B115" s="339">
        <v>11.05</v>
      </c>
      <c r="C115" s="350" t="s">
        <v>205</v>
      </c>
      <c r="D115" s="341" t="s">
        <v>319</v>
      </c>
      <c r="E115" s="695" t="s">
        <v>238</v>
      </c>
      <c r="F115" s="363">
        <v>92</v>
      </c>
      <c r="G115" s="345">
        <v>0</v>
      </c>
      <c r="H115" s="345">
        <v>119916.39011494255</v>
      </c>
      <c r="I115" s="346">
        <f t="shared" si="8"/>
        <v>119916.39011494255</v>
      </c>
      <c r="J115" s="345">
        <v>148045.97701149425</v>
      </c>
      <c r="K115" s="345">
        <v>1035381.2910773088</v>
      </c>
      <c r="L115" s="346">
        <f t="shared" si="9"/>
        <v>1183427.2680888032</v>
      </c>
      <c r="M115" s="345">
        <v>19550.154873056184</v>
      </c>
      <c r="N115" s="336">
        <f t="shared" si="7"/>
        <v>1303343.6582037457</v>
      </c>
    </row>
    <row r="116" spans="1:15" s="682" customFormat="1" ht="13" outlineLevel="1" x14ac:dyDescent="0.3">
      <c r="A116" s="727" t="s">
        <v>65</v>
      </c>
      <c r="B116" s="339">
        <v>11.06</v>
      </c>
      <c r="C116" s="350" t="s">
        <v>205</v>
      </c>
      <c r="D116" s="341" t="s">
        <v>320</v>
      </c>
      <c r="E116" s="362" t="s">
        <v>238</v>
      </c>
      <c r="F116" s="363">
        <v>8</v>
      </c>
      <c r="G116" s="345">
        <v>0</v>
      </c>
      <c r="H116" s="345">
        <v>22184.064000000002</v>
      </c>
      <c r="I116" s="346">
        <f t="shared" si="8"/>
        <v>22184.064000000002</v>
      </c>
      <c r="J116" s="345">
        <v>0</v>
      </c>
      <c r="K116" s="345">
        <v>60860.580776571966</v>
      </c>
      <c r="L116" s="346">
        <f t="shared" si="9"/>
        <v>60860.580776571966</v>
      </c>
      <c r="M116" s="345">
        <v>1245.6696716485794</v>
      </c>
      <c r="N116" s="336">
        <f t="shared" si="7"/>
        <v>83044.644776571964</v>
      </c>
      <c r="O116" s="677"/>
    </row>
    <row r="117" spans="1:15" ht="13" outlineLevel="1" x14ac:dyDescent="0.3">
      <c r="A117" s="727" t="s">
        <v>65</v>
      </c>
      <c r="B117" s="339">
        <v>11.07</v>
      </c>
      <c r="C117" s="350" t="s">
        <v>205</v>
      </c>
      <c r="D117" s="341" t="s">
        <v>321</v>
      </c>
      <c r="E117" s="695" t="s">
        <v>238</v>
      </c>
      <c r="F117" s="363">
        <v>46</v>
      </c>
      <c r="G117" s="345">
        <v>0</v>
      </c>
      <c r="H117" s="345">
        <v>354282.56503199995</v>
      </c>
      <c r="I117" s="346">
        <f t="shared" si="8"/>
        <v>354282.56503199995</v>
      </c>
      <c r="J117" s="345">
        <v>0</v>
      </c>
      <c r="K117" s="345">
        <v>551262.64193257573</v>
      </c>
      <c r="L117" s="346">
        <f t="shared" si="9"/>
        <v>551262.64193257573</v>
      </c>
      <c r="M117" s="345">
        <v>13583.178104468634</v>
      </c>
      <c r="N117" s="336">
        <f t="shared" si="7"/>
        <v>905545.20696457569</v>
      </c>
    </row>
    <row r="118" spans="1:15" ht="13" outlineLevel="1" x14ac:dyDescent="0.3">
      <c r="A118" s="727" t="s">
        <v>65</v>
      </c>
      <c r="B118" s="339">
        <v>11.08</v>
      </c>
      <c r="C118" s="350" t="s">
        <v>205</v>
      </c>
      <c r="D118" s="341" t="s">
        <v>322</v>
      </c>
      <c r="E118" s="695" t="s">
        <v>238</v>
      </c>
      <c r="F118" s="363">
        <v>562</v>
      </c>
      <c r="G118" s="345">
        <v>0</v>
      </c>
      <c r="H118" s="345">
        <v>4021839.8134693881</v>
      </c>
      <c r="I118" s="346">
        <f t="shared" si="8"/>
        <v>4021839.8134693881</v>
      </c>
      <c r="J118" s="345">
        <v>0</v>
      </c>
      <c r="K118" s="345">
        <v>6546010.3739805315</v>
      </c>
      <c r="L118" s="346">
        <f t="shared" si="9"/>
        <v>6546010.3739805315</v>
      </c>
      <c r="M118" s="345">
        <v>126906.76282275062</v>
      </c>
      <c r="N118" s="336">
        <f t="shared" si="7"/>
        <v>10567850.187449919</v>
      </c>
    </row>
    <row r="119" spans="1:15" ht="13" outlineLevel="1" x14ac:dyDescent="0.3">
      <c r="A119" s="727" t="s">
        <v>65</v>
      </c>
      <c r="B119" s="339">
        <v>11.09</v>
      </c>
      <c r="C119" s="375" t="s">
        <v>205</v>
      </c>
      <c r="D119" s="341" t="s">
        <v>323</v>
      </c>
      <c r="E119" s="698" t="s">
        <v>238</v>
      </c>
      <c r="F119" s="378">
        <v>73</v>
      </c>
      <c r="G119" s="345">
        <v>0</v>
      </c>
      <c r="H119" s="345">
        <v>522409.79783499171</v>
      </c>
      <c r="I119" s="346">
        <f t="shared" si="8"/>
        <v>522409.79783499171</v>
      </c>
      <c r="J119" s="345">
        <v>0</v>
      </c>
      <c r="K119" s="345">
        <v>1105367.232189951</v>
      </c>
      <c r="L119" s="346">
        <f t="shared" si="9"/>
        <v>1105367.232189951</v>
      </c>
      <c r="M119" s="345">
        <v>21429.629522916428</v>
      </c>
      <c r="N119" s="336">
        <f t="shared" si="7"/>
        <v>1627777.0300249427</v>
      </c>
    </row>
    <row r="120" spans="1:15" ht="13" outlineLevel="1" x14ac:dyDescent="0.3">
      <c r="A120" s="727" t="s">
        <v>65</v>
      </c>
      <c r="B120" s="339">
        <v>11.1</v>
      </c>
      <c r="C120" s="375" t="s">
        <v>205</v>
      </c>
      <c r="D120" s="341" t="s">
        <v>324</v>
      </c>
      <c r="E120" s="698" t="s">
        <v>238</v>
      </c>
      <c r="F120" s="378">
        <v>143</v>
      </c>
      <c r="G120" s="345">
        <v>0</v>
      </c>
      <c r="H120" s="345">
        <v>1023350.6998685454</v>
      </c>
      <c r="I120" s="346">
        <f t="shared" si="8"/>
        <v>1023350.6998685454</v>
      </c>
      <c r="J120" s="345">
        <v>0</v>
      </c>
      <c r="K120" s="345">
        <v>1665621.8567245835</v>
      </c>
      <c r="L120" s="346">
        <f t="shared" si="9"/>
        <v>1665621.8567245835</v>
      </c>
      <c r="M120" s="345">
        <v>32291.222568778183</v>
      </c>
      <c r="N120" s="336">
        <f t="shared" si="7"/>
        <v>2688972.5565931289</v>
      </c>
    </row>
    <row r="121" spans="1:15" ht="13" outlineLevel="1" x14ac:dyDescent="0.3">
      <c r="A121" s="727" t="s">
        <v>65</v>
      </c>
      <c r="B121" s="339">
        <v>11.11</v>
      </c>
      <c r="C121" s="352" t="s">
        <v>205</v>
      </c>
      <c r="D121" s="341" t="s">
        <v>325</v>
      </c>
      <c r="E121" s="696" t="s">
        <v>238</v>
      </c>
      <c r="F121" s="379">
        <v>106</v>
      </c>
      <c r="G121" s="345">
        <v>0</v>
      </c>
      <c r="H121" s="345">
        <v>758567.65165080992</v>
      </c>
      <c r="I121" s="346">
        <f t="shared" si="8"/>
        <v>758567.65165080992</v>
      </c>
      <c r="J121" s="345">
        <v>0</v>
      </c>
      <c r="K121" s="345">
        <v>1234656.7609287123</v>
      </c>
      <c r="L121" s="346">
        <f t="shared" si="9"/>
        <v>1234656.7609287123</v>
      </c>
      <c r="M121" s="345">
        <v>23936.150995038373</v>
      </c>
      <c r="N121" s="336">
        <f t="shared" si="7"/>
        <v>1993224.4125795222</v>
      </c>
    </row>
    <row r="122" spans="1:15" s="682" customFormat="1" ht="13" x14ac:dyDescent="0.3">
      <c r="A122" s="727"/>
      <c r="B122" s="325">
        <v>12</v>
      </c>
      <c r="C122" s="326"/>
      <c r="D122" s="607" t="s">
        <v>326</v>
      </c>
      <c r="E122" s="177"/>
      <c r="F122" s="327"/>
      <c r="G122" s="327"/>
      <c r="H122" s="327"/>
      <c r="I122" s="327">
        <f t="shared" si="8"/>
        <v>0</v>
      </c>
      <c r="J122" s="327"/>
      <c r="K122" s="327"/>
      <c r="L122" s="327">
        <f t="shared" si="9"/>
        <v>0</v>
      </c>
      <c r="M122" s="327"/>
      <c r="N122" s="336">
        <f t="shared" si="7"/>
        <v>0</v>
      </c>
      <c r="O122" s="677"/>
    </row>
    <row r="123" spans="1:15" ht="13" outlineLevel="1" x14ac:dyDescent="0.3">
      <c r="A123" s="727" t="s">
        <v>65</v>
      </c>
      <c r="B123" s="331">
        <f>+B122+0.01</f>
        <v>12.01</v>
      </c>
      <c r="C123" s="380" t="s">
        <v>205</v>
      </c>
      <c r="D123" s="333" t="s">
        <v>327</v>
      </c>
      <c r="E123" s="694" t="s">
        <v>211</v>
      </c>
      <c r="F123" s="381">
        <v>19</v>
      </c>
      <c r="G123" s="335">
        <v>0</v>
      </c>
      <c r="H123" s="335">
        <v>15382.685646000004</v>
      </c>
      <c r="I123" s="336">
        <f t="shared" si="8"/>
        <v>15382.685646000004</v>
      </c>
      <c r="J123" s="335">
        <v>0</v>
      </c>
      <c r="K123" s="335">
        <v>74826.973567029083</v>
      </c>
      <c r="L123" s="336">
        <f t="shared" si="9"/>
        <v>74826.973567029083</v>
      </c>
      <c r="M123" s="335">
        <v>2395.3426802859117</v>
      </c>
      <c r="N123" s="336">
        <f t="shared" si="7"/>
        <v>90209.659213029081</v>
      </c>
    </row>
    <row r="124" spans="1:15" ht="13" outlineLevel="1" x14ac:dyDescent="0.3">
      <c r="A124" s="727" t="s">
        <v>65</v>
      </c>
      <c r="B124" s="413">
        <v>12.02</v>
      </c>
      <c r="C124" s="414" t="s">
        <v>205</v>
      </c>
      <c r="D124" s="341" t="s">
        <v>328</v>
      </c>
      <c r="E124" s="699" t="s">
        <v>211</v>
      </c>
      <c r="F124" s="363">
        <v>626</v>
      </c>
      <c r="G124" s="345">
        <v>2191000</v>
      </c>
      <c r="H124" s="345">
        <v>0</v>
      </c>
      <c r="I124" s="346">
        <f t="shared" si="8"/>
        <v>2191000</v>
      </c>
      <c r="J124" s="345">
        <v>0</v>
      </c>
      <c r="K124" s="345">
        <v>2000832.0723708707</v>
      </c>
      <c r="L124" s="346">
        <f t="shared" si="9"/>
        <v>2000832.0723708707</v>
      </c>
      <c r="M124" s="345">
        <v>62877.481085563057</v>
      </c>
      <c r="N124" s="336">
        <f t="shared" si="7"/>
        <v>4191832.072370871</v>
      </c>
    </row>
    <row r="125" spans="1:15" ht="13" outlineLevel="1" x14ac:dyDescent="0.3">
      <c r="A125" s="727" t="s">
        <v>65</v>
      </c>
      <c r="B125" s="413">
        <v>12.03</v>
      </c>
      <c r="C125" s="414" t="s">
        <v>205</v>
      </c>
      <c r="D125" s="415" t="s">
        <v>329</v>
      </c>
      <c r="E125" s="699" t="s">
        <v>211</v>
      </c>
      <c r="F125" s="379">
        <v>386</v>
      </c>
      <c r="G125" s="359">
        <v>0</v>
      </c>
      <c r="H125" s="359">
        <v>411608.49218399997</v>
      </c>
      <c r="I125" s="360">
        <f t="shared" si="8"/>
        <v>411608.49218399997</v>
      </c>
      <c r="J125" s="359">
        <v>0</v>
      </c>
      <c r="K125" s="359">
        <v>1948272.8384717859</v>
      </c>
      <c r="L125" s="360">
        <f t="shared" si="9"/>
        <v>1948272.8384717859</v>
      </c>
      <c r="M125" s="359">
        <v>37770.945186510238</v>
      </c>
      <c r="N125" s="336">
        <f t="shared" si="7"/>
        <v>2359881.3306557857</v>
      </c>
    </row>
    <row r="126" spans="1:15" s="682" customFormat="1" ht="13" x14ac:dyDescent="0.3">
      <c r="A126" s="727"/>
      <c r="B126" s="325">
        <v>13</v>
      </c>
      <c r="C126" s="326"/>
      <c r="D126" s="607" t="s">
        <v>330</v>
      </c>
      <c r="E126" s="177"/>
      <c r="F126" s="327"/>
      <c r="G126" s="327"/>
      <c r="H126" s="327"/>
      <c r="I126" s="327">
        <f t="shared" si="8"/>
        <v>0</v>
      </c>
      <c r="J126" s="327"/>
      <c r="K126" s="327"/>
      <c r="L126" s="327">
        <f t="shared" si="9"/>
        <v>0</v>
      </c>
      <c r="M126" s="327"/>
      <c r="N126" s="336">
        <f t="shared" si="7"/>
        <v>0</v>
      </c>
      <c r="O126" s="677"/>
    </row>
    <row r="127" spans="1:15" ht="13" outlineLevel="1" x14ac:dyDescent="0.3">
      <c r="A127" s="727" t="s">
        <v>65</v>
      </c>
      <c r="B127" s="380">
        <v>13.01</v>
      </c>
      <c r="C127" s="380" t="s">
        <v>205</v>
      </c>
      <c r="D127" s="646" t="s">
        <v>331</v>
      </c>
      <c r="E127" s="700" t="s">
        <v>238</v>
      </c>
      <c r="F127" s="332">
        <v>413</v>
      </c>
      <c r="G127" s="335">
        <v>0</v>
      </c>
      <c r="H127" s="335">
        <v>2955551.3219979666</v>
      </c>
      <c r="I127" s="336">
        <f t="shared" si="8"/>
        <v>2955551.3219979666</v>
      </c>
      <c r="J127" s="335">
        <v>0</v>
      </c>
      <c r="K127" s="335">
        <v>6253652.9711568458</v>
      </c>
      <c r="L127" s="336">
        <f t="shared" si="9"/>
        <v>6253652.9711568458</v>
      </c>
      <c r="M127" s="335">
        <v>121238.86291732172</v>
      </c>
      <c r="N127" s="336">
        <f t="shared" si="7"/>
        <v>9209204.2931548133</v>
      </c>
    </row>
    <row r="128" spans="1:15" ht="13" outlineLevel="1" x14ac:dyDescent="0.3">
      <c r="A128" s="727" t="s">
        <v>65</v>
      </c>
      <c r="B128" s="414">
        <v>13.02</v>
      </c>
      <c r="C128" s="414" t="s">
        <v>205</v>
      </c>
      <c r="D128" s="430" t="s">
        <v>332</v>
      </c>
      <c r="E128" s="701" t="s">
        <v>238</v>
      </c>
      <c r="F128" s="484">
        <v>18</v>
      </c>
      <c r="G128" s="345">
        <v>0</v>
      </c>
      <c r="H128" s="345">
        <v>128813.37480862808</v>
      </c>
      <c r="I128" s="346">
        <f t="shared" si="8"/>
        <v>128813.37480862808</v>
      </c>
      <c r="J128" s="345">
        <v>0</v>
      </c>
      <c r="K128" s="345">
        <v>272556.30382765911</v>
      </c>
      <c r="L128" s="346">
        <f t="shared" si="9"/>
        <v>272556.30382765911</v>
      </c>
      <c r="M128" s="345">
        <v>5284.0182385273383</v>
      </c>
      <c r="N128" s="336">
        <f t="shared" si="7"/>
        <v>401369.67863628722</v>
      </c>
    </row>
    <row r="129" spans="1:15" ht="13" outlineLevel="1" x14ac:dyDescent="0.3">
      <c r="A129" s="727" t="s">
        <v>65</v>
      </c>
      <c r="B129" s="350">
        <v>13.03</v>
      </c>
      <c r="C129" s="350" t="s">
        <v>205</v>
      </c>
      <c r="D129" s="430" t="s">
        <v>333</v>
      </c>
      <c r="E129" s="695" t="s">
        <v>238</v>
      </c>
      <c r="F129" s="363">
        <v>20</v>
      </c>
      <c r="G129" s="345">
        <v>66378.720000000001</v>
      </c>
      <c r="H129" s="345">
        <v>663787.19999999995</v>
      </c>
      <c r="I129" s="346">
        <f t="shared" si="8"/>
        <v>730165.91999999993</v>
      </c>
      <c r="J129" s="345">
        <v>0</v>
      </c>
      <c r="K129" s="345">
        <v>644312.22056914761</v>
      </c>
      <c r="L129" s="346">
        <f t="shared" si="9"/>
        <v>644312.22056914761</v>
      </c>
      <c r="M129" s="345">
        <v>20617.172108537216</v>
      </c>
      <c r="N129" s="336">
        <f t="shared" si="7"/>
        <v>1374478.1405691477</v>
      </c>
    </row>
    <row r="130" spans="1:15" ht="13" outlineLevel="1" x14ac:dyDescent="0.3">
      <c r="A130" s="727" t="s">
        <v>65</v>
      </c>
      <c r="B130" s="350">
        <v>13.04</v>
      </c>
      <c r="C130" s="350" t="s">
        <v>205</v>
      </c>
      <c r="D130" s="341" t="s">
        <v>334</v>
      </c>
      <c r="E130" s="695" t="s">
        <v>238</v>
      </c>
      <c r="F130" s="363">
        <v>0</v>
      </c>
      <c r="G130" s="345">
        <v>0</v>
      </c>
      <c r="H130" s="345">
        <v>0</v>
      </c>
      <c r="I130" s="346">
        <f t="shared" si="8"/>
        <v>0</v>
      </c>
      <c r="J130" s="345">
        <v>0</v>
      </c>
      <c r="K130" s="345">
        <v>0</v>
      </c>
      <c r="L130" s="346">
        <f t="shared" si="9"/>
        <v>0</v>
      </c>
      <c r="M130" s="345">
        <v>0</v>
      </c>
      <c r="N130" s="336">
        <f t="shared" si="7"/>
        <v>0</v>
      </c>
    </row>
    <row r="131" spans="1:15" s="682" customFormat="1" ht="13" x14ac:dyDescent="0.3">
      <c r="A131" s="727"/>
      <c r="B131" s="325">
        <v>14</v>
      </c>
      <c r="C131" s="326"/>
      <c r="D131" s="607" t="s">
        <v>335</v>
      </c>
      <c r="E131" s="177"/>
      <c r="F131" s="327"/>
      <c r="G131" s="327"/>
      <c r="H131" s="327"/>
      <c r="I131" s="327">
        <f t="shared" si="8"/>
        <v>0</v>
      </c>
      <c r="J131" s="327"/>
      <c r="K131" s="327"/>
      <c r="L131" s="327">
        <f t="shared" si="9"/>
        <v>0</v>
      </c>
      <c r="M131" s="327"/>
      <c r="N131" s="336">
        <f t="shared" si="7"/>
        <v>0</v>
      </c>
      <c r="O131" s="677"/>
    </row>
    <row r="132" spans="1:15" ht="13" outlineLevel="1" x14ac:dyDescent="0.3">
      <c r="A132" s="727" t="s">
        <v>63</v>
      </c>
      <c r="B132" s="331">
        <f>+B131+0.01</f>
        <v>14.01</v>
      </c>
      <c r="C132" s="380" t="s">
        <v>205</v>
      </c>
      <c r="D132" s="333" t="s">
        <v>336</v>
      </c>
      <c r="E132" s="700" t="s">
        <v>238</v>
      </c>
      <c r="F132" s="332">
        <v>460</v>
      </c>
      <c r="G132" s="335">
        <v>0</v>
      </c>
      <c r="H132" s="335">
        <v>2673627.12</v>
      </c>
      <c r="I132" s="336">
        <f t="shared" si="8"/>
        <v>2673627.12</v>
      </c>
      <c r="J132" s="335">
        <v>5359560.4235595353</v>
      </c>
      <c r="K132" s="335">
        <v>0</v>
      </c>
      <c r="L132" s="336">
        <f t="shared" si="9"/>
        <v>5359560.4235595353</v>
      </c>
      <c r="M132" s="335">
        <v>120497.81315339304</v>
      </c>
      <c r="N132" s="336">
        <f t="shared" si="7"/>
        <v>8033187.5435595354</v>
      </c>
    </row>
    <row r="133" spans="1:15" ht="13" outlineLevel="1" x14ac:dyDescent="0.3">
      <c r="A133" s="727" t="s">
        <v>63</v>
      </c>
      <c r="B133" s="413">
        <v>14.02</v>
      </c>
      <c r="C133" s="414" t="s">
        <v>205</v>
      </c>
      <c r="D133" s="415" t="s">
        <v>337</v>
      </c>
      <c r="E133" s="701" t="s">
        <v>211</v>
      </c>
      <c r="F133" s="484">
        <v>434</v>
      </c>
      <c r="G133" s="345">
        <v>0</v>
      </c>
      <c r="H133" s="345">
        <v>0</v>
      </c>
      <c r="I133" s="346">
        <f t="shared" si="8"/>
        <v>0</v>
      </c>
      <c r="J133" s="345">
        <v>5424771.3501843037</v>
      </c>
      <c r="K133" s="345">
        <v>0</v>
      </c>
      <c r="L133" s="346">
        <f t="shared" si="9"/>
        <v>5424771.3501843037</v>
      </c>
      <c r="M133" s="345">
        <v>0</v>
      </c>
      <c r="N133" s="336">
        <f t="shared" si="7"/>
        <v>5424771.3501843037</v>
      </c>
    </row>
    <row r="134" spans="1:15" ht="13" outlineLevel="1" x14ac:dyDescent="0.3">
      <c r="A134" s="727" t="s">
        <v>63</v>
      </c>
      <c r="B134" s="339">
        <v>14.03</v>
      </c>
      <c r="C134" s="350" t="s">
        <v>205</v>
      </c>
      <c r="D134" s="341" t="s">
        <v>338</v>
      </c>
      <c r="E134" s="697" t="s">
        <v>238</v>
      </c>
      <c r="F134" s="342">
        <v>115</v>
      </c>
      <c r="G134" s="345">
        <v>1227272.7322749346</v>
      </c>
      <c r="H134" s="345">
        <v>0</v>
      </c>
      <c r="I134" s="346">
        <f t="shared" si="8"/>
        <v>1227272.7322749346</v>
      </c>
      <c r="J134" s="345">
        <v>1832980.990653848</v>
      </c>
      <c r="K134" s="345">
        <v>0</v>
      </c>
      <c r="L134" s="346">
        <f t="shared" si="9"/>
        <v>1832980.990653848</v>
      </c>
      <c r="M134" s="345">
        <v>30328.96502474105</v>
      </c>
      <c r="N134" s="336">
        <f t="shared" si="7"/>
        <v>3060253.7229287829</v>
      </c>
    </row>
    <row r="135" spans="1:15" ht="13" outlineLevel="1" x14ac:dyDescent="0.3">
      <c r="A135" s="727" t="s">
        <v>63</v>
      </c>
      <c r="B135" s="413">
        <v>14.04</v>
      </c>
      <c r="C135" s="350" t="s">
        <v>205</v>
      </c>
      <c r="D135" s="341" t="s">
        <v>339</v>
      </c>
      <c r="E135" s="697" t="s">
        <v>238</v>
      </c>
      <c r="F135" s="342">
        <v>89</v>
      </c>
      <c r="G135" s="345">
        <v>1304744.8741266218</v>
      </c>
      <c r="H135" s="345">
        <v>0</v>
      </c>
      <c r="I135" s="346">
        <f t="shared" si="8"/>
        <v>1304744.8741266218</v>
      </c>
      <c r="J135" s="345">
        <v>1418567.8971147172</v>
      </c>
      <c r="K135" s="345">
        <v>0</v>
      </c>
      <c r="L135" s="346">
        <f t="shared" si="9"/>
        <v>1418567.8971147172</v>
      </c>
      <c r="M135" s="345">
        <v>23471.981627843074</v>
      </c>
      <c r="N135" s="336">
        <f t="shared" si="7"/>
        <v>2723312.7712413389</v>
      </c>
    </row>
    <row r="136" spans="1:15" ht="13" outlineLevel="1" x14ac:dyDescent="0.3">
      <c r="A136" s="727" t="s">
        <v>63</v>
      </c>
      <c r="B136" s="339">
        <v>14.05</v>
      </c>
      <c r="C136" s="350" t="s">
        <v>205</v>
      </c>
      <c r="D136" s="341" t="s">
        <v>340</v>
      </c>
      <c r="E136" s="697" t="s">
        <v>211</v>
      </c>
      <c r="F136" s="342">
        <v>530</v>
      </c>
      <c r="G136" s="345">
        <v>563322.05973801657</v>
      </c>
      <c r="H136" s="345">
        <v>0</v>
      </c>
      <c r="I136" s="346">
        <f t="shared" si="8"/>
        <v>563322.05973801657</v>
      </c>
      <c r="J136" s="345">
        <v>3036090.7661988768</v>
      </c>
      <c r="K136" s="345">
        <v>0</v>
      </c>
      <c r="L136" s="346">
        <f t="shared" si="9"/>
        <v>3036090.7661988768</v>
      </c>
      <c r="M136" s="345">
        <v>88525.41385482387</v>
      </c>
      <c r="N136" s="336">
        <f t="shared" si="7"/>
        <v>3599412.8259368935</v>
      </c>
    </row>
    <row r="137" spans="1:15" ht="13" outlineLevel="1" x14ac:dyDescent="0.3">
      <c r="A137" s="727" t="s">
        <v>63</v>
      </c>
      <c r="B137" s="413">
        <v>14.06</v>
      </c>
      <c r="C137" s="350" t="s">
        <v>205</v>
      </c>
      <c r="D137" s="341" t="s">
        <v>341</v>
      </c>
      <c r="E137" s="697" t="s">
        <v>211</v>
      </c>
      <c r="F137" s="342">
        <v>56</v>
      </c>
      <c r="G137" s="345">
        <v>59520.821406280993</v>
      </c>
      <c r="H137" s="345">
        <v>0</v>
      </c>
      <c r="I137" s="346">
        <f t="shared" si="8"/>
        <v>59520.821406280993</v>
      </c>
      <c r="J137" s="345">
        <v>320794.49605120206</v>
      </c>
      <c r="K137" s="345">
        <v>0</v>
      </c>
      <c r="L137" s="346">
        <f t="shared" si="9"/>
        <v>320794.49605120206</v>
      </c>
      <c r="M137" s="345">
        <v>9353.6286337172387</v>
      </c>
      <c r="N137" s="336">
        <f t="shared" si="7"/>
        <v>380315.31745748303</v>
      </c>
    </row>
    <row r="138" spans="1:15" ht="13" outlineLevel="1" x14ac:dyDescent="0.3">
      <c r="A138" s="727" t="s">
        <v>62</v>
      </c>
      <c r="B138" s="339">
        <v>14.07</v>
      </c>
      <c r="C138" s="350" t="s">
        <v>205</v>
      </c>
      <c r="D138" s="341" t="s">
        <v>342</v>
      </c>
      <c r="E138" s="697" t="s">
        <v>238</v>
      </c>
      <c r="F138" s="342">
        <v>469</v>
      </c>
      <c r="G138" s="359">
        <v>250000</v>
      </c>
      <c r="H138" s="359">
        <v>250000</v>
      </c>
      <c r="I138" s="360">
        <f t="shared" si="8"/>
        <v>500000</v>
      </c>
      <c r="J138" s="359">
        <v>0</v>
      </c>
      <c r="K138" s="359">
        <v>1349713.6816131533</v>
      </c>
      <c r="L138" s="360">
        <f t="shared" si="9"/>
        <v>1349713.6816131533</v>
      </c>
      <c r="M138" s="359">
        <v>27745.7052241973</v>
      </c>
      <c r="N138" s="336">
        <f t="shared" ref="N138:N201" si="10">SUM(I138,L138)</f>
        <v>1849713.6816131533</v>
      </c>
    </row>
    <row r="139" spans="1:15" s="682" customFormat="1" ht="13" x14ac:dyDescent="0.3">
      <c r="A139" s="727"/>
      <c r="B139" s="325">
        <v>15</v>
      </c>
      <c r="C139" s="326"/>
      <c r="D139" s="607" t="s">
        <v>343</v>
      </c>
      <c r="E139" s="177"/>
      <c r="F139" s="327"/>
      <c r="G139" s="327"/>
      <c r="H139" s="327"/>
      <c r="I139" s="327">
        <f t="shared" si="8"/>
        <v>0</v>
      </c>
      <c r="J139" s="327"/>
      <c r="K139" s="327"/>
      <c r="L139" s="327">
        <f t="shared" si="9"/>
        <v>0</v>
      </c>
      <c r="M139" s="327"/>
      <c r="N139" s="336">
        <f t="shared" si="10"/>
        <v>0</v>
      </c>
      <c r="O139" s="677"/>
    </row>
    <row r="140" spans="1:15" s="682" customFormat="1" ht="13" outlineLevel="1" x14ac:dyDescent="0.3">
      <c r="A140" s="727" t="s">
        <v>64</v>
      </c>
      <c r="B140" s="380">
        <v>15.01</v>
      </c>
      <c r="C140" s="380" t="s">
        <v>205</v>
      </c>
      <c r="D140" s="646" t="s">
        <v>344</v>
      </c>
      <c r="E140" s="183" t="s">
        <v>238</v>
      </c>
      <c r="F140" s="131">
        <v>739</v>
      </c>
      <c r="G140" s="335">
        <v>1348620.5157470002</v>
      </c>
      <c r="H140" s="335">
        <v>0</v>
      </c>
      <c r="I140" s="336">
        <f t="shared" si="8"/>
        <v>1348620.5157470002</v>
      </c>
      <c r="J140" s="335">
        <v>10718551.724801943</v>
      </c>
      <c r="K140" s="335">
        <v>0</v>
      </c>
      <c r="L140" s="336">
        <f t="shared" si="9"/>
        <v>10718551.724801943</v>
      </c>
      <c r="M140" s="335">
        <v>173252.86523792721</v>
      </c>
      <c r="N140" s="336">
        <f t="shared" si="10"/>
        <v>12067172.240548942</v>
      </c>
      <c r="O140" s="677"/>
    </row>
    <row r="141" spans="1:15" s="682" customFormat="1" ht="13" outlineLevel="1" x14ac:dyDescent="0.3">
      <c r="A141" s="727" t="s">
        <v>64</v>
      </c>
      <c r="B141" s="350">
        <v>15.02</v>
      </c>
      <c r="C141" s="350" t="s">
        <v>205</v>
      </c>
      <c r="D141" s="341" t="s">
        <v>345</v>
      </c>
      <c r="E141" s="695" t="s">
        <v>238</v>
      </c>
      <c r="F141" s="125">
        <v>1439</v>
      </c>
      <c r="G141" s="345">
        <v>3269521.2557755001</v>
      </c>
      <c r="H141" s="345">
        <v>0</v>
      </c>
      <c r="I141" s="346">
        <f t="shared" si="8"/>
        <v>3269521.2557755001</v>
      </c>
      <c r="J141" s="345">
        <v>6182454.6404153537</v>
      </c>
      <c r="K141" s="345">
        <v>0</v>
      </c>
      <c r="L141" s="346">
        <f t="shared" si="9"/>
        <v>6182454.6404153537</v>
      </c>
      <c r="M141" s="345">
        <v>138423.09685744994</v>
      </c>
      <c r="N141" s="336">
        <f t="shared" si="10"/>
        <v>9451975.8961908538</v>
      </c>
      <c r="O141" s="677"/>
    </row>
    <row r="142" spans="1:15" s="682" customFormat="1" ht="13" outlineLevel="1" x14ac:dyDescent="0.3">
      <c r="A142" s="727" t="s">
        <v>64</v>
      </c>
      <c r="B142" s="350">
        <v>15.03</v>
      </c>
      <c r="C142" s="350" t="s">
        <v>205</v>
      </c>
      <c r="D142" s="341" t="s">
        <v>346</v>
      </c>
      <c r="E142" s="695" t="s">
        <v>238</v>
      </c>
      <c r="F142" s="125">
        <v>462</v>
      </c>
      <c r="G142" s="345">
        <v>1350780.1440210002</v>
      </c>
      <c r="H142" s="345">
        <v>0</v>
      </c>
      <c r="I142" s="346">
        <f t="shared" si="8"/>
        <v>1350780.1440210002</v>
      </c>
      <c r="J142" s="345">
        <v>3523662.1707480256</v>
      </c>
      <c r="K142" s="345">
        <v>0</v>
      </c>
      <c r="L142" s="346">
        <f t="shared" si="9"/>
        <v>3523662.1707480256</v>
      </c>
      <c r="M142" s="345">
        <v>80802.919638817199</v>
      </c>
      <c r="N142" s="336">
        <f t="shared" si="10"/>
        <v>4874442.3147690259</v>
      </c>
      <c r="O142" s="677"/>
    </row>
    <row r="143" spans="1:15" s="682" customFormat="1" ht="13" outlineLevel="1" x14ac:dyDescent="0.3">
      <c r="A143" s="727" t="s">
        <v>64</v>
      </c>
      <c r="B143" s="350">
        <v>15.04</v>
      </c>
      <c r="C143" s="350" t="s">
        <v>205</v>
      </c>
      <c r="D143" s="341" t="s">
        <v>347</v>
      </c>
      <c r="E143" s="695" t="s">
        <v>238</v>
      </c>
      <c r="F143" s="125">
        <v>144</v>
      </c>
      <c r="G143" s="345">
        <v>308403.78631200007</v>
      </c>
      <c r="H143" s="345">
        <v>0</v>
      </c>
      <c r="I143" s="346">
        <f t="shared" si="8"/>
        <v>308403.78631200007</v>
      </c>
      <c r="J143" s="345">
        <v>494940.07962185465</v>
      </c>
      <c r="K143" s="345">
        <v>0</v>
      </c>
      <c r="L143" s="346">
        <f t="shared" si="9"/>
        <v>494940.07962185465</v>
      </c>
      <c r="M143" s="345">
        <v>11081.543264752074</v>
      </c>
      <c r="N143" s="336">
        <f t="shared" si="10"/>
        <v>803343.86593385471</v>
      </c>
      <c r="O143" s="677"/>
    </row>
    <row r="144" spans="1:15" s="682" customFormat="1" ht="13" outlineLevel="1" x14ac:dyDescent="0.3">
      <c r="A144" s="727" t="s">
        <v>64</v>
      </c>
      <c r="B144" s="350">
        <v>15.05</v>
      </c>
      <c r="C144" s="350" t="s">
        <v>205</v>
      </c>
      <c r="D144" s="341" t="s">
        <v>348</v>
      </c>
      <c r="E144" s="695" t="s">
        <v>238</v>
      </c>
      <c r="F144" s="125">
        <v>460</v>
      </c>
      <c r="G144" s="345">
        <v>1045156.2040700001</v>
      </c>
      <c r="H144" s="345">
        <v>0</v>
      </c>
      <c r="I144" s="346">
        <f t="shared" si="8"/>
        <v>1045156.2040700001</v>
      </c>
      <c r="J144" s="345">
        <v>1976323.2346011556</v>
      </c>
      <c r="K144" s="345">
        <v>0</v>
      </c>
      <c r="L144" s="346">
        <f t="shared" si="9"/>
        <v>1976323.2346011556</v>
      </c>
      <c r="M144" s="345">
        <v>44249.217897447517</v>
      </c>
      <c r="N144" s="336">
        <f t="shared" si="10"/>
        <v>3021479.4386711558</v>
      </c>
      <c r="O144" s="677"/>
    </row>
    <row r="145" spans="1:15" s="682" customFormat="1" ht="13" outlineLevel="1" x14ac:dyDescent="0.3">
      <c r="A145" s="727" t="s">
        <v>64</v>
      </c>
      <c r="B145" s="350">
        <v>15.06</v>
      </c>
      <c r="C145" s="350" t="s">
        <v>205</v>
      </c>
      <c r="D145" s="341" t="s">
        <v>349</v>
      </c>
      <c r="E145" s="695" t="s">
        <v>238</v>
      </c>
      <c r="F145" s="125">
        <v>204</v>
      </c>
      <c r="G145" s="345">
        <v>596448.37528200017</v>
      </c>
      <c r="H145" s="345">
        <v>0</v>
      </c>
      <c r="I145" s="346">
        <f t="shared" si="8"/>
        <v>596448.37528200017</v>
      </c>
      <c r="J145" s="345">
        <v>1765126.5390743641</v>
      </c>
      <c r="K145" s="345">
        <v>0</v>
      </c>
      <c r="L145" s="346">
        <f t="shared" si="9"/>
        <v>1765126.5390743641</v>
      </c>
      <c r="M145" s="345">
        <v>49177.807763954625</v>
      </c>
      <c r="N145" s="336">
        <f t="shared" si="10"/>
        <v>2361574.9143563644</v>
      </c>
      <c r="O145" s="677"/>
    </row>
    <row r="146" spans="1:15" ht="13" outlineLevel="1" x14ac:dyDescent="0.3">
      <c r="A146" s="727" t="s">
        <v>64</v>
      </c>
      <c r="B146" s="350">
        <v>15.07</v>
      </c>
      <c r="C146" s="350" t="s">
        <v>236</v>
      </c>
      <c r="D146" s="341" t="s">
        <v>350</v>
      </c>
      <c r="E146" s="180" t="s">
        <v>238</v>
      </c>
      <c r="F146" s="125">
        <v>262</v>
      </c>
      <c r="G146" s="345">
        <v>2000000</v>
      </c>
      <c r="H146" s="345">
        <v>0</v>
      </c>
      <c r="I146" s="346">
        <f t="shared" si="8"/>
        <v>2000000</v>
      </c>
      <c r="J146" s="345">
        <v>1322402.8074601241</v>
      </c>
      <c r="K146" s="345">
        <v>0</v>
      </c>
      <c r="L146" s="346">
        <f t="shared" si="9"/>
        <v>1322402.8074601241</v>
      </c>
      <c r="M146" s="345">
        <v>49836.042111901857</v>
      </c>
      <c r="N146" s="336">
        <f t="shared" si="10"/>
        <v>3322402.8074601241</v>
      </c>
    </row>
    <row r="147" spans="1:15" ht="13" outlineLevel="1" x14ac:dyDescent="0.3">
      <c r="A147" s="727" t="s">
        <v>64</v>
      </c>
      <c r="B147" s="350">
        <v>15.08</v>
      </c>
      <c r="C147" s="350" t="s">
        <v>236</v>
      </c>
      <c r="D147" s="341" t="s">
        <v>351</v>
      </c>
      <c r="E147" s="695" t="s">
        <v>238</v>
      </c>
      <c r="F147" s="363">
        <v>756</v>
      </c>
      <c r="G147" s="345">
        <v>7560000</v>
      </c>
      <c r="H147" s="345">
        <v>0</v>
      </c>
      <c r="I147" s="346">
        <f t="shared" si="8"/>
        <v>7560000</v>
      </c>
      <c r="J147" s="345">
        <v>7268924.3898251224</v>
      </c>
      <c r="K147" s="345">
        <v>0</v>
      </c>
      <c r="L147" s="346">
        <f t="shared" si="9"/>
        <v>7268924.3898251224</v>
      </c>
      <c r="M147" s="345">
        <v>222433.86584737684</v>
      </c>
      <c r="N147" s="336">
        <f t="shared" si="10"/>
        <v>14828924.389825122</v>
      </c>
    </row>
    <row r="148" spans="1:15" ht="13" outlineLevel="1" x14ac:dyDescent="0.3">
      <c r="A148" s="727" t="s">
        <v>64</v>
      </c>
      <c r="B148" s="350">
        <v>15.09</v>
      </c>
      <c r="C148" s="350" t="s">
        <v>236</v>
      </c>
      <c r="D148" s="341" t="s">
        <v>352</v>
      </c>
      <c r="E148" s="695" t="s">
        <v>238</v>
      </c>
      <c r="F148" s="363">
        <v>56</v>
      </c>
      <c r="G148" s="345">
        <v>560000</v>
      </c>
      <c r="H148" s="345">
        <v>0</v>
      </c>
      <c r="I148" s="346">
        <f t="shared" si="8"/>
        <v>560000</v>
      </c>
      <c r="J148" s="345">
        <v>753814.38116704964</v>
      </c>
      <c r="K148" s="345">
        <v>0</v>
      </c>
      <c r="L148" s="346">
        <f t="shared" si="9"/>
        <v>753814.38116704964</v>
      </c>
      <c r="M148" s="345">
        <v>19707.215717505744</v>
      </c>
      <c r="N148" s="336">
        <f t="shared" si="10"/>
        <v>1313814.3811670495</v>
      </c>
    </row>
    <row r="149" spans="1:15" ht="13" outlineLevel="1" x14ac:dyDescent="0.3">
      <c r="A149" s="727" t="s">
        <v>64</v>
      </c>
      <c r="B149" s="350">
        <v>15.1</v>
      </c>
      <c r="C149" s="350" t="s">
        <v>236</v>
      </c>
      <c r="D149" s="341" t="s">
        <v>353</v>
      </c>
      <c r="E149" s="695" t="s">
        <v>207</v>
      </c>
      <c r="F149" s="363">
        <v>1</v>
      </c>
      <c r="G149" s="345">
        <v>200000</v>
      </c>
      <c r="H149" s="345">
        <v>0</v>
      </c>
      <c r="I149" s="346">
        <f t="shared" si="8"/>
        <v>200000</v>
      </c>
      <c r="J149" s="345">
        <v>0</v>
      </c>
      <c r="K149" s="345">
        <v>454260.50637943193</v>
      </c>
      <c r="L149" s="346">
        <f t="shared" si="9"/>
        <v>454260.50637943193</v>
      </c>
      <c r="M149" s="345">
        <v>9813.9075956914785</v>
      </c>
      <c r="N149" s="336">
        <f t="shared" si="10"/>
        <v>654260.50637943193</v>
      </c>
    </row>
    <row r="150" spans="1:15" ht="13" outlineLevel="1" x14ac:dyDescent="0.3">
      <c r="A150" s="727" t="s">
        <v>64</v>
      </c>
      <c r="B150" s="350">
        <v>15.11</v>
      </c>
      <c r="C150" s="350" t="s">
        <v>205</v>
      </c>
      <c r="D150" s="341" t="s">
        <v>354</v>
      </c>
      <c r="E150" s="695" t="s">
        <v>294</v>
      </c>
      <c r="F150" s="363">
        <v>73</v>
      </c>
      <c r="G150" s="345">
        <v>857459.74668558757</v>
      </c>
      <c r="H150" s="345">
        <v>0</v>
      </c>
      <c r="I150" s="346">
        <f t="shared" si="8"/>
        <v>857459.74668558757</v>
      </c>
      <c r="J150" s="345">
        <v>3642466.1936495877</v>
      </c>
      <c r="K150" s="345">
        <v>0</v>
      </c>
      <c r="L150" s="346">
        <f t="shared" si="9"/>
        <v>3642466.1936495877</v>
      </c>
      <c r="M150" s="345">
        <v>67498.889105027629</v>
      </c>
      <c r="N150" s="336">
        <f t="shared" si="10"/>
        <v>4499925.940335175</v>
      </c>
    </row>
    <row r="151" spans="1:15" ht="13" outlineLevel="1" x14ac:dyDescent="0.3">
      <c r="A151" s="727" t="s">
        <v>64</v>
      </c>
      <c r="B151" s="350">
        <v>15.12</v>
      </c>
      <c r="C151" s="352" t="s">
        <v>205</v>
      </c>
      <c r="D151" s="434" t="s">
        <v>355</v>
      </c>
      <c r="E151" s="696" t="s">
        <v>207</v>
      </c>
      <c r="F151" s="379">
        <v>1</v>
      </c>
      <c r="G151" s="359">
        <v>392180.13300765597</v>
      </c>
      <c r="H151" s="359">
        <v>0</v>
      </c>
      <c r="I151" s="360">
        <f t="shared" si="8"/>
        <v>392180.13300765597</v>
      </c>
      <c r="J151" s="359">
        <v>2776617.953637863</v>
      </c>
      <c r="K151" s="359">
        <v>0</v>
      </c>
      <c r="L151" s="360">
        <f t="shared" si="9"/>
        <v>2776617.953637863</v>
      </c>
      <c r="M151" s="359">
        <v>47531.97129968278</v>
      </c>
      <c r="N151" s="336">
        <f t="shared" si="10"/>
        <v>3168798.0866455189</v>
      </c>
    </row>
    <row r="152" spans="1:15" ht="13" x14ac:dyDescent="0.3">
      <c r="A152" s="727"/>
      <c r="B152" s="325">
        <v>16</v>
      </c>
      <c r="C152" s="326"/>
      <c r="D152" s="436" t="s">
        <v>356</v>
      </c>
      <c r="E152" s="177"/>
      <c r="F152" s="327"/>
      <c r="G152" s="327"/>
      <c r="H152" s="327"/>
      <c r="I152" s="327">
        <f t="shared" ref="I152:I221" si="11">SUM(G152:H152)</f>
        <v>0</v>
      </c>
      <c r="J152" s="327"/>
      <c r="K152" s="327"/>
      <c r="L152" s="327">
        <f t="shared" si="9"/>
        <v>0</v>
      </c>
      <c r="M152" s="327"/>
      <c r="N152" s="336">
        <f t="shared" si="10"/>
        <v>0</v>
      </c>
    </row>
    <row r="153" spans="1:15" s="682" customFormat="1" ht="13" outlineLevel="1" x14ac:dyDescent="0.3">
      <c r="A153" s="727" t="s">
        <v>65</v>
      </c>
      <c r="B153" s="331"/>
      <c r="C153" s="380"/>
      <c r="D153" s="333"/>
      <c r="E153" s="182"/>
      <c r="F153" s="381"/>
      <c r="G153" s="335">
        <v>0</v>
      </c>
      <c r="H153" s="335">
        <v>0</v>
      </c>
      <c r="I153" s="336">
        <f t="shared" si="11"/>
        <v>0</v>
      </c>
      <c r="J153" s="335">
        <v>0</v>
      </c>
      <c r="K153" s="335">
        <v>0</v>
      </c>
      <c r="L153" s="336">
        <f t="shared" si="9"/>
        <v>0</v>
      </c>
      <c r="M153" s="335">
        <v>0</v>
      </c>
      <c r="N153" s="336">
        <f t="shared" si="10"/>
        <v>0</v>
      </c>
      <c r="O153" s="677"/>
    </row>
    <row r="154" spans="1:15" s="682" customFormat="1" ht="13" x14ac:dyDescent="0.3">
      <c r="A154" s="727"/>
      <c r="B154" s="325">
        <v>17</v>
      </c>
      <c r="C154" s="326"/>
      <c r="D154" s="607" t="s">
        <v>357</v>
      </c>
      <c r="E154" s="177"/>
      <c r="F154" s="327"/>
      <c r="G154" s="327"/>
      <c r="H154" s="327"/>
      <c r="I154" s="327">
        <f t="shared" si="11"/>
        <v>0</v>
      </c>
      <c r="J154" s="327"/>
      <c r="K154" s="327"/>
      <c r="L154" s="327">
        <f t="shared" si="9"/>
        <v>0</v>
      </c>
      <c r="M154" s="327"/>
      <c r="N154" s="336">
        <f t="shared" si="10"/>
        <v>0</v>
      </c>
      <c r="O154" s="677"/>
    </row>
    <row r="155" spans="1:15" s="682" customFormat="1" ht="13" outlineLevel="1" x14ac:dyDescent="0.3">
      <c r="A155" s="727" t="s">
        <v>62</v>
      </c>
      <c r="B155" s="331">
        <f>+B154+0.01</f>
        <v>17.010000000000002</v>
      </c>
      <c r="C155" s="380" t="s">
        <v>205</v>
      </c>
      <c r="D155" s="437" t="s">
        <v>358</v>
      </c>
      <c r="E155" s="702" t="s">
        <v>243</v>
      </c>
      <c r="F155" s="381">
        <v>57</v>
      </c>
      <c r="G155" s="335">
        <v>0</v>
      </c>
      <c r="H155" s="335">
        <v>231780.785148</v>
      </c>
      <c r="I155" s="336">
        <f t="shared" si="11"/>
        <v>231780.785148</v>
      </c>
      <c r="J155" s="335">
        <v>0</v>
      </c>
      <c r="K155" s="335">
        <v>3137586.6158209522</v>
      </c>
      <c r="L155" s="336">
        <f t="shared" si="9"/>
        <v>3137586.6158209522</v>
      </c>
      <c r="M155" s="335">
        <v>23116.27120638311</v>
      </c>
      <c r="N155" s="336">
        <f t="shared" si="10"/>
        <v>3369367.4009689521</v>
      </c>
      <c r="O155" s="677"/>
    </row>
    <row r="156" spans="1:15" s="682" customFormat="1" ht="13" outlineLevel="1" x14ac:dyDescent="0.3">
      <c r="A156" s="727" t="s">
        <v>62</v>
      </c>
      <c r="B156" s="339">
        <v>17.02</v>
      </c>
      <c r="C156" s="350" t="s">
        <v>205</v>
      </c>
      <c r="D156" s="440" t="s">
        <v>359</v>
      </c>
      <c r="E156" s="703" t="s">
        <v>243</v>
      </c>
      <c r="F156" s="363">
        <v>11</v>
      </c>
      <c r="G156" s="345">
        <v>0</v>
      </c>
      <c r="H156" s="345">
        <v>44729.625203999996</v>
      </c>
      <c r="I156" s="346">
        <f t="shared" si="11"/>
        <v>44729.625203999996</v>
      </c>
      <c r="J156" s="345">
        <v>0</v>
      </c>
      <c r="K156" s="345">
        <v>605499.17147421883</v>
      </c>
      <c r="L156" s="346">
        <f t="shared" si="9"/>
        <v>605499.17147421883</v>
      </c>
      <c r="M156" s="345">
        <v>4461.0347942142844</v>
      </c>
      <c r="N156" s="336">
        <f t="shared" si="10"/>
        <v>650228.79667821887</v>
      </c>
      <c r="O156" s="677"/>
    </row>
    <row r="157" spans="1:15" s="682" customFormat="1" ht="13" outlineLevel="1" x14ac:dyDescent="0.3">
      <c r="A157" s="727" t="s">
        <v>62</v>
      </c>
      <c r="B157" s="339">
        <v>17.03</v>
      </c>
      <c r="C157" s="350" t="s">
        <v>205</v>
      </c>
      <c r="D157" s="440" t="s">
        <v>360</v>
      </c>
      <c r="E157" s="703" t="s">
        <v>243</v>
      </c>
      <c r="F157" s="363">
        <v>65</v>
      </c>
      <c r="G157" s="345">
        <v>0</v>
      </c>
      <c r="H157" s="345">
        <v>96713.952016499999</v>
      </c>
      <c r="I157" s="346">
        <f t="shared" si="11"/>
        <v>96713.952016499999</v>
      </c>
      <c r="J157" s="345">
        <v>0</v>
      </c>
      <c r="K157" s="345">
        <v>2385299.766413589</v>
      </c>
      <c r="L157" s="346">
        <f t="shared" ref="L157:L220" si="12">SUM(J157:K157)</f>
        <v>2385299.766413589</v>
      </c>
      <c r="M157" s="345">
        <v>13180.330073814932</v>
      </c>
      <c r="N157" s="336">
        <f t="shared" si="10"/>
        <v>2482013.7184300888</v>
      </c>
      <c r="O157" s="677"/>
    </row>
    <row r="158" spans="1:15" s="682" customFormat="1" ht="13" outlineLevel="1" x14ac:dyDescent="0.3">
      <c r="A158" s="727" t="s">
        <v>62</v>
      </c>
      <c r="B158" s="352">
        <v>17.04</v>
      </c>
      <c r="C158" s="352" t="s">
        <v>205</v>
      </c>
      <c r="D158" s="353" t="s">
        <v>361</v>
      </c>
      <c r="E158" s="405" t="s">
        <v>243</v>
      </c>
      <c r="F158" s="379">
        <v>6</v>
      </c>
      <c r="G158" s="359">
        <v>0</v>
      </c>
      <c r="H158" s="359">
        <v>24397.977383999998</v>
      </c>
      <c r="I158" s="360">
        <f t="shared" si="11"/>
        <v>24397.977383999998</v>
      </c>
      <c r="J158" s="359">
        <v>165136.13767478697</v>
      </c>
      <c r="K158" s="359">
        <v>330272.27534957393</v>
      </c>
      <c r="L158" s="360">
        <f t="shared" si="12"/>
        <v>495408.4130243609</v>
      </c>
      <c r="M158" s="359">
        <v>2433.2917059350643</v>
      </c>
      <c r="N158" s="336">
        <f t="shared" si="10"/>
        <v>519806.39040836086</v>
      </c>
      <c r="O158" s="677"/>
    </row>
    <row r="159" spans="1:15" ht="13" x14ac:dyDescent="0.3">
      <c r="A159" s="727"/>
      <c r="B159" s="325">
        <v>23</v>
      </c>
      <c r="C159" s="326"/>
      <c r="D159" s="276" t="s">
        <v>362</v>
      </c>
      <c r="E159" s="177"/>
      <c r="F159" s="327"/>
      <c r="G159" s="327"/>
      <c r="H159" s="327"/>
      <c r="I159" s="327">
        <f>SUM(G159:H159)</f>
        <v>0</v>
      </c>
      <c r="J159" s="327"/>
      <c r="K159" s="327"/>
      <c r="L159" s="327">
        <f t="shared" si="12"/>
        <v>0</v>
      </c>
      <c r="M159" s="327"/>
      <c r="N159" s="336">
        <f t="shared" si="10"/>
        <v>0</v>
      </c>
    </row>
    <row r="160" spans="1:15" s="682" customFormat="1" ht="13" outlineLevel="1" x14ac:dyDescent="0.3">
      <c r="A160" s="727" t="s">
        <v>62</v>
      </c>
      <c r="B160" s="380">
        <v>23.01</v>
      </c>
      <c r="C160" s="380" t="s">
        <v>236</v>
      </c>
      <c r="D160" s="333" t="s">
        <v>363</v>
      </c>
      <c r="E160" s="182" t="s">
        <v>207</v>
      </c>
      <c r="F160" s="381">
        <v>6</v>
      </c>
      <c r="G160" s="335">
        <v>172180.83906249999</v>
      </c>
      <c r="H160" s="335">
        <v>150000</v>
      </c>
      <c r="I160" s="336">
        <f>SUM(G160:H160)</f>
        <v>322180.83906249999</v>
      </c>
      <c r="J160" s="335">
        <v>0</v>
      </c>
      <c r="K160" s="335">
        <v>826893.9628988636</v>
      </c>
      <c r="L160" s="336">
        <f t="shared" si="12"/>
        <v>826893.9628988636</v>
      </c>
      <c r="M160" s="335">
        <v>17236.122029420454</v>
      </c>
      <c r="N160" s="336">
        <f t="shared" si="10"/>
        <v>1149074.8019613635</v>
      </c>
      <c r="O160" s="677"/>
    </row>
    <row r="161" spans="1:26" ht="13" outlineLevel="1" x14ac:dyDescent="0.3">
      <c r="A161" s="727" t="s">
        <v>62</v>
      </c>
      <c r="B161" s="350">
        <v>23.02</v>
      </c>
      <c r="C161" s="350" t="s">
        <v>205</v>
      </c>
      <c r="D161" s="341" t="s">
        <v>364</v>
      </c>
      <c r="E161" s="362" t="s">
        <v>207</v>
      </c>
      <c r="F161" s="363">
        <v>1</v>
      </c>
      <c r="G161" s="345">
        <v>0</v>
      </c>
      <c r="H161" s="345">
        <v>50000</v>
      </c>
      <c r="I161" s="346">
        <f>SUM(G161:H161)</f>
        <v>50000</v>
      </c>
      <c r="J161" s="345">
        <v>0</v>
      </c>
      <c r="K161" s="345">
        <v>536926.85047428962</v>
      </c>
      <c r="L161" s="346">
        <f t="shared" si="12"/>
        <v>536926.85047428962</v>
      </c>
      <c r="M161" s="345">
        <v>8803.9027571143433</v>
      </c>
      <c r="N161" s="336">
        <f t="shared" si="10"/>
        <v>586926.85047428962</v>
      </c>
    </row>
    <row r="162" spans="1:26" ht="13" outlineLevel="1" x14ac:dyDescent="0.3">
      <c r="A162" s="727" t="s">
        <v>62</v>
      </c>
      <c r="B162" s="350">
        <v>23.03</v>
      </c>
      <c r="C162" s="350" t="s">
        <v>236</v>
      </c>
      <c r="D162" s="341" t="s">
        <v>365</v>
      </c>
      <c r="E162" s="362" t="s">
        <v>238</v>
      </c>
      <c r="F162" s="363">
        <v>26</v>
      </c>
      <c r="G162" s="345">
        <v>200000</v>
      </c>
      <c r="H162" s="345">
        <v>0</v>
      </c>
      <c r="I162" s="346">
        <f>SUM(G162:H162)</f>
        <v>200000</v>
      </c>
      <c r="J162" s="345">
        <v>0</v>
      </c>
      <c r="K162" s="345">
        <v>320397.4028128598</v>
      </c>
      <c r="L162" s="346">
        <f t="shared" si="12"/>
        <v>320397.4028128598</v>
      </c>
      <c r="M162" s="345">
        <v>7805.9610421928965</v>
      </c>
      <c r="N162" s="336">
        <f t="shared" si="10"/>
        <v>520397.4028128598</v>
      </c>
    </row>
    <row r="163" spans="1:26" ht="13" outlineLevel="1" x14ac:dyDescent="0.3">
      <c r="A163" s="727" t="s">
        <v>62</v>
      </c>
      <c r="B163" s="352">
        <v>23.04</v>
      </c>
      <c r="C163" s="352" t="s">
        <v>205</v>
      </c>
      <c r="D163" s="652" t="s">
        <v>366</v>
      </c>
      <c r="E163" s="704" t="s">
        <v>238</v>
      </c>
      <c r="F163" s="354">
        <v>231</v>
      </c>
      <c r="G163" s="359">
        <v>3785019.2344566141</v>
      </c>
      <c r="H163" s="359">
        <v>1892509.6172283071</v>
      </c>
      <c r="I163" s="360">
        <f>SUM(G163:H163)</f>
        <v>5677528.8516849214</v>
      </c>
      <c r="J163" s="359">
        <v>4996865.5701737516</v>
      </c>
      <c r="K163" s="359">
        <v>1249216.3925434379</v>
      </c>
      <c r="L163" s="360">
        <f t="shared" si="12"/>
        <v>6246081.9627171895</v>
      </c>
      <c r="M163" s="359">
        <v>80366.1274309445</v>
      </c>
      <c r="N163" s="336">
        <f t="shared" si="10"/>
        <v>11923610.814402111</v>
      </c>
    </row>
    <row r="164" spans="1:26" s="682" customFormat="1" ht="13" outlineLevel="1" x14ac:dyDescent="0.3">
      <c r="A164" s="727"/>
      <c r="B164" s="705"/>
      <c r="C164" s="469"/>
      <c r="D164" s="628"/>
      <c r="E164" s="706"/>
      <c r="F164" s="629"/>
      <c r="G164" s="329">
        <f>SUM(G60:G163)</f>
        <v>45414812.123549968</v>
      </c>
      <c r="H164" s="329">
        <f t="shared" ref="H164:K164" si="13">SUM(H60:H163)</f>
        <v>63110920.319356509</v>
      </c>
      <c r="I164" s="329">
        <f t="shared" si="13"/>
        <v>108525732.4429065</v>
      </c>
      <c r="J164" s="329">
        <f t="shared" si="13"/>
        <v>90134895.131001696</v>
      </c>
      <c r="K164" s="329">
        <f t="shared" si="13"/>
        <v>113178634.53708953</v>
      </c>
      <c r="L164" s="329">
        <f t="shared" si="12"/>
        <v>203313529.66809124</v>
      </c>
      <c r="M164" s="329">
        <f>SUM(M60:M163)</f>
        <v>4678971.1834586849</v>
      </c>
      <c r="N164" s="336">
        <f t="shared" si="10"/>
        <v>311839262.11099774</v>
      </c>
      <c r="O164" s="677"/>
    </row>
    <row r="165" spans="1:26" s="677" customFormat="1" ht="13" x14ac:dyDescent="0.3">
      <c r="A165" s="727"/>
      <c r="B165" s="325">
        <v>18</v>
      </c>
      <c r="C165" s="326"/>
      <c r="D165" s="276" t="s">
        <v>367</v>
      </c>
      <c r="E165" s="177"/>
      <c r="F165" s="327"/>
      <c r="G165" s="327"/>
      <c r="H165" s="327"/>
      <c r="I165" s="327">
        <f t="shared" si="11"/>
        <v>0</v>
      </c>
      <c r="J165" s="327"/>
      <c r="K165" s="327"/>
      <c r="L165" s="327">
        <f t="shared" si="12"/>
        <v>0</v>
      </c>
      <c r="M165" s="327"/>
      <c r="N165" s="336">
        <f t="shared" si="10"/>
        <v>0</v>
      </c>
      <c r="P165" s="678"/>
      <c r="Q165" s="678"/>
      <c r="R165" s="678"/>
      <c r="S165" s="678"/>
      <c r="T165" s="678"/>
      <c r="U165" s="678"/>
      <c r="V165" s="678"/>
      <c r="W165" s="678"/>
      <c r="X165" s="678"/>
      <c r="Y165" s="678"/>
      <c r="Z165" s="678"/>
    </row>
    <row r="166" spans="1:26" s="677" customFormat="1" ht="13" outlineLevel="1" x14ac:dyDescent="0.3">
      <c r="A166" s="727" t="s">
        <v>66</v>
      </c>
      <c r="B166" s="380">
        <f>+B165+0.01</f>
        <v>18.010000000000002</v>
      </c>
      <c r="C166" s="380" t="s">
        <v>205</v>
      </c>
      <c r="D166" s="445" t="s">
        <v>368</v>
      </c>
      <c r="E166" s="707" t="s">
        <v>243</v>
      </c>
      <c r="F166" s="381">
        <v>260</v>
      </c>
      <c r="G166" s="335">
        <v>5288447.0301000001</v>
      </c>
      <c r="H166" s="335">
        <v>0</v>
      </c>
      <c r="I166" s="336">
        <f t="shared" si="11"/>
        <v>5288447.0301000001</v>
      </c>
      <c r="J166" s="335">
        <v>9208290</v>
      </c>
      <c r="K166" s="335">
        <v>0</v>
      </c>
      <c r="L166" s="336">
        <f t="shared" si="12"/>
        <v>9208290</v>
      </c>
      <c r="M166" s="335">
        <v>433502.68666086195</v>
      </c>
      <c r="N166" s="336">
        <f t="shared" si="10"/>
        <v>14496737.030099999</v>
      </c>
      <c r="P166" s="678"/>
      <c r="Q166" s="678"/>
      <c r="R166" s="678"/>
      <c r="S166" s="678"/>
      <c r="T166" s="678"/>
      <c r="U166" s="678"/>
      <c r="V166" s="678"/>
      <c r="W166" s="678"/>
      <c r="X166" s="678"/>
      <c r="Y166" s="678"/>
      <c r="Z166" s="678"/>
    </row>
    <row r="167" spans="1:26" s="677" customFormat="1" ht="13" outlineLevel="1" x14ac:dyDescent="0.3">
      <c r="A167" s="727" t="s">
        <v>66</v>
      </c>
      <c r="B167" s="350">
        <v>18.02</v>
      </c>
      <c r="C167" s="350" t="s">
        <v>205</v>
      </c>
      <c r="D167" s="450" t="s">
        <v>369</v>
      </c>
      <c r="E167" s="708" t="s">
        <v>243</v>
      </c>
      <c r="F167" s="363">
        <v>62</v>
      </c>
      <c r="G167" s="345">
        <v>1107776.0406899999</v>
      </c>
      <c r="H167" s="345">
        <v>0</v>
      </c>
      <c r="I167" s="346">
        <f t="shared" si="11"/>
        <v>1107776.0406899999</v>
      </c>
      <c r="J167" s="345">
        <v>2195823</v>
      </c>
      <c r="K167" s="345">
        <v>0</v>
      </c>
      <c r="L167" s="346">
        <f t="shared" si="12"/>
        <v>2195823</v>
      </c>
      <c r="M167" s="345">
        <v>103373.71758835939</v>
      </c>
      <c r="N167" s="336">
        <f t="shared" si="10"/>
        <v>3303599.0406900002</v>
      </c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</row>
    <row r="168" spans="1:26" s="677" customFormat="1" ht="13" outlineLevel="1" x14ac:dyDescent="0.3">
      <c r="A168" s="727" t="s">
        <v>66</v>
      </c>
      <c r="B168" s="350">
        <v>18.03</v>
      </c>
      <c r="C168" s="350" t="s">
        <v>205</v>
      </c>
      <c r="D168" s="450" t="s">
        <v>370</v>
      </c>
      <c r="E168" s="708" t="s">
        <v>243</v>
      </c>
      <c r="F168" s="363">
        <v>12</v>
      </c>
      <c r="G168" s="345">
        <v>214408.26594000001</v>
      </c>
      <c r="H168" s="345">
        <v>0</v>
      </c>
      <c r="I168" s="346">
        <f t="shared" si="11"/>
        <v>214408.26594000001</v>
      </c>
      <c r="J168" s="345">
        <v>424998</v>
      </c>
      <c r="K168" s="345">
        <v>0</v>
      </c>
      <c r="L168" s="346">
        <f t="shared" si="12"/>
        <v>424998</v>
      </c>
      <c r="M168" s="345">
        <v>20007.816307424397</v>
      </c>
      <c r="N168" s="336">
        <f t="shared" si="10"/>
        <v>639406.26594000007</v>
      </c>
      <c r="P168" s="678"/>
      <c r="Q168" s="678"/>
      <c r="R168" s="678"/>
      <c r="S168" s="678"/>
      <c r="T168" s="678"/>
      <c r="U168" s="678"/>
      <c r="V168" s="678"/>
      <c r="W168" s="678"/>
      <c r="X168" s="678"/>
      <c r="Y168" s="678"/>
      <c r="Z168" s="678"/>
    </row>
    <row r="169" spans="1:26" s="677" customFormat="1" ht="13" outlineLevel="1" x14ac:dyDescent="0.3">
      <c r="A169" s="727" t="s">
        <v>66</v>
      </c>
      <c r="B169" s="350">
        <v>18.04</v>
      </c>
      <c r="C169" s="350" t="s">
        <v>205</v>
      </c>
      <c r="D169" s="450" t="s">
        <v>371</v>
      </c>
      <c r="E169" s="708" t="s">
        <v>243</v>
      </c>
      <c r="F169" s="363">
        <v>16</v>
      </c>
      <c r="G169" s="345">
        <v>285877.68792</v>
      </c>
      <c r="H169" s="345">
        <v>0</v>
      </c>
      <c r="I169" s="346">
        <f t="shared" si="11"/>
        <v>285877.68792</v>
      </c>
      <c r="J169" s="345">
        <v>566664</v>
      </c>
      <c r="K169" s="345">
        <v>0</v>
      </c>
      <c r="L169" s="346">
        <f t="shared" si="12"/>
        <v>566664</v>
      </c>
      <c r="M169" s="345">
        <v>26677.088409899196</v>
      </c>
      <c r="N169" s="336">
        <f t="shared" si="10"/>
        <v>852541.68791999994</v>
      </c>
      <c r="P169" s="678"/>
      <c r="Q169" s="678"/>
      <c r="R169" s="678"/>
      <c r="S169" s="678"/>
      <c r="T169" s="678"/>
      <c r="U169" s="678"/>
      <c r="V169" s="678"/>
      <c r="W169" s="678"/>
      <c r="X169" s="678"/>
      <c r="Y169" s="678"/>
      <c r="Z169" s="678"/>
    </row>
    <row r="170" spans="1:26" s="677" customFormat="1" ht="13" outlineLevel="1" x14ac:dyDescent="0.3">
      <c r="A170" s="727" t="s">
        <v>66</v>
      </c>
      <c r="B170" s="350">
        <v>18.05</v>
      </c>
      <c r="C170" s="350" t="s">
        <v>205</v>
      </c>
      <c r="D170" s="450" t="s">
        <v>372</v>
      </c>
      <c r="E170" s="708" t="s">
        <v>243</v>
      </c>
      <c r="F170" s="363">
        <v>1</v>
      </c>
      <c r="G170" s="345">
        <v>17867.355495</v>
      </c>
      <c r="H170" s="345">
        <v>0</v>
      </c>
      <c r="I170" s="346">
        <f t="shared" si="11"/>
        <v>17867.355495</v>
      </c>
      <c r="J170" s="345">
        <v>35416.5</v>
      </c>
      <c r="K170" s="345">
        <v>0</v>
      </c>
      <c r="L170" s="346">
        <f t="shared" si="12"/>
        <v>35416.5</v>
      </c>
      <c r="M170" s="345">
        <v>1667.3180256186997</v>
      </c>
      <c r="N170" s="336">
        <f t="shared" si="10"/>
        <v>53283.855494999996</v>
      </c>
      <c r="P170" s="678"/>
      <c r="Q170" s="678"/>
      <c r="R170" s="678"/>
      <c r="S170" s="678"/>
      <c r="T170" s="678"/>
      <c r="U170" s="678"/>
      <c r="V170" s="678"/>
      <c r="W170" s="678"/>
      <c r="X170" s="678"/>
      <c r="Y170" s="678"/>
      <c r="Z170" s="678"/>
    </row>
    <row r="171" spans="1:26" s="677" customFormat="1" ht="13" outlineLevel="1" x14ac:dyDescent="0.3">
      <c r="A171" s="727" t="s">
        <v>66</v>
      </c>
      <c r="B171" s="350">
        <v>18.059999999999999</v>
      </c>
      <c r="C171" s="350" t="s">
        <v>205</v>
      </c>
      <c r="D171" s="450" t="s">
        <v>373</v>
      </c>
      <c r="E171" s="708" t="s">
        <v>243</v>
      </c>
      <c r="F171" s="363">
        <v>24</v>
      </c>
      <c r="G171" s="345">
        <v>428816.53188000002</v>
      </c>
      <c r="H171" s="345">
        <v>0</v>
      </c>
      <c r="I171" s="346">
        <f t="shared" si="11"/>
        <v>428816.53188000002</v>
      </c>
      <c r="J171" s="345">
        <v>849996</v>
      </c>
      <c r="K171" s="345">
        <v>0</v>
      </c>
      <c r="L171" s="346">
        <f t="shared" si="12"/>
        <v>849996</v>
      </c>
      <c r="M171" s="345">
        <v>40015.632614848793</v>
      </c>
      <c r="N171" s="336">
        <f t="shared" si="10"/>
        <v>1278812.5318800001</v>
      </c>
      <c r="P171" s="678"/>
      <c r="Q171" s="678"/>
      <c r="R171" s="678"/>
      <c r="S171" s="678"/>
      <c r="T171" s="678"/>
      <c r="U171" s="678"/>
      <c r="V171" s="678"/>
      <c r="W171" s="678"/>
      <c r="X171" s="678"/>
      <c r="Y171" s="678"/>
      <c r="Z171" s="678"/>
    </row>
    <row r="172" spans="1:26" s="677" customFormat="1" ht="13" outlineLevel="1" x14ac:dyDescent="0.3">
      <c r="A172" s="727" t="s">
        <v>66</v>
      </c>
      <c r="B172" s="350">
        <v>18.07</v>
      </c>
      <c r="C172" s="350" t="s">
        <v>205</v>
      </c>
      <c r="D172" s="450" t="s">
        <v>374</v>
      </c>
      <c r="E172" s="708" t="s">
        <v>243</v>
      </c>
      <c r="F172" s="363">
        <v>226</v>
      </c>
      <c r="G172" s="345">
        <v>3345854.1148274001</v>
      </c>
      <c r="H172" s="345">
        <v>0</v>
      </c>
      <c r="I172" s="346">
        <f t="shared" si="11"/>
        <v>3345854.1148274001</v>
      </c>
      <c r="J172" s="345">
        <v>8004129</v>
      </c>
      <c r="K172" s="345">
        <v>0</v>
      </c>
      <c r="L172" s="346">
        <f t="shared" si="12"/>
        <v>8004129</v>
      </c>
      <c r="M172" s="345">
        <v>376813.87378982612</v>
      </c>
      <c r="N172" s="336">
        <f t="shared" si="10"/>
        <v>11349983.1148274</v>
      </c>
      <c r="P172" s="678"/>
      <c r="Q172" s="678"/>
      <c r="R172" s="678"/>
      <c r="S172" s="678"/>
      <c r="T172" s="678"/>
      <c r="U172" s="678"/>
      <c r="V172" s="678"/>
      <c r="W172" s="678"/>
      <c r="X172" s="678"/>
      <c r="Y172" s="678"/>
      <c r="Z172" s="678"/>
    </row>
    <row r="173" spans="1:26" s="677" customFormat="1" ht="13" outlineLevel="1" x14ac:dyDescent="0.3">
      <c r="A173" s="727" t="s">
        <v>66</v>
      </c>
      <c r="B173" s="350">
        <v>18.079999999999998</v>
      </c>
      <c r="C173" s="350" t="s">
        <v>205</v>
      </c>
      <c r="D173" s="450" t="s">
        <v>375</v>
      </c>
      <c r="E173" s="708" t="s">
        <v>243</v>
      </c>
      <c r="F173" s="363">
        <v>32</v>
      </c>
      <c r="G173" s="345">
        <v>1101743.8361600002</v>
      </c>
      <c r="H173" s="345">
        <v>0</v>
      </c>
      <c r="I173" s="346">
        <f t="shared" si="11"/>
        <v>1101743.8361600002</v>
      </c>
      <c r="J173" s="345">
        <v>1133328</v>
      </c>
      <c r="K173" s="345">
        <v>0</v>
      </c>
      <c r="L173" s="346">
        <f t="shared" si="12"/>
        <v>1133328</v>
      </c>
      <c r="M173" s="345">
        <v>53354.176819798391</v>
      </c>
      <c r="N173" s="336">
        <f t="shared" si="10"/>
        <v>2235071.8361600004</v>
      </c>
      <c r="P173" s="678"/>
      <c r="Q173" s="678"/>
      <c r="R173" s="678"/>
      <c r="S173" s="678"/>
      <c r="T173" s="678"/>
      <c r="U173" s="678"/>
      <c r="V173" s="678"/>
      <c r="W173" s="678"/>
      <c r="X173" s="678"/>
      <c r="Y173" s="678"/>
      <c r="Z173" s="678"/>
    </row>
    <row r="174" spans="1:26" s="677" customFormat="1" ht="13" outlineLevel="1" x14ac:dyDescent="0.3">
      <c r="A174" s="727" t="s">
        <v>66</v>
      </c>
      <c r="B174" s="350">
        <v>18.09</v>
      </c>
      <c r="C174" s="350" t="s">
        <v>205</v>
      </c>
      <c r="D174" s="450" t="s">
        <v>376</v>
      </c>
      <c r="E174" s="708" t="s">
        <v>243</v>
      </c>
      <c r="F174" s="363">
        <v>8</v>
      </c>
      <c r="G174" s="345">
        <v>118437.3137992</v>
      </c>
      <c r="H174" s="345">
        <v>0</v>
      </c>
      <c r="I174" s="346">
        <f t="shared" si="11"/>
        <v>118437.3137992</v>
      </c>
      <c r="J174" s="345">
        <v>283332</v>
      </c>
      <c r="K174" s="345">
        <v>0</v>
      </c>
      <c r="L174" s="346">
        <f t="shared" si="12"/>
        <v>283332</v>
      </c>
      <c r="M174" s="345">
        <v>13338.544204949598</v>
      </c>
      <c r="N174" s="336">
        <f t="shared" si="10"/>
        <v>401769.3137992</v>
      </c>
      <c r="P174" s="678"/>
      <c r="Q174" s="678"/>
      <c r="R174" s="678"/>
      <c r="S174" s="678"/>
      <c r="T174" s="678"/>
      <c r="U174" s="678"/>
      <c r="V174" s="678"/>
      <c r="W174" s="678"/>
      <c r="X174" s="678"/>
      <c r="Y174" s="678"/>
      <c r="Z174" s="678"/>
    </row>
    <row r="175" spans="1:26" s="677" customFormat="1" ht="13" outlineLevel="1" x14ac:dyDescent="0.3">
      <c r="A175" s="727" t="s">
        <v>66</v>
      </c>
      <c r="B175" s="350">
        <v>18.100000000000001</v>
      </c>
      <c r="C175" s="350" t="s">
        <v>205</v>
      </c>
      <c r="D175" s="450" t="s">
        <v>377</v>
      </c>
      <c r="E175" s="708" t="s">
        <v>243</v>
      </c>
      <c r="F175" s="363">
        <v>8</v>
      </c>
      <c r="G175" s="345">
        <v>118437.3137992</v>
      </c>
      <c r="H175" s="345">
        <v>0</v>
      </c>
      <c r="I175" s="346">
        <f t="shared" si="11"/>
        <v>118437.3137992</v>
      </c>
      <c r="J175" s="345">
        <v>283332</v>
      </c>
      <c r="K175" s="345">
        <v>0</v>
      </c>
      <c r="L175" s="346">
        <f t="shared" si="12"/>
        <v>283332</v>
      </c>
      <c r="M175" s="345">
        <v>13338.544204949598</v>
      </c>
      <c r="N175" s="336">
        <f t="shared" si="10"/>
        <v>401769.3137992</v>
      </c>
      <c r="P175" s="678"/>
      <c r="Q175" s="678"/>
      <c r="R175" s="678"/>
      <c r="S175" s="678"/>
      <c r="T175" s="678"/>
      <c r="U175" s="678"/>
      <c r="V175" s="678"/>
      <c r="W175" s="678"/>
      <c r="X175" s="678"/>
      <c r="Y175" s="678"/>
      <c r="Z175" s="678"/>
    </row>
    <row r="176" spans="1:26" s="677" customFormat="1" ht="13" outlineLevel="1" x14ac:dyDescent="0.3">
      <c r="A176" s="727" t="s">
        <v>66</v>
      </c>
      <c r="B176" s="350">
        <v>18.11</v>
      </c>
      <c r="C176" s="350" t="s">
        <v>205</v>
      </c>
      <c r="D176" s="450" t="s">
        <v>378</v>
      </c>
      <c r="E176" s="708" t="s">
        <v>243</v>
      </c>
      <c r="F176" s="363">
        <v>26</v>
      </c>
      <c r="G176" s="345">
        <v>314285.5140425</v>
      </c>
      <c r="H176" s="345">
        <v>0</v>
      </c>
      <c r="I176" s="346">
        <f t="shared" si="11"/>
        <v>314285.5140425</v>
      </c>
      <c r="J176" s="345">
        <v>644989.79999999993</v>
      </c>
      <c r="K176" s="345">
        <v>0</v>
      </c>
      <c r="L176" s="346">
        <f t="shared" si="12"/>
        <v>644989.79999999993</v>
      </c>
      <c r="M176" s="345">
        <v>28177.674632956026</v>
      </c>
      <c r="N176" s="336">
        <f t="shared" si="10"/>
        <v>959275.31404249999</v>
      </c>
      <c r="P176" s="678"/>
      <c r="Q176" s="678"/>
      <c r="R176" s="678"/>
      <c r="S176" s="678"/>
      <c r="T176" s="678"/>
      <c r="U176" s="678"/>
      <c r="V176" s="678"/>
      <c r="W176" s="678"/>
      <c r="X176" s="678"/>
      <c r="Y176" s="678"/>
      <c r="Z176" s="678"/>
    </row>
    <row r="177" spans="1:26" s="677" customFormat="1" ht="13" outlineLevel="1" x14ac:dyDescent="0.3">
      <c r="A177" s="727" t="s">
        <v>66</v>
      </c>
      <c r="B177" s="350">
        <v>18.12</v>
      </c>
      <c r="C177" s="350" t="s">
        <v>205</v>
      </c>
      <c r="D177" s="450" t="s">
        <v>379</v>
      </c>
      <c r="E177" s="708" t="s">
        <v>243</v>
      </c>
      <c r="F177" s="363">
        <v>27</v>
      </c>
      <c r="G177" s="345">
        <v>326373.41842875001</v>
      </c>
      <c r="H177" s="345">
        <v>0</v>
      </c>
      <c r="I177" s="346">
        <f t="shared" si="11"/>
        <v>326373.41842875001</v>
      </c>
      <c r="J177" s="345">
        <v>669797.1</v>
      </c>
      <c r="K177" s="345">
        <v>0</v>
      </c>
      <c r="L177" s="346">
        <f t="shared" si="12"/>
        <v>669797.1</v>
      </c>
      <c r="M177" s="345">
        <v>29261.431349608181</v>
      </c>
      <c r="N177" s="336">
        <f t="shared" si="10"/>
        <v>996170.51842874999</v>
      </c>
      <c r="P177" s="678"/>
      <c r="Q177" s="678"/>
      <c r="R177" s="678"/>
      <c r="S177" s="678"/>
      <c r="T177" s="678"/>
      <c r="U177" s="678"/>
      <c r="V177" s="678"/>
      <c r="W177" s="678"/>
      <c r="X177" s="678"/>
      <c r="Y177" s="678"/>
      <c r="Z177" s="678"/>
    </row>
    <row r="178" spans="1:26" s="677" customFormat="1" ht="13" outlineLevel="1" x14ac:dyDescent="0.3">
      <c r="A178" s="727" t="s">
        <v>66</v>
      </c>
      <c r="B178" s="350">
        <v>18.13</v>
      </c>
      <c r="C178" s="350" t="s">
        <v>205</v>
      </c>
      <c r="D178" s="450" t="s">
        <v>380</v>
      </c>
      <c r="E178" s="708" t="s">
        <v>243</v>
      </c>
      <c r="F178" s="363">
        <v>9</v>
      </c>
      <c r="G178" s="345">
        <v>108791.13947625</v>
      </c>
      <c r="H178" s="345">
        <v>0</v>
      </c>
      <c r="I178" s="346">
        <f t="shared" si="11"/>
        <v>108791.13947625</v>
      </c>
      <c r="J178" s="345">
        <v>223265.69999999998</v>
      </c>
      <c r="K178" s="345">
        <v>0</v>
      </c>
      <c r="L178" s="346">
        <f t="shared" si="12"/>
        <v>223265.69999999998</v>
      </c>
      <c r="M178" s="345">
        <v>9753.8104498693938</v>
      </c>
      <c r="N178" s="336">
        <f t="shared" si="10"/>
        <v>332056.83947625</v>
      </c>
      <c r="P178" s="678"/>
      <c r="Q178" s="678"/>
      <c r="R178" s="678"/>
      <c r="S178" s="678"/>
      <c r="T178" s="678"/>
      <c r="U178" s="678"/>
      <c r="V178" s="678"/>
      <c r="W178" s="678"/>
      <c r="X178" s="678"/>
      <c r="Y178" s="678"/>
      <c r="Z178" s="678"/>
    </row>
    <row r="179" spans="1:26" s="677" customFormat="1" ht="13" outlineLevel="1" x14ac:dyDescent="0.3">
      <c r="A179" s="727" t="s">
        <v>66</v>
      </c>
      <c r="B179" s="350">
        <v>18.14</v>
      </c>
      <c r="C179" s="350" t="s">
        <v>205</v>
      </c>
      <c r="D179" s="450" t="s">
        <v>381</v>
      </c>
      <c r="E179" s="708" t="s">
        <v>243</v>
      </c>
      <c r="F179" s="363">
        <v>29</v>
      </c>
      <c r="G179" s="345">
        <v>350549.22720125003</v>
      </c>
      <c r="H179" s="345">
        <v>0</v>
      </c>
      <c r="I179" s="346">
        <f t="shared" si="11"/>
        <v>350549.22720125003</v>
      </c>
      <c r="J179" s="345">
        <v>719411.7</v>
      </c>
      <c r="K179" s="345">
        <v>0</v>
      </c>
      <c r="L179" s="346">
        <f t="shared" si="12"/>
        <v>719411.7</v>
      </c>
      <c r="M179" s="345">
        <v>31428.944782912491</v>
      </c>
      <c r="N179" s="336">
        <f t="shared" si="10"/>
        <v>1069960.9272012501</v>
      </c>
      <c r="P179" s="678"/>
      <c r="Q179" s="678"/>
      <c r="R179" s="678"/>
      <c r="S179" s="678"/>
      <c r="T179" s="678"/>
      <c r="U179" s="678"/>
      <c r="V179" s="678"/>
      <c r="W179" s="678"/>
      <c r="X179" s="678"/>
      <c r="Y179" s="678"/>
      <c r="Z179" s="678"/>
    </row>
    <row r="180" spans="1:26" s="677" customFormat="1" ht="13" outlineLevel="1" x14ac:dyDescent="0.3">
      <c r="A180" s="727" t="s">
        <v>66</v>
      </c>
      <c r="B180" s="350">
        <v>18.149999999999999</v>
      </c>
      <c r="C180" s="350" t="s">
        <v>205</v>
      </c>
      <c r="D180" s="450" t="s">
        <v>382</v>
      </c>
      <c r="E180" s="708" t="s">
        <v>243</v>
      </c>
      <c r="F180" s="363">
        <v>3</v>
      </c>
      <c r="G180" s="345">
        <v>36263.713158750004</v>
      </c>
      <c r="H180" s="345">
        <v>0</v>
      </c>
      <c r="I180" s="346">
        <f t="shared" si="11"/>
        <v>36263.713158750004</v>
      </c>
      <c r="J180" s="345">
        <v>74421.899999999994</v>
      </c>
      <c r="K180" s="345">
        <v>0</v>
      </c>
      <c r="L180" s="346">
        <f t="shared" si="12"/>
        <v>74421.899999999994</v>
      </c>
      <c r="M180" s="345">
        <v>3251.2701499564646</v>
      </c>
      <c r="N180" s="336">
        <f t="shared" si="10"/>
        <v>110685.61315875</v>
      </c>
      <c r="P180" s="678"/>
      <c r="Q180" s="678"/>
      <c r="R180" s="678"/>
      <c r="S180" s="678"/>
      <c r="T180" s="678"/>
      <c r="U180" s="678"/>
      <c r="V180" s="678"/>
      <c r="W180" s="678"/>
      <c r="X180" s="678"/>
      <c r="Y180" s="678"/>
      <c r="Z180" s="678"/>
    </row>
    <row r="181" spans="1:26" s="677" customFormat="1" ht="13" outlineLevel="1" x14ac:dyDescent="0.3">
      <c r="A181" s="727" t="s">
        <v>66</v>
      </c>
      <c r="B181" s="350">
        <v>18.16</v>
      </c>
      <c r="C181" s="350" t="s">
        <v>205</v>
      </c>
      <c r="D181" s="450" t="s">
        <v>383</v>
      </c>
      <c r="E181" s="708" t="s">
        <v>243</v>
      </c>
      <c r="F181" s="363">
        <v>1</v>
      </c>
      <c r="G181" s="345">
        <v>1310987.0203636363</v>
      </c>
      <c r="H181" s="345">
        <v>0</v>
      </c>
      <c r="I181" s="346">
        <f t="shared" si="11"/>
        <v>1310987.0203636363</v>
      </c>
      <c r="J181" s="345">
        <v>349202.7</v>
      </c>
      <c r="K181" s="345">
        <v>0</v>
      </c>
      <c r="L181" s="346">
        <f t="shared" si="12"/>
        <v>349202.7</v>
      </c>
      <c r="M181" s="345">
        <v>24902.845805454544</v>
      </c>
      <c r="N181" s="336">
        <f t="shared" si="10"/>
        <v>1660189.7203636363</v>
      </c>
      <c r="P181" s="678"/>
      <c r="Q181" s="678"/>
      <c r="R181" s="678"/>
      <c r="S181" s="678"/>
      <c r="T181" s="678"/>
      <c r="U181" s="678"/>
      <c r="V181" s="678"/>
      <c r="W181" s="678"/>
      <c r="X181" s="678"/>
      <c r="Y181" s="678"/>
      <c r="Z181" s="678"/>
    </row>
    <row r="182" spans="1:26" s="677" customFormat="1" ht="13" outlineLevel="1" x14ac:dyDescent="0.3">
      <c r="A182" s="727" t="s">
        <v>66</v>
      </c>
      <c r="B182" s="350">
        <v>18.170000000000002</v>
      </c>
      <c r="C182" s="350" t="s">
        <v>205</v>
      </c>
      <c r="D182" s="450" t="s">
        <v>384</v>
      </c>
      <c r="E182" s="708" t="s">
        <v>243</v>
      </c>
      <c r="F182" s="363">
        <v>1</v>
      </c>
      <c r="G182" s="345">
        <v>592217.14204958675</v>
      </c>
      <c r="H182" s="345">
        <v>0</v>
      </c>
      <c r="I182" s="346">
        <f t="shared" si="11"/>
        <v>592217.14204958675</v>
      </c>
      <c r="J182" s="345">
        <v>232812.45</v>
      </c>
      <c r="K182" s="345">
        <v>0</v>
      </c>
      <c r="L182" s="346">
        <f t="shared" si="12"/>
        <v>232812.45</v>
      </c>
      <c r="M182" s="345">
        <v>12375.443880743802</v>
      </c>
      <c r="N182" s="336">
        <f t="shared" si="10"/>
        <v>825029.59204958682</v>
      </c>
      <c r="P182" s="678"/>
      <c r="Q182" s="678"/>
      <c r="R182" s="678"/>
      <c r="S182" s="678"/>
      <c r="T182" s="678"/>
      <c r="U182" s="678"/>
      <c r="V182" s="678"/>
      <c r="W182" s="678"/>
      <c r="X182" s="678"/>
      <c r="Y182" s="678"/>
      <c r="Z182" s="678"/>
    </row>
    <row r="183" spans="1:26" s="677" customFormat="1" ht="13" outlineLevel="1" x14ac:dyDescent="0.3">
      <c r="A183" s="727" t="s">
        <v>66</v>
      </c>
      <c r="B183" s="350">
        <v>18.18</v>
      </c>
      <c r="C183" s="350" t="s">
        <v>205</v>
      </c>
      <c r="D183" s="450" t="s">
        <v>385</v>
      </c>
      <c r="E183" s="708" t="s">
        <v>243</v>
      </c>
      <c r="F183" s="363">
        <v>2</v>
      </c>
      <c r="G183" s="345">
        <v>319453.54809917352</v>
      </c>
      <c r="H183" s="345">
        <v>0</v>
      </c>
      <c r="I183" s="346">
        <f t="shared" si="11"/>
        <v>319453.54809917352</v>
      </c>
      <c r="J183" s="345">
        <v>465624.9</v>
      </c>
      <c r="K183" s="345">
        <v>0</v>
      </c>
      <c r="L183" s="346">
        <f t="shared" si="12"/>
        <v>465624.9</v>
      </c>
      <c r="M183" s="345">
        <v>11776.176721487604</v>
      </c>
      <c r="N183" s="336">
        <f t="shared" si="10"/>
        <v>785078.44809917361</v>
      </c>
      <c r="P183" s="678"/>
      <c r="Q183" s="678"/>
      <c r="R183" s="678"/>
      <c r="S183" s="678"/>
      <c r="T183" s="678"/>
      <c r="U183" s="678"/>
      <c r="V183" s="678"/>
      <c r="W183" s="678"/>
      <c r="X183" s="678"/>
      <c r="Y183" s="678"/>
      <c r="Z183" s="678"/>
    </row>
    <row r="184" spans="1:26" s="677" customFormat="1" ht="13" outlineLevel="1" x14ac:dyDescent="0.3">
      <c r="A184" s="727" t="s">
        <v>66</v>
      </c>
      <c r="B184" s="350">
        <v>18.190000000000001</v>
      </c>
      <c r="C184" s="350" t="s">
        <v>205</v>
      </c>
      <c r="D184" s="450" t="s">
        <v>386</v>
      </c>
      <c r="E184" s="708" t="s">
        <v>243</v>
      </c>
      <c r="F184" s="363">
        <v>9</v>
      </c>
      <c r="G184" s="345">
        <v>1866103.4880000001</v>
      </c>
      <c r="H184" s="345">
        <v>0</v>
      </c>
      <c r="I184" s="346">
        <f t="shared" si="11"/>
        <v>1866103.4880000001</v>
      </c>
      <c r="J184" s="345">
        <v>2095312.05</v>
      </c>
      <c r="K184" s="345">
        <v>0</v>
      </c>
      <c r="L184" s="346">
        <f t="shared" si="12"/>
        <v>2095312.05</v>
      </c>
      <c r="M184" s="345">
        <v>59421.233070000002</v>
      </c>
      <c r="N184" s="336">
        <f t="shared" si="10"/>
        <v>3961415.5380000002</v>
      </c>
      <c r="P184" s="678"/>
      <c r="Q184" s="678"/>
      <c r="R184" s="678"/>
      <c r="S184" s="678"/>
      <c r="T184" s="678"/>
      <c r="U184" s="678"/>
      <c r="V184" s="678"/>
      <c r="W184" s="678"/>
      <c r="X184" s="678"/>
      <c r="Y184" s="678"/>
      <c r="Z184" s="678"/>
    </row>
    <row r="185" spans="1:26" s="677" customFormat="1" ht="13" outlineLevel="1" x14ac:dyDescent="0.3">
      <c r="A185" s="727" t="s">
        <v>66</v>
      </c>
      <c r="B185" s="350">
        <v>18.2</v>
      </c>
      <c r="C185" s="350" t="s">
        <v>205</v>
      </c>
      <c r="D185" s="450" t="s">
        <v>387</v>
      </c>
      <c r="E185" s="708" t="s">
        <v>207</v>
      </c>
      <c r="F185" s="363">
        <v>1</v>
      </c>
      <c r="G185" s="345">
        <v>3200954.2587479339</v>
      </c>
      <c r="H185" s="345">
        <v>0</v>
      </c>
      <c r="I185" s="346">
        <f t="shared" si="11"/>
        <v>3200954.2587479339</v>
      </c>
      <c r="J185" s="345">
        <v>0</v>
      </c>
      <c r="K185" s="345">
        <v>1514201.6879314398</v>
      </c>
      <c r="L185" s="346">
        <f t="shared" si="12"/>
        <v>1514201.6879314398</v>
      </c>
      <c r="M185" s="345">
        <v>70727.339200190618</v>
      </c>
      <c r="N185" s="336">
        <f t="shared" si="10"/>
        <v>4715155.9466793742</v>
      </c>
      <c r="P185" s="678"/>
      <c r="Q185" s="678"/>
      <c r="R185" s="678"/>
      <c r="S185" s="678"/>
      <c r="T185" s="678"/>
      <c r="U185" s="678"/>
      <c r="V185" s="678"/>
      <c r="W185" s="678"/>
      <c r="X185" s="678"/>
      <c r="Y185" s="678"/>
      <c r="Z185" s="678"/>
    </row>
    <row r="186" spans="1:26" s="677" customFormat="1" ht="13" outlineLevel="1" x14ac:dyDescent="0.3">
      <c r="A186" s="727" t="s">
        <v>66</v>
      </c>
      <c r="B186" s="350">
        <v>18.21</v>
      </c>
      <c r="C186" s="350" t="s">
        <v>205</v>
      </c>
      <c r="D186" s="450" t="s">
        <v>388</v>
      </c>
      <c r="E186" s="708" t="s">
        <v>207</v>
      </c>
      <c r="F186" s="363">
        <v>1</v>
      </c>
      <c r="G186" s="345">
        <v>496467.83559999999</v>
      </c>
      <c r="H186" s="345">
        <v>0</v>
      </c>
      <c r="I186" s="346">
        <f t="shared" si="11"/>
        <v>496467.83559999999</v>
      </c>
      <c r="J186" s="345">
        <v>0</v>
      </c>
      <c r="K186" s="345">
        <v>757100.8439657198</v>
      </c>
      <c r="L186" s="346">
        <f t="shared" si="12"/>
        <v>757100.8439657198</v>
      </c>
      <c r="M186" s="345">
        <v>18803.530193485796</v>
      </c>
      <c r="N186" s="336">
        <f t="shared" si="10"/>
        <v>1253568.6795657198</v>
      </c>
      <c r="P186" s="678"/>
      <c r="Q186" s="678"/>
      <c r="R186" s="678"/>
      <c r="S186" s="678"/>
      <c r="T186" s="678"/>
      <c r="U186" s="678"/>
      <c r="V186" s="678"/>
      <c r="W186" s="678"/>
      <c r="X186" s="678"/>
      <c r="Y186" s="678"/>
      <c r="Z186" s="678"/>
    </row>
    <row r="187" spans="1:26" s="677" customFormat="1" ht="13" outlineLevel="1" x14ac:dyDescent="0.3">
      <c r="A187" s="727" t="s">
        <v>66</v>
      </c>
      <c r="B187" s="350">
        <v>18.22</v>
      </c>
      <c r="C187" s="350" t="s">
        <v>205</v>
      </c>
      <c r="D187" s="450" t="s">
        <v>389</v>
      </c>
      <c r="E187" s="708" t="s">
        <v>207</v>
      </c>
      <c r="F187" s="363">
        <v>1</v>
      </c>
      <c r="G187" s="345">
        <v>496467.83559999999</v>
      </c>
      <c r="H187" s="345">
        <v>0</v>
      </c>
      <c r="I187" s="346">
        <f t="shared" si="11"/>
        <v>496467.83559999999</v>
      </c>
      <c r="J187" s="345">
        <v>0</v>
      </c>
      <c r="K187" s="345">
        <v>757100.8439657198</v>
      </c>
      <c r="L187" s="346">
        <f t="shared" si="12"/>
        <v>757100.8439657198</v>
      </c>
      <c r="M187" s="345">
        <v>18803.530193485796</v>
      </c>
      <c r="N187" s="336">
        <f t="shared" si="10"/>
        <v>1253568.6795657198</v>
      </c>
      <c r="P187" s="678"/>
      <c r="Q187" s="678"/>
      <c r="R187" s="678"/>
      <c r="S187" s="678"/>
      <c r="T187" s="678"/>
      <c r="U187" s="678"/>
      <c r="V187" s="678"/>
      <c r="W187" s="678"/>
      <c r="X187" s="678"/>
      <c r="Y187" s="678"/>
      <c r="Z187" s="678"/>
    </row>
    <row r="188" spans="1:26" s="677" customFormat="1" ht="13" outlineLevel="1" x14ac:dyDescent="0.3">
      <c r="A188" s="727" t="s">
        <v>66</v>
      </c>
      <c r="B188" s="350">
        <v>18.23</v>
      </c>
      <c r="C188" s="350" t="s">
        <v>205</v>
      </c>
      <c r="D188" s="450" t="s">
        <v>390</v>
      </c>
      <c r="E188" s="708" t="s">
        <v>243</v>
      </c>
      <c r="F188" s="363">
        <v>16</v>
      </c>
      <c r="G188" s="345">
        <v>0</v>
      </c>
      <c r="H188" s="345">
        <v>0</v>
      </c>
      <c r="I188" s="346">
        <f t="shared" si="11"/>
        <v>0</v>
      </c>
      <c r="J188" s="345">
        <v>189056</v>
      </c>
      <c r="K188" s="345">
        <v>0</v>
      </c>
      <c r="L188" s="346">
        <f t="shared" si="12"/>
        <v>189056</v>
      </c>
      <c r="M188" s="345">
        <v>2835.8399999999997</v>
      </c>
      <c r="N188" s="336">
        <f t="shared" si="10"/>
        <v>189056</v>
      </c>
      <c r="P188" s="678"/>
      <c r="Q188" s="678"/>
      <c r="R188" s="678"/>
      <c r="S188" s="678"/>
      <c r="T188" s="678"/>
      <c r="U188" s="678"/>
      <c r="V188" s="678"/>
      <c r="W188" s="678"/>
      <c r="X188" s="678"/>
      <c r="Y188" s="678"/>
      <c r="Z188" s="678"/>
    </row>
    <row r="189" spans="1:26" s="677" customFormat="1" ht="13" outlineLevel="1" x14ac:dyDescent="0.3">
      <c r="A189" s="727" t="s">
        <v>66</v>
      </c>
      <c r="B189" s="350">
        <v>18.239999999999998</v>
      </c>
      <c r="C189" s="350" t="s">
        <v>205</v>
      </c>
      <c r="D189" s="450" t="s">
        <v>391</v>
      </c>
      <c r="E189" s="708" t="s">
        <v>243</v>
      </c>
      <c r="F189" s="363">
        <v>140</v>
      </c>
      <c r="G189" s="345">
        <v>0</v>
      </c>
      <c r="H189" s="345">
        <v>0</v>
      </c>
      <c r="I189" s="346">
        <f t="shared" si="11"/>
        <v>0</v>
      </c>
      <c r="J189" s="345">
        <v>1077999.9999999998</v>
      </c>
      <c r="K189" s="345">
        <v>0</v>
      </c>
      <c r="L189" s="346">
        <f t="shared" si="12"/>
        <v>1077999.9999999998</v>
      </c>
      <c r="M189" s="345">
        <v>16169.999999999998</v>
      </c>
      <c r="N189" s="336">
        <f t="shared" si="10"/>
        <v>1077999.9999999998</v>
      </c>
      <c r="P189" s="678"/>
      <c r="Q189" s="678"/>
      <c r="R189" s="678"/>
      <c r="S189" s="678"/>
      <c r="T189" s="678"/>
      <c r="U189" s="678"/>
      <c r="V189" s="678"/>
      <c r="W189" s="678"/>
      <c r="X189" s="678"/>
      <c r="Y189" s="678"/>
      <c r="Z189" s="678"/>
    </row>
    <row r="190" spans="1:26" s="677" customFormat="1" ht="13" outlineLevel="1" x14ac:dyDescent="0.3">
      <c r="A190" s="727" t="s">
        <v>66</v>
      </c>
      <c r="B190" s="350">
        <v>18.25</v>
      </c>
      <c r="C190" s="350" t="s">
        <v>205</v>
      </c>
      <c r="D190" s="450" t="s">
        <v>392</v>
      </c>
      <c r="E190" s="708" t="s">
        <v>243</v>
      </c>
      <c r="F190" s="363">
        <v>226</v>
      </c>
      <c r="G190" s="345">
        <v>0</v>
      </c>
      <c r="H190" s="345">
        <v>0</v>
      </c>
      <c r="I190" s="346">
        <f t="shared" si="11"/>
        <v>0</v>
      </c>
      <c r="J190" s="345">
        <v>1740199.9999999998</v>
      </c>
      <c r="K190" s="345">
        <v>0</v>
      </c>
      <c r="L190" s="346">
        <f t="shared" si="12"/>
        <v>1740199.9999999998</v>
      </c>
      <c r="M190" s="345">
        <v>26102.999999999996</v>
      </c>
      <c r="N190" s="336">
        <f t="shared" si="10"/>
        <v>1740199.9999999998</v>
      </c>
      <c r="P190" s="678"/>
      <c r="Q190" s="678"/>
      <c r="R190" s="678"/>
      <c r="S190" s="678"/>
      <c r="T190" s="678"/>
      <c r="U190" s="678"/>
      <c r="V190" s="678"/>
      <c r="W190" s="678"/>
      <c r="X190" s="678"/>
      <c r="Y190" s="678"/>
      <c r="Z190" s="678"/>
    </row>
    <row r="191" spans="1:26" s="677" customFormat="1" ht="13" outlineLevel="1" x14ac:dyDescent="0.3">
      <c r="A191" s="727" t="s">
        <v>66</v>
      </c>
      <c r="B191" s="350">
        <v>18.260000000000002</v>
      </c>
      <c r="C191" s="350" t="s">
        <v>205</v>
      </c>
      <c r="D191" s="450" t="s">
        <v>393</v>
      </c>
      <c r="E191" s="708" t="s">
        <v>243</v>
      </c>
      <c r="F191" s="363">
        <v>8</v>
      </c>
      <c r="G191" s="345">
        <v>0</v>
      </c>
      <c r="H191" s="345">
        <v>0</v>
      </c>
      <c r="I191" s="346">
        <f t="shared" si="11"/>
        <v>0</v>
      </c>
      <c r="J191" s="345">
        <v>150080</v>
      </c>
      <c r="K191" s="345">
        <v>0</v>
      </c>
      <c r="L191" s="346">
        <f t="shared" si="12"/>
        <v>150080</v>
      </c>
      <c r="M191" s="345">
        <v>2251.1999999999998</v>
      </c>
      <c r="N191" s="336">
        <f t="shared" si="10"/>
        <v>150080</v>
      </c>
      <c r="P191" s="678"/>
      <c r="Q191" s="678"/>
      <c r="R191" s="678"/>
      <c r="S191" s="678"/>
      <c r="T191" s="678"/>
      <c r="U191" s="678"/>
      <c r="V191" s="678"/>
      <c r="W191" s="678"/>
      <c r="X191" s="678"/>
      <c r="Y191" s="678"/>
      <c r="Z191" s="678"/>
    </row>
    <row r="192" spans="1:26" s="677" customFormat="1" ht="13" outlineLevel="1" x14ac:dyDescent="0.3">
      <c r="A192" s="727" t="s">
        <v>66</v>
      </c>
      <c r="B192" s="350">
        <v>18.27</v>
      </c>
      <c r="C192" s="350" t="s">
        <v>205</v>
      </c>
      <c r="D192" s="450" t="s">
        <v>394</v>
      </c>
      <c r="E192" s="708" t="s">
        <v>243</v>
      </c>
      <c r="F192" s="363">
        <v>24</v>
      </c>
      <c r="G192" s="345">
        <v>0</v>
      </c>
      <c r="H192" s="345">
        <v>0</v>
      </c>
      <c r="I192" s="346">
        <f t="shared" si="11"/>
        <v>0</v>
      </c>
      <c r="J192" s="345">
        <v>1651440</v>
      </c>
      <c r="K192" s="345">
        <v>0</v>
      </c>
      <c r="L192" s="346">
        <f t="shared" si="12"/>
        <v>1651440</v>
      </c>
      <c r="M192" s="345">
        <v>24771.599999999999</v>
      </c>
      <c r="N192" s="336">
        <f t="shared" si="10"/>
        <v>1651440</v>
      </c>
      <c r="P192" s="678"/>
      <c r="Q192" s="678"/>
      <c r="R192" s="678"/>
      <c r="S192" s="678"/>
      <c r="T192" s="678"/>
      <c r="U192" s="678"/>
      <c r="V192" s="678"/>
      <c r="W192" s="678"/>
      <c r="X192" s="678"/>
      <c r="Y192" s="678"/>
      <c r="Z192" s="678"/>
    </row>
    <row r="193" spans="1:26" s="677" customFormat="1" ht="13" outlineLevel="1" x14ac:dyDescent="0.3">
      <c r="A193" s="727" t="s">
        <v>66</v>
      </c>
      <c r="B193" s="350">
        <v>18.28</v>
      </c>
      <c r="C193" s="350" t="s">
        <v>205</v>
      </c>
      <c r="D193" s="450" t="s">
        <v>395</v>
      </c>
      <c r="E193" s="708" t="s">
        <v>243</v>
      </c>
      <c r="F193" s="363">
        <v>12</v>
      </c>
      <c r="G193" s="345">
        <v>0</v>
      </c>
      <c r="H193" s="345">
        <v>0</v>
      </c>
      <c r="I193" s="346">
        <f t="shared" si="11"/>
        <v>0</v>
      </c>
      <c r="J193" s="345">
        <v>225120</v>
      </c>
      <c r="K193" s="345">
        <v>0</v>
      </c>
      <c r="L193" s="346">
        <f t="shared" si="12"/>
        <v>225120</v>
      </c>
      <c r="M193" s="345">
        <v>3376.7999999999997</v>
      </c>
      <c r="N193" s="336">
        <f t="shared" si="10"/>
        <v>225120</v>
      </c>
      <c r="P193" s="678"/>
      <c r="Q193" s="678"/>
      <c r="R193" s="678"/>
      <c r="S193" s="678"/>
      <c r="T193" s="678"/>
      <c r="U193" s="678"/>
      <c r="V193" s="678"/>
      <c r="W193" s="678"/>
      <c r="X193" s="678"/>
      <c r="Y193" s="678"/>
      <c r="Z193" s="678"/>
    </row>
    <row r="194" spans="1:26" s="677" customFormat="1" ht="13" outlineLevel="1" x14ac:dyDescent="0.3">
      <c r="A194" s="727" t="s">
        <v>66</v>
      </c>
      <c r="B194" s="350">
        <v>18.2899999999999</v>
      </c>
      <c r="C194" s="350" t="s">
        <v>205</v>
      </c>
      <c r="D194" s="450" t="s">
        <v>396</v>
      </c>
      <c r="E194" s="708" t="s">
        <v>243</v>
      </c>
      <c r="F194" s="363">
        <v>1</v>
      </c>
      <c r="G194" s="345">
        <v>0</v>
      </c>
      <c r="H194" s="345">
        <v>0</v>
      </c>
      <c r="I194" s="346">
        <f t="shared" si="11"/>
        <v>0</v>
      </c>
      <c r="J194" s="345">
        <v>18760</v>
      </c>
      <c r="K194" s="345">
        <v>0</v>
      </c>
      <c r="L194" s="346">
        <f t="shared" si="12"/>
        <v>18760</v>
      </c>
      <c r="M194" s="345">
        <v>281.39999999999998</v>
      </c>
      <c r="N194" s="336">
        <f t="shared" si="10"/>
        <v>18760</v>
      </c>
      <c r="P194" s="678"/>
      <c r="Q194" s="678"/>
      <c r="R194" s="678"/>
      <c r="S194" s="678"/>
      <c r="T194" s="678"/>
      <c r="U194" s="678"/>
      <c r="V194" s="678"/>
      <c r="W194" s="678"/>
      <c r="X194" s="678"/>
      <c r="Y194" s="678"/>
      <c r="Z194" s="678"/>
    </row>
    <row r="195" spans="1:26" s="677" customFormat="1" ht="26" outlineLevel="1" x14ac:dyDescent="0.3">
      <c r="A195" s="727" t="s">
        <v>66</v>
      </c>
      <c r="B195" s="350">
        <v>18.299999999999901</v>
      </c>
      <c r="C195" s="350" t="s">
        <v>205</v>
      </c>
      <c r="D195" s="450" t="s">
        <v>397</v>
      </c>
      <c r="E195" s="708" t="s">
        <v>243</v>
      </c>
      <c r="F195" s="363">
        <v>109</v>
      </c>
      <c r="G195" s="345">
        <v>0</v>
      </c>
      <c r="H195" s="345">
        <v>0</v>
      </c>
      <c r="I195" s="346">
        <f t="shared" si="11"/>
        <v>0</v>
      </c>
      <c r="J195" s="345">
        <v>1287944</v>
      </c>
      <c r="K195" s="345">
        <v>0</v>
      </c>
      <c r="L195" s="346">
        <f t="shared" si="12"/>
        <v>1287944</v>
      </c>
      <c r="M195" s="345">
        <v>19319.159999999996</v>
      </c>
      <c r="N195" s="336">
        <f t="shared" si="10"/>
        <v>1287944</v>
      </c>
      <c r="P195" s="678"/>
      <c r="Q195" s="678"/>
      <c r="R195" s="678"/>
      <c r="S195" s="678"/>
      <c r="T195" s="678"/>
      <c r="U195" s="678"/>
      <c r="V195" s="678"/>
      <c r="W195" s="678"/>
      <c r="X195" s="678"/>
      <c r="Y195" s="678"/>
      <c r="Z195" s="678"/>
    </row>
    <row r="196" spans="1:26" s="677" customFormat="1" ht="13" outlineLevel="1" x14ac:dyDescent="0.3">
      <c r="A196" s="727" t="s">
        <v>66</v>
      </c>
      <c r="B196" s="350">
        <v>18.309999999999899</v>
      </c>
      <c r="C196" s="350" t="s">
        <v>205</v>
      </c>
      <c r="D196" s="450" t="s">
        <v>398</v>
      </c>
      <c r="E196" s="708" t="s">
        <v>207</v>
      </c>
      <c r="F196" s="363">
        <v>1</v>
      </c>
      <c r="G196" s="345">
        <v>3075822.2460000007</v>
      </c>
      <c r="H196" s="345">
        <v>0</v>
      </c>
      <c r="I196" s="346">
        <f t="shared" si="11"/>
        <v>3075822.2460000007</v>
      </c>
      <c r="J196" s="345">
        <v>1002579.2</v>
      </c>
      <c r="K196" s="345">
        <v>0</v>
      </c>
      <c r="L196" s="346">
        <f t="shared" si="12"/>
        <v>1002579.2</v>
      </c>
      <c r="M196" s="345">
        <v>61176.021690000001</v>
      </c>
      <c r="N196" s="336">
        <f t="shared" si="10"/>
        <v>4078401.4460000005</v>
      </c>
      <c r="P196" s="678"/>
      <c r="Q196" s="678"/>
      <c r="R196" s="678"/>
      <c r="S196" s="678"/>
      <c r="T196" s="678"/>
      <c r="U196" s="678"/>
      <c r="V196" s="678"/>
      <c r="W196" s="678"/>
      <c r="X196" s="678"/>
      <c r="Y196" s="678"/>
      <c r="Z196" s="678"/>
    </row>
    <row r="197" spans="1:26" s="677" customFormat="1" ht="13" outlineLevel="1" x14ac:dyDescent="0.3">
      <c r="A197" s="727" t="s">
        <v>66</v>
      </c>
      <c r="B197" s="350">
        <v>18.319999999999901</v>
      </c>
      <c r="C197" s="350" t="s">
        <v>205</v>
      </c>
      <c r="D197" s="450" t="s">
        <v>399</v>
      </c>
      <c r="E197" s="708" t="s">
        <v>207</v>
      </c>
      <c r="F197" s="363">
        <v>1</v>
      </c>
      <c r="G197" s="345">
        <v>570057.95256198349</v>
      </c>
      <c r="H197" s="345">
        <v>0</v>
      </c>
      <c r="I197" s="346">
        <f t="shared" si="11"/>
        <v>570057.95256198349</v>
      </c>
      <c r="J197" s="345">
        <v>0</v>
      </c>
      <c r="K197" s="345">
        <v>137815.66048314393</v>
      </c>
      <c r="L197" s="346">
        <f t="shared" si="12"/>
        <v>137815.66048314393</v>
      </c>
      <c r="M197" s="345">
        <v>10618.10419567691</v>
      </c>
      <c r="N197" s="336">
        <f t="shared" si="10"/>
        <v>707873.61304512736</v>
      </c>
      <c r="P197" s="678"/>
      <c r="Q197" s="678"/>
      <c r="R197" s="678"/>
      <c r="S197" s="678"/>
      <c r="T197" s="678"/>
      <c r="U197" s="678"/>
      <c r="V197" s="678"/>
      <c r="W197" s="678"/>
      <c r="X197" s="678"/>
      <c r="Y197" s="678"/>
      <c r="Z197" s="678"/>
    </row>
    <row r="198" spans="1:26" s="677" customFormat="1" ht="13" outlineLevel="1" x14ac:dyDescent="0.3">
      <c r="A198" s="727" t="s">
        <v>66</v>
      </c>
      <c r="B198" s="350">
        <v>18.329999999999899</v>
      </c>
      <c r="C198" s="352" t="s">
        <v>205</v>
      </c>
      <c r="D198" s="458" t="s">
        <v>400</v>
      </c>
      <c r="E198" s="709" t="s">
        <v>207</v>
      </c>
      <c r="F198" s="379">
        <v>1</v>
      </c>
      <c r="G198" s="345">
        <v>0</v>
      </c>
      <c r="H198" s="345">
        <v>0</v>
      </c>
      <c r="I198" s="346">
        <f t="shared" si="11"/>
        <v>0</v>
      </c>
      <c r="J198" s="345">
        <v>107023.5988771658</v>
      </c>
      <c r="K198" s="345">
        <v>0</v>
      </c>
      <c r="L198" s="346">
        <f t="shared" si="12"/>
        <v>107023.5988771658</v>
      </c>
      <c r="M198" s="345">
        <v>0</v>
      </c>
      <c r="N198" s="336">
        <f t="shared" si="10"/>
        <v>107023.5988771658</v>
      </c>
      <c r="P198" s="678"/>
      <c r="Q198" s="678"/>
      <c r="R198" s="678"/>
      <c r="S198" s="678"/>
      <c r="T198" s="678"/>
      <c r="U198" s="678"/>
      <c r="V198" s="678"/>
      <c r="W198" s="678"/>
      <c r="X198" s="678"/>
      <c r="Y198" s="678"/>
      <c r="Z198" s="678"/>
    </row>
    <row r="199" spans="1:26" s="677" customFormat="1" ht="13" x14ac:dyDescent="0.3">
      <c r="A199" s="727"/>
      <c r="B199" s="325">
        <v>19</v>
      </c>
      <c r="C199" s="326"/>
      <c r="D199" s="276" t="s">
        <v>401</v>
      </c>
      <c r="E199" s="177"/>
      <c r="F199" s="327"/>
      <c r="G199" s="327"/>
      <c r="H199" s="327"/>
      <c r="I199" s="327">
        <f t="shared" si="11"/>
        <v>0</v>
      </c>
      <c r="J199" s="327"/>
      <c r="K199" s="327"/>
      <c r="L199" s="327">
        <f t="shared" si="12"/>
        <v>0</v>
      </c>
      <c r="M199" s="327"/>
      <c r="N199" s="336">
        <f t="shared" si="10"/>
        <v>0</v>
      </c>
      <c r="P199" s="678"/>
      <c r="Q199" s="678"/>
      <c r="R199" s="678"/>
      <c r="S199" s="678"/>
      <c r="T199" s="678"/>
      <c r="U199" s="678"/>
      <c r="V199" s="678"/>
      <c r="W199" s="678"/>
      <c r="X199" s="678"/>
      <c r="Y199" s="678"/>
      <c r="Z199" s="678"/>
    </row>
    <row r="200" spans="1:26" s="677" customFormat="1" ht="13" outlineLevel="1" x14ac:dyDescent="0.3">
      <c r="A200" s="727"/>
      <c r="B200" s="325"/>
      <c r="C200" s="326"/>
      <c r="D200" s="276" t="s">
        <v>402</v>
      </c>
      <c r="E200" s="177"/>
      <c r="F200" s="327"/>
      <c r="G200" s="327"/>
      <c r="H200" s="327"/>
      <c r="I200" s="327">
        <f t="shared" si="11"/>
        <v>0</v>
      </c>
      <c r="J200" s="327"/>
      <c r="K200" s="327"/>
      <c r="L200" s="327">
        <f t="shared" si="12"/>
        <v>0</v>
      </c>
      <c r="M200" s="327"/>
      <c r="N200" s="336">
        <f t="shared" si="10"/>
        <v>0</v>
      </c>
      <c r="P200" s="678"/>
      <c r="Q200" s="678"/>
      <c r="R200" s="678"/>
      <c r="S200" s="678"/>
      <c r="T200" s="678"/>
      <c r="U200" s="678"/>
      <c r="V200" s="678"/>
      <c r="W200" s="678"/>
      <c r="X200" s="678"/>
      <c r="Y200" s="678"/>
      <c r="Z200" s="678"/>
    </row>
    <row r="201" spans="1:26" s="677" customFormat="1" ht="13" outlineLevel="1" x14ac:dyDescent="0.3">
      <c r="A201" s="727" t="s">
        <v>67</v>
      </c>
      <c r="B201" s="331">
        <v>19.010000000000002</v>
      </c>
      <c r="C201" s="380" t="s">
        <v>205</v>
      </c>
      <c r="D201" s="466" t="s">
        <v>404</v>
      </c>
      <c r="E201" s="183" t="s">
        <v>207</v>
      </c>
      <c r="F201" s="131">
        <v>1</v>
      </c>
      <c r="G201" s="335">
        <v>2201631.50655</v>
      </c>
      <c r="H201" s="335">
        <v>0</v>
      </c>
      <c r="I201" s="336">
        <f t="shared" si="11"/>
        <v>2201631.50655</v>
      </c>
      <c r="J201" s="335">
        <v>2820732.3578660213</v>
      </c>
      <c r="K201" s="335">
        <v>0</v>
      </c>
      <c r="L201" s="336">
        <f t="shared" si="12"/>
        <v>2820732.3578660213</v>
      </c>
      <c r="M201" s="335">
        <v>75335.457966240327</v>
      </c>
      <c r="N201" s="336">
        <f t="shared" si="10"/>
        <v>5022363.8644160219</v>
      </c>
      <c r="P201" s="678"/>
      <c r="Q201" s="678"/>
      <c r="R201" s="678"/>
      <c r="S201" s="678"/>
      <c r="T201" s="678"/>
      <c r="U201" s="678"/>
      <c r="V201" s="678"/>
      <c r="W201" s="678"/>
      <c r="X201" s="678"/>
      <c r="Y201" s="678"/>
      <c r="Z201" s="678"/>
    </row>
    <row r="202" spans="1:26" s="677" customFormat="1" ht="13" outlineLevel="1" x14ac:dyDescent="0.3">
      <c r="A202" s="727" t="s">
        <v>67</v>
      </c>
      <c r="B202" s="339">
        <v>19.02</v>
      </c>
      <c r="C202" s="350" t="s">
        <v>205</v>
      </c>
      <c r="D202" s="367" t="s">
        <v>405</v>
      </c>
      <c r="E202" s="180" t="s">
        <v>207</v>
      </c>
      <c r="F202" s="125">
        <v>1</v>
      </c>
      <c r="G202" s="345">
        <v>2830669.0798500003</v>
      </c>
      <c r="H202" s="345">
        <v>0</v>
      </c>
      <c r="I202" s="346">
        <f t="shared" si="11"/>
        <v>2830669.0798500003</v>
      </c>
      <c r="J202" s="345">
        <v>4231098.5367990322</v>
      </c>
      <c r="K202" s="345">
        <v>0</v>
      </c>
      <c r="L202" s="346">
        <f t="shared" si="12"/>
        <v>4231098.5367990322</v>
      </c>
      <c r="M202" s="345">
        <v>105926.51424973548</v>
      </c>
      <c r="N202" s="336">
        <f t="shared" ref="N202:N234" si="14">SUM(I202,L202)</f>
        <v>7061767.6166490326</v>
      </c>
      <c r="P202" s="678"/>
      <c r="Q202" s="678"/>
      <c r="R202" s="678"/>
      <c r="S202" s="678"/>
      <c r="T202" s="678"/>
      <c r="U202" s="678"/>
      <c r="V202" s="678"/>
      <c r="W202" s="678"/>
      <c r="X202" s="678"/>
      <c r="Y202" s="678"/>
      <c r="Z202" s="678"/>
    </row>
    <row r="203" spans="1:26" s="677" customFormat="1" ht="13" outlineLevel="1" x14ac:dyDescent="0.3">
      <c r="A203" s="727" t="s">
        <v>67</v>
      </c>
      <c r="B203" s="351">
        <v>19.03</v>
      </c>
      <c r="C203" s="352" t="s">
        <v>205</v>
      </c>
      <c r="D203" s="467" t="s">
        <v>406</v>
      </c>
      <c r="E203" s="190" t="s">
        <v>207</v>
      </c>
      <c r="F203" s="132">
        <v>1</v>
      </c>
      <c r="G203" s="359">
        <v>1258075.1466000003</v>
      </c>
      <c r="H203" s="359">
        <v>0</v>
      </c>
      <c r="I203" s="360">
        <f t="shared" si="11"/>
        <v>1258075.1466000003</v>
      </c>
      <c r="J203" s="359">
        <v>2350610.2982216845</v>
      </c>
      <c r="K203" s="359">
        <v>0</v>
      </c>
      <c r="L203" s="360">
        <f t="shared" si="12"/>
        <v>2350610.2982216845</v>
      </c>
      <c r="M203" s="359">
        <v>54130.281672325269</v>
      </c>
      <c r="N203" s="336">
        <f t="shared" si="14"/>
        <v>3608685.4448216846</v>
      </c>
      <c r="P203" s="678"/>
      <c r="Q203" s="678"/>
      <c r="R203" s="678"/>
      <c r="S203" s="678"/>
      <c r="T203" s="678"/>
      <c r="U203" s="678"/>
      <c r="V203" s="678"/>
      <c r="W203" s="678"/>
      <c r="X203" s="678"/>
      <c r="Y203" s="678"/>
      <c r="Z203" s="678"/>
    </row>
    <row r="204" spans="1:26" s="677" customFormat="1" ht="13" outlineLevel="1" x14ac:dyDescent="0.3">
      <c r="A204" s="727"/>
      <c r="B204" s="468"/>
      <c r="C204" s="469"/>
      <c r="D204" s="470" t="s">
        <v>407</v>
      </c>
      <c r="E204" s="175"/>
      <c r="F204" s="312"/>
      <c r="G204" s="312"/>
      <c r="H204" s="312"/>
      <c r="I204" s="312">
        <f t="shared" si="11"/>
        <v>0</v>
      </c>
      <c r="J204" s="312"/>
      <c r="K204" s="312"/>
      <c r="L204" s="312">
        <f t="shared" si="12"/>
        <v>0</v>
      </c>
      <c r="M204" s="312"/>
      <c r="N204" s="336">
        <f t="shared" si="14"/>
        <v>0</v>
      </c>
      <c r="P204" s="678"/>
      <c r="Q204" s="678"/>
      <c r="R204" s="678"/>
      <c r="S204" s="678"/>
      <c r="T204" s="678"/>
      <c r="U204" s="678"/>
      <c r="V204" s="678"/>
      <c r="W204" s="678"/>
      <c r="X204" s="678"/>
      <c r="Y204" s="678"/>
      <c r="Z204" s="678"/>
    </row>
    <row r="205" spans="1:26" s="677" customFormat="1" ht="13" outlineLevel="1" x14ac:dyDescent="0.3">
      <c r="A205" s="727" t="s">
        <v>67</v>
      </c>
      <c r="B205" s="331">
        <v>19.04</v>
      </c>
      <c r="C205" s="380" t="s">
        <v>205</v>
      </c>
      <c r="D205" s="466" t="s">
        <v>408</v>
      </c>
      <c r="E205" s="183" t="s">
        <v>207</v>
      </c>
      <c r="F205" s="131">
        <v>1</v>
      </c>
      <c r="G205" s="335">
        <v>733877.16885000002</v>
      </c>
      <c r="H205" s="335">
        <v>0</v>
      </c>
      <c r="I205" s="336">
        <f t="shared" si="11"/>
        <v>733877.16885000002</v>
      </c>
      <c r="J205" s="335">
        <v>1096951.4725034526</v>
      </c>
      <c r="K205" s="335">
        <v>0</v>
      </c>
      <c r="L205" s="336">
        <f t="shared" si="12"/>
        <v>1096951.4725034526</v>
      </c>
      <c r="M205" s="335">
        <v>27462.429620301788</v>
      </c>
      <c r="N205" s="336">
        <f t="shared" si="14"/>
        <v>1830828.6413534526</v>
      </c>
      <c r="P205" s="678"/>
      <c r="Q205" s="678"/>
      <c r="R205" s="678"/>
      <c r="S205" s="678"/>
      <c r="T205" s="678"/>
      <c r="U205" s="678"/>
      <c r="V205" s="678"/>
      <c r="W205" s="678"/>
      <c r="X205" s="678"/>
      <c r="Y205" s="678"/>
      <c r="Z205" s="678"/>
    </row>
    <row r="206" spans="1:26" s="677" customFormat="1" ht="13" outlineLevel="1" x14ac:dyDescent="0.3">
      <c r="A206" s="727" t="s">
        <v>67</v>
      </c>
      <c r="B206" s="339">
        <v>19.05</v>
      </c>
      <c r="C206" s="350" t="s">
        <v>205</v>
      </c>
      <c r="D206" s="367" t="s">
        <v>409</v>
      </c>
      <c r="E206" s="180" t="s">
        <v>207</v>
      </c>
      <c r="F206" s="125">
        <v>1</v>
      </c>
      <c r="G206" s="345">
        <v>1048395.9555000002</v>
      </c>
      <c r="H206" s="345">
        <v>0</v>
      </c>
      <c r="I206" s="346">
        <f t="shared" si="11"/>
        <v>1048395.9555000002</v>
      </c>
      <c r="J206" s="345">
        <v>1567073.5321477896</v>
      </c>
      <c r="K206" s="345">
        <v>0</v>
      </c>
      <c r="L206" s="346">
        <f t="shared" si="12"/>
        <v>1567073.5321477896</v>
      </c>
      <c r="M206" s="345">
        <v>39232.04231471684</v>
      </c>
      <c r="N206" s="336">
        <f t="shared" si="14"/>
        <v>2615469.4876477895</v>
      </c>
      <c r="P206" s="678"/>
      <c r="Q206" s="678"/>
      <c r="R206" s="678"/>
      <c r="S206" s="678"/>
      <c r="T206" s="678"/>
      <c r="U206" s="678"/>
      <c r="V206" s="678"/>
      <c r="W206" s="678"/>
      <c r="X206" s="678"/>
      <c r="Y206" s="678"/>
      <c r="Z206" s="678"/>
    </row>
    <row r="207" spans="1:26" s="677" customFormat="1" ht="13" outlineLevel="1" x14ac:dyDescent="0.3">
      <c r="A207" s="727" t="s">
        <v>67</v>
      </c>
      <c r="B207" s="351">
        <v>19.059999999999999</v>
      </c>
      <c r="C207" s="350" t="s">
        <v>205</v>
      </c>
      <c r="D207" s="467" t="s">
        <v>410</v>
      </c>
      <c r="E207" s="190" t="s">
        <v>207</v>
      </c>
      <c r="F207" s="132">
        <v>1</v>
      </c>
      <c r="G207" s="359">
        <v>314518.78665000002</v>
      </c>
      <c r="H207" s="359">
        <v>0</v>
      </c>
      <c r="I207" s="360">
        <f t="shared" si="11"/>
        <v>314518.78665000002</v>
      </c>
      <c r="J207" s="359">
        <v>470122.05964433687</v>
      </c>
      <c r="K207" s="359">
        <v>0</v>
      </c>
      <c r="L207" s="360">
        <f t="shared" si="12"/>
        <v>470122.05964433687</v>
      </c>
      <c r="M207" s="359">
        <v>11769.612694415055</v>
      </c>
      <c r="N207" s="336">
        <f t="shared" si="14"/>
        <v>784640.84629433695</v>
      </c>
      <c r="P207" s="678"/>
      <c r="Q207" s="678"/>
      <c r="R207" s="678"/>
      <c r="S207" s="678"/>
      <c r="T207" s="678"/>
      <c r="U207" s="678"/>
      <c r="V207" s="678"/>
      <c r="W207" s="678"/>
      <c r="X207" s="678"/>
      <c r="Y207" s="678"/>
      <c r="Z207" s="678"/>
    </row>
    <row r="208" spans="1:26" s="677" customFormat="1" ht="13" outlineLevel="1" x14ac:dyDescent="0.3">
      <c r="A208" s="727"/>
      <c r="B208" s="325"/>
      <c r="C208" s="326"/>
      <c r="D208" s="276" t="s">
        <v>411</v>
      </c>
      <c r="E208" s="177"/>
      <c r="F208" s="327"/>
      <c r="G208" s="327"/>
      <c r="H208" s="327"/>
      <c r="I208" s="327">
        <f t="shared" si="11"/>
        <v>0</v>
      </c>
      <c r="J208" s="327"/>
      <c r="K208" s="327"/>
      <c r="L208" s="327">
        <f t="shared" si="12"/>
        <v>0</v>
      </c>
      <c r="M208" s="327"/>
      <c r="N208" s="336">
        <f t="shared" si="14"/>
        <v>0</v>
      </c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</row>
    <row r="209" spans="1:26" s="677" customFormat="1" ht="13" outlineLevel="1" x14ac:dyDescent="0.3">
      <c r="A209" s="727" t="s">
        <v>67</v>
      </c>
      <c r="B209" s="380">
        <v>19.07</v>
      </c>
      <c r="C209" s="380" t="s">
        <v>205</v>
      </c>
      <c r="D209" s="473" t="s">
        <v>412</v>
      </c>
      <c r="E209" s="183" t="s">
        <v>207</v>
      </c>
      <c r="F209" s="131">
        <v>1</v>
      </c>
      <c r="G209" s="335">
        <v>892886.95565999974</v>
      </c>
      <c r="H209" s="335">
        <v>0</v>
      </c>
      <c r="I209" s="336">
        <f t="shared" si="11"/>
        <v>892886.95565999974</v>
      </c>
      <c r="J209" s="335">
        <v>1519457.5765793482</v>
      </c>
      <c r="K209" s="335">
        <v>0</v>
      </c>
      <c r="L209" s="336">
        <f t="shared" si="12"/>
        <v>1519457.5765793482</v>
      </c>
      <c r="M209" s="335">
        <v>36185.16798359021</v>
      </c>
      <c r="N209" s="336">
        <f t="shared" si="14"/>
        <v>2412344.5322393477</v>
      </c>
      <c r="P209" s="678"/>
      <c r="Q209" s="678"/>
      <c r="R209" s="678"/>
      <c r="S209" s="678"/>
      <c r="T209" s="678"/>
      <c r="U209" s="678"/>
      <c r="V209" s="678"/>
      <c r="W209" s="678"/>
      <c r="X209" s="678"/>
      <c r="Y209" s="678"/>
      <c r="Z209" s="678"/>
    </row>
    <row r="210" spans="1:26" s="677" customFormat="1" ht="13" outlineLevel="1" x14ac:dyDescent="0.3">
      <c r="A210" s="727" t="s">
        <v>67</v>
      </c>
      <c r="B210" s="350">
        <v>19.079999999999998</v>
      </c>
      <c r="C210" s="350" t="s">
        <v>205</v>
      </c>
      <c r="D210" s="474" t="s">
        <v>413</v>
      </c>
      <c r="E210" s="180" t="s">
        <v>207</v>
      </c>
      <c r="F210" s="125">
        <v>1</v>
      </c>
      <c r="G210" s="345">
        <v>1190515.9408799997</v>
      </c>
      <c r="H210" s="345">
        <v>0</v>
      </c>
      <c r="I210" s="346">
        <f t="shared" si="11"/>
        <v>1190515.9408799997</v>
      </c>
      <c r="J210" s="345">
        <v>1519457.5765793482</v>
      </c>
      <c r="K210" s="345">
        <v>0</v>
      </c>
      <c r="L210" s="346">
        <f t="shared" si="12"/>
        <v>1519457.5765793482</v>
      </c>
      <c r="M210" s="345">
        <v>40649.602761890215</v>
      </c>
      <c r="N210" s="336">
        <f t="shared" si="14"/>
        <v>2709973.5174593478</v>
      </c>
      <c r="P210" s="678"/>
      <c r="Q210" s="678"/>
      <c r="R210" s="678"/>
      <c r="S210" s="678"/>
      <c r="T210" s="678"/>
      <c r="U210" s="678"/>
      <c r="V210" s="678"/>
      <c r="W210" s="678"/>
      <c r="X210" s="678"/>
      <c r="Y210" s="678"/>
      <c r="Z210" s="678"/>
    </row>
    <row r="211" spans="1:26" s="677" customFormat="1" ht="13" outlineLevel="1" x14ac:dyDescent="0.3">
      <c r="A211" s="727" t="s">
        <v>67</v>
      </c>
      <c r="B211" s="350">
        <v>19.09</v>
      </c>
      <c r="C211" s="350" t="s">
        <v>205</v>
      </c>
      <c r="D211" s="475" t="s">
        <v>414</v>
      </c>
      <c r="E211" s="180" t="s">
        <v>207</v>
      </c>
      <c r="F211" s="125">
        <v>1</v>
      </c>
      <c r="G211" s="345">
        <v>892886.95565999974</v>
      </c>
      <c r="H211" s="345">
        <v>0</v>
      </c>
      <c r="I211" s="346">
        <f t="shared" si="11"/>
        <v>892886.95565999974</v>
      </c>
      <c r="J211" s="345">
        <v>1519457.5765793482</v>
      </c>
      <c r="K211" s="345">
        <v>0</v>
      </c>
      <c r="L211" s="346">
        <f t="shared" si="12"/>
        <v>1519457.5765793482</v>
      </c>
      <c r="M211" s="345">
        <v>36185.16798359021</v>
      </c>
      <c r="N211" s="336">
        <f t="shared" si="14"/>
        <v>2412344.5322393477</v>
      </c>
      <c r="P211" s="678"/>
      <c r="Q211" s="678"/>
      <c r="R211" s="678"/>
      <c r="S211" s="678"/>
      <c r="T211" s="678"/>
      <c r="U211" s="678"/>
      <c r="V211" s="678"/>
      <c r="W211" s="678"/>
      <c r="X211" s="678"/>
      <c r="Y211" s="678"/>
      <c r="Z211" s="678"/>
    </row>
    <row r="212" spans="1:26" s="677" customFormat="1" ht="13" outlineLevel="1" x14ac:dyDescent="0.3">
      <c r="A212" s="727" t="s">
        <v>67</v>
      </c>
      <c r="B212" s="350">
        <v>19.100000000000001</v>
      </c>
      <c r="C212" s="350" t="s">
        <v>205</v>
      </c>
      <c r="D212" s="474" t="s">
        <v>415</v>
      </c>
      <c r="E212" s="180" t="s">
        <v>207</v>
      </c>
      <c r="F212" s="125">
        <v>1</v>
      </c>
      <c r="G212" s="345">
        <v>2976289.8521999991</v>
      </c>
      <c r="H212" s="345">
        <v>0</v>
      </c>
      <c r="I212" s="346">
        <f t="shared" si="11"/>
        <v>2976289.8521999991</v>
      </c>
      <c r="J212" s="345">
        <v>10636203.036055434</v>
      </c>
      <c r="K212" s="345">
        <v>0</v>
      </c>
      <c r="L212" s="346">
        <f t="shared" si="12"/>
        <v>10636203.036055434</v>
      </c>
      <c r="M212" s="345">
        <v>204187.39332383149</v>
      </c>
      <c r="N212" s="336">
        <f t="shared" si="14"/>
        <v>13612492.888255434</v>
      </c>
      <c r="P212" s="678"/>
      <c r="Q212" s="678"/>
      <c r="R212" s="678"/>
      <c r="S212" s="678"/>
      <c r="T212" s="678"/>
      <c r="U212" s="678"/>
      <c r="V212" s="678"/>
      <c r="W212" s="678"/>
      <c r="X212" s="678"/>
      <c r="Y212" s="678"/>
      <c r="Z212" s="678"/>
    </row>
    <row r="213" spans="1:26" s="677" customFormat="1" ht="13" outlineLevel="1" x14ac:dyDescent="0.3">
      <c r="A213" s="727" t="s">
        <v>67</v>
      </c>
      <c r="B213" s="350">
        <v>19.11</v>
      </c>
      <c r="C213" s="352" t="s">
        <v>205</v>
      </c>
      <c r="D213" s="476" t="s">
        <v>416</v>
      </c>
      <c r="E213" s="190" t="s">
        <v>207</v>
      </c>
      <c r="F213" s="132">
        <v>1</v>
      </c>
      <c r="G213" s="359">
        <v>2023467.3600000003</v>
      </c>
      <c r="H213" s="359">
        <v>0</v>
      </c>
      <c r="I213" s="360">
        <f t="shared" si="11"/>
        <v>2023467.3600000003</v>
      </c>
      <c r="J213" s="359">
        <v>2577248.8822765904</v>
      </c>
      <c r="K213" s="359">
        <v>0</v>
      </c>
      <c r="L213" s="360">
        <f t="shared" si="12"/>
        <v>2577248.8822765904</v>
      </c>
      <c r="M213" s="359">
        <v>69010.74363414885</v>
      </c>
      <c r="N213" s="336">
        <f t="shared" si="14"/>
        <v>4600716.2422765903</v>
      </c>
      <c r="P213" s="678"/>
      <c r="Q213" s="678"/>
      <c r="R213" s="678"/>
      <c r="S213" s="678"/>
      <c r="T213" s="678"/>
      <c r="U213" s="678"/>
      <c r="V213" s="678"/>
      <c r="W213" s="678"/>
      <c r="X213" s="678"/>
      <c r="Y213" s="678"/>
      <c r="Z213" s="678"/>
    </row>
    <row r="214" spans="1:26" s="677" customFormat="1" ht="13" outlineLevel="1" x14ac:dyDescent="0.3">
      <c r="A214" s="727"/>
      <c r="B214" s="325"/>
      <c r="C214" s="326"/>
      <c r="D214" s="276" t="s">
        <v>417</v>
      </c>
      <c r="E214" s="177"/>
      <c r="F214" s="327"/>
      <c r="G214" s="327"/>
      <c r="H214" s="327">
        <v>0</v>
      </c>
      <c r="I214" s="327">
        <f t="shared" si="11"/>
        <v>0</v>
      </c>
      <c r="J214" s="327"/>
      <c r="K214" s="327">
        <v>0</v>
      </c>
      <c r="L214" s="327">
        <f t="shared" si="12"/>
        <v>0</v>
      </c>
      <c r="M214" s="327"/>
      <c r="N214" s="336">
        <f t="shared" si="14"/>
        <v>0</v>
      </c>
      <c r="P214" s="678"/>
      <c r="Q214" s="678"/>
      <c r="R214" s="678"/>
      <c r="S214" s="678"/>
      <c r="T214" s="678"/>
      <c r="U214" s="678"/>
      <c r="V214" s="678"/>
      <c r="W214" s="678"/>
      <c r="X214" s="678"/>
      <c r="Y214" s="678"/>
      <c r="Z214" s="678"/>
    </row>
    <row r="215" spans="1:26" s="677" customFormat="1" ht="13" outlineLevel="1" x14ac:dyDescent="0.3">
      <c r="A215" s="727" t="s">
        <v>67</v>
      </c>
      <c r="B215" s="339">
        <v>19.12</v>
      </c>
      <c r="C215" s="350" t="s">
        <v>205</v>
      </c>
      <c r="D215" s="367" t="s">
        <v>418</v>
      </c>
      <c r="E215" s="180" t="s">
        <v>207</v>
      </c>
      <c r="F215" s="125">
        <v>1</v>
      </c>
      <c r="G215" s="345">
        <v>450000</v>
      </c>
      <c r="H215" s="345">
        <v>0</v>
      </c>
      <c r="I215" s="346">
        <f t="shared" si="11"/>
        <v>450000</v>
      </c>
      <c r="J215" s="345">
        <v>1500000</v>
      </c>
      <c r="K215" s="345">
        <v>0</v>
      </c>
      <c r="L215" s="346">
        <f t="shared" si="12"/>
        <v>1500000</v>
      </c>
      <c r="M215" s="345">
        <v>29250</v>
      </c>
      <c r="N215" s="336">
        <f t="shared" si="14"/>
        <v>1950000</v>
      </c>
      <c r="P215" s="678"/>
      <c r="Q215" s="678"/>
      <c r="R215" s="678"/>
      <c r="S215" s="678"/>
      <c r="T215" s="678"/>
      <c r="U215" s="678"/>
      <c r="V215" s="678"/>
      <c r="W215" s="678"/>
      <c r="X215" s="678"/>
      <c r="Y215" s="678"/>
      <c r="Z215" s="678"/>
    </row>
    <row r="216" spans="1:26" s="677" customFormat="1" ht="13" outlineLevel="1" x14ac:dyDescent="0.3">
      <c r="A216" s="727"/>
      <c r="B216" s="325"/>
      <c r="C216" s="326"/>
      <c r="D216" s="276" t="s">
        <v>419</v>
      </c>
      <c r="E216" s="177"/>
      <c r="F216" s="327"/>
      <c r="G216" s="327"/>
      <c r="H216" s="327"/>
      <c r="I216" s="327">
        <f t="shared" si="11"/>
        <v>0</v>
      </c>
      <c r="J216" s="327"/>
      <c r="K216" s="327"/>
      <c r="L216" s="327">
        <f t="shared" si="12"/>
        <v>0</v>
      </c>
      <c r="M216" s="327"/>
      <c r="N216" s="336">
        <f t="shared" si="14"/>
        <v>0</v>
      </c>
      <c r="P216" s="678"/>
      <c r="Q216" s="678"/>
      <c r="R216" s="678"/>
      <c r="S216" s="678"/>
      <c r="T216" s="678"/>
      <c r="U216" s="678"/>
      <c r="V216" s="678"/>
      <c r="W216" s="678"/>
      <c r="X216" s="678"/>
      <c r="Y216" s="678"/>
      <c r="Z216" s="678"/>
    </row>
    <row r="217" spans="1:26" s="677" customFormat="1" ht="13" outlineLevel="1" x14ac:dyDescent="0.3">
      <c r="A217" s="727" t="s">
        <v>67</v>
      </c>
      <c r="B217" s="331">
        <v>19.13</v>
      </c>
      <c r="C217" s="380" t="s">
        <v>205</v>
      </c>
      <c r="D217" s="466" t="s">
        <v>420</v>
      </c>
      <c r="E217" s="183" t="s">
        <v>207</v>
      </c>
      <c r="F217" s="131">
        <v>1</v>
      </c>
      <c r="G217" s="335">
        <v>6864779.654000001</v>
      </c>
      <c r="H217" s="335">
        <v>0</v>
      </c>
      <c r="I217" s="336">
        <f t="shared" si="11"/>
        <v>6864779.654000001</v>
      </c>
      <c r="J217" s="335">
        <v>19750412.024770182</v>
      </c>
      <c r="K217" s="335">
        <v>0</v>
      </c>
      <c r="L217" s="336">
        <f t="shared" si="12"/>
        <v>19750412.024770182</v>
      </c>
      <c r="M217" s="335">
        <v>399227.87518155278</v>
      </c>
      <c r="N217" s="336">
        <f t="shared" si="14"/>
        <v>26615191.678770185</v>
      </c>
      <c r="P217" s="678"/>
      <c r="Q217" s="678"/>
      <c r="R217" s="678"/>
      <c r="S217" s="678"/>
      <c r="T217" s="678"/>
      <c r="U217" s="678"/>
      <c r="V217" s="678"/>
      <c r="W217" s="678"/>
      <c r="X217" s="678"/>
      <c r="Y217" s="678"/>
      <c r="Z217" s="678"/>
    </row>
    <row r="218" spans="1:26" s="677" customFormat="1" ht="13" outlineLevel="1" x14ac:dyDescent="0.3">
      <c r="A218" s="727" t="s">
        <v>67</v>
      </c>
      <c r="B218" s="351">
        <v>19.14</v>
      </c>
      <c r="C218" s="352" t="s">
        <v>205</v>
      </c>
      <c r="D218" s="467" t="s">
        <v>421</v>
      </c>
      <c r="E218" s="190" t="s">
        <v>207</v>
      </c>
      <c r="F218" s="132">
        <v>1</v>
      </c>
      <c r="G218" s="359">
        <v>601141.68000000005</v>
      </c>
      <c r="H218" s="359">
        <v>0</v>
      </c>
      <c r="I218" s="360">
        <f t="shared" si="11"/>
        <v>601141.68000000005</v>
      </c>
      <c r="J218" s="359">
        <v>2194490.2249744646</v>
      </c>
      <c r="K218" s="359">
        <v>0</v>
      </c>
      <c r="L218" s="360">
        <f t="shared" si="12"/>
        <v>2194490.2249744646</v>
      </c>
      <c r="M218" s="359">
        <v>41934.478574616973</v>
      </c>
      <c r="N218" s="336">
        <f t="shared" si="14"/>
        <v>2795631.9049744648</v>
      </c>
      <c r="P218" s="678"/>
      <c r="Q218" s="678"/>
      <c r="R218" s="678"/>
      <c r="S218" s="678"/>
      <c r="T218" s="678"/>
      <c r="U218" s="678"/>
      <c r="V218" s="678"/>
      <c r="W218" s="678"/>
      <c r="X218" s="678"/>
      <c r="Y218" s="678"/>
      <c r="Z218" s="678"/>
    </row>
    <row r="219" spans="1:26" s="677" customFormat="1" ht="13" outlineLevel="1" x14ac:dyDescent="0.3">
      <c r="A219" s="727"/>
      <c r="B219" s="325"/>
      <c r="C219" s="326"/>
      <c r="D219" s="276" t="s">
        <v>422</v>
      </c>
      <c r="E219" s="177"/>
      <c r="F219" s="327"/>
      <c r="G219" s="327"/>
      <c r="H219" s="327"/>
      <c r="I219" s="327">
        <f t="shared" si="11"/>
        <v>0</v>
      </c>
      <c r="J219" s="327"/>
      <c r="K219" s="327"/>
      <c r="L219" s="327">
        <f t="shared" si="12"/>
        <v>0</v>
      </c>
      <c r="M219" s="327"/>
      <c r="N219" s="336">
        <f t="shared" si="14"/>
        <v>0</v>
      </c>
      <c r="P219" s="678"/>
      <c r="Q219" s="678"/>
      <c r="R219" s="678"/>
      <c r="S219" s="678"/>
      <c r="T219" s="678"/>
      <c r="U219" s="678"/>
      <c r="V219" s="678"/>
      <c r="W219" s="678"/>
      <c r="X219" s="678"/>
      <c r="Y219" s="678"/>
      <c r="Z219" s="678"/>
    </row>
    <row r="220" spans="1:26" s="677" customFormat="1" ht="13" outlineLevel="1" x14ac:dyDescent="0.3">
      <c r="A220" s="727" t="s">
        <v>67</v>
      </c>
      <c r="B220" s="339">
        <v>19.149999999999999</v>
      </c>
      <c r="C220" s="350" t="s">
        <v>205</v>
      </c>
      <c r="D220" s="450" t="s">
        <v>423</v>
      </c>
      <c r="E220" s="180" t="s">
        <v>207</v>
      </c>
      <c r="F220" s="125">
        <v>1</v>
      </c>
      <c r="G220" s="345">
        <v>2943433.7760000001</v>
      </c>
      <c r="H220" s="345">
        <v>0</v>
      </c>
      <c r="I220" s="346">
        <f t="shared" si="11"/>
        <v>2943433.7760000001</v>
      </c>
      <c r="J220" s="345">
        <v>1816615.8408501176</v>
      </c>
      <c r="K220" s="345">
        <v>0</v>
      </c>
      <c r="L220" s="346">
        <f t="shared" si="12"/>
        <v>1816615.8408501176</v>
      </c>
      <c r="M220" s="345">
        <v>71400.744252751756</v>
      </c>
      <c r="N220" s="336">
        <f t="shared" si="14"/>
        <v>4760049.6168501172</v>
      </c>
      <c r="P220" s="678"/>
      <c r="Q220" s="678"/>
      <c r="R220" s="678"/>
      <c r="S220" s="678"/>
      <c r="T220" s="678"/>
      <c r="U220" s="678"/>
      <c r="V220" s="678"/>
      <c r="W220" s="678"/>
      <c r="X220" s="678"/>
      <c r="Y220" s="678"/>
      <c r="Z220" s="678"/>
    </row>
    <row r="221" spans="1:26" s="677" customFormat="1" ht="13" outlineLevel="1" x14ac:dyDescent="0.3">
      <c r="A221" s="727"/>
      <c r="B221" s="325"/>
      <c r="C221" s="326"/>
      <c r="D221" s="276" t="s">
        <v>424</v>
      </c>
      <c r="E221" s="177"/>
      <c r="F221" s="327"/>
      <c r="G221" s="327"/>
      <c r="H221" s="327"/>
      <c r="I221" s="327">
        <f t="shared" si="11"/>
        <v>0</v>
      </c>
      <c r="J221" s="327"/>
      <c r="K221" s="327"/>
      <c r="L221" s="327">
        <f t="shared" ref="L221:L233" si="15">SUM(J221:K221)</f>
        <v>0</v>
      </c>
      <c r="M221" s="327"/>
      <c r="N221" s="336">
        <f t="shared" si="14"/>
        <v>0</v>
      </c>
      <c r="P221" s="678"/>
      <c r="Q221" s="678"/>
      <c r="R221" s="678"/>
      <c r="S221" s="678"/>
      <c r="T221" s="678"/>
      <c r="U221" s="678"/>
      <c r="V221" s="678"/>
      <c r="W221" s="678"/>
      <c r="X221" s="678"/>
      <c r="Y221" s="678"/>
      <c r="Z221" s="678"/>
    </row>
    <row r="222" spans="1:26" s="677" customFormat="1" ht="13" outlineLevel="1" x14ac:dyDescent="0.3">
      <c r="A222" s="727" t="s">
        <v>67</v>
      </c>
      <c r="B222" s="339">
        <v>19.16</v>
      </c>
      <c r="C222" s="350" t="s">
        <v>236</v>
      </c>
      <c r="D222" s="474" t="s">
        <v>425</v>
      </c>
      <c r="E222" s="180" t="s">
        <v>207</v>
      </c>
      <c r="F222" s="125">
        <v>1</v>
      </c>
      <c r="G222" s="345">
        <v>5213745.5347999996</v>
      </c>
      <c r="H222" s="345">
        <v>0</v>
      </c>
      <c r="I222" s="346">
        <f t="shared" ref="I222:I233" si="16">SUM(G222:H222)</f>
        <v>5213745.5347999996</v>
      </c>
      <c r="J222" s="345">
        <v>15641236.604399998</v>
      </c>
      <c r="K222" s="345">
        <v>0</v>
      </c>
      <c r="L222" s="346">
        <f t="shared" si="15"/>
        <v>15641236.604399998</v>
      </c>
      <c r="M222" s="345">
        <v>0</v>
      </c>
      <c r="N222" s="336">
        <f t="shared" si="14"/>
        <v>20854982.139199998</v>
      </c>
      <c r="P222" s="678"/>
      <c r="Q222" s="678"/>
      <c r="R222" s="678"/>
      <c r="S222" s="678"/>
      <c r="T222" s="678"/>
      <c r="U222" s="678"/>
      <c r="V222" s="678"/>
      <c r="W222" s="678"/>
      <c r="X222" s="678"/>
      <c r="Y222" s="678"/>
      <c r="Z222" s="678"/>
    </row>
    <row r="223" spans="1:26" s="677" customFormat="1" ht="13" outlineLevel="1" x14ac:dyDescent="0.3">
      <c r="A223" s="727" t="s">
        <v>67</v>
      </c>
      <c r="B223" s="339">
        <v>19.170000000000002</v>
      </c>
      <c r="C223" s="375" t="s">
        <v>236</v>
      </c>
      <c r="D223" s="659" t="s">
        <v>426</v>
      </c>
      <c r="E223" s="660" t="s">
        <v>243</v>
      </c>
      <c r="F223" s="661">
        <v>8</v>
      </c>
      <c r="G223" s="710">
        <v>120000</v>
      </c>
      <c r="H223" s="710">
        <v>0</v>
      </c>
      <c r="I223" s="711">
        <f t="shared" si="16"/>
        <v>120000</v>
      </c>
      <c r="J223" s="710">
        <v>240000</v>
      </c>
      <c r="K223" s="710">
        <v>0</v>
      </c>
      <c r="L223" s="711">
        <f t="shared" si="15"/>
        <v>240000</v>
      </c>
      <c r="M223" s="710">
        <v>0</v>
      </c>
      <c r="N223" s="336">
        <f t="shared" si="14"/>
        <v>360000</v>
      </c>
      <c r="P223" s="678"/>
      <c r="Q223" s="678"/>
      <c r="R223" s="678"/>
      <c r="S223" s="678"/>
      <c r="T223" s="678"/>
      <c r="U223" s="678"/>
      <c r="V223" s="678"/>
      <c r="W223" s="678"/>
      <c r="X223" s="678"/>
      <c r="Y223" s="678"/>
      <c r="Z223" s="678"/>
    </row>
    <row r="224" spans="1:26" s="677" customFormat="1" ht="13" outlineLevel="1" x14ac:dyDescent="0.3">
      <c r="A224" s="727" t="s">
        <v>67</v>
      </c>
      <c r="B224" s="339">
        <v>19.18</v>
      </c>
      <c r="C224" s="375" t="s">
        <v>236</v>
      </c>
      <c r="D224" s="659" t="s">
        <v>427</v>
      </c>
      <c r="E224" s="660" t="s">
        <v>207</v>
      </c>
      <c r="F224" s="661">
        <v>8</v>
      </c>
      <c r="G224" s="710">
        <v>12000</v>
      </c>
      <c r="H224" s="710">
        <v>0</v>
      </c>
      <c r="I224" s="711">
        <f t="shared" si="16"/>
        <v>12000</v>
      </c>
      <c r="J224" s="710">
        <v>153910.15941314391</v>
      </c>
      <c r="K224" s="710">
        <v>0</v>
      </c>
      <c r="L224" s="711">
        <f t="shared" si="15"/>
        <v>153910.15941314391</v>
      </c>
      <c r="M224" s="710">
        <v>0</v>
      </c>
      <c r="N224" s="336">
        <f t="shared" si="14"/>
        <v>165910.15941314391</v>
      </c>
      <c r="P224" s="678"/>
      <c r="Q224" s="678"/>
      <c r="R224" s="678"/>
      <c r="S224" s="678"/>
      <c r="T224" s="678"/>
      <c r="U224" s="678"/>
      <c r="V224" s="678"/>
      <c r="W224" s="678"/>
      <c r="X224" s="678"/>
      <c r="Y224" s="678"/>
      <c r="Z224" s="678"/>
    </row>
    <row r="225" spans="1:26" s="677" customFormat="1" ht="13" outlineLevel="1" x14ac:dyDescent="0.3">
      <c r="A225" s="727" t="s">
        <v>67</v>
      </c>
      <c r="B225" s="350">
        <v>19.190000000000001</v>
      </c>
      <c r="C225" s="352" t="s">
        <v>428</v>
      </c>
      <c r="D225" s="476" t="s">
        <v>429</v>
      </c>
      <c r="E225" s="190" t="s">
        <v>207</v>
      </c>
      <c r="F225" s="132">
        <v>1</v>
      </c>
      <c r="G225" s="359">
        <v>0</v>
      </c>
      <c r="H225" s="359">
        <v>0</v>
      </c>
      <c r="I225" s="360">
        <f t="shared" si="16"/>
        <v>0</v>
      </c>
      <c r="J225" s="359">
        <v>3510000</v>
      </c>
      <c r="K225" s="359">
        <v>0</v>
      </c>
      <c r="L225" s="360">
        <f t="shared" si="15"/>
        <v>3510000</v>
      </c>
      <c r="M225" s="359">
        <v>0</v>
      </c>
      <c r="N225" s="336">
        <f t="shared" si="14"/>
        <v>3510000</v>
      </c>
      <c r="P225" s="678"/>
      <c r="Q225" s="678"/>
      <c r="R225" s="678"/>
      <c r="S225" s="678"/>
      <c r="T225" s="678"/>
      <c r="U225" s="678"/>
      <c r="V225" s="678"/>
      <c r="W225" s="678"/>
      <c r="X225" s="678"/>
      <c r="Y225" s="678"/>
      <c r="Z225" s="678"/>
    </row>
    <row r="226" spans="1:26" s="677" customFormat="1" ht="13" x14ac:dyDescent="0.3">
      <c r="A226" s="727"/>
      <c r="B226" s="325">
        <v>20</v>
      </c>
      <c r="C226" s="326"/>
      <c r="D226" s="276" t="s">
        <v>430</v>
      </c>
      <c r="E226" s="177"/>
      <c r="F226" s="327"/>
      <c r="G226" s="327"/>
      <c r="H226" s="327"/>
      <c r="I226" s="327">
        <f t="shared" si="16"/>
        <v>0</v>
      </c>
      <c r="J226" s="327"/>
      <c r="K226" s="327"/>
      <c r="L226" s="327">
        <f t="shared" si="15"/>
        <v>0</v>
      </c>
      <c r="M226" s="327"/>
      <c r="N226" s="336">
        <f t="shared" si="14"/>
        <v>0</v>
      </c>
      <c r="P226" s="678"/>
      <c r="Q226" s="678"/>
      <c r="R226" s="678"/>
      <c r="S226" s="678"/>
      <c r="T226" s="678"/>
      <c r="U226" s="678"/>
      <c r="V226" s="678"/>
      <c r="W226" s="678"/>
      <c r="X226" s="678"/>
      <c r="Y226" s="678"/>
      <c r="Z226" s="678"/>
    </row>
    <row r="227" spans="1:26" s="677" customFormat="1" ht="13.9" customHeight="1" outlineLevel="1" x14ac:dyDescent="0.3">
      <c r="A227" s="727"/>
      <c r="B227" s="413">
        <v>20.010000000000002</v>
      </c>
      <c r="C227" s="482" t="s">
        <v>205</v>
      </c>
      <c r="D227" s="415" t="s">
        <v>431</v>
      </c>
      <c r="E227" s="701" t="s">
        <v>243</v>
      </c>
      <c r="F227" s="484">
        <v>0</v>
      </c>
      <c r="G227" s="488">
        <v>0</v>
      </c>
      <c r="H227" s="488">
        <v>0</v>
      </c>
      <c r="I227" s="489">
        <f t="shared" si="16"/>
        <v>0</v>
      </c>
      <c r="J227" s="488">
        <v>0</v>
      </c>
      <c r="K227" s="488">
        <v>0</v>
      </c>
      <c r="L227" s="489">
        <f t="shared" si="15"/>
        <v>0</v>
      </c>
      <c r="M227" s="488">
        <v>0</v>
      </c>
      <c r="N227" s="336">
        <f t="shared" si="14"/>
        <v>0</v>
      </c>
      <c r="P227" s="678"/>
      <c r="Q227" s="678"/>
      <c r="R227" s="678"/>
      <c r="S227" s="678"/>
      <c r="T227" s="678"/>
      <c r="U227" s="678"/>
      <c r="V227" s="678"/>
      <c r="W227" s="678"/>
      <c r="X227" s="678"/>
      <c r="Y227" s="678"/>
      <c r="Z227" s="678"/>
    </row>
    <row r="228" spans="1:26" s="677" customFormat="1" ht="13.9" customHeight="1" outlineLevel="1" x14ac:dyDescent="0.3">
      <c r="A228" s="727"/>
      <c r="B228" s="339">
        <v>20.02</v>
      </c>
      <c r="C228" s="340" t="s">
        <v>205</v>
      </c>
      <c r="D228" s="341" t="s">
        <v>432</v>
      </c>
      <c r="E228" s="697" t="s">
        <v>243</v>
      </c>
      <c r="F228" s="342">
        <v>0</v>
      </c>
      <c r="G228" s="345">
        <v>0</v>
      </c>
      <c r="H228" s="345">
        <v>0</v>
      </c>
      <c r="I228" s="346">
        <f t="shared" si="16"/>
        <v>0</v>
      </c>
      <c r="J228" s="345">
        <v>0</v>
      </c>
      <c r="K228" s="345">
        <v>0</v>
      </c>
      <c r="L228" s="346">
        <f t="shared" si="15"/>
        <v>0</v>
      </c>
      <c r="M228" s="345">
        <v>0</v>
      </c>
      <c r="N228" s="336">
        <f t="shared" si="14"/>
        <v>0</v>
      </c>
      <c r="P228" s="678"/>
      <c r="Q228" s="678"/>
      <c r="R228" s="678"/>
      <c r="S228" s="678"/>
      <c r="T228" s="678"/>
      <c r="U228" s="678"/>
      <c r="V228" s="678"/>
      <c r="W228" s="678"/>
      <c r="X228" s="678"/>
      <c r="Y228" s="678"/>
      <c r="Z228" s="678"/>
    </row>
    <row r="229" spans="1:26" ht="13" x14ac:dyDescent="0.3">
      <c r="A229" s="727"/>
      <c r="B229" s="325">
        <v>21</v>
      </c>
      <c r="C229" s="326"/>
      <c r="D229" s="276" t="s">
        <v>433</v>
      </c>
      <c r="E229" s="177"/>
      <c r="F229" s="327"/>
      <c r="G229" s="327"/>
      <c r="H229" s="327"/>
      <c r="I229" s="327">
        <f t="shared" si="16"/>
        <v>0</v>
      </c>
      <c r="J229" s="327"/>
      <c r="K229" s="327"/>
      <c r="L229" s="327">
        <f t="shared" si="15"/>
        <v>0</v>
      </c>
      <c r="M229" s="327"/>
      <c r="N229" s="336">
        <f t="shared" si="14"/>
        <v>0</v>
      </c>
    </row>
    <row r="230" spans="1:26" s="682" customFormat="1" ht="13" outlineLevel="1" x14ac:dyDescent="0.3">
      <c r="A230" s="727" t="s">
        <v>62</v>
      </c>
      <c r="B230" s="490">
        <v>21.01</v>
      </c>
      <c r="C230" s="490" t="s">
        <v>205</v>
      </c>
      <c r="D230" s="491" t="s">
        <v>434</v>
      </c>
      <c r="E230" s="492" t="s">
        <v>207</v>
      </c>
      <c r="F230" s="493">
        <v>1</v>
      </c>
      <c r="G230" s="496">
        <v>0</v>
      </c>
      <c r="H230" s="496">
        <v>0</v>
      </c>
      <c r="I230" s="497">
        <f t="shared" si="16"/>
        <v>0</v>
      </c>
      <c r="J230" s="496">
        <v>0</v>
      </c>
      <c r="K230" s="496">
        <v>0</v>
      </c>
      <c r="L230" s="497">
        <f t="shared" si="15"/>
        <v>0</v>
      </c>
      <c r="M230" s="496">
        <v>0</v>
      </c>
      <c r="N230" s="336">
        <f t="shared" si="14"/>
        <v>0</v>
      </c>
      <c r="O230" s="677"/>
    </row>
    <row r="231" spans="1:26" s="682" customFormat="1" ht="13" x14ac:dyDescent="0.3">
      <c r="A231" s="727"/>
      <c r="B231" s="325">
        <v>22</v>
      </c>
      <c r="C231" s="326"/>
      <c r="D231" s="276" t="s">
        <v>435</v>
      </c>
      <c r="E231" s="177"/>
      <c r="F231" s="327"/>
      <c r="G231" s="327"/>
      <c r="H231" s="327"/>
      <c r="I231" s="327">
        <f t="shared" si="16"/>
        <v>0</v>
      </c>
      <c r="J231" s="327"/>
      <c r="K231" s="327"/>
      <c r="L231" s="327">
        <f t="shared" si="15"/>
        <v>0</v>
      </c>
      <c r="M231" s="327"/>
      <c r="N231" s="336">
        <f t="shared" si="14"/>
        <v>0</v>
      </c>
      <c r="O231" s="677"/>
    </row>
    <row r="232" spans="1:26" ht="13" outlineLevel="1" x14ac:dyDescent="0.3">
      <c r="A232" s="727" t="s">
        <v>66</v>
      </c>
      <c r="B232" s="380">
        <v>22.01</v>
      </c>
      <c r="C232" s="380" t="s">
        <v>205</v>
      </c>
      <c r="D232" s="445" t="s">
        <v>436</v>
      </c>
      <c r="E232" s="707" t="s">
        <v>243</v>
      </c>
      <c r="F232" s="662">
        <v>8</v>
      </c>
      <c r="G232" s="345">
        <v>0</v>
      </c>
      <c r="H232" s="345">
        <v>0</v>
      </c>
      <c r="I232" s="346">
        <f t="shared" si="16"/>
        <v>0</v>
      </c>
      <c r="J232" s="345">
        <v>550480</v>
      </c>
      <c r="K232" s="345">
        <v>0</v>
      </c>
      <c r="L232" s="346">
        <f t="shared" si="15"/>
        <v>550480</v>
      </c>
      <c r="M232" s="345">
        <v>0</v>
      </c>
      <c r="N232" s="336">
        <f t="shared" si="14"/>
        <v>550480</v>
      </c>
    </row>
    <row r="233" spans="1:26" ht="13" outlineLevel="1" x14ac:dyDescent="0.3">
      <c r="A233" s="727" t="s">
        <v>66</v>
      </c>
      <c r="B233" s="350">
        <v>22.02</v>
      </c>
      <c r="C233" s="350" t="s">
        <v>205</v>
      </c>
      <c r="D233" s="450" t="s">
        <v>437</v>
      </c>
      <c r="E233" s="708" t="s">
        <v>243</v>
      </c>
      <c r="F233" s="662">
        <v>24</v>
      </c>
      <c r="G233" s="345">
        <v>0</v>
      </c>
      <c r="H233" s="345">
        <v>0</v>
      </c>
      <c r="I233" s="346">
        <f t="shared" si="16"/>
        <v>0</v>
      </c>
      <c r="J233" s="345">
        <v>1651440</v>
      </c>
      <c r="K233" s="345">
        <v>0</v>
      </c>
      <c r="L233" s="346">
        <f t="shared" si="15"/>
        <v>1651440</v>
      </c>
      <c r="M233" s="345">
        <v>0</v>
      </c>
      <c r="N233" s="336">
        <f t="shared" si="14"/>
        <v>1651440</v>
      </c>
    </row>
    <row r="234" spans="1:26" s="686" customFormat="1" ht="13" x14ac:dyDescent="0.3">
      <c r="A234" s="727"/>
      <c r="B234" s="325"/>
      <c r="C234" s="326"/>
      <c r="D234" s="276" t="s">
        <v>452</v>
      </c>
      <c r="E234" s="177"/>
      <c r="F234" s="327"/>
      <c r="G234" s="329">
        <f>SUM(G165:G233)</f>
        <v>57660775.183140613</v>
      </c>
      <c r="H234" s="329">
        <f t="shared" ref="H234:M234" si="17">SUM(H165:H233)</f>
        <v>0</v>
      </c>
      <c r="I234" s="329">
        <f t="shared" si="17"/>
        <v>57660775.183140613</v>
      </c>
      <c r="J234" s="329">
        <f t="shared" si="17"/>
        <v>113227347.35853747</v>
      </c>
      <c r="K234" s="329">
        <f t="shared" si="17"/>
        <v>3166219.0363460234</v>
      </c>
      <c r="L234" s="329">
        <f t="shared" ref="L234" si="18">SUM(L165:L233)</f>
        <v>116393566.39488348</v>
      </c>
      <c r="M234" s="329">
        <f t="shared" si="17"/>
        <v>2809563.2671560715</v>
      </c>
      <c r="N234" s="336">
        <f t="shared" si="14"/>
        <v>174054341.57802409</v>
      </c>
      <c r="O234" s="691"/>
    </row>
    <row r="235" spans="1:26" ht="12.75" customHeight="1" x14ac:dyDescent="0.3">
      <c r="D235" s="664"/>
      <c r="E235" s="712"/>
      <c r="F235" s="520"/>
      <c r="G235" s="522"/>
      <c r="H235" s="522"/>
      <c r="I235" s="522">
        <f>SUM(I234,I164,I59)</f>
        <v>359796203.6778084</v>
      </c>
      <c r="J235" s="522"/>
      <c r="K235" s="522"/>
      <c r="L235" s="522">
        <f>SUM(L234,L164,L59)</f>
        <v>628474407.59633613</v>
      </c>
      <c r="M235" s="522">
        <f>SUM(M234,M164,M59)</f>
        <v>21494482.933074631</v>
      </c>
      <c r="N235" s="1206">
        <f>SUM(G235:M235)</f>
        <v>1009765094.2072191</v>
      </c>
    </row>
    <row r="236" spans="1:26" ht="12.75" customHeight="1" x14ac:dyDescent="0.3">
      <c r="D236" s="524"/>
      <c r="E236" s="713"/>
      <c r="F236" s="526"/>
      <c r="G236" s="526"/>
      <c r="H236" s="526"/>
      <c r="I236" s="526"/>
      <c r="J236" s="526"/>
      <c r="K236" s="526"/>
      <c r="L236" s="526"/>
      <c r="M236" s="526"/>
    </row>
    <row r="237" spans="1:26" ht="12.75" customHeight="1" x14ac:dyDescent="0.3">
      <c r="D237" s="524"/>
      <c r="E237" s="713"/>
      <c r="F237" s="526"/>
      <c r="G237" s="714"/>
      <c r="H237" s="715" t="s">
        <v>453</v>
      </c>
      <c r="I237" s="312"/>
      <c r="J237" s="714"/>
      <c r="K237" s="714"/>
      <c r="L237" s="714"/>
      <c r="M237" s="312" t="s">
        <v>61</v>
      </c>
      <c r="N237" s="716"/>
    </row>
    <row r="238" spans="1:26" ht="12.75" customHeight="1" x14ac:dyDescent="0.3">
      <c r="D238" s="530" t="s">
        <v>439</v>
      </c>
      <c r="E238" s="717" t="s">
        <v>238</v>
      </c>
      <c r="F238" s="572">
        <v>1150.8790000000001</v>
      </c>
      <c r="G238" s="126"/>
      <c r="H238" s="718">
        <f>+I234+I164+I59</f>
        <v>359796203.6778084</v>
      </c>
      <c r="I238" s="719">
        <v>307518.12280154566</v>
      </c>
      <c r="J238" s="126"/>
      <c r="K238" s="126"/>
      <c r="L238" s="126"/>
      <c r="M238" s="718" t="e">
        <f>+#REF!+#REF!+#REF!</f>
        <v>#REF!</v>
      </c>
      <c r="N238" s="716"/>
    </row>
    <row r="239" spans="1:26" ht="12.75" customHeight="1" x14ac:dyDescent="0.35">
      <c r="I239" s="283">
        <f>I238/F238</f>
        <v>267.20282740544019</v>
      </c>
      <c r="M239" s="534" t="s">
        <v>440</v>
      </c>
      <c r="N239" s="716"/>
      <c r="O239" s="720"/>
    </row>
    <row r="240" spans="1:26" ht="12.75" customHeight="1" x14ac:dyDescent="0.35">
      <c r="N240" s="716"/>
      <c r="O240" s="720"/>
    </row>
    <row r="241" spans="4:17" ht="12.75" customHeight="1" x14ac:dyDescent="0.3">
      <c r="I241" s="715" t="s">
        <v>453</v>
      </c>
      <c r="N241" s="721"/>
      <c r="Q241" s="722"/>
    </row>
    <row r="242" spans="4:17" ht="12.75" customHeight="1" x14ac:dyDescent="0.3">
      <c r="D242" s="280" t="s">
        <v>441</v>
      </c>
      <c r="E242" s="595"/>
      <c r="G242" s="596"/>
      <c r="H242" s="678"/>
      <c r="I242" s="289">
        <f>I59</f>
        <v>193609696.05176127</v>
      </c>
      <c r="N242" s="721"/>
      <c r="Q242" s="722"/>
    </row>
    <row r="243" spans="4:17" ht="12.75" customHeight="1" x14ac:dyDescent="0.3">
      <c r="D243" s="280" t="s">
        <v>442</v>
      </c>
      <c r="E243" s="595"/>
      <c r="G243" s="596"/>
      <c r="H243" s="596"/>
      <c r="I243" s="721">
        <f>I164</f>
        <v>108525732.4429065</v>
      </c>
      <c r="N243" s="721"/>
      <c r="Q243" s="722"/>
    </row>
    <row r="244" spans="4:17" ht="12.75" customHeight="1" thickBot="1" x14ac:dyDescent="0.35">
      <c r="D244" s="280" t="s">
        <v>443</v>
      </c>
      <c r="E244" s="595"/>
      <c r="G244" s="596"/>
      <c r="H244" s="596"/>
      <c r="I244" s="723">
        <f>I234</f>
        <v>57660775.183140613</v>
      </c>
      <c r="N244" s="721"/>
      <c r="Q244" s="722"/>
    </row>
    <row r="245" spans="4:17" ht="12.75" customHeight="1" x14ac:dyDescent="0.3">
      <c r="D245" s="598"/>
      <c r="E245" s="595"/>
      <c r="G245" s="596"/>
      <c r="H245" s="596"/>
      <c r="I245" s="724">
        <f>SUM(I242:I244)</f>
        <v>359796203.6778084</v>
      </c>
      <c r="N245" s="725" t="s">
        <v>454</v>
      </c>
      <c r="P245" s="722"/>
      <c r="Q245" s="722"/>
    </row>
    <row r="246" spans="4:17" ht="12.75" customHeight="1" thickBot="1" x14ac:dyDescent="0.35">
      <c r="N246" s="726" t="s">
        <v>455</v>
      </c>
    </row>
    <row r="249" spans="4:17" ht="12.75" customHeight="1" x14ac:dyDescent="0.3">
      <c r="M249" s="283" t="s">
        <v>456</v>
      </c>
    </row>
    <row r="250" spans="4:17" ht="12.75" customHeight="1" x14ac:dyDescent="0.3">
      <c r="M250" s="283" t="s">
        <v>457</v>
      </c>
    </row>
    <row r="251" spans="4:17" ht="12.75" customHeight="1" x14ac:dyDescent="0.3">
      <c r="M251" s="283" t="s">
        <v>458</v>
      </c>
      <c r="N251" s="370" t="e">
        <f>#REF!/#REF!</f>
        <v>#REF!</v>
      </c>
    </row>
  </sheetData>
  <mergeCells count="2">
    <mergeCell ref="G5:H5"/>
    <mergeCell ref="J5:K5"/>
  </mergeCells>
  <conditionalFormatting sqref="C1:C1048576">
    <cfRule type="cellIs" dxfId="69" priority="14" operator="equal">
      <formula>"C"</formula>
    </cfRule>
    <cfRule type="cellIs" dxfId="68" priority="15" operator="equal">
      <formula>"R"</formula>
    </cfRule>
    <cfRule type="cellIs" dxfId="67" priority="16" operator="equal">
      <formula>"IN"</formula>
    </cfRule>
    <cfRule type="cellIs" dxfId="66" priority="17" operator="equal">
      <formula>"OK"</formula>
    </cfRule>
    <cfRule type="cellIs" dxfId="65" priority="18" operator="equal">
      <formula>"SR"</formula>
    </cfRule>
  </conditionalFormatting>
  <conditionalFormatting sqref="E3:E11 E31:E45 E81:E90 E101:E105 E122:E126 E129:E131 E199:E229">
    <cfRule type="cellIs" dxfId="64" priority="3" operator="equal">
      <formula>"x"</formula>
    </cfRule>
  </conditionalFormatting>
  <conditionalFormatting sqref="E18:E28 E231">
    <cfRule type="cellIs" dxfId="63" priority="8" operator="equal">
      <formula>"x"</formula>
    </cfRule>
  </conditionalFormatting>
  <conditionalFormatting sqref="E60">
    <cfRule type="cellIs" dxfId="62" priority="4" operator="equal">
      <formula>"x"</formula>
    </cfRule>
  </conditionalFormatting>
  <conditionalFormatting sqref="E75:E76">
    <cfRule type="cellIs" dxfId="61" priority="9" operator="equal">
      <formula>"x"</formula>
    </cfRule>
  </conditionalFormatting>
  <conditionalFormatting sqref="E92:E94">
    <cfRule type="cellIs" dxfId="60" priority="5" operator="equal">
      <formula>"x"</formula>
    </cfRule>
  </conditionalFormatting>
  <conditionalFormatting sqref="E110:E115">
    <cfRule type="cellIs" dxfId="59" priority="6" operator="equal">
      <formula>"x"</formula>
    </cfRule>
  </conditionalFormatting>
  <conditionalFormatting sqref="E139:E140">
    <cfRule type="cellIs" dxfId="58" priority="7" operator="equal">
      <formula>"x"</formula>
    </cfRule>
  </conditionalFormatting>
  <conditionalFormatting sqref="E146:E148">
    <cfRule type="cellIs" dxfId="57" priority="2" operator="equal">
      <formula>"x"</formula>
    </cfRule>
  </conditionalFormatting>
  <conditionalFormatting sqref="E152">
    <cfRule type="cellIs" dxfId="56" priority="10" operator="equal">
      <formula>"x"</formula>
    </cfRule>
  </conditionalFormatting>
  <conditionalFormatting sqref="E154">
    <cfRule type="cellIs" dxfId="55" priority="11" operator="equal">
      <formula>"x"</formula>
    </cfRule>
  </conditionalFormatting>
  <conditionalFormatting sqref="E159">
    <cfRule type="cellIs" dxfId="54" priority="13" operator="equal">
      <formula>"x"</formula>
    </cfRule>
  </conditionalFormatting>
  <conditionalFormatting sqref="E165">
    <cfRule type="cellIs" dxfId="53" priority="12" operator="equal">
      <formula>"x"</formula>
    </cfRule>
  </conditionalFormatting>
  <conditionalFormatting sqref="E234:E235">
    <cfRule type="cellIs" dxfId="52" priority="1" operator="equal">
      <formula>"x"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59" min="1" max="23" man="1"/>
    <brk id="164" min="1" max="2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FF01-341F-408C-B30A-6AF23F2E5E5B}">
  <dimension ref="A1:AH254"/>
  <sheetViews>
    <sheetView workbookViewId="0"/>
  </sheetViews>
  <sheetFormatPr defaultColWidth="11.54296875" defaultRowHeight="12.75" customHeight="1" outlineLevelRow="1" outlineLevelCol="2" x14ac:dyDescent="0.3"/>
  <cols>
    <col min="1" max="1" width="6.54296875" style="279" bestFit="1" customWidth="1"/>
    <col min="2" max="2" width="4.453125" style="279" hidden="1" customWidth="1" outlineLevel="1"/>
    <col min="3" max="3" width="96.54296875" style="280" bestFit="1" customWidth="1" collapsed="1"/>
    <col min="4" max="4" width="5.26953125" style="281" bestFit="1" customWidth="1"/>
    <col min="5" max="5" width="7.54296875" style="282" bestFit="1" customWidth="1"/>
    <col min="6" max="6" width="12" style="283" hidden="1" customWidth="1" outlineLevel="2"/>
    <col min="7" max="7" width="17.7265625" style="283" hidden="1" customWidth="1" outlineLevel="2"/>
    <col min="8" max="8" width="11.7265625" style="283" hidden="1" customWidth="1" outlineLevel="2"/>
    <col min="9" max="9" width="10.7265625" style="385" hidden="1" customWidth="1" outlineLevel="2"/>
    <col min="10" max="10" width="9.7265625" style="385" hidden="1" customWidth="1" outlineLevel="2"/>
    <col min="11" max="11" width="10.7265625" style="283" hidden="1" customWidth="1" outlineLevel="2"/>
    <col min="12" max="12" width="9.7265625" style="285" hidden="1" customWidth="1" outlineLevel="2"/>
    <col min="13" max="13" width="11.7265625" style="283" customWidth="1" outlineLevel="1" collapsed="1"/>
    <col min="14" max="14" width="11.7265625" style="283" customWidth="1" outlineLevel="1"/>
    <col min="15" max="15" width="10.7265625" style="283" customWidth="1" outlineLevel="1"/>
    <col min="16" max="17" width="11.7265625" style="283" customWidth="1" outlineLevel="1"/>
    <col min="18" max="18" width="10.7265625" style="283" customWidth="1" outlineLevel="1"/>
    <col min="19" max="19" width="11.7265625" style="283" customWidth="1" outlineLevel="1"/>
    <col min="20" max="20" width="12" style="288" customWidth="1" outlineLevel="1"/>
    <col min="21" max="21" width="12" style="289" bestFit="1" customWidth="1"/>
    <col min="22" max="22" width="13.1796875" style="289" bestFit="1" customWidth="1"/>
    <col min="23" max="23" width="13.453125" style="324" customWidth="1"/>
    <col min="24" max="24" width="5.26953125" style="128" bestFit="1" customWidth="1"/>
    <col min="25" max="25" width="16.26953125" style="283" bestFit="1" customWidth="1"/>
    <col min="26" max="26" width="15.81640625" style="128" bestFit="1" customWidth="1"/>
    <col min="27" max="27" width="14.453125" style="128" bestFit="1" customWidth="1"/>
    <col min="28" max="28" width="13.453125" style="283" bestFit="1" customWidth="1"/>
    <col min="29" max="30" width="13.453125" style="128" bestFit="1" customWidth="1"/>
    <col min="31" max="31" width="11.54296875" style="128"/>
    <col min="32" max="32" width="12.453125" style="128" bestFit="1" customWidth="1"/>
    <col min="33" max="16384" width="11.54296875" style="128"/>
  </cols>
  <sheetData>
    <row r="1" spans="1:28" ht="12.75" customHeight="1" x14ac:dyDescent="0.3">
      <c r="F1" s="121" t="s">
        <v>205</v>
      </c>
      <c r="G1" s="123" t="s">
        <v>459</v>
      </c>
      <c r="I1" s="284"/>
      <c r="J1" s="284"/>
      <c r="N1" s="286"/>
      <c r="O1" s="286"/>
      <c r="P1" s="287"/>
      <c r="Q1" s="286"/>
      <c r="R1" s="286"/>
      <c r="V1" s="290" t="s">
        <v>192</v>
      </c>
      <c r="W1" s="290" t="s">
        <v>193</v>
      </c>
    </row>
    <row r="2" spans="1:28" ht="13" x14ac:dyDescent="0.3">
      <c r="F2" s="122" t="s">
        <v>236</v>
      </c>
      <c r="G2" s="123" t="s">
        <v>460</v>
      </c>
      <c r="I2" s="284"/>
      <c r="J2" s="284"/>
      <c r="N2" s="286"/>
      <c r="O2" s="286"/>
      <c r="P2" s="287"/>
      <c r="Q2" s="286"/>
      <c r="R2" s="286"/>
      <c r="V2" s="291">
        <v>1005</v>
      </c>
      <c r="W2" s="291">
        <v>1170</v>
      </c>
    </row>
    <row r="3" spans="1:28" s="173" customFormat="1" ht="13" x14ac:dyDescent="0.3">
      <c r="A3" s="292"/>
      <c r="B3" s="292"/>
      <c r="C3" s="293"/>
      <c r="D3" s="174"/>
      <c r="E3" s="294"/>
      <c r="F3" s="295" t="s">
        <v>428</v>
      </c>
      <c r="G3" s="123" t="s">
        <v>461</v>
      </c>
      <c r="H3" s="296"/>
      <c r="I3" s="296"/>
      <c r="J3" s="296"/>
      <c r="K3" s="296"/>
      <c r="L3" s="297"/>
      <c r="M3" s="296"/>
      <c r="N3" s="294"/>
      <c r="O3" s="294"/>
      <c r="P3" s="294"/>
      <c r="Q3" s="298"/>
      <c r="R3" s="298"/>
      <c r="S3" s="296"/>
      <c r="T3" s="299"/>
      <c r="U3" s="294"/>
      <c r="V3" s="294"/>
      <c r="W3" s="300"/>
      <c r="Y3" s="301"/>
      <c r="AB3" s="301"/>
    </row>
    <row r="4" spans="1:28" s="173" customFormat="1" ht="13" x14ac:dyDescent="0.3">
      <c r="A4" s="292"/>
      <c r="B4" s="292"/>
      <c r="C4" s="293"/>
      <c r="D4" s="174"/>
      <c r="E4" s="294"/>
      <c r="F4" s="302" t="s">
        <v>462</v>
      </c>
      <c r="G4" s="124" t="s">
        <v>463</v>
      </c>
      <c r="H4" s="296"/>
      <c r="I4" s="296"/>
      <c r="J4" s="296"/>
      <c r="K4" s="296"/>
      <c r="L4" s="297"/>
      <c r="M4" s="296"/>
      <c r="N4" s="296"/>
      <c r="O4" s="296"/>
      <c r="P4" s="294"/>
      <c r="Q4" s="301"/>
      <c r="R4" s="301"/>
      <c r="S4" s="296"/>
      <c r="T4" s="303">
        <v>1</v>
      </c>
      <c r="U4" s="294"/>
      <c r="V4" s="304">
        <v>45590</v>
      </c>
      <c r="W4" s="300"/>
      <c r="Y4" s="301"/>
      <c r="AB4" s="301"/>
    </row>
    <row r="5" spans="1:28" s="173" customFormat="1" ht="13" x14ac:dyDescent="0.3">
      <c r="A5" s="292"/>
      <c r="B5" s="292"/>
      <c r="C5" s="305" t="s">
        <v>464</v>
      </c>
      <c r="D5" s="174"/>
      <c r="E5" s="294"/>
      <c r="F5" s="1441" t="s">
        <v>444</v>
      </c>
      <c r="G5" s="1443"/>
      <c r="H5" s="1442"/>
      <c r="I5" s="1441" t="s">
        <v>445</v>
      </c>
      <c r="J5" s="1443"/>
      <c r="K5" s="1442"/>
      <c r="L5" s="309"/>
      <c r="M5" s="296"/>
      <c r="N5" s="1441" t="s">
        <v>444</v>
      </c>
      <c r="O5" s="1442"/>
      <c r="P5" s="1441" t="s">
        <v>445</v>
      </c>
      <c r="Q5" s="1442"/>
      <c r="R5" s="310"/>
      <c r="S5" s="296"/>
      <c r="T5" s="311">
        <v>1.2568825695365058</v>
      </c>
      <c r="U5" s="296"/>
      <c r="V5" s="296"/>
      <c r="W5" s="300"/>
      <c r="Y5" s="301"/>
      <c r="AB5" s="301"/>
    </row>
    <row r="6" spans="1:28" s="173" customFormat="1" ht="13" x14ac:dyDescent="0.3">
      <c r="A6" s="292"/>
      <c r="B6" s="292"/>
      <c r="C6" s="305" t="s">
        <v>195</v>
      </c>
      <c r="D6" s="175"/>
      <c r="E6" s="312"/>
      <c r="F6" s="306"/>
      <c r="G6" s="307"/>
      <c r="H6" s="308"/>
      <c r="I6" s="306"/>
      <c r="J6" s="307"/>
      <c r="K6" s="308"/>
      <c r="L6" s="309"/>
      <c r="M6" s="296"/>
      <c r="N6" s="306"/>
      <c r="O6" s="307"/>
      <c r="P6" s="306"/>
      <c r="Q6" s="308"/>
      <c r="R6" s="310"/>
      <c r="S6" s="310"/>
      <c r="T6" s="313">
        <v>1.1000000000000001</v>
      </c>
      <c r="U6" s="314"/>
      <c r="V6" s="314"/>
      <c r="W6" s="300"/>
      <c r="Y6" s="301"/>
      <c r="AB6" s="301"/>
    </row>
    <row r="7" spans="1:28" ht="13" x14ac:dyDescent="0.3">
      <c r="A7" s="315" t="s">
        <v>196</v>
      </c>
      <c r="B7" s="316"/>
      <c r="C7" s="317" t="s">
        <v>198</v>
      </c>
      <c r="D7" s="176" t="s">
        <v>199</v>
      </c>
      <c r="E7" s="318" t="s">
        <v>200</v>
      </c>
      <c r="F7" s="319" t="s">
        <v>446</v>
      </c>
      <c r="G7" s="318" t="s">
        <v>447</v>
      </c>
      <c r="H7" s="320" t="s">
        <v>465</v>
      </c>
      <c r="I7" s="318" t="s">
        <v>446</v>
      </c>
      <c r="J7" s="318" t="s">
        <v>449</v>
      </c>
      <c r="K7" s="320" t="s">
        <v>466</v>
      </c>
      <c r="L7" s="318" t="s">
        <v>467</v>
      </c>
      <c r="M7" s="321" t="s">
        <v>468</v>
      </c>
      <c r="N7" s="318" t="s">
        <v>446</v>
      </c>
      <c r="O7" s="318" t="s">
        <v>447</v>
      </c>
      <c r="P7" s="318" t="s">
        <v>446</v>
      </c>
      <c r="Q7" s="318" t="s">
        <v>449</v>
      </c>
      <c r="R7" s="318" t="s">
        <v>451</v>
      </c>
      <c r="S7" s="322" t="s">
        <v>87</v>
      </c>
      <c r="T7" s="323" t="s">
        <v>165</v>
      </c>
      <c r="U7" s="323" t="s">
        <v>469</v>
      </c>
      <c r="V7" s="323" t="s">
        <v>165</v>
      </c>
    </row>
    <row r="8" spans="1:28" ht="13" x14ac:dyDescent="0.3">
      <c r="A8" s="325">
        <v>1</v>
      </c>
      <c r="B8" s="326" t="s">
        <v>197</v>
      </c>
      <c r="C8" s="276" t="s">
        <v>204</v>
      </c>
      <c r="D8" s="177"/>
      <c r="E8" s="327"/>
      <c r="F8" s="327"/>
      <c r="G8" s="327"/>
      <c r="H8" s="327"/>
      <c r="I8" s="327"/>
      <c r="J8" s="327"/>
      <c r="K8" s="327"/>
      <c r="L8" s="327"/>
      <c r="M8" s="328"/>
      <c r="N8" s="327"/>
      <c r="O8" s="327"/>
      <c r="P8" s="327"/>
      <c r="Q8" s="327"/>
      <c r="R8" s="327"/>
      <c r="S8" s="327"/>
      <c r="T8" s="329">
        <f>SUM(S9:S18)</f>
        <v>19718746.954284195</v>
      </c>
      <c r="U8" s="327"/>
      <c r="V8" s="327"/>
      <c r="W8" s="330">
        <f>SUM(V9:V18)</f>
        <v>24784163</v>
      </c>
      <c r="X8" s="127">
        <f>+W8/$W$216</f>
        <v>2.198341526460176E-2</v>
      </c>
      <c r="Y8" s="283">
        <f>+W8</f>
        <v>24784163</v>
      </c>
    </row>
    <row r="9" spans="1:28" ht="13" outlineLevel="1" x14ac:dyDescent="0.3">
      <c r="A9" s="331">
        <v>1.01</v>
      </c>
      <c r="B9" s="332" t="s">
        <v>205</v>
      </c>
      <c r="C9" s="333" t="s">
        <v>206</v>
      </c>
      <c r="D9" s="178" t="s">
        <v>207</v>
      </c>
      <c r="E9" s="332">
        <v>0</v>
      </c>
      <c r="F9" s="131"/>
      <c r="G9" s="131"/>
      <c r="H9" s="334">
        <f>F9+G9</f>
        <v>0</v>
      </c>
      <c r="I9" s="131"/>
      <c r="J9" s="131"/>
      <c r="K9" s="334">
        <f>I9+J9</f>
        <v>0</v>
      </c>
      <c r="L9" s="131"/>
      <c r="M9" s="334">
        <f>H9+K9+L9</f>
        <v>0</v>
      </c>
      <c r="N9" s="335">
        <f>F9*E9</f>
        <v>0</v>
      </c>
      <c r="O9" s="335">
        <f>G9*E9</f>
        <v>0</v>
      </c>
      <c r="P9" s="335">
        <f>I9*E9</f>
        <v>0</v>
      </c>
      <c r="Q9" s="335">
        <f>J9*E9</f>
        <v>0</v>
      </c>
      <c r="R9" s="335">
        <f>+L9*E9</f>
        <v>0</v>
      </c>
      <c r="S9" s="336">
        <f>SUM(N9:R9)</f>
        <v>0</v>
      </c>
      <c r="T9" s="337"/>
      <c r="U9" s="338">
        <f t="shared" ref="U9:U18" si="0">+ROUNDUP(M9*$T$5,0)</f>
        <v>0</v>
      </c>
      <c r="V9" s="338">
        <f t="shared" ref="V9:V18" si="1">+U9*E9</f>
        <v>0</v>
      </c>
      <c r="X9" s="127"/>
    </row>
    <row r="10" spans="1:28" ht="13" outlineLevel="1" x14ac:dyDescent="0.3">
      <c r="A10" s="339">
        <v>1.02</v>
      </c>
      <c r="B10" s="340" t="s">
        <v>205</v>
      </c>
      <c r="C10" s="341" t="s">
        <v>208</v>
      </c>
      <c r="D10" s="179" t="s">
        <v>294</v>
      </c>
      <c r="E10" s="342">
        <v>3</v>
      </c>
      <c r="F10" s="343">
        <v>0</v>
      </c>
      <c r="G10" s="343">
        <v>41666.666666666664</v>
      </c>
      <c r="H10" s="344">
        <f>F10+G10</f>
        <v>41666.666666666664</v>
      </c>
      <c r="I10" s="343">
        <v>172653.20827272726</v>
      </c>
      <c r="J10" s="343">
        <v>83223.728710953277</v>
      </c>
      <c r="K10" s="344">
        <f>I10+J10</f>
        <v>255876.93698368053</v>
      </c>
      <c r="L10" s="343">
        <f>+(H10+K10)*0.015</f>
        <v>4463.1540547552077</v>
      </c>
      <c r="M10" s="344">
        <f>H10+K10+L10</f>
        <v>302006.75770510244</v>
      </c>
      <c r="N10" s="345">
        <f t="shared" ref="N10" si="2">F10*E10</f>
        <v>0</v>
      </c>
      <c r="O10" s="345">
        <f t="shared" ref="O10" si="3">G10*E10</f>
        <v>125000</v>
      </c>
      <c r="P10" s="345">
        <f t="shared" ref="P10:P18" si="4">I10*E10</f>
        <v>517959.62481818179</v>
      </c>
      <c r="Q10" s="345">
        <f t="shared" ref="Q10:Q18" si="5">J10*E10</f>
        <v>249671.18613285985</v>
      </c>
      <c r="R10" s="345">
        <f t="shared" ref="R10:R18" si="6">+L10*E10</f>
        <v>13389.462164265624</v>
      </c>
      <c r="S10" s="346">
        <f t="shared" ref="S10" si="7">SUM(N10:R10)</f>
        <v>906020.27311530733</v>
      </c>
      <c r="T10" s="347"/>
      <c r="U10" s="277">
        <f t="shared" si="0"/>
        <v>379588</v>
      </c>
      <c r="V10" s="277">
        <f t="shared" si="1"/>
        <v>1138764</v>
      </c>
      <c r="X10" s="127"/>
    </row>
    <row r="11" spans="1:28" ht="13" outlineLevel="1" x14ac:dyDescent="0.3">
      <c r="A11" s="339">
        <v>1.03</v>
      </c>
      <c r="B11" s="342" t="s">
        <v>205</v>
      </c>
      <c r="C11" s="341" t="s">
        <v>209</v>
      </c>
      <c r="D11" s="180" t="s">
        <v>207</v>
      </c>
      <c r="E11" s="125">
        <v>0</v>
      </c>
      <c r="F11" s="125"/>
      <c r="G11" s="125"/>
      <c r="H11" s="344">
        <f t="shared" ref="H11:H18" si="8">F11+G11</f>
        <v>0</v>
      </c>
      <c r="I11" s="125"/>
      <c r="J11" s="125"/>
      <c r="K11" s="344">
        <f t="shared" ref="K11:K18" si="9">I11+J11</f>
        <v>0</v>
      </c>
      <c r="L11" s="125"/>
      <c r="M11" s="344">
        <f t="shared" ref="M11:M18" si="10">H11+K11+L11</f>
        <v>0</v>
      </c>
      <c r="N11" s="345">
        <f>F11*E11</f>
        <v>0</v>
      </c>
      <c r="O11" s="345">
        <f>G11*E11</f>
        <v>0</v>
      </c>
      <c r="P11" s="345">
        <f t="shared" si="4"/>
        <v>0</v>
      </c>
      <c r="Q11" s="345">
        <f t="shared" si="5"/>
        <v>0</v>
      </c>
      <c r="R11" s="345">
        <f t="shared" si="6"/>
        <v>0</v>
      </c>
      <c r="S11" s="346">
        <f t="shared" ref="S11:S136" si="11">SUM(N11:R11)</f>
        <v>0</v>
      </c>
      <c r="T11" s="347"/>
      <c r="U11" s="277">
        <f t="shared" si="0"/>
        <v>0</v>
      </c>
      <c r="V11" s="277">
        <f t="shared" si="1"/>
        <v>0</v>
      </c>
      <c r="X11" s="127"/>
    </row>
    <row r="12" spans="1:28" ht="13" outlineLevel="1" x14ac:dyDescent="0.3">
      <c r="A12" s="339">
        <v>1.04</v>
      </c>
      <c r="B12" s="342" t="s">
        <v>205</v>
      </c>
      <c r="C12" s="341" t="s">
        <v>210</v>
      </c>
      <c r="D12" s="179" t="s">
        <v>211</v>
      </c>
      <c r="E12" s="342">
        <v>11</v>
      </c>
      <c r="F12" s="343">
        <v>79773.18271975957</v>
      </c>
      <c r="G12" s="343">
        <v>0</v>
      </c>
      <c r="H12" s="344">
        <f t="shared" si="8"/>
        <v>79773.18271975957</v>
      </c>
      <c r="I12" s="343">
        <v>0</v>
      </c>
      <c r="J12" s="343">
        <v>30923.374054493801</v>
      </c>
      <c r="K12" s="344">
        <f t="shared" si="9"/>
        <v>30923.374054493801</v>
      </c>
      <c r="L12" s="343">
        <f>+(H12+K12)*0.015</f>
        <v>1660.4483516138005</v>
      </c>
      <c r="M12" s="344">
        <f t="shared" si="10"/>
        <v>112357.00512586717</v>
      </c>
      <c r="N12" s="345">
        <f>F12*E12</f>
        <v>877505.00991735526</v>
      </c>
      <c r="O12" s="345">
        <f>G12*E12</f>
        <v>0</v>
      </c>
      <c r="P12" s="345">
        <f t="shared" si="4"/>
        <v>0</v>
      </c>
      <c r="Q12" s="345">
        <f t="shared" si="5"/>
        <v>340157.11459943181</v>
      </c>
      <c r="R12" s="345">
        <f t="shared" si="6"/>
        <v>18264.931867751806</v>
      </c>
      <c r="S12" s="346">
        <f t="shared" si="11"/>
        <v>1235927.0563845388</v>
      </c>
      <c r="T12" s="347"/>
      <c r="U12" s="277">
        <f t="shared" si="0"/>
        <v>141220</v>
      </c>
      <c r="V12" s="277">
        <f t="shared" si="1"/>
        <v>1553420</v>
      </c>
      <c r="X12" s="127"/>
    </row>
    <row r="13" spans="1:28" ht="13" outlineLevel="1" x14ac:dyDescent="0.3">
      <c r="A13" s="339">
        <v>1.05</v>
      </c>
      <c r="B13" s="342" t="s">
        <v>205</v>
      </c>
      <c r="C13" s="341" t="s">
        <v>470</v>
      </c>
      <c r="D13" s="179" t="s">
        <v>207</v>
      </c>
      <c r="E13" s="342">
        <v>1</v>
      </c>
      <c r="F13" s="348">
        <v>2300856.6973553719</v>
      </c>
      <c r="G13" s="348">
        <v>100000</v>
      </c>
      <c r="H13" s="344">
        <f t="shared" si="8"/>
        <v>2400856.6973553719</v>
      </c>
      <c r="I13" s="343">
        <v>500000</v>
      </c>
      <c r="J13" s="343">
        <v>3016332.5020954548</v>
      </c>
      <c r="K13" s="344">
        <f t="shared" si="9"/>
        <v>3516332.5020954548</v>
      </c>
      <c r="L13" s="343">
        <f>+(H13+K13)*0.015</f>
        <v>88757.837991762397</v>
      </c>
      <c r="M13" s="344">
        <f t="shared" si="10"/>
        <v>6005947.0374425882</v>
      </c>
      <c r="N13" s="345">
        <f t="shared" ref="N13:N18" si="12">F13*E13</f>
        <v>2300856.6973553719</v>
      </c>
      <c r="O13" s="345">
        <f t="shared" ref="O13:O16" si="13">G13*E13</f>
        <v>100000</v>
      </c>
      <c r="P13" s="345">
        <f t="shared" si="4"/>
        <v>500000</v>
      </c>
      <c r="Q13" s="345">
        <f t="shared" si="5"/>
        <v>3016332.5020954548</v>
      </c>
      <c r="R13" s="345">
        <f t="shared" si="6"/>
        <v>88757.837991762397</v>
      </c>
      <c r="S13" s="346">
        <f t="shared" si="11"/>
        <v>6005947.0374425882</v>
      </c>
      <c r="T13" s="347"/>
      <c r="U13" s="277">
        <f t="shared" si="0"/>
        <v>7548771</v>
      </c>
      <c r="V13" s="277">
        <f t="shared" si="1"/>
        <v>7548771</v>
      </c>
      <c r="X13" s="127"/>
    </row>
    <row r="14" spans="1:28" ht="13" outlineLevel="1" x14ac:dyDescent="0.3">
      <c r="A14" s="339">
        <v>1.06</v>
      </c>
      <c r="B14" s="342" t="s">
        <v>205</v>
      </c>
      <c r="C14" s="341" t="s">
        <v>213</v>
      </c>
      <c r="D14" s="179" t="s">
        <v>214</v>
      </c>
      <c r="E14" s="342">
        <v>3</v>
      </c>
      <c r="F14" s="348"/>
      <c r="G14" s="348"/>
      <c r="H14" s="344">
        <f t="shared" si="8"/>
        <v>0</v>
      </c>
      <c r="I14" s="349">
        <v>295488.55943097093</v>
      </c>
      <c r="J14" s="349">
        <v>16416.031079498385</v>
      </c>
      <c r="K14" s="344">
        <f t="shared" si="9"/>
        <v>311904.59051046934</v>
      </c>
      <c r="L14" s="125"/>
      <c r="M14" s="344">
        <f t="shared" si="10"/>
        <v>311904.59051046934</v>
      </c>
      <c r="N14" s="345">
        <f t="shared" si="12"/>
        <v>0</v>
      </c>
      <c r="O14" s="345">
        <f t="shared" si="13"/>
        <v>0</v>
      </c>
      <c r="P14" s="345">
        <f t="shared" si="4"/>
        <v>886465.67829291278</v>
      </c>
      <c r="Q14" s="345">
        <f t="shared" si="5"/>
        <v>49248.093238495159</v>
      </c>
      <c r="R14" s="345">
        <f t="shared" si="6"/>
        <v>0</v>
      </c>
      <c r="S14" s="346">
        <f t="shared" si="11"/>
        <v>935713.77153140795</v>
      </c>
      <c r="T14" s="347"/>
      <c r="U14" s="277">
        <f t="shared" si="0"/>
        <v>392028</v>
      </c>
      <c r="V14" s="277">
        <f t="shared" si="1"/>
        <v>1176084</v>
      </c>
      <c r="X14" s="127"/>
    </row>
    <row r="15" spans="1:28" ht="13" outlineLevel="1" x14ac:dyDescent="0.3">
      <c r="A15" s="339">
        <v>1.07</v>
      </c>
      <c r="B15" s="350" t="s">
        <v>205</v>
      </c>
      <c r="C15" s="341" t="s">
        <v>215</v>
      </c>
      <c r="D15" s="179" t="s">
        <v>207</v>
      </c>
      <c r="E15" s="342">
        <v>1</v>
      </c>
      <c r="F15" s="348">
        <v>795578.51239669416</v>
      </c>
      <c r="G15" s="348">
        <v>50000</v>
      </c>
      <c r="H15" s="344">
        <f t="shared" si="8"/>
        <v>845578.51239669416</v>
      </c>
      <c r="I15" s="343">
        <v>0</v>
      </c>
      <c r="J15" s="343">
        <v>511535.56413257582</v>
      </c>
      <c r="K15" s="344">
        <f t="shared" si="9"/>
        <v>511535.56413257582</v>
      </c>
      <c r="L15" s="343">
        <f>+(H15+K15)*0.015</f>
        <v>20356.711147939051</v>
      </c>
      <c r="M15" s="344">
        <f t="shared" si="10"/>
        <v>1377470.7876772091</v>
      </c>
      <c r="N15" s="345">
        <f t="shared" si="12"/>
        <v>795578.51239669416</v>
      </c>
      <c r="O15" s="345">
        <f t="shared" si="13"/>
        <v>50000</v>
      </c>
      <c r="P15" s="345">
        <f t="shared" si="4"/>
        <v>0</v>
      </c>
      <c r="Q15" s="345">
        <f t="shared" si="5"/>
        <v>511535.56413257582</v>
      </c>
      <c r="R15" s="345">
        <f t="shared" si="6"/>
        <v>20356.711147939051</v>
      </c>
      <c r="S15" s="346">
        <f t="shared" si="11"/>
        <v>1377470.7876772091</v>
      </c>
      <c r="T15" s="347"/>
      <c r="U15" s="277">
        <f t="shared" si="0"/>
        <v>1731320</v>
      </c>
      <c r="V15" s="277">
        <f t="shared" si="1"/>
        <v>1731320</v>
      </c>
      <c r="X15" s="127"/>
    </row>
    <row r="16" spans="1:28" ht="13" outlineLevel="1" x14ac:dyDescent="0.3">
      <c r="A16" s="339">
        <v>1.08</v>
      </c>
      <c r="B16" s="350" t="s">
        <v>205</v>
      </c>
      <c r="C16" s="341" t="s">
        <v>216</v>
      </c>
      <c r="D16" s="179" t="s">
        <v>207</v>
      </c>
      <c r="E16" s="342">
        <v>1</v>
      </c>
      <c r="F16" s="348">
        <v>680400</v>
      </c>
      <c r="G16" s="348">
        <v>0</v>
      </c>
      <c r="H16" s="344">
        <f t="shared" si="8"/>
        <v>680400</v>
      </c>
      <c r="I16" s="343">
        <v>0</v>
      </c>
      <c r="J16" s="343">
        <v>421419.88959943189</v>
      </c>
      <c r="K16" s="344">
        <f t="shared" si="9"/>
        <v>421419.88959943189</v>
      </c>
      <c r="L16" s="343">
        <f>+(H16+K16)*0.015</f>
        <v>16527.298343991475</v>
      </c>
      <c r="M16" s="344">
        <f t="shared" si="10"/>
        <v>1118347.1879434232</v>
      </c>
      <c r="N16" s="345">
        <f t="shared" si="12"/>
        <v>680400</v>
      </c>
      <c r="O16" s="345">
        <f t="shared" si="13"/>
        <v>0</v>
      </c>
      <c r="P16" s="345">
        <f t="shared" si="4"/>
        <v>0</v>
      </c>
      <c r="Q16" s="345">
        <f t="shared" si="5"/>
        <v>421419.88959943189</v>
      </c>
      <c r="R16" s="345">
        <f t="shared" si="6"/>
        <v>16527.298343991475</v>
      </c>
      <c r="S16" s="346">
        <f t="shared" si="11"/>
        <v>1118347.1879434232</v>
      </c>
      <c r="T16" s="347"/>
      <c r="U16" s="277">
        <f t="shared" si="0"/>
        <v>1405632</v>
      </c>
      <c r="V16" s="277">
        <f t="shared" si="1"/>
        <v>1405632</v>
      </c>
      <c r="X16" s="127"/>
    </row>
    <row r="17" spans="1:30" ht="13" outlineLevel="1" x14ac:dyDescent="0.3">
      <c r="A17" s="339">
        <v>1.0900000000000001</v>
      </c>
      <c r="B17" s="350" t="s">
        <v>205</v>
      </c>
      <c r="C17" s="341" t="s">
        <v>217</v>
      </c>
      <c r="D17" s="179" t="s">
        <v>207</v>
      </c>
      <c r="E17" s="342">
        <v>1</v>
      </c>
      <c r="F17" s="348">
        <v>0</v>
      </c>
      <c r="G17" s="348">
        <v>0</v>
      </c>
      <c r="H17" s="344">
        <f t="shared" si="8"/>
        <v>0</v>
      </c>
      <c r="I17" s="343">
        <v>339320.84018972021</v>
      </c>
      <c r="J17" s="343">
        <v>0</v>
      </c>
      <c r="K17" s="344">
        <f t="shared" si="9"/>
        <v>339320.84018972021</v>
      </c>
      <c r="L17" s="125"/>
      <c r="M17" s="344">
        <f t="shared" si="10"/>
        <v>339320.84018972021</v>
      </c>
      <c r="N17" s="345">
        <f t="shared" si="12"/>
        <v>0</v>
      </c>
      <c r="O17" s="345">
        <f>G17*E17</f>
        <v>0</v>
      </c>
      <c r="P17" s="345">
        <f t="shared" si="4"/>
        <v>339320.84018972021</v>
      </c>
      <c r="Q17" s="345">
        <f t="shared" si="5"/>
        <v>0</v>
      </c>
      <c r="R17" s="345">
        <f t="shared" si="6"/>
        <v>0</v>
      </c>
      <c r="S17" s="346">
        <f t="shared" si="11"/>
        <v>339320.84018972021</v>
      </c>
      <c r="T17" s="347"/>
      <c r="U17" s="277">
        <f t="shared" si="0"/>
        <v>426487</v>
      </c>
      <c r="V17" s="277">
        <f t="shared" si="1"/>
        <v>426487</v>
      </c>
      <c r="X17" s="127"/>
    </row>
    <row r="18" spans="1:30" ht="13" outlineLevel="1" x14ac:dyDescent="0.3">
      <c r="A18" s="351">
        <v>1.1000000000000001</v>
      </c>
      <c r="B18" s="352" t="s">
        <v>205</v>
      </c>
      <c r="C18" s="353" t="s">
        <v>471</v>
      </c>
      <c r="D18" s="181" t="s">
        <v>207</v>
      </c>
      <c r="E18" s="354">
        <v>1</v>
      </c>
      <c r="F18" s="355"/>
      <c r="G18" s="355"/>
      <c r="H18" s="356">
        <f t="shared" si="8"/>
        <v>0</v>
      </c>
      <c r="I18" s="357">
        <v>7800000</v>
      </c>
      <c r="J18" s="358"/>
      <c r="K18" s="356">
        <f t="shared" si="9"/>
        <v>7800000</v>
      </c>
      <c r="L18" s="132"/>
      <c r="M18" s="356">
        <f t="shared" si="10"/>
        <v>7800000</v>
      </c>
      <c r="N18" s="359">
        <f t="shared" si="12"/>
        <v>0</v>
      </c>
      <c r="O18" s="359">
        <f>G18*E18</f>
        <v>0</v>
      </c>
      <c r="P18" s="359">
        <f t="shared" si="4"/>
        <v>7800000</v>
      </c>
      <c r="Q18" s="359">
        <f t="shared" si="5"/>
        <v>0</v>
      </c>
      <c r="R18" s="359">
        <f t="shared" si="6"/>
        <v>0</v>
      </c>
      <c r="S18" s="360">
        <f t="shared" si="11"/>
        <v>7800000</v>
      </c>
      <c r="T18" s="347"/>
      <c r="U18" s="277">
        <f t="shared" si="0"/>
        <v>9803685</v>
      </c>
      <c r="V18" s="277">
        <f t="shared" si="1"/>
        <v>9803685</v>
      </c>
      <c r="X18" s="127"/>
    </row>
    <row r="19" spans="1:30" ht="13" x14ac:dyDescent="0.3">
      <c r="A19" s="325">
        <v>2</v>
      </c>
      <c r="B19" s="326"/>
      <c r="C19" s="276" t="s">
        <v>231</v>
      </c>
      <c r="D19" s="177"/>
      <c r="E19" s="327"/>
      <c r="F19" s="327"/>
      <c r="G19" s="327"/>
      <c r="H19" s="327"/>
      <c r="I19" s="327"/>
      <c r="J19" s="327"/>
      <c r="K19" s="327"/>
      <c r="L19" s="327"/>
      <c r="M19" s="328"/>
      <c r="N19" s="327"/>
      <c r="O19" s="327"/>
      <c r="P19" s="327"/>
      <c r="Q19" s="327"/>
      <c r="R19" s="327"/>
      <c r="S19" s="327"/>
      <c r="T19" s="329">
        <f>SUM(S20:S22)</f>
        <v>33429552.129877307</v>
      </c>
      <c r="U19" s="327"/>
      <c r="V19" s="327"/>
      <c r="W19" s="330">
        <f>SUM(V20:V22)</f>
        <v>42017464</v>
      </c>
      <c r="X19" s="127">
        <f>+W19/$W$216</f>
        <v>3.7269257770676176E-2</v>
      </c>
      <c r="Y19" s="283">
        <f>+W19</f>
        <v>42017464</v>
      </c>
    </row>
    <row r="20" spans="1:30" ht="13" outlineLevel="1" x14ac:dyDescent="0.3">
      <c r="A20" s="339">
        <v>2.0099999999999998</v>
      </c>
      <c r="B20" s="342" t="s">
        <v>205</v>
      </c>
      <c r="C20" s="361" t="s">
        <v>472</v>
      </c>
      <c r="D20" s="362" t="s">
        <v>233</v>
      </c>
      <c r="E20" s="363">
        <v>1266</v>
      </c>
      <c r="F20" s="343">
        <v>0</v>
      </c>
      <c r="G20" s="343">
        <v>0</v>
      </c>
      <c r="H20" s="344">
        <f t="shared" ref="H20:H22" si="14">F20+G20</f>
        <v>0</v>
      </c>
      <c r="I20" s="343">
        <v>18399.999999999996</v>
      </c>
      <c r="J20" s="343">
        <v>7809.6200401747619</v>
      </c>
      <c r="K20" s="344">
        <f t="shared" ref="K20:K22" si="15">I20+J20</f>
        <v>26209.620040174759</v>
      </c>
      <c r="L20" s="343">
        <f>+J20*0.015</f>
        <v>117.14430060262143</v>
      </c>
      <c r="M20" s="344">
        <f t="shared" ref="M20:M22" si="16">H20+K20+L20</f>
        <v>26326.764340777379</v>
      </c>
      <c r="N20" s="345">
        <f t="shared" ref="N20:N22" si="17">F20*E20</f>
        <v>0</v>
      </c>
      <c r="O20" s="345">
        <f t="shared" ref="O20:O22" si="18">G20*E20</f>
        <v>0</v>
      </c>
      <c r="P20" s="345">
        <f t="shared" ref="P20:P22" si="19">I20*E20</f>
        <v>23294399.999999996</v>
      </c>
      <c r="Q20" s="345">
        <f t="shared" ref="Q20:Q22" si="20">J20*E20</f>
        <v>9886978.9708612487</v>
      </c>
      <c r="R20" s="345">
        <f t="shared" ref="R20:R22" si="21">+L20*E20</f>
        <v>148304.68456291873</v>
      </c>
      <c r="S20" s="346">
        <f t="shared" ref="S20:S22" si="22">SUM(N20:R20)</f>
        <v>33329683.655424163</v>
      </c>
      <c r="T20" s="347"/>
      <c r="U20" s="277">
        <f t="shared" ref="U20:U22" si="23">+ROUNDUP(M20*$T$5,0)</f>
        <v>33090</v>
      </c>
      <c r="V20" s="277">
        <f t="shared" ref="V20:V22" si="24">+U20*E20</f>
        <v>41891940</v>
      </c>
      <c r="X20" s="127"/>
    </row>
    <row r="21" spans="1:30" ht="13" outlineLevel="1" x14ac:dyDescent="0.3">
      <c r="A21" s="339">
        <v>2.02</v>
      </c>
      <c r="B21" s="350" t="s">
        <v>205</v>
      </c>
      <c r="C21" s="364" t="s">
        <v>473</v>
      </c>
      <c r="D21" s="179" t="s">
        <v>207</v>
      </c>
      <c r="E21" s="363">
        <v>0</v>
      </c>
      <c r="F21" s="125"/>
      <c r="G21" s="125"/>
      <c r="H21" s="344">
        <f>F21+G21</f>
        <v>0</v>
      </c>
      <c r="I21" s="125"/>
      <c r="J21" s="125"/>
      <c r="K21" s="344">
        <f t="shared" si="15"/>
        <v>0</v>
      </c>
      <c r="L21" s="365"/>
      <c r="M21" s="344">
        <f t="shared" si="16"/>
        <v>0</v>
      </c>
      <c r="N21" s="345">
        <f t="shared" si="17"/>
        <v>0</v>
      </c>
      <c r="O21" s="345">
        <f t="shared" si="18"/>
        <v>0</v>
      </c>
      <c r="P21" s="345">
        <f t="shared" si="19"/>
        <v>0</v>
      </c>
      <c r="Q21" s="345">
        <f t="shared" si="20"/>
        <v>0</v>
      </c>
      <c r="R21" s="345">
        <f t="shared" si="21"/>
        <v>0</v>
      </c>
      <c r="S21" s="346">
        <f t="shared" si="22"/>
        <v>0</v>
      </c>
      <c r="T21" s="347"/>
      <c r="U21" s="277">
        <f>+ROUNDUP(M21*$T$5,0)</f>
        <v>0</v>
      </c>
      <c r="V21" s="277">
        <f>+U21*E21</f>
        <v>0</v>
      </c>
      <c r="X21" s="127"/>
    </row>
    <row r="22" spans="1:30" ht="13" outlineLevel="1" x14ac:dyDescent="0.3">
      <c r="A22" s="339">
        <v>2.0299999999999998</v>
      </c>
      <c r="B22" s="342" t="s">
        <v>205</v>
      </c>
      <c r="C22" s="361" t="s">
        <v>474</v>
      </c>
      <c r="D22" s="362" t="s">
        <v>233</v>
      </c>
      <c r="E22" s="363">
        <v>2</v>
      </c>
      <c r="F22" s="343"/>
      <c r="G22" s="343"/>
      <c r="H22" s="344">
        <f t="shared" si="14"/>
        <v>0</v>
      </c>
      <c r="I22" s="349"/>
      <c r="J22" s="349">
        <v>49934.237226571968</v>
      </c>
      <c r="K22" s="344">
        <f t="shared" si="15"/>
        <v>49934.237226571968</v>
      </c>
      <c r="L22" s="343"/>
      <c r="M22" s="344">
        <f t="shared" si="16"/>
        <v>49934.237226571968</v>
      </c>
      <c r="N22" s="345">
        <f t="shared" si="17"/>
        <v>0</v>
      </c>
      <c r="O22" s="345">
        <f t="shared" si="18"/>
        <v>0</v>
      </c>
      <c r="P22" s="345">
        <f t="shared" si="19"/>
        <v>0</v>
      </c>
      <c r="Q22" s="345">
        <f t="shared" si="20"/>
        <v>99868.474453143936</v>
      </c>
      <c r="R22" s="345">
        <f t="shared" si="21"/>
        <v>0</v>
      </c>
      <c r="S22" s="346">
        <f t="shared" si="22"/>
        <v>99868.474453143936</v>
      </c>
      <c r="T22" s="347"/>
      <c r="U22" s="277">
        <f t="shared" si="23"/>
        <v>62762</v>
      </c>
      <c r="V22" s="277">
        <f t="shared" si="24"/>
        <v>125524</v>
      </c>
      <c r="X22" s="127"/>
      <c r="AB22" s="281" t="s">
        <v>233</v>
      </c>
      <c r="AC22" s="283"/>
    </row>
    <row r="23" spans="1:30" ht="13" x14ac:dyDescent="0.3">
      <c r="A23" s="325">
        <v>3</v>
      </c>
      <c r="B23" s="326"/>
      <c r="C23" s="276" t="s">
        <v>240</v>
      </c>
      <c r="D23" s="177"/>
      <c r="E23" s="327"/>
      <c r="F23" s="327"/>
      <c r="G23" s="327"/>
      <c r="H23" s="327"/>
      <c r="I23" s="327"/>
      <c r="J23" s="327"/>
      <c r="K23" s="327"/>
      <c r="L23" s="327"/>
      <c r="M23" s="328"/>
      <c r="N23" s="366"/>
      <c r="O23" s="327"/>
      <c r="P23" s="327"/>
      <c r="Q23" s="327"/>
      <c r="R23" s="327"/>
      <c r="S23" s="327"/>
      <c r="T23" s="329">
        <f>SUM(S24:S40)</f>
        <v>201347587.51471001</v>
      </c>
      <c r="U23" s="327"/>
      <c r="V23" s="327"/>
      <c r="W23" s="330">
        <f>SUM(V24:V40)</f>
        <v>253070783</v>
      </c>
      <c r="X23" s="127">
        <f>+W23/$W$216</f>
        <v>0.2244723823849496</v>
      </c>
      <c r="Y23" s="283">
        <f>+W23</f>
        <v>253070783</v>
      </c>
      <c r="AA23" s="129">
        <f>+SUM(P24:Q39)+Q20</f>
        <v>158593535.06041524</v>
      </c>
      <c r="AB23" s="128"/>
      <c r="AC23" s="283"/>
    </row>
    <row r="24" spans="1:30" ht="13" outlineLevel="1" x14ac:dyDescent="0.3">
      <c r="A24" s="339">
        <v>3.01</v>
      </c>
      <c r="B24" s="342" t="s">
        <v>205</v>
      </c>
      <c r="C24" s="367" t="s">
        <v>241</v>
      </c>
      <c r="D24" s="180" t="s">
        <v>233</v>
      </c>
      <c r="E24" s="125">
        <v>35</v>
      </c>
      <c r="F24" s="349">
        <v>120430</v>
      </c>
      <c r="G24" s="368">
        <v>76142.857142857145</v>
      </c>
      <c r="H24" s="344">
        <f t="shared" ref="H24:H40" si="25">F24+G24</f>
        <v>196572.85714285716</v>
      </c>
      <c r="I24" s="349"/>
      <c r="J24" s="349">
        <v>49934.237226571968</v>
      </c>
      <c r="K24" s="344">
        <f t="shared" ref="K24:K40" si="26">I24+J24</f>
        <v>49934.237226571968</v>
      </c>
      <c r="L24" s="343">
        <f t="shared" ref="L24:L35" si="27">+(H24+K24)*0.015</f>
        <v>3697.6064155414369</v>
      </c>
      <c r="M24" s="344">
        <f t="shared" ref="M24:M40" si="28">H24+K24+L24</f>
        <v>250204.70078497057</v>
      </c>
      <c r="N24" s="345">
        <f t="shared" ref="N24:N40" si="29">F24*E24</f>
        <v>4215050</v>
      </c>
      <c r="O24" s="345">
        <f t="shared" ref="O24:O40" si="30">G24*E24</f>
        <v>2665000</v>
      </c>
      <c r="P24" s="345">
        <f t="shared" ref="P24:P40" si="31">I24*E24</f>
        <v>0</v>
      </c>
      <c r="Q24" s="345">
        <f t="shared" ref="Q24:Q40" si="32">J24*E24</f>
        <v>1747698.3029300189</v>
      </c>
      <c r="R24" s="345">
        <f t="shared" ref="R24:R40" si="33">+L24*E24</f>
        <v>129416.22454395029</v>
      </c>
      <c r="S24" s="346">
        <f t="shared" ref="S24:S40" si="34">SUM(N24:R24)</f>
        <v>8757164.5274739694</v>
      </c>
      <c r="T24" s="347"/>
      <c r="U24" s="277">
        <f t="shared" ref="U24:U40" si="35">+ROUNDUP(M24*$T$5,0)</f>
        <v>314478</v>
      </c>
      <c r="V24" s="277">
        <f t="shared" ref="V24:V40" si="36">+U24*E24</f>
        <v>11006730</v>
      </c>
      <c r="X24" s="127"/>
      <c r="Z24" s="369" t="s">
        <v>475</v>
      </c>
      <c r="AA24" s="129">
        <f>+AA23/Z25</f>
        <v>105729023.37361015</v>
      </c>
      <c r="AB24" s="128">
        <v>607</v>
      </c>
      <c r="AC24" s="283">
        <f>+AA24/AB24</f>
        <v>174182.90506360817</v>
      </c>
      <c r="AD24" s="370">
        <f>+AC24/AC26</f>
        <v>0.76640478227987596</v>
      </c>
    </row>
    <row r="25" spans="1:30" ht="13" outlineLevel="1" x14ac:dyDescent="0.3">
      <c r="A25" s="339">
        <v>3.02</v>
      </c>
      <c r="B25" s="342" t="s">
        <v>205</v>
      </c>
      <c r="C25" s="367" t="s">
        <v>476</v>
      </c>
      <c r="D25" s="180" t="s">
        <v>233</v>
      </c>
      <c r="E25" s="125">
        <v>40</v>
      </c>
      <c r="F25" s="349">
        <v>70843.445714285714</v>
      </c>
      <c r="G25" s="368"/>
      <c r="H25" s="344">
        <f t="shared" si="25"/>
        <v>70843.445714285714</v>
      </c>
      <c r="I25" s="349">
        <v>307690.19241546135</v>
      </c>
      <c r="J25" s="349"/>
      <c r="K25" s="344">
        <f t="shared" si="26"/>
        <v>307690.19241546135</v>
      </c>
      <c r="L25" s="343">
        <f t="shared" si="27"/>
        <v>5678.0045719462059</v>
      </c>
      <c r="M25" s="344">
        <f t="shared" si="28"/>
        <v>384211.64270169329</v>
      </c>
      <c r="N25" s="345">
        <f t="shared" si="29"/>
        <v>2833737.8285714285</v>
      </c>
      <c r="O25" s="345">
        <f t="shared" si="30"/>
        <v>0</v>
      </c>
      <c r="P25" s="345">
        <f t="shared" si="31"/>
        <v>12307607.696618455</v>
      </c>
      <c r="Q25" s="345">
        <f t="shared" si="32"/>
        <v>0</v>
      </c>
      <c r="R25" s="345">
        <f t="shared" si="33"/>
        <v>227120.18287784824</v>
      </c>
      <c r="S25" s="346">
        <f t="shared" si="34"/>
        <v>15368465.708067732</v>
      </c>
      <c r="T25" s="347"/>
      <c r="U25" s="277">
        <f t="shared" si="35"/>
        <v>482909</v>
      </c>
      <c r="V25" s="586">
        <f t="shared" si="36"/>
        <v>19316360</v>
      </c>
      <c r="X25" s="127"/>
      <c r="Z25" s="369">
        <v>1.5</v>
      </c>
      <c r="AB25" s="128"/>
      <c r="AC25" s="283"/>
    </row>
    <row r="26" spans="1:30" ht="13" outlineLevel="1" x14ac:dyDescent="0.3">
      <c r="A26" s="339">
        <v>3.03</v>
      </c>
      <c r="B26" s="342" t="s">
        <v>205</v>
      </c>
      <c r="C26" s="367" t="s">
        <v>477</v>
      </c>
      <c r="D26" s="180" t="s">
        <v>233</v>
      </c>
      <c r="E26" s="125">
        <v>28</v>
      </c>
      <c r="F26" s="349">
        <v>55068.821745306559</v>
      </c>
      <c r="G26" s="368"/>
      <c r="H26" s="344">
        <f t="shared" si="25"/>
        <v>55068.821745306559</v>
      </c>
      <c r="I26" s="349">
        <v>253994.14283025966</v>
      </c>
      <c r="J26" s="349"/>
      <c r="K26" s="344">
        <f t="shared" si="26"/>
        <v>253994.14283025966</v>
      </c>
      <c r="L26" s="343">
        <f t="shared" si="27"/>
        <v>4635.9444686334937</v>
      </c>
      <c r="M26" s="344">
        <f t="shared" si="28"/>
        <v>313698.90904419974</v>
      </c>
      <c r="N26" s="345">
        <f t="shared" si="29"/>
        <v>1541927.0088685837</v>
      </c>
      <c r="O26" s="345">
        <f t="shared" si="30"/>
        <v>0</v>
      </c>
      <c r="P26" s="345">
        <f t="shared" si="31"/>
        <v>7111835.9992472706</v>
      </c>
      <c r="Q26" s="345">
        <f t="shared" si="32"/>
        <v>0</v>
      </c>
      <c r="R26" s="345">
        <f t="shared" si="33"/>
        <v>129806.44512173782</v>
      </c>
      <c r="S26" s="346">
        <f t="shared" si="34"/>
        <v>8783569.4532375913</v>
      </c>
      <c r="T26" s="347"/>
      <c r="U26" s="277">
        <f t="shared" si="35"/>
        <v>394283</v>
      </c>
      <c r="V26" s="586">
        <f t="shared" si="36"/>
        <v>11039924</v>
      </c>
      <c r="X26" s="127"/>
      <c r="Z26" s="369" t="s">
        <v>478</v>
      </c>
      <c r="AA26" s="129">
        <v>75000000</v>
      </c>
      <c r="AB26" s="128">
        <v>330</v>
      </c>
      <c r="AC26" s="283">
        <f>+AA26/AB26</f>
        <v>227272.72727272726</v>
      </c>
    </row>
    <row r="27" spans="1:30" ht="13" outlineLevel="1" x14ac:dyDescent="0.3">
      <c r="A27" s="339">
        <v>3.04</v>
      </c>
      <c r="B27" s="342" t="s">
        <v>205</v>
      </c>
      <c r="C27" s="367" t="s">
        <v>479</v>
      </c>
      <c r="D27" s="180" t="s">
        <v>233</v>
      </c>
      <c r="E27" s="125">
        <v>179</v>
      </c>
      <c r="F27" s="349">
        <v>2471.4097794822628</v>
      </c>
      <c r="G27" s="368"/>
      <c r="H27" s="344">
        <f t="shared" si="25"/>
        <v>2471.4097794822628</v>
      </c>
      <c r="I27" s="371">
        <v>148967.56476994729</v>
      </c>
      <c r="J27" s="349"/>
      <c r="K27" s="344">
        <f t="shared" si="26"/>
        <v>148967.56476994729</v>
      </c>
      <c r="L27" s="343">
        <f t="shared" si="27"/>
        <v>2271.584618241443</v>
      </c>
      <c r="M27" s="344">
        <f t="shared" si="28"/>
        <v>153710.55916767099</v>
      </c>
      <c r="N27" s="345">
        <f t="shared" si="29"/>
        <v>442382.35052732506</v>
      </c>
      <c r="O27" s="345">
        <f t="shared" si="30"/>
        <v>0</v>
      </c>
      <c r="P27" s="345">
        <f t="shared" si="31"/>
        <v>26665194.093820564</v>
      </c>
      <c r="Q27" s="345">
        <f t="shared" si="32"/>
        <v>0</v>
      </c>
      <c r="R27" s="345">
        <f t="shared" si="33"/>
        <v>406613.64666521829</v>
      </c>
      <c r="S27" s="346">
        <f t="shared" si="34"/>
        <v>27514190.091013107</v>
      </c>
      <c r="T27" s="347"/>
      <c r="U27" s="277">
        <f t="shared" si="35"/>
        <v>193197</v>
      </c>
      <c r="V27" s="586">
        <f t="shared" si="36"/>
        <v>34582263</v>
      </c>
      <c r="X27" s="127"/>
    </row>
    <row r="28" spans="1:30" ht="13" outlineLevel="1" x14ac:dyDescent="0.3">
      <c r="A28" s="339">
        <v>3.05</v>
      </c>
      <c r="B28" s="342" t="s">
        <v>205</v>
      </c>
      <c r="C28" s="367" t="s">
        <v>480</v>
      </c>
      <c r="D28" s="180" t="s">
        <v>233</v>
      </c>
      <c r="E28" s="125">
        <v>10</v>
      </c>
      <c r="F28" s="349">
        <v>40150.005369127517</v>
      </c>
      <c r="G28" s="368"/>
      <c r="H28" s="344">
        <f t="shared" si="25"/>
        <v>40150.005369127517</v>
      </c>
      <c r="I28" s="349">
        <v>191068.28444151493</v>
      </c>
      <c r="J28" s="371">
        <f>+I28*0.5</f>
        <v>95534.142220757465</v>
      </c>
      <c r="K28" s="344">
        <f t="shared" si="26"/>
        <v>286602.42666227242</v>
      </c>
      <c r="L28" s="343">
        <f t="shared" si="27"/>
        <v>4901.2864804709989</v>
      </c>
      <c r="M28" s="344">
        <f t="shared" si="28"/>
        <v>331653.71851187095</v>
      </c>
      <c r="N28" s="345">
        <f t="shared" si="29"/>
        <v>401500.05369127518</v>
      </c>
      <c r="O28" s="345">
        <f t="shared" si="30"/>
        <v>0</v>
      </c>
      <c r="P28" s="345">
        <f t="shared" si="31"/>
        <v>1910682.8444151492</v>
      </c>
      <c r="Q28" s="345">
        <f t="shared" si="32"/>
        <v>955341.42220757459</v>
      </c>
      <c r="R28" s="345">
        <f t="shared" si="33"/>
        <v>49012.864804709985</v>
      </c>
      <c r="S28" s="346">
        <f t="shared" si="34"/>
        <v>3316537.1851187083</v>
      </c>
      <c r="T28" s="347"/>
      <c r="U28" s="277">
        <f t="shared" si="35"/>
        <v>416850</v>
      </c>
      <c r="V28" s="586">
        <f t="shared" si="36"/>
        <v>4168500</v>
      </c>
      <c r="X28" s="127"/>
    </row>
    <row r="29" spans="1:30" ht="13" outlineLevel="1" x14ac:dyDescent="0.3">
      <c r="A29" s="339">
        <v>3.06</v>
      </c>
      <c r="B29" s="350" t="s">
        <v>205</v>
      </c>
      <c r="C29" s="341" t="s">
        <v>481</v>
      </c>
      <c r="D29" s="362" t="s">
        <v>233</v>
      </c>
      <c r="E29" s="342">
        <v>177</v>
      </c>
      <c r="F29" s="349">
        <v>32975.501438159154</v>
      </c>
      <c r="G29" s="349"/>
      <c r="H29" s="344">
        <f t="shared" si="25"/>
        <v>32975.501438159154</v>
      </c>
      <c r="I29" s="349">
        <v>191068.28444151493</v>
      </c>
      <c r="J29" s="349"/>
      <c r="K29" s="344">
        <f t="shared" si="26"/>
        <v>191068.28444151493</v>
      </c>
      <c r="L29" s="343">
        <f t="shared" si="27"/>
        <v>3360.6567881951109</v>
      </c>
      <c r="M29" s="344">
        <f t="shared" si="28"/>
        <v>227404.44266786918</v>
      </c>
      <c r="N29" s="345">
        <f t="shared" si="29"/>
        <v>5836663.7545541702</v>
      </c>
      <c r="O29" s="345">
        <f t="shared" si="30"/>
        <v>0</v>
      </c>
      <c r="P29" s="345">
        <f t="shared" si="31"/>
        <v>33819086.346148141</v>
      </c>
      <c r="Q29" s="345">
        <f t="shared" si="32"/>
        <v>0</v>
      </c>
      <c r="R29" s="345">
        <f t="shared" si="33"/>
        <v>594836.25151053467</v>
      </c>
      <c r="S29" s="346">
        <f t="shared" si="34"/>
        <v>40250586.352212846</v>
      </c>
      <c r="T29" s="347"/>
      <c r="U29" s="277">
        <f t="shared" si="35"/>
        <v>285821</v>
      </c>
      <c r="V29" s="586">
        <f t="shared" si="36"/>
        <v>50590317</v>
      </c>
      <c r="X29" s="127"/>
    </row>
    <row r="30" spans="1:30" ht="13" outlineLevel="1" x14ac:dyDescent="0.3">
      <c r="A30" s="339">
        <v>3.07</v>
      </c>
      <c r="B30" s="350" t="s">
        <v>205</v>
      </c>
      <c r="C30" s="341" t="s">
        <v>482</v>
      </c>
      <c r="D30" s="362" t="s">
        <v>233</v>
      </c>
      <c r="E30" s="342">
        <v>65</v>
      </c>
      <c r="F30" s="349">
        <v>94228.958133589011</v>
      </c>
      <c r="G30" s="349"/>
      <c r="H30" s="344">
        <f t="shared" si="25"/>
        <v>94228.958133589011</v>
      </c>
      <c r="I30" s="349">
        <v>462949.29028534138</v>
      </c>
      <c r="J30" s="349"/>
      <c r="K30" s="344">
        <f t="shared" si="26"/>
        <v>462949.29028534138</v>
      </c>
      <c r="L30" s="343">
        <f t="shared" si="27"/>
        <v>8357.6737262839561</v>
      </c>
      <c r="M30" s="344">
        <f t="shared" si="28"/>
        <v>565535.9221452144</v>
      </c>
      <c r="N30" s="345">
        <f t="shared" si="29"/>
        <v>6124882.2786832862</v>
      </c>
      <c r="O30" s="345">
        <f t="shared" si="30"/>
        <v>0</v>
      </c>
      <c r="P30" s="345">
        <f t="shared" si="31"/>
        <v>30091703.86854719</v>
      </c>
      <c r="Q30" s="345">
        <f t="shared" si="32"/>
        <v>0</v>
      </c>
      <c r="R30" s="345">
        <f t="shared" si="33"/>
        <v>543248.79220845713</v>
      </c>
      <c r="S30" s="346">
        <f t="shared" si="34"/>
        <v>36759834.939438932</v>
      </c>
      <c r="T30" s="347"/>
      <c r="U30" s="277">
        <f t="shared" si="35"/>
        <v>710813</v>
      </c>
      <c r="V30" s="586">
        <f t="shared" si="36"/>
        <v>46202845</v>
      </c>
      <c r="X30" s="127"/>
    </row>
    <row r="31" spans="1:30" ht="13" outlineLevel="1" x14ac:dyDescent="0.3">
      <c r="A31" s="339">
        <v>3.08</v>
      </c>
      <c r="B31" s="350" t="s">
        <v>205</v>
      </c>
      <c r="C31" s="341" t="s">
        <v>483</v>
      </c>
      <c r="D31" s="362" t="s">
        <v>233</v>
      </c>
      <c r="E31" s="342">
        <v>12</v>
      </c>
      <c r="F31" s="349">
        <v>92072.316554809833</v>
      </c>
      <c r="G31" s="349"/>
      <c r="H31" s="344">
        <f t="shared" si="25"/>
        <v>92072.316554809833</v>
      </c>
      <c r="I31" s="349">
        <v>462949.29028534138</v>
      </c>
      <c r="J31" s="371">
        <f>+I31*0.2</f>
        <v>92589.858057068283</v>
      </c>
      <c r="K31" s="344">
        <f t="shared" si="26"/>
        <v>555539.14834240964</v>
      </c>
      <c r="L31" s="343">
        <f t="shared" si="27"/>
        <v>9714.1719734582912</v>
      </c>
      <c r="M31" s="344">
        <f t="shared" si="28"/>
        <v>657325.6368706777</v>
      </c>
      <c r="N31" s="345">
        <f t="shared" si="29"/>
        <v>1104867.7986577181</v>
      </c>
      <c r="O31" s="345">
        <f t="shared" si="30"/>
        <v>0</v>
      </c>
      <c r="P31" s="345">
        <f t="shared" si="31"/>
        <v>5555391.4834240964</v>
      </c>
      <c r="Q31" s="345">
        <f t="shared" si="32"/>
        <v>1111078.2966848193</v>
      </c>
      <c r="R31" s="345">
        <f t="shared" si="33"/>
        <v>116570.06368149949</v>
      </c>
      <c r="S31" s="346">
        <f t="shared" si="34"/>
        <v>7887907.6424481329</v>
      </c>
      <c r="T31" s="347"/>
      <c r="U31" s="277">
        <f t="shared" si="35"/>
        <v>826182</v>
      </c>
      <c r="V31" s="586">
        <f t="shared" si="36"/>
        <v>9914184</v>
      </c>
      <c r="X31" s="127"/>
    </row>
    <row r="32" spans="1:30" ht="13" outlineLevel="1" x14ac:dyDescent="0.3">
      <c r="A32" s="339">
        <v>3.09</v>
      </c>
      <c r="B32" s="350" t="s">
        <v>205</v>
      </c>
      <c r="C32" s="341" t="s">
        <v>484</v>
      </c>
      <c r="D32" s="362" t="s">
        <v>233</v>
      </c>
      <c r="E32" s="342">
        <v>28</v>
      </c>
      <c r="F32" s="349">
        <v>70843.445714285714</v>
      </c>
      <c r="G32" s="349"/>
      <c r="H32" s="344">
        <f t="shared" si="25"/>
        <v>70843.445714285714</v>
      </c>
      <c r="I32" s="349">
        <v>307690.19241546135</v>
      </c>
      <c r="J32" s="349"/>
      <c r="K32" s="344">
        <f t="shared" si="26"/>
        <v>307690.19241546135</v>
      </c>
      <c r="L32" s="343">
        <f t="shared" si="27"/>
        <v>5678.0045719462059</v>
      </c>
      <c r="M32" s="344">
        <f t="shared" si="28"/>
        <v>384211.64270169329</v>
      </c>
      <c r="N32" s="345">
        <f t="shared" si="29"/>
        <v>1983616.48</v>
      </c>
      <c r="O32" s="345">
        <f t="shared" si="30"/>
        <v>0</v>
      </c>
      <c r="P32" s="345">
        <f t="shared" si="31"/>
        <v>8615325.3876329176</v>
      </c>
      <c r="Q32" s="345">
        <f t="shared" si="32"/>
        <v>0</v>
      </c>
      <c r="R32" s="345">
        <f t="shared" si="33"/>
        <v>158984.12801449376</v>
      </c>
      <c r="S32" s="346">
        <f t="shared" si="34"/>
        <v>10757925.995647412</v>
      </c>
      <c r="T32" s="347"/>
      <c r="U32" s="277">
        <f t="shared" si="35"/>
        <v>482909</v>
      </c>
      <c r="V32" s="586">
        <f t="shared" si="36"/>
        <v>13521452</v>
      </c>
      <c r="X32" s="127"/>
    </row>
    <row r="33" spans="1:28" ht="13" outlineLevel="1" x14ac:dyDescent="0.3">
      <c r="A33" s="339">
        <v>3.1</v>
      </c>
      <c r="B33" s="350" t="s">
        <v>205</v>
      </c>
      <c r="C33" s="341" t="s">
        <v>485</v>
      </c>
      <c r="D33" s="362" t="s">
        <v>233</v>
      </c>
      <c r="E33" s="342">
        <v>54</v>
      </c>
      <c r="F33" s="349">
        <v>60951.378715244486</v>
      </c>
      <c r="G33" s="349"/>
      <c r="H33" s="344">
        <f t="shared" si="25"/>
        <v>60951.378715244486</v>
      </c>
      <c r="I33" s="349">
        <v>273658.44999334484</v>
      </c>
      <c r="J33" s="349"/>
      <c r="K33" s="344">
        <f t="shared" si="26"/>
        <v>273658.44999334484</v>
      </c>
      <c r="L33" s="343">
        <f t="shared" si="27"/>
        <v>5019.1474306288392</v>
      </c>
      <c r="M33" s="344">
        <f t="shared" si="28"/>
        <v>339628.97613921814</v>
      </c>
      <c r="N33" s="345">
        <f t="shared" si="29"/>
        <v>3291374.4506232021</v>
      </c>
      <c r="O33" s="345">
        <f t="shared" si="30"/>
        <v>0</v>
      </c>
      <c r="P33" s="345">
        <f t="shared" si="31"/>
        <v>14777556.299640622</v>
      </c>
      <c r="Q33" s="345">
        <f t="shared" si="32"/>
        <v>0</v>
      </c>
      <c r="R33" s="345">
        <f t="shared" si="33"/>
        <v>271033.9612539573</v>
      </c>
      <c r="S33" s="346">
        <f t="shared" si="34"/>
        <v>18339964.711517781</v>
      </c>
      <c r="T33" s="347"/>
      <c r="U33" s="277">
        <f t="shared" si="35"/>
        <v>426874</v>
      </c>
      <c r="V33" s="586">
        <f t="shared" si="36"/>
        <v>23051196</v>
      </c>
      <c r="X33" s="127"/>
    </row>
    <row r="34" spans="1:28" ht="13" outlineLevel="1" x14ac:dyDescent="0.3">
      <c r="A34" s="339">
        <v>3.11</v>
      </c>
      <c r="B34" s="350" t="s">
        <v>205</v>
      </c>
      <c r="C34" s="341" t="s">
        <v>486</v>
      </c>
      <c r="D34" s="362" t="s">
        <v>233</v>
      </c>
      <c r="E34" s="342">
        <v>11</v>
      </c>
      <c r="F34" s="349">
        <v>68185.041030872468</v>
      </c>
      <c r="G34" s="349"/>
      <c r="H34" s="344">
        <f t="shared" si="25"/>
        <v>68185.041030872468</v>
      </c>
      <c r="I34" s="349">
        <v>283180.31554461533</v>
      </c>
      <c r="J34" s="349"/>
      <c r="K34" s="344">
        <f t="shared" si="26"/>
        <v>283180.31554461533</v>
      </c>
      <c r="L34" s="343">
        <f t="shared" si="27"/>
        <v>5270.4803486323162</v>
      </c>
      <c r="M34" s="344">
        <f t="shared" si="28"/>
        <v>356635.83692412009</v>
      </c>
      <c r="N34" s="345">
        <f t="shared" si="29"/>
        <v>750035.45133959712</v>
      </c>
      <c r="O34" s="345">
        <f t="shared" si="30"/>
        <v>0</v>
      </c>
      <c r="P34" s="345">
        <f t="shared" si="31"/>
        <v>3114983.4709907686</v>
      </c>
      <c r="Q34" s="345">
        <f t="shared" si="32"/>
        <v>0</v>
      </c>
      <c r="R34" s="345">
        <f t="shared" si="33"/>
        <v>57975.28383495548</v>
      </c>
      <c r="S34" s="346">
        <f t="shared" si="34"/>
        <v>3922994.2061653212</v>
      </c>
      <c r="T34" s="347"/>
      <c r="U34" s="277">
        <f t="shared" si="35"/>
        <v>448250</v>
      </c>
      <c r="V34" s="586">
        <f t="shared" si="36"/>
        <v>4930750</v>
      </c>
      <c r="X34" s="127"/>
    </row>
    <row r="35" spans="1:28" ht="13" outlineLevel="1" x14ac:dyDescent="0.3">
      <c r="A35" s="339">
        <v>3.12</v>
      </c>
      <c r="B35" s="350" t="s">
        <v>205</v>
      </c>
      <c r="C35" s="341" t="s">
        <v>487</v>
      </c>
      <c r="D35" s="362" t="s">
        <v>233</v>
      </c>
      <c r="E35" s="342">
        <v>3</v>
      </c>
      <c r="F35" s="349">
        <v>70843.445714285714</v>
      </c>
      <c r="G35" s="349"/>
      <c r="H35" s="344">
        <f t="shared" si="25"/>
        <v>70843.445714285714</v>
      </c>
      <c r="I35" s="349">
        <v>307690.19241546135</v>
      </c>
      <c r="J35" s="349"/>
      <c r="K35" s="344">
        <f t="shared" si="26"/>
        <v>307690.19241546135</v>
      </c>
      <c r="L35" s="343">
        <f t="shared" si="27"/>
        <v>5678.0045719462059</v>
      </c>
      <c r="M35" s="344">
        <f t="shared" si="28"/>
        <v>384211.64270169329</v>
      </c>
      <c r="N35" s="345">
        <f t="shared" si="29"/>
        <v>212530.33714285714</v>
      </c>
      <c r="O35" s="345">
        <f t="shared" si="30"/>
        <v>0</v>
      </c>
      <c r="P35" s="345">
        <f t="shared" si="31"/>
        <v>923070.577246384</v>
      </c>
      <c r="Q35" s="345">
        <f t="shared" si="32"/>
        <v>0</v>
      </c>
      <c r="R35" s="345">
        <f t="shared" si="33"/>
        <v>17034.013715838617</v>
      </c>
      <c r="S35" s="346">
        <f t="shared" si="34"/>
        <v>1152634.9281050796</v>
      </c>
      <c r="T35" s="347"/>
      <c r="U35" s="277">
        <f t="shared" si="35"/>
        <v>482909</v>
      </c>
      <c r="V35" s="586">
        <f t="shared" si="36"/>
        <v>1448727</v>
      </c>
      <c r="X35" s="127"/>
    </row>
    <row r="36" spans="1:28" ht="13" outlineLevel="1" x14ac:dyDescent="0.3">
      <c r="A36" s="339">
        <v>3.13</v>
      </c>
      <c r="B36" s="350" t="s">
        <v>205</v>
      </c>
      <c r="C36" s="341" t="s">
        <v>488</v>
      </c>
      <c r="D36" s="362" t="s">
        <v>211</v>
      </c>
      <c r="E36" s="342">
        <v>240</v>
      </c>
      <c r="F36" s="349">
        <v>24772.727272727276</v>
      </c>
      <c r="G36" s="349"/>
      <c r="H36" s="344">
        <f t="shared" si="25"/>
        <v>24772.727272727276</v>
      </c>
      <c r="I36" s="349"/>
      <c r="J36" s="349"/>
      <c r="K36" s="344">
        <f t="shared" si="26"/>
        <v>0</v>
      </c>
      <c r="L36" s="343"/>
      <c r="M36" s="344">
        <f t="shared" si="28"/>
        <v>24772.727272727276</v>
      </c>
      <c r="N36" s="345">
        <f t="shared" si="29"/>
        <v>5945454.5454545459</v>
      </c>
      <c r="O36" s="345">
        <f t="shared" si="30"/>
        <v>0</v>
      </c>
      <c r="P36" s="345">
        <f t="shared" si="31"/>
        <v>0</v>
      </c>
      <c r="Q36" s="345">
        <f t="shared" si="32"/>
        <v>0</v>
      </c>
      <c r="R36" s="345">
        <f t="shared" si="33"/>
        <v>0</v>
      </c>
      <c r="S36" s="346">
        <f t="shared" si="34"/>
        <v>5945454.5454545459</v>
      </c>
      <c r="T36" s="347"/>
      <c r="U36" s="277">
        <f t="shared" si="35"/>
        <v>31137</v>
      </c>
      <c r="V36" s="277">
        <f t="shared" si="36"/>
        <v>7472880</v>
      </c>
      <c r="X36" s="127"/>
    </row>
    <row r="37" spans="1:28" ht="13" outlineLevel="1" x14ac:dyDescent="0.3">
      <c r="A37" s="339">
        <v>3.14</v>
      </c>
      <c r="B37" s="350" t="s">
        <v>205</v>
      </c>
      <c r="C37" s="372" t="s">
        <v>259</v>
      </c>
      <c r="D37" s="362" t="s">
        <v>207</v>
      </c>
      <c r="E37" s="363">
        <v>1</v>
      </c>
      <c r="F37" s="373"/>
      <c r="G37" s="349"/>
      <c r="H37" s="344">
        <f t="shared" si="25"/>
        <v>0</v>
      </c>
      <c r="I37" s="374"/>
      <c r="J37" s="349"/>
      <c r="K37" s="344">
        <f t="shared" si="26"/>
        <v>0</v>
      </c>
      <c r="L37" s="349">
        <v>8822750</v>
      </c>
      <c r="M37" s="344">
        <f t="shared" si="28"/>
        <v>8822750</v>
      </c>
      <c r="N37" s="345">
        <f t="shared" si="29"/>
        <v>0</v>
      </c>
      <c r="O37" s="345">
        <f t="shared" si="30"/>
        <v>0</v>
      </c>
      <c r="P37" s="345">
        <f t="shared" si="31"/>
        <v>0</v>
      </c>
      <c r="Q37" s="345">
        <f t="shared" si="32"/>
        <v>0</v>
      </c>
      <c r="R37" s="345">
        <f t="shared" si="33"/>
        <v>8822750</v>
      </c>
      <c r="S37" s="346">
        <f t="shared" si="34"/>
        <v>8822750</v>
      </c>
      <c r="T37" s="347"/>
      <c r="U37" s="277">
        <f t="shared" si="35"/>
        <v>11089161</v>
      </c>
      <c r="V37" s="277">
        <f t="shared" si="36"/>
        <v>11089161</v>
      </c>
      <c r="X37" s="127"/>
    </row>
    <row r="38" spans="1:28" ht="13" outlineLevel="1" x14ac:dyDescent="0.3">
      <c r="A38" s="339">
        <v>3.15</v>
      </c>
      <c r="B38" s="350" t="s">
        <v>205</v>
      </c>
      <c r="C38" s="372" t="s">
        <v>489</v>
      </c>
      <c r="D38" s="362" t="s">
        <v>243</v>
      </c>
      <c r="E38" s="363">
        <v>14</v>
      </c>
      <c r="F38" s="349">
        <v>123492.85714285714</v>
      </c>
      <c r="G38" s="125"/>
      <c r="H38" s="344">
        <f t="shared" si="25"/>
        <v>123492.85714285714</v>
      </c>
      <c r="I38" s="374"/>
      <c r="J38" s="125"/>
      <c r="K38" s="344">
        <f t="shared" si="26"/>
        <v>0</v>
      </c>
      <c r="L38" s="343"/>
      <c r="M38" s="344">
        <f t="shared" si="28"/>
        <v>123492.85714285714</v>
      </c>
      <c r="N38" s="345">
        <f t="shared" si="29"/>
        <v>1728900</v>
      </c>
      <c r="O38" s="345">
        <f t="shared" si="30"/>
        <v>0</v>
      </c>
      <c r="P38" s="345">
        <f t="shared" si="31"/>
        <v>0</v>
      </c>
      <c r="Q38" s="345">
        <f t="shared" si="32"/>
        <v>0</v>
      </c>
      <c r="R38" s="345">
        <f t="shared" si="33"/>
        <v>0</v>
      </c>
      <c r="S38" s="346">
        <f t="shared" si="34"/>
        <v>1728900</v>
      </c>
      <c r="T38" s="347"/>
      <c r="U38" s="277">
        <f t="shared" si="35"/>
        <v>155217</v>
      </c>
      <c r="V38" s="277">
        <f t="shared" si="36"/>
        <v>2173038</v>
      </c>
      <c r="X38" s="127"/>
    </row>
    <row r="39" spans="1:28" ht="13" outlineLevel="1" x14ac:dyDescent="0.3">
      <c r="A39" s="339">
        <v>3.16</v>
      </c>
      <c r="B39" s="375" t="s">
        <v>205</v>
      </c>
      <c r="C39" s="376" t="s">
        <v>261</v>
      </c>
      <c r="D39" s="377" t="s">
        <v>207</v>
      </c>
      <c r="E39" s="378">
        <v>4</v>
      </c>
      <c r="F39" s="349">
        <v>55000</v>
      </c>
      <c r="G39" s="125"/>
      <c r="H39" s="344">
        <f t="shared" si="25"/>
        <v>55000</v>
      </c>
      <c r="I39" s="374"/>
      <c r="J39" s="125"/>
      <c r="K39" s="344">
        <f t="shared" si="26"/>
        <v>0</v>
      </c>
      <c r="L39" s="343"/>
      <c r="M39" s="344">
        <f t="shared" si="28"/>
        <v>55000</v>
      </c>
      <c r="N39" s="345">
        <f t="shared" si="29"/>
        <v>220000</v>
      </c>
      <c r="O39" s="345">
        <f t="shared" si="30"/>
        <v>0</v>
      </c>
      <c r="P39" s="345">
        <f t="shared" si="31"/>
        <v>0</v>
      </c>
      <c r="Q39" s="345">
        <f t="shared" si="32"/>
        <v>0</v>
      </c>
      <c r="R39" s="345">
        <f t="shared" si="33"/>
        <v>0</v>
      </c>
      <c r="S39" s="346">
        <f t="shared" si="34"/>
        <v>220000</v>
      </c>
      <c r="T39" s="347"/>
      <c r="U39" s="277">
        <f t="shared" si="35"/>
        <v>69129</v>
      </c>
      <c r="V39" s="277">
        <f t="shared" si="36"/>
        <v>276516</v>
      </c>
      <c r="X39" s="127"/>
    </row>
    <row r="40" spans="1:28" ht="13" outlineLevel="1" x14ac:dyDescent="0.3">
      <c r="A40" s="339">
        <v>3.17</v>
      </c>
      <c r="B40" s="352" t="s">
        <v>205</v>
      </c>
      <c r="C40" s="353" t="s">
        <v>490</v>
      </c>
      <c r="D40" s="181" t="s">
        <v>238</v>
      </c>
      <c r="E40" s="379">
        <v>93</v>
      </c>
      <c r="F40" s="358">
        <v>3440.8602150537636</v>
      </c>
      <c r="G40" s="358">
        <v>1612.9032258064517</v>
      </c>
      <c r="H40" s="356">
        <f t="shared" si="25"/>
        <v>5053.7634408602153</v>
      </c>
      <c r="I40" s="358">
        <v>0</v>
      </c>
      <c r="J40" s="358">
        <v>14213.22346320137</v>
      </c>
      <c r="K40" s="356">
        <f t="shared" si="26"/>
        <v>14213.22346320137</v>
      </c>
      <c r="L40" s="358">
        <f>+(H40+K40)*0.015</f>
        <v>289.00480356092379</v>
      </c>
      <c r="M40" s="344">
        <f t="shared" si="28"/>
        <v>19555.99170762251</v>
      </c>
      <c r="N40" s="345">
        <f t="shared" si="29"/>
        <v>320000</v>
      </c>
      <c r="O40" s="345">
        <f t="shared" si="30"/>
        <v>150000</v>
      </c>
      <c r="P40" s="345">
        <f t="shared" si="31"/>
        <v>0</v>
      </c>
      <c r="Q40" s="345">
        <f t="shared" si="32"/>
        <v>1321829.7820777274</v>
      </c>
      <c r="R40" s="345">
        <f t="shared" si="33"/>
        <v>26877.446731165914</v>
      </c>
      <c r="S40" s="346">
        <f t="shared" si="34"/>
        <v>1818707.2288088934</v>
      </c>
      <c r="T40" s="347"/>
      <c r="U40" s="277">
        <f t="shared" si="35"/>
        <v>24580</v>
      </c>
      <c r="V40" s="277">
        <f t="shared" si="36"/>
        <v>2285940</v>
      </c>
      <c r="X40" s="127"/>
    </row>
    <row r="41" spans="1:28" ht="13" x14ac:dyDescent="0.3">
      <c r="A41" s="325">
        <v>4</v>
      </c>
      <c r="B41" s="326"/>
      <c r="C41" s="276" t="s">
        <v>491</v>
      </c>
      <c r="D41" s="177"/>
      <c r="E41" s="327"/>
      <c r="F41" s="327"/>
      <c r="G41" s="327"/>
      <c r="H41" s="327"/>
      <c r="I41" s="327"/>
      <c r="J41" s="327"/>
      <c r="K41" s="327"/>
      <c r="L41" s="327"/>
      <c r="M41" s="328"/>
      <c r="N41" s="327"/>
      <c r="O41" s="327"/>
      <c r="P41" s="327"/>
      <c r="Q41" s="327"/>
      <c r="R41" s="327"/>
      <c r="S41" s="327"/>
      <c r="T41" s="329">
        <f>SUM(S42:S49)</f>
        <v>43203971.232858703</v>
      </c>
      <c r="U41" s="327"/>
      <c r="V41" s="327"/>
      <c r="W41" s="330">
        <f>SUM(V42:V49)</f>
        <v>54302889.68</v>
      </c>
      <c r="X41" s="127">
        <f>+W41/$W$216</f>
        <v>4.8166362281562521E-2</v>
      </c>
      <c r="Y41" s="283">
        <f>+W41</f>
        <v>54302889.68</v>
      </c>
    </row>
    <row r="42" spans="1:28" s="185" customFormat="1" ht="13" outlineLevel="1" x14ac:dyDescent="0.3">
      <c r="A42" s="331">
        <v>4.01</v>
      </c>
      <c r="B42" s="380" t="s">
        <v>205</v>
      </c>
      <c r="C42" s="333" t="s">
        <v>492</v>
      </c>
      <c r="D42" s="182" t="s">
        <v>238</v>
      </c>
      <c r="E42" s="381">
        <v>819</v>
      </c>
      <c r="F42" s="382"/>
      <c r="G42" s="382">
        <v>6545.2009385010006</v>
      </c>
      <c r="H42" s="334">
        <f t="shared" ref="H42:H49" si="37">F42+G42</f>
        <v>6545.2009385010006</v>
      </c>
      <c r="I42" s="383"/>
      <c r="J42" s="382">
        <v>8336.4856968762633</v>
      </c>
      <c r="K42" s="334">
        <f t="shared" ref="K42" si="38">I42+J42</f>
        <v>8336.4856968762633</v>
      </c>
      <c r="L42" s="382">
        <v>229.16796425864814</v>
      </c>
      <c r="M42" s="334">
        <f>H42+K42+L42</f>
        <v>15110.854599635912</v>
      </c>
      <c r="N42" s="335">
        <f t="shared" ref="N42:N68" si="39">F42*E42</f>
        <v>0</v>
      </c>
      <c r="O42" s="335">
        <f t="shared" ref="O42" si="40">G42*E42</f>
        <v>5360519.5686323196</v>
      </c>
      <c r="P42" s="335">
        <f t="shared" ref="P42:P68" si="41">I42*E42</f>
        <v>0</v>
      </c>
      <c r="Q42" s="335">
        <f t="shared" ref="Q42:Q68" si="42">J42*E42</f>
        <v>6827581.7857416598</v>
      </c>
      <c r="R42" s="335">
        <f t="shared" ref="R42:R68" si="43">+L42*E42</f>
        <v>187688.56272783282</v>
      </c>
      <c r="S42" s="336">
        <f t="shared" ref="S42:S61" si="44">SUM(N42:R42)</f>
        <v>12375789.917101813</v>
      </c>
      <c r="T42" s="287"/>
      <c r="U42" s="338">
        <f t="shared" ref="U42:U49" si="45">+ROUNDUP(M42*$T$5,0)</f>
        <v>18993</v>
      </c>
      <c r="V42" s="338">
        <f t="shared" ref="V42:V49" si="46">+U42*E42</f>
        <v>15555267</v>
      </c>
      <c r="W42" s="384"/>
      <c r="X42" s="127"/>
      <c r="Y42" s="385"/>
      <c r="AB42" s="385"/>
    </row>
    <row r="43" spans="1:28" s="185" customFormat="1" ht="13" outlineLevel="1" x14ac:dyDescent="0.3">
      <c r="A43" s="339">
        <v>4.0199999999999996</v>
      </c>
      <c r="B43" s="350" t="s">
        <v>205</v>
      </c>
      <c r="C43" s="386" t="s">
        <v>493</v>
      </c>
      <c r="D43" s="362" t="s">
        <v>238</v>
      </c>
      <c r="E43" s="363">
        <v>612</v>
      </c>
      <c r="F43" s="387"/>
      <c r="G43" s="387">
        <v>11461.565498830503</v>
      </c>
      <c r="H43" s="344">
        <f t="shared" si="37"/>
        <v>11461.565498830503</v>
      </c>
      <c r="I43" s="388"/>
      <c r="J43" s="387">
        <v>8336.4856968762633</v>
      </c>
      <c r="K43" s="344">
        <f>I43+J43</f>
        <v>8336.4856968762633</v>
      </c>
      <c r="L43" s="387">
        <v>229.16796425864814</v>
      </c>
      <c r="M43" s="344">
        <f>H43+K43+L43</f>
        <v>20027.219159965414</v>
      </c>
      <c r="N43" s="345">
        <f>F43*E43</f>
        <v>0</v>
      </c>
      <c r="O43" s="345">
        <f>G43*E43</f>
        <v>7014478.0852842676</v>
      </c>
      <c r="P43" s="345">
        <f>I43*E43</f>
        <v>0</v>
      </c>
      <c r="Q43" s="345">
        <f>J43*E43</f>
        <v>5101929.2464882731</v>
      </c>
      <c r="R43" s="345">
        <f>+L43*E43</f>
        <v>140250.79412629266</v>
      </c>
      <c r="S43" s="346">
        <f>SUM(N43:R43)</f>
        <v>12256658.125898832</v>
      </c>
      <c r="T43" s="287"/>
      <c r="U43" s="389">
        <f>+ROUNDUP(M43*$T$5,0)</f>
        <v>25172</v>
      </c>
      <c r="V43" s="277">
        <f>+U43*E43</f>
        <v>15405264</v>
      </c>
      <c r="W43" s="384"/>
      <c r="X43" s="127"/>
      <c r="Y43" s="385"/>
      <c r="AB43" s="385"/>
    </row>
    <row r="44" spans="1:28" s="185" customFormat="1" ht="13" outlineLevel="1" x14ac:dyDescent="0.3">
      <c r="A44" s="339">
        <v>4.03</v>
      </c>
      <c r="B44" s="350" t="s">
        <v>205</v>
      </c>
      <c r="C44" s="341" t="s">
        <v>494</v>
      </c>
      <c r="D44" s="362" t="s">
        <v>238</v>
      </c>
      <c r="E44" s="363">
        <v>636</v>
      </c>
      <c r="F44" s="387"/>
      <c r="G44" s="387">
        <v>8229.0499349999991</v>
      </c>
      <c r="H44" s="344">
        <f t="shared" si="37"/>
        <v>8229.0499349999991</v>
      </c>
      <c r="I44" s="388"/>
      <c r="J44" s="387">
        <v>8336.4856968762633</v>
      </c>
      <c r="K44" s="344">
        <f>I44+J44</f>
        <v>8336.4856968762633</v>
      </c>
      <c r="L44" s="387">
        <v>229.16796425864814</v>
      </c>
      <c r="M44" s="344">
        <f>H44+K44+L44</f>
        <v>16794.703596134914</v>
      </c>
      <c r="N44" s="345">
        <f>F44*E44</f>
        <v>0</v>
      </c>
      <c r="O44" s="345">
        <f>G44*E44</f>
        <v>5233675.7586599998</v>
      </c>
      <c r="P44" s="345">
        <f>I44*E44</f>
        <v>0</v>
      </c>
      <c r="Q44" s="345">
        <f>J44*E44</f>
        <v>5302004.9032133035</v>
      </c>
      <c r="R44" s="345">
        <f>+L44*E44</f>
        <v>145750.82526850022</v>
      </c>
      <c r="S44" s="346">
        <f>SUM(N44:R44)</f>
        <v>10681431.487141803</v>
      </c>
      <c r="T44" s="287"/>
      <c r="U44" s="389">
        <f t="shared" si="45"/>
        <v>21109</v>
      </c>
      <c r="V44" s="277">
        <f t="shared" si="46"/>
        <v>13425324</v>
      </c>
      <c r="W44" s="384"/>
      <c r="X44" s="127"/>
      <c r="Y44" s="385"/>
      <c r="AB44" s="385"/>
    </row>
    <row r="45" spans="1:28" s="185" customFormat="1" ht="13" outlineLevel="1" x14ac:dyDescent="0.3">
      <c r="A45" s="339">
        <v>4.04</v>
      </c>
      <c r="B45" s="350" t="s">
        <v>205</v>
      </c>
      <c r="C45" s="341" t="s">
        <v>495</v>
      </c>
      <c r="D45" s="362" t="s">
        <v>238</v>
      </c>
      <c r="E45" s="363">
        <v>195</v>
      </c>
      <c r="F45" s="388"/>
      <c r="G45" s="390">
        <v>5807.1589693347496</v>
      </c>
      <c r="H45" s="344">
        <f t="shared" si="37"/>
        <v>5807.1589693347496</v>
      </c>
      <c r="I45" s="387"/>
      <c r="J45" s="390">
        <v>5954.6326406259022</v>
      </c>
      <c r="K45" s="344">
        <f>I45+J45</f>
        <v>5954.6326406259022</v>
      </c>
      <c r="L45" s="390">
        <v>245.5371045628373</v>
      </c>
      <c r="M45" s="344">
        <f t="shared" ref="M45:M49" si="47">H45+K45+L45</f>
        <v>12007.32871452349</v>
      </c>
      <c r="N45" s="345">
        <f t="shared" ref="N45:N49" si="48">F45*E45</f>
        <v>0</v>
      </c>
      <c r="O45" s="345">
        <f t="shared" ref="O45:O49" si="49">G45*E45</f>
        <v>1132395.9990202761</v>
      </c>
      <c r="P45" s="345">
        <f t="shared" ref="P45:P49" si="50">I45*E45</f>
        <v>0</v>
      </c>
      <c r="Q45" s="345">
        <f t="shared" ref="Q45:Q49" si="51">J45*E45</f>
        <v>1161153.3649220509</v>
      </c>
      <c r="R45" s="345">
        <f t="shared" ref="R45:R49" si="52">+L45*E45</f>
        <v>47879.735389753274</v>
      </c>
      <c r="S45" s="346">
        <f t="shared" ref="S45:S49" si="53">SUM(N45:R45)</f>
        <v>2341429.0993320802</v>
      </c>
      <c r="T45" s="287"/>
      <c r="U45" s="389">
        <f t="shared" si="45"/>
        <v>15092</v>
      </c>
      <c r="V45" s="277">
        <f t="shared" si="46"/>
        <v>2942940</v>
      </c>
      <c r="W45" s="384"/>
      <c r="X45" s="127"/>
      <c r="Y45" s="385"/>
      <c r="AB45" s="385"/>
    </row>
    <row r="46" spans="1:28" s="185" customFormat="1" ht="13" outlineLevel="1" x14ac:dyDescent="0.3">
      <c r="A46" s="339">
        <v>4.05</v>
      </c>
      <c r="B46" s="350" t="s">
        <v>236</v>
      </c>
      <c r="C46" s="341" t="s">
        <v>496</v>
      </c>
      <c r="D46" s="362" t="s">
        <v>238</v>
      </c>
      <c r="E46" s="363">
        <v>30.053999999999998</v>
      </c>
      <c r="F46" s="390">
        <f>+G46*0.5</f>
        <v>5807.1589693347496</v>
      </c>
      <c r="G46" s="387">
        <v>11614.317938669499</v>
      </c>
      <c r="H46" s="344">
        <f t="shared" si="37"/>
        <v>17421.47690800425</v>
      </c>
      <c r="I46" s="390">
        <f>+J46</f>
        <v>17863.897921877706</v>
      </c>
      <c r="J46" s="387">
        <v>17863.897921877706</v>
      </c>
      <c r="K46" s="344">
        <f>I46+J46</f>
        <v>35727.795843755412</v>
      </c>
      <c r="L46" s="387">
        <v>491.0742091256746</v>
      </c>
      <c r="M46" s="344">
        <f t="shared" si="47"/>
        <v>53640.346960885341</v>
      </c>
      <c r="N46" s="345">
        <f t="shared" si="48"/>
        <v>174528.35566438656</v>
      </c>
      <c r="O46" s="345">
        <f t="shared" si="49"/>
        <v>349056.71132877312</v>
      </c>
      <c r="P46" s="345">
        <f t="shared" si="50"/>
        <v>536881.58814411249</v>
      </c>
      <c r="Q46" s="345">
        <f t="shared" si="51"/>
        <v>536881.58814411249</v>
      </c>
      <c r="R46" s="345">
        <f t="shared" si="52"/>
        <v>14758.744281063024</v>
      </c>
      <c r="S46" s="346">
        <f t="shared" si="53"/>
        <v>1612106.9875624476</v>
      </c>
      <c r="T46" s="287"/>
      <c r="U46" s="389">
        <f t="shared" si="45"/>
        <v>67420</v>
      </c>
      <c r="V46" s="277">
        <f t="shared" si="46"/>
        <v>2026240.68</v>
      </c>
      <c r="W46" s="384"/>
      <c r="X46" s="127"/>
      <c r="Y46" s="385"/>
      <c r="AB46" s="385"/>
    </row>
    <row r="47" spans="1:28" s="185" customFormat="1" ht="13" outlineLevel="1" x14ac:dyDescent="0.3">
      <c r="A47" s="339">
        <v>4.0599999999999996</v>
      </c>
      <c r="B47" s="350" t="s">
        <v>236</v>
      </c>
      <c r="C47" s="341" t="s">
        <v>497</v>
      </c>
      <c r="D47" s="362" t="s">
        <v>238</v>
      </c>
      <c r="E47" s="363">
        <v>24</v>
      </c>
      <c r="F47" s="390">
        <f>+G47</f>
        <v>14352.049965449041</v>
      </c>
      <c r="G47" s="387">
        <v>14352.049965449041</v>
      </c>
      <c r="H47" s="344">
        <f t="shared" si="37"/>
        <v>28704.099930898083</v>
      </c>
      <c r="I47" s="390">
        <f>+J47*0.5</f>
        <v>4894.0750498478674</v>
      </c>
      <c r="J47" s="387">
        <v>9788.1500996957348</v>
      </c>
      <c r="K47" s="344">
        <f>I47+J47</f>
        <v>14682.225149543603</v>
      </c>
      <c r="L47" s="387">
        <v>298.91473598954104</v>
      </c>
      <c r="M47" s="344">
        <f t="shared" si="47"/>
        <v>43685.239816431233</v>
      </c>
      <c r="N47" s="345">
        <f t="shared" si="48"/>
        <v>344449.19917077699</v>
      </c>
      <c r="O47" s="345">
        <f t="shared" si="49"/>
        <v>344449.19917077699</v>
      </c>
      <c r="P47" s="345">
        <f t="shared" si="50"/>
        <v>117457.80119634882</v>
      </c>
      <c r="Q47" s="345">
        <f t="shared" si="51"/>
        <v>234915.60239269765</v>
      </c>
      <c r="R47" s="345">
        <f t="shared" si="52"/>
        <v>7173.9536637489855</v>
      </c>
      <c r="S47" s="346">
        <f t="shared" si="53"/>
        <v>1048445.7555943496</v>
      </c>
      <c r="T47" s="287"/>
      <c r="U47" s="389">
        <f t="shared" si="45"/>
        <v>54908</v>
      </c>
      <c r="V47" s="277">
        <f t="shared" si="46"/>
        <v>1317792</v>
      </c>
      <c r="W47" s="384"/>
      <c r="X47" s="127"/>
      <c r="Y47" s="385"/>
      <c r="AB47" s="385"/>
    </row>
    <row r="48" spans="1:28" s="185" customFormat="1" ht="13" outlineLevel="1" x14ac:dyDescent="0.3">
      <c r="A48" s="339">
        <v>4.07</v>
      </c>
      <c r="B48" s="350" t="s">
        <v>236</v>
      </c>
      <c r="C48" s="341" t="s">
        <v>271</v>
      </c>
      <c r="D48" s="362" t="s">
        <v>211</v>
      </c>
      <c r="E48" s="363">
        <f>9*9</f>
        <v>81</v>
      </c>
      <c r="F48" s="343">
        <v>17364.127814814812</v>
      </c>
      <c r="G48" s="343">
        <v>0</v>
      </c>
      <c r="H48" s="344">
        <f t="shared" si="37"/>
        <v>17364.127814814812</v>
      </c>
      <c r="I48" s="343">
        <v>0</v>
      </c>
      <c r="J48" s="343">
        <v>6926.4989701940704</v>
      </c>
      <c r="K48" s="344">
        <f t="shared" ref="K48:K49" si="54">I48+J48</f>
        <v>6926.4989701940704</v>
      </c>
      <c r="L48" s="343">
        <f>+(H48+K48)*0.015</f>
        <v>364.35940177513328</v>
      </c>
      <c r="M48" s="344">
        <f t="shared" si="47"/>
        <v>24654.986186784019</v>
      </c>
      <c r="N48" s="345">
        <f t="shared" si="48"/>
        <v>1406494.3529999999</v>
      </c>
      <c r="O48" s="345">
        <f t="shared" si="49"/>
        <v>0</v>
      </c>
      <c r="P48" s="345">
        <f t="shared" si="50"/>
        <v>0</v>
      </c>
      <c r="Q48" s="345">
        <f t="shared" si="51"/>
        <v>561046.41658571968</v>
      </c>
      <c r="R48" s="345">
        <f t="shared" si="52"/>
        <v>29513.111543785795</v>
      </c>
      <c r="S48" s="346">
        <f t="shared" si="53"/>
        <v>1997053.8811295053</v>
      </c>
      <c r="T48" s="287"/>
      <c r="U48" s="389">
        <f t="shared" si="45"/>
        <v>30989</v>
      </c>
      <c r="V48" s="277">
        <f t="shared" si="46"/>
        <v>2510109</v>
      </c>
      <c r="W48" s="384"/>
      <c r="X48" s="127"/>
      <c r="Y48" s="385"/>
      <c r="AB48" s="385"/>
    </row>
    <row r="49" spans="1:28" s="185" customFormat="1" ht="13" outlineLevel="1" x14ac:dyDescent="0.3">
      <c r="A49" s="339">
        <v>4.08</v>
      </c>
      <c r="B49" s="350" t="s">
        <v>236</v>
      </c>
      <c r="C49" s="341" t="s">
        <v>498</v>
      </c>
      <c r="D49" s="362" t="s">
        <v>207</v>
      </c>
      <c r="E49" s="363">
        <v>1</v>
      </c>
      <c r="F49" s="343">
        <v>451217.9481498308</v>
      </c>
      <c r="G49" s="343">
        <v>0</v>
      </c>
      <c r="H49" s="344">
        <f t="shared" si="37"/>
        <v>451217.9481498308</v>
      </c>
      <c r="I49" s="343">
        <v>0</v>
      </c>
      <c r="J49" s="343">
        <v>426669.71598600381</v>
      </c>
      <c r="K49" s="344">
        <f t="shared" si="54"/>
        <v>426669.71598600381</v>
      </c>
      <c r="L49" s="358">
        <f>+(H49+K49)*0.015</f>
        <v>13168.314962037519</v>
      </c>
      <c r="M49" s="344">
        <f t="shared" si="47"/>
        <v>891055.97909787216</v>
      </c>
      <c r="N49" s="345">
        <f t="shared" si="48"/>
        <v>451217.9481498308</v>
      </c>
      <c r="O49" s="345">
        <f t="shared" si="49"/>
        <v>0</v>
      </c>
      <c r="P49" s="345">
        <f t="shared" si="50"/>
        <v>0</v>
      </c>
      <c r="Q49" s="345">
        <f t="shared" si="51"/>
        <v>426669.71598600381</v>
      </c>
      <c r="R49" s="345">
        <f t="shared" si="52"/>
        <v>13168.314962037519</v>
      </c>
      <c r="S49" s="346">
        <f t="shared" si="53"/>
        <v>891055.97909787216</v>
      </c>
      <c r="T49" s="287"/>
      <c r="U49" s="389">
        <f t="shared" si="45"/>
        <v>1119953</v>
      </c>
      <c r="V49" s="277">
        <f t="shared" si="46"/>
        <v>1119953</v>
      </c>
      <c r="W49" s="384"/>
      <c r="X49" s="127"/>
      <c r="Y49" s="385"/>
      <c r="AB49" s="385"/>
    </row>
    <row r="50" spans="1:28" ht="13" x14ac:dyDescent="0.3">
      <c r="A50" s="325">
        <v>5</v>
      </c>
      <c r="B50" s="326"/>
      <c r="C50" s="276" t="s">
        <v>278</v>
      </c>
      <c r="D50" s="17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9">
        <f>SUM(S51:S57)</f>
        <v>28614596.531481914</v>
      </c>
      <c r="U50" s="327"/>
      <c r="V50" s="327"/>
      <c r="W50" s="330">
        <f>SUM(V51:V57)</f>
        <v>35966419</v>
      </c>
      <c r="X50" s="127">
        <f>+W50/$W$216</f>
        <v>3.1902014381428284E-2</v>
      </c>
      <c r="Y50" s="283">
        <f>+W50</f>
        <v>35966419</v>
      </c>
    </row>
    <row r="51" spans="1:28" s="185" customFormat="1" ht="13" outlineLevel="1" x14ac:dyDescent="0.3">
      <c r="A51" s="339">
        <v>5.01</v>
      </c>
      <c r="B51" s="350" t="s">
        <v>205</v>
      </c>
      <c r="C51" s="341" t="s">
        <v>280</v>
      </c>
      <c r="D51" s="362" t="s">
        <v>238</v>
      </c>
      <c r="E51" s="363">
        <v>139.05000000000001</v>
      </c>
      <c r="F51" s="343"/>
      <c r="G51" s="387">
        <v>9809.5604040679573</v>
      </c>
      <c r="H51" s="344">
        <f>F51+G51</f>
        <v>9809.5604040679573</v>
      </c>
      <c r="I51" s="390">
        <f>+J51*0.5</f>
        <v>2500.9457090628789</v>
      </c>
      <c r="J51" s="387">
        <v>5001.8914181257578</v>
      </c>
      <c r="K51" s="344">
        <f t="shared" ref="K51:K57" si="55">I51+J51</f>
        <v>7502.8371271886372</v>
      </c>
      <c r="L51" s="387">
        <v>31.337344543287259</v>
      </c>
      <c r="M51" s="344">
        <f>H51+K51+L51</f>
        <v>17343.734875799884</v>
      </c>
      <c r="N51" s="345">
        <f t="shared" si="39"/>
        <v>0</v>
      </c>
      <c r="O51" s="345">
        <f>G51*E51</f>
        <v>1364019.3741856497</v>
      </c>
      <c r="P51" s="345">
        <f t="shared" si="41"/>
        <v>347756.50084519334</v>
      </c>
      <c r="Q51" s="345">
        <f t="shared" si="42"/>
        <v>695513.00169038668</v>
      </c>
      <c r="R51" s="345">
        <f t="shared" si="43"/>
        <v>4357.4577587440936</v>
      </c>
      <c r="S51" s="346">
        <f t="shared" si="44"/>
        <v>2411646.3344799741</v>
      </c>
      <c r="T51" s="347"/>
      <c r="U51" s="391">
        <f>+ROUNDUP(M51*$T$5,0)</f>
        <v>21800</v>
      </c>
      <c r="V51" s="389">
        <f t="shared" ref="V51:V57" si="56">+U51*E51</f>
        <v>3031290.0000000005</v>
      </c>
      <c r="W51" s="384"/>
      <c r="X51" s="127"/>
      <c r="Y51" s="385"/>
      <c r="AB51" s="385"/>
    </row>
    <row r="52" spans="1:28" s="185" customFormat="1" ht="13" outlineLevel="1" x14ac:dyDescent="0.3">
      <c r="A52" s="339">
        <v>5.0199999999999996</v>
      </c>
      <c r="B52" s="350" t="s">
        <v>205</v>
      </c>
      <c r="C52" s="341" t="s">
        <v>499</v>
      </c>
      <c r="D52" s="362" t="s">
        <v>238</v>
      </c>
      <c r="E52" s="363">
        <v>300</v>
      </c>
      <c r="F52" s="388"/>
      <c r="G52" s="387">
        <v>758.10738300000003</v>
      </c>
      <c r="H52" s="344">
        <f>F52+G52</f>
        <v>758.10738300000003</v>
      </c>
      <c r="I52" s="388"/>
      <c r="J52" s="387">
        <v>3395.9551113285988</v>
      </c>
      <c r="K52" s="344">
        <f t="shared" si="55"/>
        <v>3395.9551113285988</v>
      </c>
      <c r="L52" s="387">
        <v>122.76855228141865</v>
      </c>
      <c r="M52" s="344">
        <f>H52+K52+L52</f>
        <v>4276.8310466100174</v>
      </c>
      <c r="N52" s="345">
        <f>F52*E52</f>
        <v>0</v>
      </c>
      <c r="O52" s="345">
        <f>G52*E52</f>
        <v>227432.21490000002</v>
      </c>
      <c r="P52" s="345">
        <f>I52*E52</f>
        <v>0</v>
      </c>
      <c r="Q52" s="345">
        <f>J52*E52</f>
        <v>1018786.5333985797</v>
      </c>
      <c r="R52" s="345">
        <f>+L52*E52</f>
        <v>36830.565684425594</v>
      </c>
      <c r="S52" s="346">
        <f>SUM(N52:R52)</f>
        <v>1283049.3139830055</v>
      </c>
      <c r="T52" s="347"/>
      <c r="U52" s="391">
        <f t="shared" ref="U52:U57" si="57">+ROUNDUP(M52*$T$5,0)</f>
        <v>5376</v>
      </c>
      <c r="V52" s="277">
        <f t="shared" si="56"/>
        <v>1612800</v>
      </c>
      <c r="W52" s="384"/>
      <c r="X52" s="127"/>
      <c r="Y52" s="385"/>
      <c r="AB52" s="385"/>
    </row>
    <row r="53" spans="1:28" s="185" customFormat="1" ht="13" outlineLevel="1" x14ac:dyDescent="0.3">
      <c r="A53" s="339">
        <v>5.03</v>
      </c>
      <c r="B53" s="350" t="s">
        <v>205</v>
      </c>
      <c r="C53" s="341" t="s">
        <v>500</v>
      </c>
      <c r="D53" s="362" t="s">
        <v>238</v>
      </c>
      <c r="E53" s="363">
        <v>48</v>
      </c>
      <c r="F53" s="388"/>
      <c r="G53" s="387">
        <v>758.10738300000003</v>
      </c>
      <c r="H53" s="344">
        <f>F53+G53</f>
        <v>758.10738300000003</v>
      </c>
      <c r="I53" s="388"/>
      <c r="J53" s="387">
        <v>3395.9551113285988</v>
      </c>
      <c r="K53" s="344">
        <f t="shared" si="55"/>
        <v>3395.9551113285988</v>
      </c>
      <c r="L53" s="387">
        <v>122.76855228141865</v>
      </c>
      <c r="M53" s="344">
        <f>H53+K53+L53</f>
        <v>4276.8310466100174</v>
      </c>
      <c r="N53" s="345">
        <f>F53*E53</f>
        <v>0</v>
      </c>
      <c r="O53" s="345">
        <f>G53*E53</f>
        <v>36389.154384000001</v>
      </c>
      <c r="P53" s="345">
        <f>I53*E53</f>
        <v>0</v>
      </c>
      <c r="Q53" s="345">
        <f>J53*E53</f>
        <v>163005.84534377273</v>
      </c>
      <c r="R53" s="345">
        <f>+L53*E53</f>
        <v>5892.8905095080954</v>
      </c>
      <c r="S53" s="346">
        <f>SUM(N53:R53)</f>
        <v>205287.89023728081</v>
      </c>
      <c r="T53" s="347"/>
      <c r="U53" s="391">
        <f t="shared" si="57"/>
        <v>5376</v>
      </c>
      <c r="V53" s="277">
        <f t="shared" si="56"/>
        <v>258048</v>
      </c>
      <c r="W53" s="384"/>
      <c r="X53" s="127"/>
      <c r="Y53" s="385"/>
      <c r="AB53" s="385"/>
    </row>
    <row r="54" spans="1:28" s="185" customFormat="1" ht="13" outlineLevel="1" x14ac:dyDescent="0.3">
      <c r="A54" s="339">
        <v>5.04</v>
      </c>
      <c r="B54" s="350" t="s">
        <v>205</v>
      </c>
      <c r="C54" s="341" t="s">
        <v>282</v>
      </c>
      <c r="D54" s="362" t="s">
        <v>238</v>
      </c>
      <c r="E54" s="363">
        <v>262</v>
      </c>
      <c r="F54" s="388"/>
      <c r="G54" s="349">
        <v>3502.8</v>
      </c>
      <c r="H54" s="344">
        <f t="shared" ref="H54:H56" si="58">F54+G54</f>
        <v>3502.8</v>
      </c>
      <c r="I54" s="388"/>
      <c r="J54" s="388"/>
      <c r="K54" s="344">
        <f t="shared" si="55"/>
        <v>0</v>
      </c>
      <c r="L54" s="388"/>
      <c r="M54" s="344">
        <f t="shared" ref="M54:M56" si="59">H54+K54+L54</f>
        <v>3502.8</v>
      </c>
      <c r="N54" s="345">
        <f t="shared" ref="N54:N56" si="60">F54*E54</f>
        <v>0</v>
      </c>
      <c r="O54" s="345">
        <f t="shared" ref="O54:O57" si="61">G54*E54</f>
        <v>917733.60000000009</v>
      </c>
      <c r="P54" s="345">
        <f t="shared" ref="P54:P57" si="62">I54*E54</f>
        <v>0</v>
      </c>
      <c r="Q54" s="345">
        <f t="shared" ref="Q54:Q57" si="63">J54*E54</f>
        <v>0</v>
      </c>
      <c r="R54" s="345">
        <f t="shared" ref="R54:R57" si="64">+L54*E54</f>
        <v>0</v>
      </c>
      <c r="S54" s="346">
        <f t="shared" ref="S54:S56" si="65">SUM(N54:R54)</f>
        <v>917733.60000000009</v>
      </c>
      <c r="T54" s="347"/>
      <c r="U54" s="391">
        <f t="shared" si="57"/>
        <v>4403</v>
      </c>
      <c r="V54" s="277">
        <f t="shared" si="56"/>
        <v>1153586</v>
      </c>
      <c r="W54" s="384"/>
      <c r="X54" s="127"/>
      <c r="Y54" s="385"/>
      <c r="AB54" s="385"/>
    </row>
    <row r="55" spans="1:28" s="185" customFormat="1" ht="13" outlineLevel="1" x14ac:dyDescent="0.3">
      <c r="A55" s="339">
        <v>5.05</v>
      </c>
      <c r="B55" s="350" t="s">
        <v>205</v>
      </c>
      <c r="C55" s="341" t="s">
        <v>283</v>
      </c>
      <c r="D55" s="362" t="s">
        <v>238</v>
      </c>
      <c r="E55" s="363">
        <v>510</v>
      </c>
      <c r="F55" s="388"/>
      <c r="G55" s="387">
        <v>1273.3407295555555</v>
      </c>
      <c r="H55" s="344">
        <f t="shared" si="58"/>
        <v>1273.3407295555555</v>
      </c>
      <c r="I55" s="388"/>
      <c r="J55" s="387">
        <v>1563.0910681642993</v>
      </c>
      <c r="K55" s="344">
        <f t="shared" si="55"/>
        <v>1563.0910681642993</v>
      </c>
      <c r="L55" s="387">
        <v>9.7929201697772683</v>
      </c>
      <c r="M55" s="344">
        <f t="shared" si="59"/>
        <v>2846.2247178896318</v>
      </c>
      <c r="N55" s="345">
        <f t="shared" si="60"/>
        <v>0</v>
      </c>
      <c r="O55" s="345">
        <f t="shared" si="61"/>
        <v>649403.77207333327</v>
      </c>
      <c r="P55" s="345">
        <f t="shared" si="62"/>
        <v>0</v>
      </c>
      <c r="Q55" s="345">
        <f t="shared" si="63"/>
        <v>797176.44476379268</v>
      </c>
      <c r="R55" s="345">
        <f t="shared" si="64"/>
        <v>4994.3892865864073</v>
      </c>
      <c r="S55" s="346">
        <f t="shared" si="65"/>
        <v>1451574.6061237121</v>
      </c>
      <c r="T55" s="347"/>
      <c r="U55" s="391">
        <f t="shared" si="57"/>
        <v>3578</v>
      </c>
      <c r="V55" s="277">
        <f t="shared" si="56"/>
        <v>1824780</v>
      </c>
      <c r="W55" s="384"/>
      <c r="X55" s="127"/>
      <c r="Y55" s="385"/>
      <c r="AB55" s="385"/>
    </row>
    <row r="56" spans="1:28" s="394" customFormat="1" ht="13" outlineLevel="1" x14ac:dyDescent="0.3">
      <c r="A56" s="339">
        <v>5.0599999999999996</v>
      </c>
      <c r="B56" s="350" t="s">
        <v>205</v>
      </c>
      <c r="C56" s="341" t="s">
        <v>501</v>
      </c>
      <c r="D56" s="392" t="s">
        <v>238</v>
      </c>
      <c r="E56" s="363">
        <v>510</v>
      </c>
      <c r="F56" s="343"/>
      <c r="G56" s="387">
        <v>9809.5604040679573</v>
      </c>
      <c r="H56" s="344">
        <f t="shared" si="58"/>
        <v>9809.5604040679573</v>
      </c>
      <c r="I56" s="390">
        <f>+J56*0.5</f>
        <v>2500.9457090628789</v>
      </c>
      <c r="J56" s="387">
        <v>5001.8914181257578</v>
      </c>
      <c r="K56" s="344">
        <f t="shared" si="55"/>
        <v>7502.8371271886372</v>
      </c>
      <c r="L56" s="387">
        <v>31.337344543287259</v>
      </c>
      <c r="M56" s="344">
        <f t="shared" si="59"/>
        <v>17343.734875799884</v>
      </c>
      <c r="N56" s="345">
        <f t="shared" si="60"/>
        <v>0</v>
      </c>
      <c r="O56" s="345">
        <f t="shared" si="61"/>
        <v>5002875.8060746584</v>
      </c>
      <c r="P56" s="345">
        <f t="shared" si="62"/>
        <v>1275482.3116220683</v>
      </c>
      <c r="Q56" s="345">
        <f t="shared" si="63"/>
        <v>2550964.6232441366</v>
      </c>
      <c r="R56" s="345">
        <f t="shared" si="64"/>
        <v>15982.045717076502</v>
      </c>
      <c r="S56" s="346">
        <f t="shared" si="65"/>
        <v>8845304.7866579406</v>
      </c>
      <c r="T56" s="347"/>
      <c r="U56" s="391">
        <f t="shared" si="57"/>
        <v>21800</v>
      </c>
      <c r="V56" s="277">
        <f t="shared" si="56"/>
        <v>11118000</v>
      </c>
      <c r="W56" s="393"/>
      <c r="X56" s="127"/>
      <c r="Y56" s="286"/>
      <c r="AB56" s="286"/>
    </row>
    <row r="57" spans="1:28" s="394" customFormat="1" ht="13" outlineLevel="1" x14ac:dyDescent="0.3">
      <c r="A57" s="339">
        <v>5.07</v>
      </c>
      <c r="B57" s="350" t="s">
        <v>205</v>
      </c>
      <c r="C57" s="341" t="s">
        <v>502</v>
      </c>
      <c r="D57" s="392" t="s">
        <v>207</v>
      </c>
      <c r="E57" s="363">
        <v>1</v>
      </c>
      <c r="F57" s="395"/>
      <c r="G57" s="395"/>
      <c r="H57" s="344">
        <f>F57+G57</f>
        <v>0</v>
      </c>
      <c r="I57" s="396">
        <v>13500000</v>
      </c>
      <c r="J57" s="395"/>
      <c r="K57" s="344">
        <f t="shared" si="55"/>
        <v>13500000</v>
      </c>
      <c r="L57" s="397"/>
      <c r="M57" s="344">
        <f>H57+K57+L57</f>
        <v>13500000</v>
      </c>
      <c r="N57" s="345">
        <f>F57*E57</f>
        <v>0</v>
      </c>
      <c r="O57" s="345">
        <f t="shared" si="61"/>
        <v>0</v>
      </c>
      <c r="P57" s="345">
        <f t="shared" si="62"/>
        <v>13500000</v>
      </c>
      <c r="Q57" s="345">
        <f t="shared" si="63"/>
        <v>0</v>
      </c>
      <c r="R57" s="345">
        <f t="shared" si="64"/>
        <v>0</v>
      </c>
      <c r="S57" s="346">
        <f>SUM(N57:R57)</f>
        <v>13500000</v>
      </c>
      <c r="T57" s="347"/>
      <c r="U57" s="391">
        <f t="shared" si="57"/>
        <v>16967915</v>
      </c>
      <c r="V57" s="277">
        <f t="shared" si="56"/>
        <v>16967915</v>
      </c>
      <c r="W57" s="287"/>
      <c r="X57" s="127"/>
      <c r="Y57" s="286"/>
      <c r="AB57" s="286"/>
    </row>
    <row r="58" spans="1:28" ht="13" x14ac:dyDescent="0.3">
      <c r="A58" s="325">
        <v>6</v>
      </c>
      <c r="B58" s="326"/>
      <c r="C58" s="276" t="s">
        <v>286</v>
      </c>
      <c r="D58" s="177"/>
      <c r="E58" s="327"/>
      <c r="F58" s="327"/>
      <c r="G58" s="327"/>
      <c r="H58" s="327"/>
      <c r="I58" s="327"/>
      <c r="J58" s="327"/>
      <c r="K58" s="327"/>
      <c r="L58" s="327"/>
      <c r="M58" s="328"/>
      <c r="N58" s="327"/>
      <c r="O58" s="327"/>
      <c r="P58" s="327"/>
      <c r="Q58" s="327"/>
      <c r="R58" s="327"/>
      <c r="S58" s="327"/>
      <c r="T58" s="329">
        <f>SUM(S59:S59)</f>
        <v>1936418.4263133551</v>
      </c>
      <c r="U58" s="327"/>
      <c r="V58" s="327"/>
      <c r="W58" s="330">
        <f>SUM(V59:V59)</f>
        <v>2433900</v>
      </c>
      <c r="X58" s="127">
        <f>+W58/$W$216</f>
        <v>2.1588558150022748E-3</v>
      </c>
      <c r="Y58" s="283">
        <f>+W58</f>
        <v>2433900</v>
      </c>
    </row>
    <row r="59" spans="1:28" s="394" customFormat="1" ht="13" outlineLevel="1" x14ac:dyDescent="0.3">
      <c r="A59" s="350">
        <v>6.02</v>
      </c>
      <c r="B59" s="350" t="s">
        <v>205</v>
      </c>
      <c r="C59" s="353" t="s">
        <v>287</v>
      </c>
      <c r="D59" s="398" t="s">
        <v>211</v>
      </c>
      <c r="E59" s="354">
        <v>60</v>
      </c>
      <c r="F59" s="355">
        <v>13939.39393939394</v>
      </c>
      <c r="G59" s="355">
        <v>0</v>
      </c>
      <c r="H59" s="356">
        <f>F59+G59</f>
        <v>13939.39393939394</v>
      </c>
      <c r="I59" s="355">
        <v>0</v>
      </c>
      <c r="J59" s="355">
        <v>4329.9039997714654</v>
      </c>
      <c r="K59" s="356">
        <f t="shared" ref="K59" si="66">I59+J59</f>
        <v>4329.9039997714654</v>
      </c>
      <c r="L59" s="399">
        <f>+H59+K59*(0.015)</f>
        <v>14004.342499390512</v>
      </c>
      <c r="M59" s="356">
        <f t="shared" ref="M59" si="67">H59+K59+L59</f>
        <v>32273.640438555914</v>
      </c>
      <c r="N59" s="359">
        <f>F59*E59</f>
        <v>836363.63636363635</v>
      </c>
      <c r="O59" s="359">
        <f>G59*E59</f>
        <v>0</v>
      </c>
      <c r="P59" s="359">
        <f>I59*E59</f>
        <v>0</v>
      </c>
      <c r="Q59" s="359">
        <f>J59*E59</f>
        <v>259794.23998628792</v>
      </c>
      <c r="R59" s="359">
        <f>+L59*E59</f>
        <v>840260.54996343073</v>
      </c>
      <c r="S59" s="360">
        <f>SUM(N59:R59)</f>
        <v>1936418.4263133551</v>
      </c>
      <c r="T59" s="347"/>
      <c r="U59" s="277">
        <f>+ROUNDUP(M59*$T$5,0)</f>
        <v>40565</v>
      </c>
      <c r="V59" s="277">
        <f>+U59*E59</f>
        <v>2433900</v>
      </c>
      <c r="W59" s="393"/>
      <c r="X59" s="127"/>
      <c r="Y59" s="286"/>
      <c r="AB59" s="286"/>
    </row>
    <row r="60" spans="1:28" ht="13" x14ac:dyDescent="0.3">
      <c r="A60" s="325">
        <v>7</v>
      </c>
      <c r="B60" s="326"/>
      <c r="C60" s="276" t="s">
        <v>288</v>
      </c>
      <c r="D60" s="177"/>
      <c r="E60" s="327"/>
      <c r="F60" s="327"/>
      <c r="G60" s="327"/>
      <c r="H60" s="327"/>
      <c r="I60" s="327"/>
      <c r="J60" s="327"/>
      <c r="K60" s="327"/>
      <c r="L60" s="327"/>
      <c r="M60" s="328"/>
      <c r="N60" s="327"/>
      <c r="O60" s="327"/>
      <c r="P60" s="327"/>
      <c r="Q60" s="327"/>
      <c r="R60" s="327"/>
      <c r="S60" s="327"/>
      <c r="T60" s="329">
        <f>SUM(S61:S68)</f>
        <v>108511185.97251408</v>
      </c>
      <c r="U60" s="327"/>
      <c r="V60" s="327"/>
      <c r="W60" s="330">
        <f>SUM(V61:V68)</f>
        <v>136390555.29860002</v>
      </c>
      <c r="X60" s="127">
        <f>+W60/$W$216</f>
        <v>0.12097766687940012</v>
      </c>
      <c r="Y60" s="283">
        <f>+W60</f>
        <v>136390555.29860002</v>
      </c>
    </row>
    <row r="61" spans="1:28" s="185" customFormat="1" ht="13" outlineLevel="1" x14ac:dyDescent="0.3">
      <c r="A61" s="331">
        <v>7.01</v>
      </c>
      <c r="B61" s="380" t="s">
        <v>462</v>
      </c>
      <c r="C61" s="400" t="s">
        <v>503</v>
      </c>
      <c r="D61" s="182" t="s">
        <v>238</v>
      </c>
      <c r="E61" s="381">
        <v>678.25199999999995</v>
      </c>
      <c r="F61" s="382"/>
      <c r="G61" s="382">
        <v>3747.8693230000003</v>
      </c>
      <c r="H61" s="334">
        <f>F61+G61</f>
        <v>3747.8693230000003</v>
      </c>
      <c r="I61" s="131"/>
      <c r="J61" s="382">
        <v>9136.8339619578401</v>
      </c>
      <c r="K61" s="334">
        <f>I61+J61</f>
        <v>9136.8339619578401</v>
      </c>
      <c r="L61" s="382">
        <v>298.91473598954104</v>
      </c>
      <c r="M61" s="334">
        <f>H61+K61+L61</f>
        <v>13183.618020947382</v>
      </c>
      <c r="N61" s="335">
        <f t="shared" si="39"/>
        <v>0</v>
      </c>
      <c r="O61" s="335">
        <f>G61*E61</f>
        <v>2541999.8640633961</v>
      </c>
      <c r="P61" s="335">
        <f t="shared" si="41"/>
        <v>0</v>
      </c>
      <c r="Q61" s="335">
        <f t="shared" si="42"/>
        <v>6197075.9083658289</v>
      </c>
      <c r="R61" s="335">
        <f t="shared" si="43"/>
        <v>202739.51751437818</v>
      </c>
      <c r="S61" s="336">
        <f t="shared" si="44"/>
        <v>8941815.2899436019</v>
      </c>
      <c r="T61" s="347"/>
      <c r="U61" s="338">
        <f t="shared" ref="U61:U68" si="68">+ROUNDUP(M61*$T$5,0)</f>
        <v>16571</v>
      </c>
      <c r="V61" s="338">
        <f t="shared" ref="V61:V68" si="69">+U61*E61</f>
        <v>11239313.891999999</v>
      </c>
      <c r="W61" s="401"/>
      <c r="X61" s="127"/>
      <c r="Y61" s="385"/>
      <c r="AB61" s="385"/>
    </row>
    <row r="62" spans="1:28" s="185" customFormat="1" ht="13" outlineLevel="1" x14ac:dyDescent="0.3">
      <c r="A62" s="339">
        <v>7.02</v>
      </c>
      <c r="B62" s="350" t="s">
        <v>462</v>
      </c>
      <c r="C62" s="402" t="s">
        <v>504</v>
      </c>
      <c r="D62" s="362" t="s">
        <v>238</v>
      </c>
      <c r="E62" s="363">
        <v>876.08119999999985</v>
      </c>
      <c r="F62" s="387"/>
      <c r="G62" s="387">
        <v>3747.8693230000003</v>
      </c>
      <c r="H62" s="344">
        <f>F62+G62</f>
        <v>3747.8693230000003</v>
      </c>
      <c r="I62" s="343"/>
      <c r="J62" s="387">
        <v>13134.198820314396</v>
      </c>
      <c r="K62" s="344">
        <f>I62+J62</f>
        <v>13134.198820314396</v>
      </c>
      <c r="L62" s="387">
        <v>766.41029483988711</v>
      </c>
      <c r="M62" s="344">
        <f>H62+K62+L62</f>
        <v>17648.478438154281</v>
      </c>
      <c r="N62" s="345">
        <f t="shared" si="39"/>
        <v>0</v>
      </c>
      <c r="O62" s="345">
        <f t="shared" ref="O62:O68" si="70">G62*E62</f>
        <v>3283437.8539370275</v>
      </c>
      <c r="P62" s="345">
        <f t="shared" si="41"/>
        <v>0</v>
      </c>
      <c r="Q62" s="345">
        <f t="shared" si="42"/>
        <v>11506624.663539618</v>
      </c>
      <c r="R62" s="345">
        <f t="shared" si="43"/>
        <v>671437.65079568198</v>
      </c>
      <c r="S62" s="346">
        <f t="shared" ref="S62:S68" si="71">SUM(N62:R62)</f>
        <v>15461500.168272328</v>
      </c>
      <c r="T62" s="347"/>
      <c r="U62" s="277">
        <f t="shared" si="68"/>
        <v>22183</v>
      </c>
      <c r="V62" s="277">
        <f t="shared" si="69"/>
        <v>19434109.259599999</v>
      </c>
      <c r="W62" s="393"/>
      <c r="X62" s="127"/>
      <c r="Y62" s="385"/>
      <c r="AB62" s="385"/>
    </row>
    <row r="63" spans="1:28" s="185" customFormat="1" ht="13" outlineLevel="1" x14ac:dyDescent="0.3">
      <c r="A63" s="340">
        <v>7.03</v>
      </c>
      <c r="B63" s="350"/>
      <c r="C63" s="402" t="s">
        <v>505</v>
      </c>
      <c r="D63" s="362" t="s">
        <v>211</v>
      </c>
      <c r="E63" s="363">
        <v>182</v>
      </c>
      <c r="F63" s="387"/>
      <c r="G63" s="387"/>
      <c r="H63" s="344">
        <f t="shared" ref="H63:H68" si="72">F63+G63</f>
        <v>0</v>
      </c>
      <c r="I63" s="343"/>
      <c r="J63" s="349">
        <v>8597.4065149288563</v>
      </c>
      <c r="K63" s="344">
        <f t="shared" ref="K63:K68" si="73">I63+J63</f>
        <v>8597.4065149288563</v>
      </c>
      <c r="L63" s="387"/>
      <c r="M63" s="344">
        <f t="shared" ref="M63:M68" si="74">H63+K63+L63</f>
        <v>8597.4065149288563</v>
      </c>
      <c r="N63" s="345">
        <f t="shared" si="39"/>
        <v>0</v>
      </c>
      <c r="O63" s="345">
        <f t="shared" si="70"/>
        <v>0</v>
      </c>
      <c r="P63" s="345">
        <f t="shared" si="41"/>
        <v>0</v>
      </c>
      <c r="Q63" s="345">
        <f t="shared" si="42"/>
        <v>1564727.9857170519</v>
      </c>
      <c r="R63" s="345">
        <f t="shared" si="43"/>
        <v>0</v>
      </c>
      <c r="S63" s="346">
        <f t="shared" ref="S63:S65" si="75">SUM(N63:R63)</f>
        <v>1564727.9857170519</v>
      </c>
      <c r="T63" s="347"/>
      <c r="U63" s="277">
        <f t="shared" si="68"/>
        <v>10806</v>
      </c>
      <c r="V63" s="277">
        <f t="shared" si="69"/>
        <v>1966692</v>
      </c>
      <c r="W63" s="393"/>
      <c r="X63" s="127"/>
      <c r="Y63" s="385"/>
      <c r="AB63" s="385"/>
    </row>
    <row r="64" spans="1:28" s="185" customFormat="1" ht="13" outlineLevel="1" x14ac:dyDescent="0.3">
      <c r="A64" s="340">
        <v>7.04</v>
      </c>
      <c r="B64" s="350" t="s">
        <v>462</v>
      </c>
      <c r="C64" s="341" t="s">
        <v>506</v>
      </c>
      <c r="D64" s="362" t="s">
        <v>238</v>
      </c>
      <c r="E64" s="363">
        <v>995.85109999999997</v>
      </c>
      <c r="F64" s="387"/>
      <c r="G64" s="387">
        <v>2606.0755930000005</v>
      </c>
      <c r="H64" s="344">
        <f t="shared" si="72"/>
        <v>2606.0755930000005</v>
      </c>
      <c r="I64" s="125"/>
      <c r="J64" s="387">
        <v>17928.383737307293</v>
      </c>
      <c r="K64" s="344">
        <f t="shared" si="73"/>
        <v>17928.383737307293</v>
      </c>
      <c r="L64" s="387">
        <v>572.91991064662034</v>
      </c>
      <c r="M64" s="344">
        <f t="shared" si="74"/>
        <v>21107.379240953916</v>
      </c>
      <c r="N64" s="345">
        <f t="shared" si="39"/>
        <v>0</v>
      </c>
      <c r="O64" s="345">
        <f t="shared" si="70"/>
        <v>2595263.2459722026</v>
      </c>
      <c r="P64" s="345">
        <f t="shared" si="41"/>
        <v>0</v>
      </c>
      <c r="Q64" s="345">
        <f t="shared" si="42"/>
        <v>17854000.666019578</v>
      </c>
      <c r="R64" s="345">
        <f t="shared" si="43"/>
        <v>570542.9232293386</v>
      </c>
      <c r="S64" s="346">
        <f t="shared" si="75"/>
        <v>21019806.835221119</v>
      </c>
      <c r="T64" s="347"/>
      <c r="U64" s="277">
        <f t="shared" si="68"/>
        <v>26530</v>
      </c>
      <c r="V64" s="277">
        <f t="shared" si="69"/>
        <v>26419929.682999998</v>
      </c>
      <c r="W64" s="393"/>
      <c r="X64" s="127"/>
      <c r="Y64" s="385"/>
      <c r="AB64" s="385"/>
    </row>
    <row r="65" spans="1:28" s="185" customFormat="1" ht="13" outlineLevel="1" x14ac:dyDescent="0.3">
      <c r="A65" s="340">
        <v>7.05</v>
      </c>
      <c r="B65" s="350" t="s">
        <v>462</v>
      </c>
      <c r="C65" s="341" t="s">
        <v>291</v>
      </c>
      <c r="D65" s="362" t="s">
        <v>238</v>
      </c>
      <c r="E65" s="363">
        <v>2514.8970000000013</v>
      </c>
      <c r="F65" s="343">
        <v>0</v>
      </c>
      <c r="G65" s="343">
        <v>5135.3398886713831</v>
      </c>
      <c r="H65" s="344">
        <f t="shared" si="72"/>
        <v>5135.3398886713831</v>
      </c>
      <c r="I65" s="343">
        <v>12817.951531348474</v>
      </c>
      <c r="J65" s="343">
        <v>0</v>
      </c>
      <c r="K65" s="344">
        <f t="shared" si="73"/>
        <v>12817.951531348474</v>
      </c>
      <c r="L65" s="388"/>
      <c r="M65" s="344">
        <f t="shared" si="74"/>
        <v>17953.291420019857</v>
      </c>
      <c r="N65" s="345">
        <f t="shared" si="39"/>
        <v>0</v>
      </c>
      <c r="O65" s="345">
        <f t="shared" si="70"/>
        <v>12914850.880000003</v>
      </c>
      <c r="P65" s="345">
        <f t="shared" si="41"/>
        <v>32235827.852333698</v>
      </c>
      <c r="Q65" s="345">
        <f t="shared" si="42"/>
        <v>0</v>
      </c>
      <c r="R65" s="345">
        <f t="shared" si="43"/>
        <v>0</v>
      </c>
      <c r="S65" s="346">
        <f t="shared" si="75"/>
        <v>45150678.732333705</v>
      </c>
      <c r="T65" s="347"/>
      <c r="U65" s="277">
        <f t="shared" si="68"/>
        <v>22566</v>
      </c>
      <c r="V65" s="277">
        <f t="shared" si="69"/>
        <v>56751165.702000029</v>
      </c>
      <c r="W65" s="393"/>
      <c r="X65" s="127"/>
      <c r="Y65" s="385"/>
      <c r="AB65" s="385"/>
    </row>
    <row r="66" spans="1:28" s="185" customFormat="1" ht="13" outlineLevel="1" x14ac:dyDescent="0.3">
      <c r="A66" s="340">
        <v>7.06</v>
      </c>
      <c r="B66" s="350" t="s">
        <v>462</v>
      </c>
      <c r="C66" s="403" t="s">
        <v>292</v>
      </c>
      <c r="D66" s="362" t="s">
        <v>211</v>
      </c>
      <c r="E66" s="363">
        <v>509.9</v>
      </c>
      <c r="F66" s="343">
        <v>0</v>
      </c>
      <c r="G66" s="343">
        <v>0</v>
      </c>
      <c r="H66" s="344">
        <f t="shared" si="72"/>
        <v>0</v>
      </c>
      <c r="I66" s="343">
        <v>10160.57133582501</v>
      </c>
      <c r="J66" s="343">
        <v>0</v>
      </c>
      <c r="K66" s="344">
        <f t="shared" si="73"/>
        <v>10160.57133582501</v>
      </c>
      <c r="L66" s="388"/>
      <c r="M66" s="344">
        <f t="shared" si="74"/>
        <v>10160.57133582501</v>
      </c>
      <c r="N66" s="345">
        <f t="shared" si="39"/>
        <v>0</v>
      </c>
      <c r="O66" s="345">
        <f t="shared" si="70"/>
        <v>0</v>
      </c>
      <c r="P66" s="345">
        <f t="shared" si="41"/>
        <v>5180875.3241371727</v>
      </c>
      <c r="Q66" s="345">
        <f t="shared" si="42"/>
        <v>0</v>
      </c>
      <c r="R66" s="345">
        <f t="shared" si="43"/>
        <v>0</v>
      </c>
      <c r="S66" s="346">
        <f t="shared" si="71"/>
        <v>5180875.3241371727</v>
      </c>
      <c r="T66" s="347"/>
      <c r="U66" s="277">
        <f t="shared" si="68"/>
        <v>12771</v>
      </c>
      <c r="V66" s="277">
        <f t="shared" si="69"/>
        <v>6511932.8999999994</v>
      </c>
      <c r="W66" s="393"/>
      <c r="X66" s="127"/>
      <c r="Y66" s="385"/>
      <c r="AB66" s="385"/>
    </row>
    <row r="67" spans="1:28" s="185" customFormat="1" ht="13" outlineLevel="1" x14ac:dyDescent="0.3">
      <c r="A67" s="340">
        <v>7.07</v>
      </c>
      <c r="B67" s="350" t="s">
        <v>462</v>
      </c>
      <c r="C67" s="403" t="s">
        <v>293</v>
      </c>
      <c r="D67" s="362" t="s">
        <v>243</v>
      </c>
      <c r="E67" s="363">
        <v>198</v>
      </c>
      <c r="F67" s="343">
        <v>0</v>
      </c>
      <c r="G67" s="343">
        <v>1217.7454545454545</v>
      </c>
      <c r="H67" s="344">
        <f t="shared" si="72"/>
        <v>1217.7454545454545</v>
      </c>
      <c r="I67" s="343">
        <v>10673.73150430102</v>
      </c>
      <c r="J67" s="343">
        <v>0</v>
      </c>
      <c r="K67" s="344">
        <f t="shared" si="73"/>
        <v>10673.73150430102</v>
      </c>
      <c r="L67" s="388"/>
      <c r="M67" s="344">
        <f t="shared" si="74"/>
        <v>11891.476958846475</v>
      </c>
      <c r="N67" s="345">
        <f t="shared" si="39"/>
        <v>0</v>
      </c>
      <c r="O67" s="345">
        <f t="shared" si="70"/>
        <v>241113.60000000001</v>
      </c>
      <c r="P67" s="345">
        <f t="shared" si="41"/>
        <v>2113398.8378516021</v>
      </c>
      <c r="Q67" s="345">
        <f t="shared" si="42"/>
        <v>0</v>
      </c>
      <c r="R67" s="345">
        <f t="shared" si="43"/>
        <v>0</v>
      </c>
      <c r="S67" s="346">
        <f t="shared" si="71"/>
        <v>2354512.4378516022</v>
      </c>
      <c r="T67" s="347"/>
      <c r="U67" s="277">
        <f t="shared" si="68"/>
        <v>14947</v>
      </c>
      <c r="V67" s="277">
        <f t="shared" si="69"/>
        <v>2959506</v>
      </c>
      <c r="W67" s="393"/>
      <c r="X67" s="127"/>
      <c r="Y67" s="385"/>
      <c r="AB67" s="385"/>
    </row>
    <row r="68" spans="1:28" s="185" customFormat="1" ht="13" outlineLevel="1" x14ac:dyDescent="0.3">
      <c r="A68" s="404">
        <v>7.08</v>
      </c>
      <c r="B68" s="352" t="s">
        <v>462</v>
      </c>
      <c r="C68" s="353" t="s">
        <v>295</v>
      </c>
      <c r="D68" s="405" t="s">
        <v>238</v>
      </c>
      <c r="E68" s="379">
        <v>670.322</v>
      </c>
      <c r="F68" s="406"/>
      <c r="G68" s="399">
        <v>3747.8693230000003</v>
      </c>
      <c r="H68" s="356">
        <f t="shared" si="72"/>
        <v>3747.8693230000003</v>
      </c>
      <c r="I68" s="132"/>
      <c r="J68" s="399">
        <v>9136.8339619578401</v>
      </c>
      <c r="K68" s="356">
        <f t="shared" si="73"/>
        <v>9136.8339619578401</v>
      </c>
      <c r="L68" s="399">
        <v>298.91473598954104</v>
      </c>
      <c r="M68" s="356">
        <f t="shared" si="74"/>
        <v>13183.618020947382</v>
      </c>
      <c r="N68" s="359">
        <f t="shared" si="39"/>
        <v>0</v>
      </c>
      <c r="O68" s="359">
        <f t="shared" si="70"/>
        <v>2512279.260332006</v>
      </c>
      <c r="P68" s="359">
        <f t="shared" si="41"/>
        <v>0</v>
      </c>
      <c r="Q68" s="359">
        <f t="shared" si="42"/>
        <v>6124620.8150475034</v>
      </c>
      <c r="R68" s="359">
        <f t="shared" si="43"/>
        <v>200369.12365798114</v>
      </c>
      <c r="S68" s="360">
        <f t="shared" si="71"/>
        <v>8837269.1990374904</v>
      </c>
      <c r="T68" s="347"/>
      <c r="U68" s="277">
        <f t="shared" si="68"/>
        <v>16571</v>
      </c>
      <c r="V68" s="277">
        <f t="shared" si="69"/>
        <v>11107905.862</v>
      </c>
      <c r="W68" s="393"/>
      <c r="X68" s="127"/>
      <c r="Y68" s="385"/>
      <c r="AB68" s="385"/>
    </row>
    <row r="69" spans="1:28" ht="13" x14ac:dyDescent="0.3">
      <c r="A69" s="325">
        <v>8</v>
      </c>
      <c r="B69" s="326"/>
      <c r="C69" s="276" t="s">
        <v>296</v>
      </c>
      <c r="D69" s="177"/>
      <c r="E69" s="327"/>
      <c r="F69" s="327"/>
      <c r="G69" s="327"/>
      <c r="H69" s="327"/>
      <c r="I69" s="327"/>
      <c r="J69" s="327"/>
      <c r="K69" s="327"/>
      <c r="L69" s="327"/>
      <c r="M69" s="328"/>
      <c r="N69" s="327"/>
      <c r="O69" s="327"/>
      <c r="P69" s="327"/>
      <c r="Q69" s="327"/>
      <c r="R69" s="327"/>
      <c r="S69" s="327"/>
      <c r="T69" s="329">
        <f>SUM(S70:S77)</f>
        <v>35633227.224129379</v>
      </c>
      <c r="U69" s="327"/>
      <c r="V69" s="327"/>
      <c r="W69" s="330">
        <f>SUM(V70:V77)</f>
        <v>44788107</v>
      </c>
      <c r="X69" s="127">
        <f>+W69/$W$216</f>
        <v>3.9726802760957344E-2</v>
      </c>
      <c r="Y69" s="283">
        <f>+W69</f>
        <v>44788107</v>
      </c>
    </row>
    <row r="70" spans="1:28" s="185" customFormat="1" ht="13" outlineLevel="1" x14ac:dyDescent="0.3">
      <c r="A70" s="331">
        <v>8.01</v>
      </c>
      <c r="B70" s="380" t="s">
        <v>205</v>
      </c>
      <c r="C70" s="333" t="s">
        <v>507</v>
      </c>
      <c r="D70" s="182" t="s">
        <v>238</v>
      </c>
      <c r="E70" s="381">
        <v>104</v>
      </c>
      <c r="F70" s="407"/>
      <c r="G70" s="382">
        <v>9763.5190306500008</v>
      </c>
      <c r="H70" s="334">
        <f t="shared" ref="H70:H77" si="76">F70+G70</f>
        <v>9763.5190306500008</v>
      </c>
      <c r="I70" s="407"/>
      <c r="J70" s="382">
        <v>15181.289056642992</v>
      </c>
      <c r="K70" s="334">
        <f t="shared" ref="K70:K76" si="77">I70+J70</f>
        <v>15181.289056642992</v>
      </c>
      <c r="L70" s="382">
        <v>451.34429264543519</v>
      </c>
      <c r="M70" s="334">
        <f t="shared" ref="M70:M77" si="78">H70+K70+L70</f>
        <v>25396.152379938427</v>
      </c>
      <c r="N70" s="335">
        <f t="shared" ref="N70:N77" si="79">F70*E70</f>
        <v>0</v>
      </c>
      <c r="O70" s="335">
        <f t="shared" ref="O70:O77" si="80">G70*E70</f>
        <v>1015405.9791876001</v>
      </c>
      <c r="P70" s="335">
        <f t="shared" ref="P70:P77" si="81">I70*E70</f>
        <v>0</v>
      </c>
      <c r="Q70" s="335">
        <f t="shared" ref="Q70:Q77" si="82">J70*E70</f>
        <v>1578854.0618908713</v>
      </c>
      <c r="R70" s="335">
        <f t="shared" ref="R70:R77" si="83">+L70*E70</f>
        <v>46939.806435125261</v>
      </c>
      <c r="S70" s="336">
        <f t="shared" ref="S70:S77" si="84">SUM(N70:R70)</f>
        <v>2641199.847513597</v>
      </c>
      <c r="T70" s="408"/>
      <c r="U70" s="389">
        <f t="shared" ref="U70:U77" si="85">+ROUNDUP(M70*$T$5,0)</f>
        <v>31920</v>
      </c>
      <c r="V70" s="389">
        <f t="shared" ref="V70:V77" si="86">+U70*E70</f>
        <v>3319680</v>
      </c>
      <c r="W70" s="384"/>
      <c r="X70" s="127"/>
      <c r="Y70" s="385"/>
      <c r="AB70" s="385"/>
    </row>
    <row r="71" spans="1:28" s="185" customFormat="1" ht="13" outlineLevel="1" x14ac:dyDescent="0.3">
      <c r="A71" s="339">
        <v>8.02</v>
      </c>
      <c r="B71" s="350" t="s">
        <v>205</v>
      </c>
      <c r="C71" s="409" t="s">
        <v>508</v>
      </c>
      <c r="D71" s="362" t="s">
        <v>238</v>
      </c>
      <c r="E71" s="363">
        <v>48</v>
      </c>
      <c r="F71" s="410">
        <v>500</v>
      </c>
      <c r="G71" s="387">
        <v>13018.025374200002</v>
      </c>
      <c r="H71" s="344">
        <f t="shared" si="76"/>
        <v>13518.025374200002</v>
      </c>
      <c r="I71" s="411">
        <f>+F71</f>
        <v>500</v>
      </c>
      <c r="J71" s="387">
        <v>15181.289056642992</v>
      </c>
      <c r="K71" s="344">
        <f t="shared" si="77"/>
        <v>15681.289056642992</v>
      </c>
      <c r="L71" s="387">
        <v>451.34429264543519</v>
      </c>
      <c r="M71" s="344">
        <f t="shared" si="78"/>
        <v>29650.658723488428</v>
      </c>
      <c r="N71" s="345">
        <f t="shared" si="79"/>
        <v>24000</v>
      </c>
      <c r="O71" s="345">
        <f t="shared" si="80"/>
        <v>624865.21796160005</v>
      </c>
      <c r="P71" s="345">
        <f t="shared" si="81"/>
        <v>24000</v>
      </c>
      <c r="Q71" s="345">
        <f t="shared" si="82"/>
        <v>728701.87471886363</v>
      </c>
      <c r="R71" s="345">
        <f t="shared" si="83"/>
        <v>21664.526046980889</v>
      </c>
      <c r="S71" s="346">
        <f t="shared" si="84"/>
        <v>1423231.6187274444</v>
      </c>
      <c r="T71" s="408"/>
      <c r="U71" s="389">
        <f t="shared" si="85"/>
        <v>37268</v>
      </c>
      <c r="V71" s="389">
        <f t="shared" si="86"/>
        <v>1788864</v>
      </c>
      <c r="W71" s="384"/>
      <c r="X71" s="127"/>
      <c r="Y71" s="385"/>
      <c r="AB71" s="385"/>
    </row>
    <row r="72" spans="1:28" s="185" customFormat="1" ht="13" outlineLevel="1" x14ac:dyDescent="0.3">
      <c r="A72" s="339">
        <v>8.0299999999999994</v>
      </c>
      <c r="B72" s="350" t="s">
        <v>205</v>
      </c>
      <c r="C72" s="341" t="s">
        <v>509</v>
      </c>
      <c r="D72" s="362" t="s">
        <v>238</v>
      </c>
      <c r="E72" s="363">
        <v>235</v>
      </c>
      <c r="F72" s="343"/>
      <c r="G72" s="387">
        <v>11716.222836780002</v>
      </c>
      <c r="H72" s="344">
        <f t="shared" si="76"/>
        <v>11716.222836780002</v>
      </c>
      <c r="I72" s="343"/>
      <c r="J72" s="387">
        <v>13663.160150978691</v>
      </c>
      <c r="K72" s="344">
        <f>I72+J72</f>
        <v>13663.160150978691</v>
      </c>
      <c r="L72" s="387">
        <v>406.20986338089159</v>
      </c>
      <c r="M72" s="344">
        <f t="shared" si="78"/>
        <v>25785.592851139583</v>
      </c>
      <c r="N72" s="345">
        <f t="shared" si="79"/>
        <v>0</v>
      </c>
      <c r="O72" s="345">
        <f t="shared" si="80"/>
        <v>2753312.3666433003</v>
      </c>
      <c r="P72" s="345">
        <f t="shared" si="81"/>
        <v>0</v>
      </c>
      <c r="Q72" s="345">
        <f t="shared" si="82"/>
        <v>3210842.6354799923</v>
      </c>
      <c r="R72" s="345">
        <f t="shared" si="83"/>
        <v>95459.317894509528</v>
      </c>
      <c r="S72" s="346">
        <f t="shared" si="84"/>
        <v>6059614.3200178016</v>
      </c>
      <c r="T72" s="408"/>
      <c r="U72" s="277">
        <f>+ROUNDUP(M72*$T$5,0)</f>
        <v>32410</v>
      </c>
      <c r="V72" s="277">
        <f>+U72*E72</f>
        <v>7616350</v>
      </c>
      <c r="W72" s="384"/>
      <c r="X72" s="127"/>
      <c r="Y72" s="385"/>
      <c r="AB72" s="385"/>
    </row>
    <row r="73" spans="1:28" s="185" customFormat="1" ht="13" outlineLevel="1" x14ac:dyDescent="0.3">
      <c r="A73" s="339">
        <v>8.0399999999999991</v>
      </c>
      <c r="B73" s="350" t="s">
        <v>205</v>
      </c>
      <c r="C73" s="341" t="s">
        <v>510</v>
      </c>
      <c r="D73" s="362" t="s">
        <v>238</v>
      </c>
      <c r="E73" s="363">
        <v>878</v>
      </c>
      <c r="F73" s="343"/>
      <c r="G73" s="387">
        <v>6431.816156095043</v>
      </c>
      <c r="H73" s="344">
        <f t="shared" si="76"/>
        <v>6431.816156095043</v>
      </c>
      <c r="I73" s="343"/>
      <c r="J73" s="387">
        <v>8572.2516609388531</v>
      </c>
      <c r="K73" s="344">
        <f t="shared" si="77"/>
        <v>8572.2516609388531</v>
      </c>
      <c r="L73" s="387">
        <v>116.9025805965067</v>
      </c>
      <c r="M73" s="344">
        <f t="shared" si="78"/>
        <v>15120.970397630403</v>
      </c>
      <c r="N73" s="345">
        <f t="shared" si="79"/>
        <v>0</v>
      </c>
      <c r="O73" s="345">
        <f t="shared" si="80"/>
        <v>5647134.5850514481</v>
      </c>
      <c r="P73" s="345">
        <f t="shared" si="81"/>
        <v>0</v>
      </c>
      <c r="Q73" s="345">
        <f t="shared" si="82"/>
        <v>7526436.958304313</v>
      </c>
      <c r="R73" s="345">
        <f t="shared" si="83"/>
        <v>102640.46576373288</v>
      </c>
      <c r="S73" s="346">
        <f t="shared" si="84"/>
        <v>13276212.009119494</v>
      </c>
      <c r="T73" s="408"/>
      <c r="U73" s="277">
        <f t="shared" si="85"/>
        <v>19006</v>
      </c>
      <c r="V73" s="277">
        <f t="shared" si="86"/>
        <v>16687268</v>
      </c>
      <c r="W73" s="384"/>
      <c r="X73" s="127"/>
      <c r="Y73" s="385"/>
      <c r="AB73" s="385"/>
    </row>
    <row r="74" spans="1:28" s="185" customFormat="1" ht="13" outlineLevel="1" x14ac:dyDescent="0.3">
      <c r="A74" s="339">
        <v>8.0500000000000007</v>
      </c>
      <c r="B74" s="350" t="s">
        <v>205</v>
      </c>
      <c r="C74" s="341" t="s">
        <v>511</v>
      </c>
      <c r="D74" s="362" t="s">
        <v>238</v>
      </c>
      <c r="E74" s="363">
        <v>564</v>
      </c>
      <c r="F74" s="343"/>
      <c r="G74" s="387">
        <v>3180.0905400000011</v>
      </c>
      <c r="H74" s="344">
        <f t="shared" si="76"/>
        <v>3180.0905400000011</v>
      </c>
      <c r="I74" s="387"/>
      <c r="J74" s="387">
        <v>6505.5636652352905</v>
      </c>
      <c r="K74" s="344">
        <f t="shared" si="77"/>
        <v>6505.5636652352905</v>
      </c>
      <c r="L74" s="387">
        <v>210.62733656786975</v>
      </c>
      <c r="M74" s="344">
        <f t="shared" si="78"/>
        <v>9896.2815418031623</v>
      </c>
      <c r="N74" s="345">
        <f t="shared" si="79"/>
        <v>0</v>
      </c>
      <c r="O74" s="345">
        <f t="shared" si="80"/>
        <v>1793571.0645600006</v>
      </c>
      <c r="P74" s="345">
        <f t="shared" si="81"/>
        <v>0</v>
      </c>
      <c r="Q74" s="345">
        <f t="shared" si="82"/>
        <v>3669137.9071927038</v>
      </c>
      <c r="R74" s="345">
        <f t="shared" si="83"/>
        <v>118793.81782427854</v>
      </c>
      <c r="S74" s="346">
        <f t="shared" si="84"/>
        <v>5581502.7895769831</v>
      </c>
      <c r="T74" s="408"/>
      <c r="U74" s="277">
        <f t="shared" si="85"/>
        <v>12439</v>
      </c>
      <c r="V74" s="277">
        <f t="shared" si="86"/>
        <v>7015596</v>
      </c>
      <c r="W74" s="384"/>
      <c r="X74" s="127"/>
      <c r="Y74" s="385"/>
      <c r="AB74" s="385"/>
    </row>
    <row r="75" spans="1:28" s="185" customFormat="1" ht="13" outlineLevel="1" x14ac:dyDescent="0.3">
      <c r="A75" s="339">
        <v>8.06</v>
      </c>
      <c r="B75" s="350" t="s">
        <v>205</v>
      </c>
      <c r="C75" s="341" t="s">
        <v>512</v>
      </c>
      <c r="D75" s="362" t="s">
        <v>238</v>
      </c>
      <c r="E75" s="363">
        <v>438</v>
      </c>
      <c r="F75" s="343"/>
      <c r="G75" s="387">
        <v>3180.0905400000011</v>
      </c>
      <c r="H75" s="344">
        <f t="shared" si="76"/>
        <v>3180.0905400000011</v>
      </c>
      <c r="I75" s="387"/>
      <c r="J75" s="387">
        <v>6505.5636652352905</v>
      </c>
      <c r="K75" s="344">
        <f t="shared" si="77"/>
        <v>6505.5636652352905</v>
      </c>
      <c r="L75" s="387">
        <v>210.62733656786975</v>
      </c>
      <c r="M75" s="344">
        <f t="shared" si="78"/>
        <v>9896.2815418031623</v>
      </c>
      <c r="N75" s="345">
        <f t="shared" si="79"/>
        <v>0</v>
      </c>
      <c r="O75" s="345">
        <f t="shared" si="80"/>
        <v>1392879.6565200004</v>
      </c>
      <c r="P75" s="345">
        <f t="shared" si="81"/>
        <v>0</v>
      </c>
      <c r="Q75" s="345">
        <f t="shared" si="82"/>
        <v>2849436.8853730573</v>
      </c>
      <c r="R75" s="345">
        <f t="shared" si="83"/>
        <v>92254.773416726952</v>
      </c>
      <c r="S75" s="346">
        <f t="shared" si="84"/>
        <v>4334571.3153097844</v>
      </c>
      <c r="T75" s="408"/>
      <c r="U75" s="277">
        <f t="shared" si="85"/>
        <v>12439</v>
      </c>
      <c r="V75" s="277">
        <f t="shared" si="86"/>
        <v>5448282</v>
      </c>
      <c r="W75" s="384"/>
      <c r="X75" s="127"/>
      <c r="Y75" s="385"/>
      <c r="AB75" s="385"/>
    </row>
    <row r="76" spans="1:28" s="185" customFormat="1" ht="13" outlineLevel="1" x14ac:dyDescent="0.3">
      <c r="A76" s="339">
        <v>8.07</v>
      </c>
      <c r="B76" s="350" t="s">
        <v>462</v>
      </c>
      <c r="C76" s="341" t="s">
        <v>513</v>
      </c>
      <c r="D76" s="362" t="s">
        <v>207</v>
      </c>
      <c r="E76" s="363">
        <v>1</v>
      </c>
      <c r="F76" s="343">
        <v>1076227.6597</v>
      </c>
      <c r="G76" s="343">
        <v>0</v>
      </c>
      <c r="H76" s="344">
        <f t="shared" si="76"/>
        <v>1076227.6597</v>
      </c>
      <c r="I76" s="343">
        <v>0</v>
      </c>
      <c r="J76" s="343">
        <v>826143.61379857967</v>
      </c>
      <c r="K76" s="344">
        <f t="shared" si="77"/>
        <v>826143.61379857967</v>
      </c>
      <c r="L76" s="343">
        <f>+(H76+K76)*0.015</f>
        <v>28535.569102478694</v>
      </c>
      <c r="M76" s="344">
        <f t="shared" si="78"/>
        <v>1930906.8426010583</v>
      </c>
      <c r="N76" s="345">
        <f t="shared" si="79"/>
        <v>1076227.6597</v>
      </c>
      <c r="O76" s="345">
        <f t="shared" si="80"/>
        <v>0</v>
      </c>
      <c r="P76" s="345">
        <f t="shared" si="81"/>
        <v>0</v>
      </c>
      <c r="Q76" s="345">
        <f t="shared" si="82"/>
        <v>826143.61379857967</v>
      </c>
      <c r="R76" s="345">
        <f t="shared" si="83"/>
        <v>28535.569102478694</v>
      </c>
      <c r="S76" s="346">
        <f t="shared" si="84"/>
        <v>1930906.8426010583</v>
      </c>
      <c r="T76" s="408"/>
      <c r="U76" s="277">
        <f t="shared" si="85"/>
        <v>2426924</v>
      </c>
      <c r="V76" s="277">
        <f t="shared" si="86"/>
        <v>2426924</v>
      </c>
      <c r="W76" s="384"/>
      <c r="X76" s="127"/>
      <c r="Y76" s="385"/>
      <c r="AB76" s="385"/>
    </row>
    <row r="77" spans="1:28" s="185" customFormat="1" ht="13" outlineLevel="1" x14ac:dyDescent="0.3">
      <c r="A77" s="339">
        <v>8.08</v>
      </c>
      <c r="B77" s="350" t="s">
        <v>462</v>
      </c>
      <c r="C77" s="353" t="s">
        <v>514</v>
      </c>
      <c r="D77" s="405" t="s">
        <v>207</v>
      </c>
      <c r="E77" s="379">
        <v>1</v>
      </c>
      <c r="F77" s="358">
        <v>215055.49523360003</v>
      </c>
      <c r="G77" s="358">
        <v>0</v>
      </c>
      <c r="H77" s="356">
        <f t="shared" si="76"/>
        <v>215055.49523360003</v>
      </c>
      <c r="I77" s="358">
        <v>0</v>
      </c>
      <c r="J77" s="358">
        <v>165228.72275971592</v>
      </c>
      <c r="K77" s="356">
        <f>I77+J77</f>
        <v>165228.72275971592</v>
      </c>
      <c r="L77" s="343">
        <f>+(H77+K77)*0.015</f>
        <v>5704.2632698997386</v>
      </c>
      <c r="M77" s="356">
        <f t="shared" si="78"/>
        <v>385988.48126321571</v>
      </c>
      <c r="N77" s="359">
        <f t="shared" si="79"/>
        <v>215055.49523360003</v>
      </c>
      <c r="O77" s="359">
        <f t="shared" si="80"/>
        <v>0</v>
      </c>
      <c r="P77" s="359">
        <f t="shared" si="81"/>
        <v>0</v>
      </c>
      <c r="Q77" s="359">
        <f t="shared" si="82"/>
        <v>165228.72275971592</v>
      </c>
      <c r="R77" s="359">
        <f t="shared" si="83"/>
        <v>5704.2632698997386</v>
      </c>
      <c r="S77" s="360">
        <f t="shared" si="84"/>
        <v>385988.48126321571</v>
      </c>
      <c r="T77" s="287"/>
      <c r="U77" s="277">
        <f t="shared" si="85"/>
        <v>485143</v>
      </c>
      <c r="V77" s="277">
        <f t="shared" si="86"/>
        <v>485143</v>
      </c>
      <c r="W77" s="384"/>
      <c r="X77" s="127"/>
      <c r="Y77" s="385"/>
      <c r="AB77" s="385"/>
    </row>
    <row r="78" spans="1:28" ht="13" x14ac:dyDescent="0.3">
      <c r="A78" s="325">
        <v>9</v>
      </c>
      <c r="B78" s="326"/>
      <c r="C78" s="276" t="s">
        <v>305</v>
      </c>
      <c r="D78" s="177"/>
      <c r="E78" s="327"/>
      <c r="F78" s="327"/>
      <c r="G78" s="327"/>
      <c r="H78" s="327"/>
      <c r="I78" s="327"/>
      <c r="J78" s="327"/>
      <c r="K78" s="327"/>
      <c r="L78" s="327"/>
      <c r="M78" s="328"/>
      <c r="N78" s="327"/>
      <c r="O78" s="327"/>
      <c r="P78" s="327"/>
      <c r="Q78" s="327"/>
      <c r="R78" s="327"/>
      <c r="S78" s="327"/>
      <c r="T78" s="329">
        <f>SUM(S79:S82)</f>
        <v>4659674.0929475352</v>
      </c>
      <c r="U78" s="327"/>
      <c r="V78" s="327"/>
      <c r="W78" s="330">
        <f>SUM(V79:V82)</f>
        <v>5769056.5999999996</v>
      </c>
      <c r="X78" s="127">
        <f>+W78/$W$216</f>
        <v>5.1171212408016977E-3</v>
      </c>
      <c r="Y78" s="283">
        <f>+W78</f>
        <v>5769056.5999999996</v>
      </c>
    </row>
    <row r="79" spans="1:28" ht="13" outlineLevel="1" x14ac:dyDescent="0.3">
      <c r="A79" s="331">
        <v>9.01</v>
      </c>
      <c r="B79" s="380" t="s">
        <v>462</v>
      </c>
      <c r="C79" s="333" t="s">
        <v>515</v>
      </c>
      <c r="D79" s="412" t="s">
        <v>207</v>
      </c>
      <c r="E79" s="381">
        <v>1</v>
      </c>
      <c r="F79" s="407">
        <v>0</v>
      </c>
      <c r="G79" s="407">
        <v>203505.44198054407</v>
      </c>
      <c r="H79" s="334">
        <f>F79+G79</f>
        <v>203505.44198054407</v>
      </c>
      <c r="I79" s="407">
        <v>0</v>
      </c>
      <c r="J79" s="407">
        <v>1383533.8263977272</v>
      </c>
      <c r="K79" s="334">
        <f t="shared" ref="K79:K82" si="87">I79+J79</f>
        <v>1383533.8263977272</v>
      </c>
      <c r="L79" s="407">
        <f>+(H79+K79)*0.015</f>
        <v>23805.589025674068</v>
      </c>
      <c r="M79" s="334">
        <f>H79+K79+L79</f>
        <v>1610844.8574039454</v>
      </c>
      <c r="N79" s="335">
        <f>F79*E79</f>
        <v>0</v>
      </c>
      <c r="O79" s="335">
        <f>G79*E79</f>
        <v>203505.44198054407</v>
      </c>
      <c r="P79" s="335">
        <f>I79*E79</f>
        <v>0</v>
      </c>
      <c r="Q79" s="335">
        <f>J79*E79</f>
        <v>1383533.8263977272</v>
      </c>
      <c r="R79" s="335">
        <f>+L79*E79</f>
        <v>23805.589025674068</v>
      </c>
      <c r="S79" s="336">
        <f>SUM(N79:R79)</f>
        <v>1610844.8574039454</v>
      </c>
      <c r="T79" s="347"/>
      <c r="U79" s="338">
        <f>+ROUNDUP(M79*$T$5,0)</f>
        <v>2024643</v>
      </c>
      <c r="V79" s="338">
        <f>+U79*E79</f>
        <v>2024643</v>
      </c>
      <c r="W79" s="393"/>
      <c r="X79" s="186"/>
      <c r="Z79" s="130"/>
      <c r="AA79" s="130"/>
    </row>
    <row r="80" spans="1:28" ht="13" outlineLevel="1" x14ac:dyDescent="0.3">
      <c r="A80" s="413">
        <v>9.02</v>
      </c>
      <c r="B80" s="414" t="s">
        <v>462</v>
      </c>
      <c r="C80" s="415" t="s">
        <v>307</v>
      </c>
      <c r="D80" s="416" t="s">
        <v>211</v>
      </c>
      <c r="E80" s="417">
        <v>122</v>
      </c>
      <c r="F80" s="343">
        <v>2447.0972090502642</v>
      </c>
      <c r="G80" s="343">
        <v>0</v>
      </c>
      <c r="H80" s="344">
        <f>F80+G80</f>
        <v>2447.0972090502642</v>
      </c>
      <c r="I80" s="343">
        <v>0</v>
      </c>
      <c r="J80" s="343">
        <v>12299.732995391207</v>
      </c>
      <c r="K80" s="344">
        <f t="shared" si="87"/>
        <v>12299.732995391207</v>
      </c>
      <c r="L80" s="343">
        <f>+(H80+K80)*0.015</f>
        <v>221.20245306662204</v>
      </c>
      <c r="M80" s="344">
        <f>H80+K80+L80</f>
        <v>14968.032657508093</v>
      </c>
      <c r="N80" s="345">
        <f>F80*E80</f>
        <v>298545.85950413224</v>
      </c>
      <c r="O80" s="345">
        <f t="shared" ref="O80:O82" si="88">G80*E80</f>
        <v>0</v>
      </c>
      <c r="P80" s="345">
        <f t="shared" ref="P80:P82" si="89">I80*E80</f>
        <v>0</v>
      </c>
      <c r="Q80" s="345">
        <f t="shared" ref="Q80:Q82" si="90">J80*E80</f>
        <v>1500567.4254377272</v>
      </c>
      <c r="R80" s="345">
        <f t="shared" ref="R80:R82" si="91">+L80*E80</f>
        <v>26986.699274127888</v>
      </c>
      <c r="S80" s="346">
        <f>SUM(N80:R80)</f>
        <v>1826099.9842159874</v>
      </c>
      <c r="T80" s="287"/>
      <c r="U80" s="277">
        <f>+ROUNDUP(M80*$T$5,0)</f>
        <v>18814</v>
      </c>
      <c r="V80" s="277">
        <f>+U80*E80</f>
        <v>2295308</v>
      </c>
      <c r="W80" s="287"/>
      <c r="X80" s="186"/>
      <c r="Z80" s="130"/>
      <c r="AA80" s="130"/>
    </row>
    <row r="81" spans="1:28" ht="13" outlineLevel="1" x14ac:dyDescent="0.3">
      <c r="A81" s="339">
        <v>9.0299999999999994</v>
      </c>
      <c r="B81" s="350" t="s">
        <v>462</v>
      </c>
      <c r="C81" s="341" t="s">
        <v>516</v>
      </c>
      <c r="D81" s="418" t="s">
        <v>211</v>
      </c>
      <c r="E81" s="363">
        <v>155</v>
      </c>
      <c r="F81" s="419"/>
      <c r="G81" s="387">
        <v>758.10738300000003</v>
      </c>
      <c r="H81" s="344">
        <f t="shared" ref="H81:H82" si="92">F81+G81</f>
        <v>758.10738300000003</v>
      </c>
      <c r="I81" s="420"/>
      <c r="J81" s="387">
        <v>3395.9551113285988</v>
      </c>
      <c r="K81" s="344">
        <f t="shared" si="87"/>
        <v>3395.9551113285988</v>
      </c>
      <c r="L81" s="387">
        <v>122.76855228141865</v>
      </c>
      <c r="M81" s="344">
        <f t="shared" ref="M81:M82" si="93">H81+K81+L81</f>
        <v>4276.8310466100174</v>
      </c>
      <c r="N81" s="345">
        <f t="shared" ref="N81:N82" si="94">F81*E81</f>
        <v>0</v>
      </c>
      <c r="O81" s="345">
        <f t="shared" si="88"/>
        <v>117506.644365</v>
      </c>
      <c r="P81" s="345">
        <f t="shared" si="89"/>
        <v>0</v>
      </c>
      <c r="Q81" s="345">
        <f t="shared" si="90"/>
        <v>526373.04225593281</v>
      </c>
      <c r="R81" s="345">
        <f t="shared" si="91"/>
        <v>19029.12560361989</v>
      </c>
      <c r="S81" s="346">
        <f t="shared" ref="S81:S82" si="95">SUM(N81:R81)</f>
        <v>662908.81222455262</v>
      </c>
      <c r="T81" s="287"/>
      <c r="U81" s="277">
        <f>+ROUNDUP(M81*$T$5,0)</f>
        <v>5376</v>
      </c>
      <c r="V81" s="277">
        <f>+U81*E81</f>
        <v>833280</v>
      </c>
      <c r="W81" s="287"/>
      <c r="X81" s="186"/>
    </row>
    <row r="82" spans="1:28" ht="13" outlineLevel="1" x14ac:dyDescent="0.3">
      <c r="A82" s="352">
        <v>9.0399999999999991</v>
      </c>
      <c r="B82" s="352" t="s">
        <v>462</v>
      </c>
      <c r="C82" s="421" t="s">
        <v>517</v>
      </c>
      <c r="D82" s="190" t="s">
        <v>211</v>
      </c>
      <c r="E82" s="132">
        <v>31.200000000000003</v>
      </c>
      <c r="F82" s="358">
        <v>7086.2110616656082</v>
      </c>
      <c r="G82" s="358">
        <v>0</v>
      </c>
      <c r="H82" s="356">
        <f t="shared" si="92"/>
        <v>7086.2110616656082</v>
      </c>
      <c r="I82" s="358">
        <v>0</v>
      </c>
      <c r="J82" s="358">
        <v>10591.584792289481</v>
      </c>
      <c r="K82" s="356">
        <f t="shared" si="87"/>
        <v>10591.584792289481</v>
      </c>
      <c r="L82" s="343">
        <f>+(H82+K82)*0.015</f>
        <v>265.16693780932633</v>
      </c>
      <c r="M82" s="356">
        <f t="shared" si="93"/>
        <v>17942.962791764414</v>
      </c>
      <c r="N82" s="345">
        <f t="shared" si="94"/>
        <v>221089.78512396698</v>
      </c>
      <c r="O82" s="345">
        <f t="shared" si="88"/>
        <v>0</v>
      </c>
      <c r="P82" s="345">
        <f t="shared" si="89"/>
        <v>0</v>
      </c>
      <c r="Q82" s="345">
        <f t="shared" si="90"/>
        <v>330457.44551943184</v>
      </c>
      <c r="R82" s="345">
        <f t="shared" si="91"/>
        <v>8273.2084596509831</v>
      </c>
      <c r="S82" s="346">
        <f t="shared" si="95"/>
        <v>559820.43910304981</v>
      </c>
      <c r="T82" s="287"/>
      <c r="U82" s="125">
        <f t="shared" ref="U82" si="96">+ROUNDUP(M82*$T$6,0)</f>
        <v>19738</v>
      </c>
      <c r="V82" s="125">
        <f t="shared" ref="V82" si="97">+U82*E82</f>
        <v>615825.60000000009</v>
      </c>
      <c r="W82" s="287"/>
      <c r="X82" s="186"/>
    </row>
    <row r="83" spans="1:28" ht="13" x14ac:dyDescent="0.3">
      <c r="A83" s="325">
        <v>10</v>
      </c>
      <c r="B83" s="326"/>
      <c r="C83" s="276" t="s">
        <v>518</v>
      </c>
      <c r="D83" s="177"/>
      <c r="E83" s="327"/>
      <c r="F83" s="327"/>
      <c r="G83" s="327"/>
      <c r="H83" s="327"/>
      <c r="I83" s="327"/>
      <c r="J83" s="327"/>
      <c r="K83" s="327"/>
      <c r="L83" s="327"/>
      <c r="M83" s="328"/>
      <c r="N83" s="327"/>
      <c r="O83" s="327"/>
      <c r="P83" s="327"/>
      <c r="Q83" s="327"/>
      <c r="R83" s="327"/>
      <c r="S83" s="327"/>
      <c r="T83" s="329">
        <f>SUM(S84:S87)</f>
        <v>3714963.4922108371</v>
      </c>
      <c r="U83" s="327"/>
      <c r="V83" s="327"/>
      <c r="W83" s="330">
        <f>SUM(V84:V87)</f>
        <v>4669278</v>
      </c>
      <c r="X83" s="127">
        <f>+W83/$W$216</f>
        <v>4.1416237159136327E-3</v>
      </c>
      <c r="Y83" s="283">
        <f>+W83</f>
        <v>4669278</v>
      </c>
    </row>
    <row r="84" spans="1:28" ht="13" outlineLevel="1" x14ac:dyDescent="0.3">
      <c r="A84" s="331">
        <v>10.01</v>
      </c>
      <c r="B84" s="422" t="s">
        <v>462</v>
      </c>
      <c r="C84" s="333" t="s">
        <v>519</v>
      </c>
      <c r="D84" s="423" t="s">
        <v>207</v>
      </c>
      <c r="E84" s="332">
        <v>0</v>
      </c>
      <c r="F84" s="424"/>
      <c r="G84" s="424"/>
      <c r="H84" s="334">
        <f>F84+G84</f>
        <v>0</v>
      </c>
      <c r="I84" s="424"/>
      <c r="J84" s="424"/>
      <c r="K84" s="334">
        <f>I84+J84</f>
        <v>0</v>
      </c>
      <c r="L84" s="425"/>
      <c r="M84" s="334">
        <f t="shared" ref="M84:M86" si="98">H84+K84+L84</f>
        <v>0</v>
      </c>
      <c r="N84" s="335">
        <f t="shared" ref="N84:N86" si="99">F84*E84</f>
        <v>0</v>
      </c>
      <c r="O84" s="335">
        <f t="shared" ref="O84:O87" si="100">G84*E84</f>
        <v>0</v>
      </c>
      <c r="P84" s="335">
        <f t="shared" ref="P84:P86" si="101">I84*E84</f>
        <v>0</v>
      </c>
      <c r="Q84" s="335">
        <f t="shared" ref="Q84:Q87" si="102">J84*E84</f>
        <v>0</v>
      </c>
      <c r="R84" s="335">
        <f t="shared" ref="R84:R87" si="103">+L84*E84</f>
        <v>0</v>
      </c>
      <c r="S84" s="336">
        <f t="shared" ref="S84:S86" si="104">SUM(N84:R84)</f>
        <v>0</v>
      </c>
      <c r="T84" s="347"/>
      <c r="U84" s="277">
        <f>+ROUNDUP(M84*$T$5,0)</f>
        <v>0</v>
      </c>
      <c r="V84" s="277">
        <f>+U84*E84</f>
        <v>0</v>
      </c>
      <c r="X84" s="127"/>
    </row>
    <row r="85" spans="1:28" ht="13" outlineLevel="1" x14ac:dyDescent="0.3">
      <c r="A85" s="339">
        <v>10.02</v>
      </c>
      <c r="B85" s="340" t="s">
        <v>462</v>
      </c>
      <c r="C85" s="341" t="s">
        <v>520</v>
      </c>
      <c r="D85" s="191" t="s">
        <v>207</v>
      </c>
      <c r="E85" s="342">
        <v>1</v>
      </c>
      <c r="F85" s="411">
        <v>700000</v>
      </c>
      <c r="G85" s="349"/>
      <c r="H85" s="344">
        <f t="shared" ref="H85:H86" si="105">F85+G85</f>
        <v>700000</v>
      </c>
      <c r="I85" s="411">
        <f>+F85*1.5</f>
        <v>1050000</v>
      </c>
      <c r="J85" s="349"/>
      <c r="K85" s="344">
        <f t="shared" ref="K85:K86" si="106">I85+J85</f>
        <v>1050000</v>
      </c>
      <c r="L85" s="365"/>
      <c r="M85" s="344">
        <f t="shared" si="98"/>
        <v>1750000</v>
      </c>
      <c r="N85" s="345">
        <f t="shared" si="99"/>
        <v>700000</v>
      </c>
      <c r="O85" s="345">
        <f t="shared" si="100"/>
        <v>0</v>
      </c>
      <c r="P85" s="345">
        <f t="shared" si="101"/>
        <v>1050000</v>
      </c>
      <c r="Q85" s="345">
        <f t="shared" si="102"/>
        <v>0</v>
      </c>
      <c r="R85" s="345">
        <f t="shared" si="103"/>
        <v>0</v>
      </c>
      <c r="S85" s="346">
        <f t="shared" si="104"/>
        <v>1750000</v>
      </c>
      <c r="T85" s="347"/>
      <c r="U85" s="277">
        <f>+ROUNDUP(M85*$T$5,0)</f>
        <v>2199545</v>
      </c>
      <c r="V85" s="277">
        <f>+U85*E85</f>
        <v>2199545</v>
      </c>
      <c r="W85" s="426"/>
      <c r="X85" s="127"/>
    </row>
    <row r="86" spans="1:28" ht="13" outlineLevel="1" x14ac:dyDescent="0.3">
      <c r="A86" s="339">
        <v>10.029999999999999</v>
      </c>
      <c r="B86" s="340" t="s">
        <v>462</v>
      </c>
      <c r="C86" s="341" t="s">
        <v>521</v>
      </c>
      <c r="D86" s="191" t="s">
        <v>294</v>
      </c>
      <c r="E86" s="342">
        <v>0</v>
      </c>
      <c r="F86" s="349"/>
      <c r="G86" s="349"/>
      <c r="H86" s="344">
        <f t="shared" si="105"/>
        <v>0</v>
      </c>
      <c r="I86" s="349"/>
      <c r="J86" s="349"/>
      <c r="K86" s="344">
        <f t="shared" si="106"/>
        <v>0</v>
      </c>
      <c r="L86" s="365"/>
      <c r="M86" s="344">
        <f t="shared" si="98"/>
        <v>0</v>
      </c>
      <c r="N86" s="345">
        <f t="shared" si="99"/>
        <v>0</v>
      </c>
      <c r="O86" s="345">
        <f t="shared" si="100"/>
        <v>0</v>
      </c>
      <c r="P86" s="345">
        <f t="shared" si="101"/>
        <v>0</v>
      </c>
      <c r="Q86" s="345">
        <f t="shared" si="102"/>
        <v>0</v>
      </c>
      <c r="R86" s="345">
        <f t="shared" si="103"/>
        <v>0</v>
      </c>
      <c r="S86" s="346">
        <f t="shared" si="104"/>
        <v>0</v>
      </c>
      <c r="T86" s="347"/>
      <c r="U86" s="277">
        <f>+ROUNDUP(M86*$T$5,0)</f>
        <v>0</v>
      </c>
      <c r="V86" s="277">
        <f>+U86*E86</f>
        <v>0</v>
      </c>
      <c r="X86" s="127"/>
    </row>
    <row r="87" spans="1:28" s="185" customFormat="1" ht="13" outlineLevel="1" x14ac:dyDescent="0.3">
      <c r="A87" s="339">
        <v>10.039999999999999</v>
      </c>
      <c r="B87" s="350" t="s">
        <v>462</v>
      </c>
      <c r="C87" s="341" t="s">
        <v>522</v>
      </c>
      <c r="D87" s="362" t="s">
        <v>243</v>
      </c>
      <c r="E87" s="363">
        <v>7</v>
      </c>
      <c r="F87" s="427">
        <v>225038.87603305787</v>
      </c>
      <c r="G87" s="427"/>
      <c r="H87" s="344">
        <f>F87+G87</f>
        <v>225038.87603305787</v>
      </c>
      <c r="I87" s="349">
        <v>55670.194282775978</v>
      </c>
      <c r="J87" s="427"/>
      <c r="K87" s="344">
        <f>I87+J87</f>
        <v>55670.194282775978</v>
      </c>
      <c r="L87" s="365"/>
      <c r="M87" s="344">
        <f>H87+K87+L87</f>
        <v>280709.07031583384</v>
      </c>
      <c r="N87" s="345">
        <f>F87*E87</f>
        <v>1575272.132231405</v>
      </c>
      <c r="O87" s="345">
        <f t="shared" si="100"/>
        <v>0</v>
      </c>
      <c r="P87" s="345">
        <f>I87*E87</f>
        <v>389691.35997943184</v>
      </c>
      <c r="Q87" s="345">
        <f t="shared" si="102"/>
        <v>0</v>
      </c>
      <c r="R87" s="345">
        <f t="shared" si="103"/>
        <v>0</v>
      </c>
      <c r="S87" s="346">
        <f>SUM(N87:R87)</f>
        <v>1964963.4922108368</v>
      </c>
      <c r="T87" s="347"/>
      <c r="U87" s="277">
        <f>+ROUNDUP(M87*$T$5,0)</f>
        <v>352819</v>
      </c>
      <c r="V87" s="277">
        <f>+U87*E87</f>
        <v>2469733</v>
      </c>
      <c r="W87" s="384"/>
      <c r="X87" s="127"/>
      <c r="Y87" s="385"/>
      <c r="AB87" s="385"/>
    </row>
    <row r="88" spans="1:28" ht="13" x14ac:dyDescent="0.3">
      <c r="A88" s="325">
        <v>11</v>
      </c>
      <c r="B88" s="326"/>
      <c r="C88" s="276" t="s">
        <v>314</v>
      </c>
      <c r="D88" s="177"/>
      <c r="E88" s="327"/>
      <c r="F88" s="327"/>
      <c r="G88" s="327"/>
      <c r="H88" s="327"/>
      <c r="I88" s="327"/>
      <c r="J88" s="327"/>
      <c r="K88" s="327"/>
      <c r="L88" s="327"/>
      <c r="M88" s="328"/>
      <c r="N88" s="327"/>
      <c r="O88" s="327"/>
      <c r="P88" s="327"/>
      <c r="Q88" s="327"/>
      <c r="R88" s="327"/>
      <c r="S88" s="327"/>
      <c r="T88" s="329">
        <f>SUM(S89:S95)</f>
        <v>38221919.229422204</v>
      </c>
      <c r="U88" s="327"/>
      <c r="V88" s="327"/>
      <c r="W88" s="330">
        <f>SUM(V89:V95)</f>
        <v>48040802</v>
      </c>
      <c r="X88" s="127">
        <f>+W88/$W$216</f>
        <v>4.2611925204434409E-2</v>
      </c>
      <c r="Y88" s="283">
        <f>+W88</f>
        <v>48040802</v>
      </c>
    </row>
    <row r="89" spans="1:28" ht="13" outlineLevel="1" x14ac:dyDescent="0.3">
      <c r="A89" s="331">
        <v>11.01</v>
      </c>
      <c r="B89" s="380" t="s">
        <v>205</v>
      </c>
      <c r="C89" s="333" t="s">
        <v>523</v>
      </c>
      <c r="D89" s="412" t="s">
        <v>238</v>
      </c>
      <c r="E89" s="381">
        <v>30</v>
      </c>
      <c r="F89" s="407"/>
      <c r="G89" s="382">
        <v>7250.1086533719017</v>
      </c>
      <c r="H89" s="334">
        <f>F89+G89</f>
        <v>7250.1086533719017</v>
      </c>
      <c r="I89" s="407"/>
      <c r="J89" s="382">
        <v>9992.0861533187654</v>
      </c>
      <c r="K89" s="334">
        <f>I89+J89</f>
        <v>9992.0861533187654</v>
      </c>
      <c r="L89" s="382">
        <v>219.89812852357096</v>
      </c>
      <c r="M89" s="334">
        <f t="shared" ref="M89:M94" si="107">H89+K89+L89</f>
        <v>17462.092935214238</v>
      </c>
      <c r="N89" s="335">
        <f t="shared" ref="N89:N94" si="108">F89*E89</f>
        <v>0</v>
      </c>
      <c r="O89" s="335">
        <f t="shared" ref="O89:O94" si="109">G89*E89</f>
        <v>217503.25960115704</v>
      </c>
      <c r="P89" s="335">
        <f t="shared" ref="P89:P94" si="110">I89*E89</f>
        <v>0</v>
      </c>
      <c r="Q89" s="335">
        <f t="shared" ref="Q89:Q95" si="111">J89*E89</f>
        <v>299762.58459956298</v>
      </c>
      <c r="R89" s="335">
        <f t="shared" ref="R89:R94" si="112">+L89*E89</f>
        <v>6596.9438557071289</v>
      </c>
      <c r="S89" s="336">
        <f t="shared" ref="S89:S94" si="113">SUM(N89:R89)</f>
        <v>523862.78805642715</v>
      </c>
      <c r="T89" s="408"/>
      <c r="U89" s="277">
        <f t="shared" ref="U89:U95" si="114">+ROUNDUP(M89*$T$5,0)</f>
        <v>21948</v>
      </c>
      <c r="V89" s="277">
        <f t="shared" ref="V89:V95" si="115">+U89*E89</f>
        <v>658440</v>
      </c>
      <c r="W89" s="393"/>
      <c r="X89" s="186"/>
    </row>
    <row r="90" spans="1:28" ht="13" outlineLevel="1" x14ac:dyDescent="0.3">
      <c r="A90" s="339">
        <v>11.02</v>
      </c>
      <c r="B90" s="350" t="s">
        <v>205</v>
      </c>
      <c r="C90" s="341" t="s">
        <v>524</v>
      </c>
      <c r="D90" s="418" t="s">
        <v>238</v>
      </c>
      <c r="E90" s="363">
        <v>185</v>
      </c>
      <c r="F90" s="343"/>
      <c r="G90" s="387">
        <v>7250.1086533719017</v>
      </c>
      <c r="H90" s="344">
        <f>F90+G90</f>
        <v>7250.1086533719017</v>
      </c>
      <c r="I90" s="343"/>
      <c r="J90" s="387">
        <v>9992.0861533187654</v>
      </c>
      <c r="K90" s="344">
        <f>I90+J90</f>
        <v>9992.0861533187654</v>
      </c>
      <c r="L90" s="387">
        <v>219.89812852357096</v>
      </c>
      <c r="M90" s="344">
        <f t="shared" si="107"/>
        <v>17462.092935214238</v>
      </c>
      <c r="N90" s="345">
        <f t="shared" si="108"/>
        <v>0</v>
      </c>
      <c r="O90" s="345">
        <f t="shared" si="109"/>
        <v>1341270.1008738019</v>
      </c>
      <c r="P90" s="345">
        <f t="shared" si="110"/>
        <v>0</v>
      </c>
      <c r="Q90" s="345">
        <f t="shared" si="111"/>
        <v>1848535.9383639717</v>
      </c>
      <c r="R90" s="345">
        <f t="shared" si="112"/>
        <v>40681.153776860629</v>
      </c>
      <c r="S90" s="346">
        <f t="shared" si="113"/>
        <v>3230487.1930146343</v>
      </c>
      <c r="T90" s="287"/>
      <c r="U90" s="277">
        <f t="shared" si="114"/>
        <v>21948</v>
      </c>
      <c r="V90" s="277">
        <f t="shared" si="115"/>
        <v>4060380</v>
      </c>
      <c r="W90" s="287"/>
      <c r="X90" s="186"/>
    </row>
    <row r="91" spans="1:28" ht="13" outlineLevel="1" x14ac:dyDescent="0.3">
      <c r="A91" s="339">
        <v>11.03</v>
      </c>
      <c r="B91" s="350" t="s">
        <v>205</v>
      </c>
      <c r="C91" s="341" t="s">
        <v>525</v>
      </c>
      <c r="D91" s="418" t="s">
        <v>238</v>
      </c>
      <c r="E91" s="363">
        <v>942</v>
      </c>
      <c r="F91" s="343"/>
      <c r="G91" s="387">
        <v>7250.1086533719017</v>
      </c>
      <c r="H91" s="344">
        <f t="shared" ref="H91:H94" si="116">F91+G91</f>
        <v>7250.1086533719017</v>
      </c>
      <c r="I91" s="343"/>
      <c r="J91" s="387">
        <v>9992.0861533187654</v>
      </c>
      <c r="K91" s="344">
        <f t="shared" ref="K91:K95" si="117">I91+J91</f>
        <v>9992.0861533187654</v>
      </c>
      <c r="L91" s="387">
        <v>219.89812852357096</v>
      </c>
      <c r="M91" s="344">
        <f t="shared" si="107"/>
        <v>17462.092935214238</v>
      </c>
      <c r="N91" s="345">
        <f t="shared" si="108"/>
        <v>0</v>
      </c>
      <c r="O91" s="345">
        <f t="shared" si="109"/>
        <v>6829602.3514763312</v>
      </c>
      <c r="P91" s="345">
        <f t="shared" si="110"/>
        <v>0</v>
      </c>
      <c r="Q91" s="345">
        <f t="shared" si="111"/>
        <v>9412545.156426277</v>
      </c>
      <c r="R91" s="345">
        <f t="shared" si="112"/>
        <v>207144.03706920386</v>
      </c>
      <c r="S91" s="346">
        <f t="shared" si="113"/>
        <v>16449291.544971811</v>
      </c>
      <c r="T91" s="287"/>
      <c r="U91" s="277">
        <f t="shared" si="114"/>
        <v>21948</v>
      </c>
      <c r="V91" s="277">
        <f t="shared" si="115"/>
        <v>20675016</v>
      </c>
      <c r="W91" s="287"/>
      <c r="X91" s="186"/>
    </row>
    <row r="92" spans="1:28" ht="13" outlineLevel="1" x14ac:dyDescent="0.3">
      <c r="A92" s="339">
        <v>11.04</v>
      </c>
      <c r="B92" s="350" t="s">
        <v>205</v>
      </c>
      <c r="C92" s="341" t="s">
        <v>331</v>
      </c>
      <c r="D92" s="418" t="s">
        <v>238</v>
      </c>
      <c r="E92" s="363">
        <v>110</v>
      </c>
      <c r="F92" s="343"/>
      <c r="G92" s="387">
        <v>7250.1086533719017</v>
      </c>
      <c r="H92" s="344">
        <f t="shared" si="116"/>
        <v>7250.1086533719017</v>
      </c>
      <c r="I92" s="343"/>
      <c r="J92" s="387">
        <v>12989.711999314395</v>
      </c>
      <c r="K92" s="344">
        <f t="shared" si="117"/>
        <v>12989.711999314395</v>
      </c>
      <c r="L92" s="387">
        <v>285.86756708064229</v>
      </c>
      <c r="M92" s="344">
        <f t="shared" si="107"/>
        <v>20525.688219766937</v>
      </c>
      <c r="N92" s="345">
        <f t="shared" si="108"/>
        <v>0</v>
      </c>
      <c r="O92" s="345">
        <f t="shared" si="109"/>
        <v>797511.95187090919</v>
      </c>
      <c r="P92" s="345">
        <f t="shared" si="110"/>
        <v>0</v>
      </c>
      <c r="Q92" s="345">
        <f t="shared" si="111"/>
        <v>1428868.3199245834</v>
      </c>
      <c r="R92" s="345">
        <f t="shared" si="112"/>
        <v>31445.432378870653</v>
      </c>
      <c r="S92" s="346">
        <f t="shared" si="113"/>
        <v>2257825.7041743631</v>
      </c>
      <c r="T92" s="287"/>
      <c r="U92" s="277">
        <f t="shared" si="114"/>
        <v>25799</v>
      </c>
      <c r="V92" s="277">
        <f t="shared" si="115"/>
        <v>2837890</v>
      </c>
      <c r="W92" s="287"/>
      <c r="X92" s="186"/>
    </row>
    <row r="93" spans="1:28" s="185" customFormat="1" ht="13" outlineLevel="1" x14ac:dyDescent="0.3">
      <c r="A93" s="339">
        <v>11.05</v>
      </c>
      <c r="B93" s="350" t="s">
        <v>205</v>
      </c>
      <c r="C93" s="341" t="s">
        <v>526</v>
      </c>
      <c r="D93" s="362" t="s">
        <v>238</v>
      </c>
      <c r="E93" s="363">
        <v>128</v>
      </c>
      <c r="F93" s="343"/>
      <c r="G93" s="387">
        <v>3816.1086480000013</v>
      </c>
      <c r="H93" s="344">
        <f t="shared" si="116"/>
        <v>3816.1086480000013</v>
      </c>
      <c r="I93" s="343"/>
      <c r="J93" s="387">
        <v>8702.6232034659097</v>
      </c>
      <c r="K93" s="344">
        <f t="shared" si="117"/>
        <v>8702.6232034659097</v>
      </c>
      <c r="L93" s="387">
        <v>274.73130856678659</v>
      </c>
      <c r="M93" s="344">
        <f t="shared" si="107"/>
        <v>12793.463160032697</v>
      </c>
      <c r="N93" s="345">
        <f t="shared" si="108"/>
        <v>0</v>
      </c>
      <c r="O93" s="345">
        <f t="shared" si="109"/>
        <v>488461.90694400016</v>
      </c>
      <c r="P93" s="345">
        <f t="shared" si="110"/>
        <v>0</v>
      </c>
      <c r="Q93" s="345">
        <f t="shared" si="111"/>
        <v>1113935.7700436364</v>
      </c>
      <c r="R93" s="345">
        <f t="shared" si="112"/>
        <v>35165.607496548684</v>
      </c>
      <c r="S93" s="346">
        <f t="shared" si="113"/>
        <v>1637563.2844841853</v>
      </c>
      <c r="T93" s="287"/>
      <c r="U93" s="277">
        <f t="shared" si="114"/>
        <v>16080</v>
      </c>
      <c r="V93" s="277">
        <f t="shared" si="115"/>
        <v>2058240</v>
      </c>
      <c r="W93" s="384"/>
      <c r="X93" s="127"/>
      <c r="Y93" s="385"/>
      <c r="AB93" s="385"/>
    </row>
    <row r="94" spans="1:28" ht="13" outlineLevel="1" x14ac:dyDescent="0.3">
      <c r="A94" s="339">
        <v>11.06</v>
      </c>
      <c r="B94" s="350" t="s">
        <v>205</v>
      </c>
      <c r="C94" s="341" t="s">
        <v>527</v>
      </c>
      <c r="D94" s="418" t="s">
        <v>238</v>
      </c>
      <c r="E94" s="363">
        <v>48</v>
      </c>
      <c r="F94" s="343"/>
      <c r="G94" s="387">
        <v>7250.1086533719017</v>
      </c>
      <c r="H94" s="344">
        <f t="shared" si="116"/>
        <v>7250.1086533719017</v>
      </c>
      <c r="I94" s="343"/>
      <c r="J94" s="387">
        <v>9992.0861533187654</v>
      </c>
      <c r="K94" s="344">
        <f t="shared" si="117"/>
        <v>9992.0861533187654</v>
      </c>
      <c r="L94" s="387">
        <v>219.89812852357096</v>
      </c>
      <c r="M94" s="344">
        <f t="shared" si="107"/>
        <v>17462.092935214238</v>
      </c>
      <c r="N94" s="345">
        <f t="shared" si="108"/>
        <v>0</v>
      </c>
      <c r="O94" s="345">
        <f t="shared" si="109"/>
        <v>348005.21536185127</v>
      </c>
      <c r="P94" s="345">
        <f t="shared" si="110"/>
        <v>0</v>
      </c>
      <c r="Q94" s="345">
        <f t="shared" si="111"/>
        <v>479620.13535930077</v>
      </c>
      <c r="R94" s="345">
        <f t="shared" si="112"/>
        <v>10555.110169131407</v>
      </c>
      <c r="S94" s="346">
        <f t="shared" si="113"/>
        <v>838180.46089028346</v>
      </c>
      <c r="T94" s="287"/>
      <c r="U94" s="277">
        <f t="shared" si="114"/>
        <v>21948</v>
      </c>
      <c r="V94" s="277">
        <f t="shared" si="115"/>
        <v>1053504</v>
      </c>
      <c r="W94" s="393"/>
      <c r="X94" s="186"/>
    </row>
    <row r="95" spans="1:28" ht="13" outlineLevel="1" x14ac:dyDescent="0.3">
      <c r="A95" s="339">
        <v>11.07</v>
      </c>
      <c r="B95" s="352" t="s">
        <v>236</v>
      </c>
      <c r="C95" s="353" t="s">
        <v>528</v>
      </c>
      <c r="D95" s="428" t="s">
        <v>238</v>
      </c>
      <c r="E95" s="379">
        <v>226</v>
      </c>
      <c r="F95" s="358">
        <v>44376.421876106186</v>
      </c>
      <c r="G95" s="358">
        <v>0</v>
      </c>
      <c r="H95" s="356">
        <f>F95+G95</f>
        <v>44376.421876106186</v>
      </c>
      <c r="I95" s="358">
        <v>1659.2920353982302</v>
      </c>
      <c r="J95" s="358">
        <v>11877.483062341447</v>
      </c>
      <c r="K95" s="356">
        <f t="shared" si="117"/>
        <v>13536.775097739677</v>
      </c>
      <c r="L95" s="358">
        <f>(H95+K95)*0.015</f>
        <v>868.69795460768796</v>
      </c>
      <c r="M95" s="356">
        <f>H95+K95+L95</f>
        <v>58781.894928453556</v>
      </c>
      <c r="N95" s="359">
        <f>F95*E95</f>
        <v>10029071.343999999</v>
      </c>
      <c r="O95" s="359">
        <f>G95*E95</f>
        <v>0</v>
      </c>
      <c r="P95" s="359">
        <f>I95*E95</f>
        <v>375000</v>
      </c>
      <c r="Q95" s="359">
        <f t="shared" si="111"/>
        <v>2684311.1720891669</v>
      </c>
      <c r="R95" s="359">
        <f>+L95*E95</f>
        <v>196325.73774133748</v>
      </c>
      <c r="S95" s="360">
        <f>SUM(N95:R95)</f>
        <v>13284708.253830504</v>
      </c>
      <c r="T95" s="408"/>
      <c r="U95" s="277">
        <f t="shared" si="114"/>
        <v>73882</v>
      </c>
      <c r="V95" s="277">
        <f t="shared" si="115"/>
        <v>16697332</v>
      </c>
      <c r="W95" s="287"/>
      <c r="X95" s="186"/>
    </row>
    <row r="96" spans="1:28" ht="13" x14ac:dyDescent="0.3">
      <c r="A96" s="325">
        <v>12</v>
      </c>
      <c r="B96" s="326"/>
      <c r="C96" s="276" t="s">
        <v>326</v>
      </c>
      <c r="D96" s="177"/>
      <c r="E96" s="327"/>
      <c r="F96" s="327"/>
      <c r="G96" s="327"/>
      <c r="H96" s="327"/>
      <c r="I96" s="327"/>
      <c r="J96" s="327"/>
      <c r="K96" s="327"/>
      <c r="L96" s="327"/>
      <c r="M96" s="328"/>
      <c r="N96" s="327"/>
      <c r="O96" s="327"/>
      <c r="P96" s="327"/>
      <c r="Q96" s="327"/>
      <c r="R96" s="327"/>
      <c r="S96" s="327"/>
      <c r="T96" s="329">
        <f>SUM(S97:S101)</f>
        <v>8769049.6313986629</v>
      </c>
      <c r="U96" s="327"/>
      <c r="V96" s="327"/>
      <c r="W96" s="330">
        <f>SUM(V97:V101)</f>
        <v>11022518</v>
      </c>
      <c r="X96" s="127">
        <f>+W96/$W$216</f>
        <v>9.7769123958532569E-3</v>
      </c>
      <c r="Y96" s="283">
        <f>+W96</f>
        <v>11022518</v>
      </c>
    </row>
    <row r="97" spans="1:28" ht="13" outlineLevel="1" x14ac:dyDescent="0.3">
      <c r="A97" s="331">
        <f>+A96+0.01</f>
        <v>12.01</v>
      </c>
      <c r="B97" s="380" t="s">
        <v>236</v>
      </c>
      <c r="C97" s="333" t="s">
        <v>529</v>
      </c>
      <c r="D97" s="412" t="s">
        <v>211</v>
      </c>
      <c r="E97" s="381">
        <v>779</v>
      </c>
      <c r="F97" s="407">
        <v>3132.231404958678</v>
      </c>
      <c r="G97" s="407">
        <v>0</v>
      </c>
      <c r="H97" s="334">
        <f>F97+G97</f>
        <v>3132.231404958678</v>
      </c>
      <c r="I97" s="407">
        <v>0</v>
      </c>
      <c r="J97" s="407">
        <v>2684.888248793714</v>
      </c>
      <c r="K97" s="334">
        <f>I97+J97</f>
        <v>2684.888248793714</v>
      </c>
      <c r="L97" s="407">
        <f>(H97+K97)*0.015</f>
        <v>87.256794806285882</v>
      </c>
      <c r="M97" s="334">
        <f>H97+K97+L97</f>
        <v>5904.376448558678</v>
      </c>
      <c r="N97" s="335">
        <f>F97*E97</f>
        <v>2440008.26446281</v>
      </c>
      <c r="O97" s="335">
        <f>G97*E97</f>
        <v>0</v>
      </c>
      <c r="P97" s="335">
        <f>I97*E97</f>
        <v>0</v>
      </c>
      <c r="Q97" s="335">
        <f>J97*E97</f>
        <v>2091527.9458103031</v>
      </c>
      <c r="R97" s="335">
        <f>+L97*E97</f>
        <v>67973.043154096697</v>
      </c>
      <c r="S97" s="336">
        <f>SUM(N97:R97)</f>
        <v>4599509.2534272093</v>
      </c>
      <c r="T97" s="347"/>
      <c r="U97" s="277">
        <f>+ROUNDUP(M97*$T$5,0)</f>
        <v>7422</v>
      </c>
      <c r="V97" s="277">
        <f>+U97*E97</f>
        <v>5781738</v>
      </c>
      <c r="X97" s="127"/>
    </row>
    <row r="98" spans="1:28" ht="13" outlineLevel="1" x14ac:dyDescent="0.3">
      <c r="A98" s="413">
        <v>12.02</v>
      </c>
      <c r="B98" s="414" t="s">
        <v>205</v>
      </c>
      <c r="C98" s="341" t="s">
        <v>516</v>
      </c>
      <c r="D98" s="416" t="s">
        <v>211</v>
      </c>
      <c r="E98" s="417">
        <v>155</v>
      </c>
      <c r="F98" s="429"/>
      <c r="G98" s="387">
        <v>758.10738300000003</v>
      </c>
      <c r="H98" s="344">
        <f>F98+G98</f>
        <v>758.10738300000003</v>
      </c>
      <c r="I98" s="429"/>
      <c r="J98" s="387">
        <v>3395.9551113285988</v>
      </c>
      <c r="K98" s="344">
        <f>I98+J98</f>
        <v>3395.9551113285988</v>
      </c>
      <c r="L98" s="387">
        <v>122.76855228141865</v>
      </c>
      <c r="M98" s="344">
        <f>H98+K98+L98</f>
        <v>4276.8310466100174</v>
      </c>
      <c r="N98" s="345">
        <f>F98*E98</f>
        <v>0</v>
      </c>
      <c r="O98" s="345">
        <f>G98*E98</f>
        <v>117506.644365</v>
      </c>
      <c r="P98" s="345">
        <f>I98*E98</f>
        <v>0</v>
      </c>
      <c r="Q98" s="345">
        <f>J98*E98</f>
        <v>526373.04225593281</v>
      </c>
      <c r="R98" s="345">
        <f>+L98*E98</f>
        <v>19029.12560361989</v>
      </c>
      <c r="S98" s="346">
        <f>SUM(N98:R98)</f>
        <v>662908.81222455262</v>
      </c>
      <c r="T98" s="347"/>
      <c r="U98" s="277">
        <f>+ROUNDUP(M98*$T$5,0)</f>
        <v>5376</v>
      </c>
      <c r="V98" s="277">
        <f>+U98*E98</f>
        <v>833280</v>
      </c>
      <c r="X98" s="127"/>
    </row>
    <row r="99" spans="1:28" ht="13" outlineLevel="1" x14ac:dyDescent="0.3">
      <c r="A99" s="413">
        <v>12.03</v>
      </c>
      <c r="B99" s="414" t="s">
        <v>205</v>
      </c>
      <c r="C99" s="415" t="s">
        <v>530</v>
      </c>
      <c r="D99" s="416" t="s">
        <v>211</v>
      </c>
      <c r="E99" s="417">
        <v>37</v>
      </c>
      <c r="F99" s="429"/>
      <c r="G99" s="387">
        <v>1185.4173163966941</v>
      </c>
      <c r="H99" s="344">
        <f>F99+G99</f>
        <v>1185.4173163966941</v>
      </c>
      <c r="I99" s="429"/>
      <c r="J99" s="387">
        <v>4329.9039997714654</v>
      </c>
      <c r="K99" s="344">
        <f>I99+J99</f>
        <v>4329.9039997714654</v>
      </c>
      <c r="L99" s="387">
        <v>95.289189026880749</v>
      </c>
      <c r="M99" s="344">
        <f>H99+K99+L99</f>
        <v>5610.6105051950408</v>
      </c>
      <c r="N99" s="345">
        <f>F99*E99</f>
        <v>0</v>
      </c>
      <c r="O99" s="345">
        <f>G99*E99</f>
        <v>43860.440706677684</v>
      </c>
      <c r="P99" s="345">
        <f>I99*E99</f>
        <v>0</v>
      </c>
      <c r="Q99" s="345">
        <f>J99*E99</f>
        <v>160206.44799154421</v>
      </c>
      <c r="R99" s="345">
        <f>+L99*E99</f>
        <v>3525.6999939945877</v>
      </c>
      <c r="S99" s="346">
        <f>SUM(N99:R99)</f>
        <v>207592.58869221646</v>
      </c>
      <c r="T99" s="347"/>
      <c r="U99" s="277">
        <f>+ROUNDUP(M99*$T$5,0)</f>
        <v>7052</v>
      </c>
      <c r="V99" s="277">
        <f>+U99*E99</f>
        <v>260924</v>
      </c>
      <c r="X99" s="127"/>
    </row>
    <row r="100" spans="1:28" ht="13" outlineLevel="1" x14ac:dyDescent="0.3">
      <c r="A100" s="413">
        <v>12.04</v>
      </c>
      <c r="B100" s="414" t="s">
        <v>205</v>
      </c>
      <c r="C100" s="415" t="s">
        <v>531</v>
      </c>
      <c r="D100" s="416" t="s">
        <v>211</v>
      </c>
      <c r="E100" s="417">
        <v>433</v>
      </c>
      <c r="F100" s="429"/>
      <c r="G100" s="387">
        <v>1185.4173163966941</v>
      </c>
      <c r="H100" s="344">
        <f>F100+G100</f>
        <v>1185.4173163966941</v>
      </c>
      <c r="I100" s="429"/>
      <c r="J100" s="387">
        <v>4329.9039997714654</v>
      </c>
      <c r="K100" s="344">
        <f>I100+J100</f>
        <v>4329.9039997714654</v>
      </c>
      <c r="L100" s="387">
        <v>95.289189026880749</v>
      </c>
      <c r="M100" s="344">
        <f>H100+K100+L100</f>
        <v>5610.6105051950408</v>
      </c>
      <c r="N100" s="345">
        <f>F100*E100</f>
        <v>0</v>
      </c>
      <c r="O100" s="345">
        <f>G100*E100</f>
        <v>513285.69799976854</v>
      </c>
      <c r="P100" s="345">
        <f>I100*E100</f>
        <v>0</v>
      </c>
      <c r="Q100" s="345">
        <f>J100*E100</f>
        <v>1874848.4319010444</v>
      </c>
      <c r="R100" s="345">
        <f>+L100*E100</f>
        <v>41260.218848639364</v>
      </c>
      <c r="S100" s="346">
        <f>SUM(N100:R100)</f>
        <v>2429394.3487494523</v>
      </c>
      <c r="T100" s="347"/>
      <c r="U100" s="277">
        <f>+ROUNDUP(M100*$T$5,0)</f>
        <v>7052</v>
      </c>
      <c r="V100" s="277">
        <f>+U100*E100</f>
        <v>3053516</v>
      </c>
      <c r="X100" s="127"/>
    </row>
    <row r="101" spans="1:28" ht="13" outlineLevel="1" x14ac:dyDescent="0.3">
      <c r="A101" s="339">
        <v>12.05</v>
      </c>
      <c r="B101" s="350" t="s">
        <v>205</v>
      </c>
      <c r="C101" s="430" t="s">
        <v>532</v>
      </c>
      <c r="D101" s="418" t="s">
        <v>211</v>
      </c>
      <c r="E101" s="363">
        <v>155</v>
      </c>
      <c r="F101" s="343"/>
      <c r="G101" s="387">
        <v>1185.4173163966941</v>
      </c>
      <c r="H101" s="344">
        <f>F101+G101</f>
        <v>1185.4173163966941</v>
      </c>
      <c r="I101" s="343"/>
      <c r="J101" s="387">
        <v>4329.9039997714654</v>
      </c>
      <c r="K101" s="344">
        <f>I101+J101</f>
        <v>4329.9039997714654</v>
      </c>
      <c r="L101" s="387">
        <v>95.289189026880749</v>
      </c>
      <c r="M101" s="344">
        <f>H101+K101+L101</f>
        <v>5610.6105051950408</v>
      </c>
      <c r="N101" s="345">
        <f>F101*E101</f>
        <v>0</v>
      </c>
      <c r="O101" s="345">
        <f>G101*E101</f>
        <v>183739.68404148758</v>
      </c>
      <c r="P101" s="345">
        <f>I101*E101</f>
        <v>0</v>
      </c>
      <c r="Q101" s="345">
        <f>J101*E101</f>
        <v>671135.11996457714</v>
      </c>
      <c r="R101" s="345">
        <f>+L101*E101</f>
        <v>14769.824299166516</v>
      </c>
      <c r="S101" s="346">
        <f>SUM(N101:R101)</f>
        <v>869644.62830523134</v>
      </c>
      <c r="T101" s="347"/>
      <c r="U101" s="277">
        <f>+ROUNDUP(M101*$T$5,0)</f>
        <v>7052</v>
      </c>
      <c r="V101" s="277">
        <f>+U101*E101</f>
        <v>1093060</v>
      </c>
      <c r="X101" s="127"/>
    </row>
    <row r="102" spans="1:28" ht="13" x14ac:dyDescent="0.3">
      <c r="A102" s="325">
        <v>13</v>
      </c>
      <c r="B102" s="326"/>
      <c r="C102" s="276" t="s">
        <v>330</v>
      </c>
      <c r="D102" s="177"/>
      <c r="E102" s="327"/>
      <c r="F102" s="327"/>
      <c r="G102" s="327"/>
      <c r="H102" s="327"/>
      <c r="I102" s="327"/>
      <c r="J102" s="327"/>
      <c r="K102" s="327"/>
      <c r="L102" s="327"/>
      <c r="M102" s="328"/>
      <c r="N102" s="327"/>
      <c r="O102" s="327"/>
      <c r="P102" s="327"/>
      <c r="Q102" s="327"/>
      <c r="R102" s="327"/>
      <c r="S102" s="327"/>
      <c r="T102" s="329">
        <f>SUM(S103:S106)</f>
        <v>15460934.564319279</v>
      </c>
      <c r="U102" s="327"/>
      <c r="V102" s="327"/>
      <c r="W102" s="330">
        <f>SUM(V103:V106)</f>
        <v>19433086.480999999</v>
      </c>
      <c r="X102" s="127">
        <f>+W102/$W$216</f>
        <v>1.7237040039832754E-2</v>
      </c>
      <c r="Y102" s="283">
        <f>+W102</f>
        <v>19433086.480999999</v>
      </c>
    </row>
    <row r="103" spans="1:28" ht="13" outlineLevel="1" x14ac:dyDescent="0.3">
      <c r="A103" s="350">
        <v>13.01</v>
      </c>
      <c r="B103" s="350" t="s">
        <v>205</v>
      </c>
      <c r="C103" s="409" t="s">
        <v>533</v>
      </c>
      <c r="D103" s="191" t="s">
        <v>238</v>
      </c>
      <c r="E103" s="342">
        <v>511</v>
      </c>
      <c r="F103" s="387"/>
      <c r="G103" s="387">
        <v>7250.1086533719017</v>
      </c>
      <c r="H103" s="344">
        <f>F103+G103</f>
        <v>7250.1086533719017</v>
      </c>
      <c r="I103" s="387"/>
      <c r="J103" s="387">
        <v>12989.711999314395</v>
      </c>
      <c r="K103" s="344">
        <f>I103+J103</f>
        <v>12989.711999314395</v>
      </c>
      <c r="L103" s="387">
        <v>285.86756708064229</v>
      </c>
      <c r="M103" s="344">
        <f>H103+K103+L103</f>
        <v>20525.688219766937</v>
      </c>
      <c r="N103" s="345">
        <f>F103*E103</f>
        <v>0</v>
      </c>
      <c r="O103" s="345">
        <f>G103*E103</f>
        <v>3704805.521873042</v>
      </c>
      <c r="P103" s="345">
        <f>I103*E103</f>
        <v>0</v>
      </c>
      <c r="Q103" s="345">
        <f>J103*E103</f>
        <v>6637742.8316496555</v>
      </c>
      <c r="R103" s="345">
        <f>+L103*E103</f>
        <v>146078.3267782082</v>
      </c>
      <c r="S103" s="346">
        <f>SUM(N103:R103)</f>
        <v>10488626.680300906</v>
      </c>
      <c r="T103" s="287"/>
      <c r="U103" s="277">
        <f>+ROUNDUP(M103*$T$5,0)</f>
        <v>25799</v>
      </c>
      <c r="V103" s="277">
        <f>+U103*E103</f>
        <v>13183289</v>
      </c>
      <c r="X103" s="127"/>
    </row>
    <row r="104" spans="1:28" ht="13" outlineLevel="1" x14ac:dyDescent="0.3">
      <c r="A104" s="350">
        <v>13.02</v>
      </c>
      <c r="B104" s="350"/>
      <c r="C104" s="409" t="s">
        <v>534</v>
      </c>
      <c r="D104" s="191" t="s">
        <v>238</v>
      </c>
      <c r="E104" s="342">
        <v>40</v>
      </c>
      <c r="F104" s="387"/>
      <c r="G104" s="387">
        <v>7250.1086533719017</v>
      </c>
      <c r="H104" s="344">
        <f>F104+G104</f>
        <v>7250.1086533719017</v>
      </c>
      <c r="I104" s="387"/>
      <c r="J104" s="387">
        <v>12989.711999314395</v>
      </c>
      <c r="K104" s="344">
        <f>I104+J104</f>
        <v>12989.711999314395</v>
      </c>
      <c r="L104" s="387">
        <v>285.86756708064229</v>
      </c>
      <c r="M104" s="344">
        <f>H104+K104+L104</f>
        <v>20525.688219766937</v>
      </c>
      <c r="N104" s="345">
        <f>F104*E104</f>
        <v>0</v>
      </c>
      <c r="O104" s="345">
        <f>G104*E104</f>
        <v>290004.34613487608</v>
      </c>
      <c r="P104" s="345">
        <f>I104*E104</f>
        <v>0</v>
      </c>
      <c r="Q104" s="345">
        <f>J104*E104</f>
        <v>519588.47997257579</v>
      </c>
      <c r="R104" s="345">
        <f>+L104*E104</f>
        <v>11434.702683225692</v>
      </c>
      <c r="S104" s="346">
        <f>SUM(N104:R104)</f>
        <v>821027.52879067766</v>
      </c>
      <c r="T104" s="287"/>
      <c r="U104" s="277">
        <f>+ROUNDUP(M104*$T$5,0)</f>
        <v>25799</v>
      </c>
      <c r="V104" s="277">
        <f>+U104*E104</f>
        <v>1031960</v>
      </c>
      <c r="X104" s="127"/>
    </row>
    <row r="105" spans="1:28" ht="13" outlineLevel="1" x14ac:dyDescent="0.3">
      <c r="A105" s="350">
        <v>13.03</v>
      </c>
      <c r="B105" s="350" t="s">
        <v>205</v>
      </c>
      <c r="C105" s="341" t="s">
        <v>535</v>
      </c>
      <c r="D105" s="418" t="s">
        <v>238</v>
      </c>
      <c r="E105" s="363">
        <v>147.60100000000003</v>
      </c>
      <c r="F105" s="343"/>
      <c r="G105" s="387">
        <v>7250.1086533719017</v>
      </c>
      <c r="H105" s="344">
        <f>F105+G105</f>
        <v>7250.1086533719017</v>
      </c>
      <c r="I105" s="390">
        <f>+J105*0.25</f>
        <v>3247.4279998285988</v>
      </c>
      <c r="J105" s="387">
        <v>12989.711999314395</v>
      </c>
      <c r="K105" s="344">
        <f>I105+J105</f>
        <v>16237.139999142993</v>
      </c>
      <c r="L105" s="387">
        <v>285.86756708064229</v>
      </c>
      <c r="M105" s="344">
        <f>H105+K105+L105</f>
        <v>23773.116219595537</v>
      </c>
      <c r="N105" s="345">
        <f>F105*E105</f>
        <v>0</v>
      </c>
      <c r="O105" s="345">
        <f>G105*E105</f>
        <v>1070123.2873463463</v>
      </c>
      <c r="P105" s="345">
        <f>I105*E105</f>
        <v>479323.62020270107</v>
      </c>
      <c r="Q105" s="345">
        <f>J105*E105</f>
        <v>1917294.4808108043</v>
      </c>
      <c r="R105" s="345">
        <f>+L105*E105</f>
        <v>42194.338768669892</v>
      </c>
      <c r="S105" s="346">
        <f>SUM(N105:R105)</f>
        <v>3508935.7271285215</v>
      </c>
      <c r="T105" s="287"/>
      <c r="U105" s="277">
        <f>+ROUNDUP(M105*$T$5,0)</f>
        <v>29881</v>
      </c>
      <c r="V105" s="277">
        <f>+U105*E105</f>
        <v>4410465.4810000006</v>
      </c>
      <c r="W105" s="287"/>
      <c r="X105" s="186"/>
    </row>
    <row r="106" spans="1:28" ht="13" outlineLevel="1" x14ac:dyDescent="0.3">
      <c r="A106" s="352">
        <v>13.04</v>
      </c>
      <c r="B106" s="352" t="s">
        <v>205</v>
      </c>
      <c r="C106" s="353" t="s">
        <v>536</v>
      </c>
      <c r="D106" s="431" t="s">
        <v>243</v>
      </c>
      <c r="E106" s="354">
        <v>41</v>
      </c>
      <c r="F106" s="132"/>
      <c r="G106" s="349">
        <v>15666.94214876033</v>
      </c>
      <c r="H106" s="356">
        <f>F106+G106</f>
        <v>15666.94214876033</v>
      </c>
      <c r="I106" s="132"/>
      <c r="J106" s="399"/>
      <c r="K106" s="356">
        <f>I106+J106</f>
        <v>0</v>
      </c>
      <c r="L106" s="399"/>
      <c r="M106" s="356">
        <f>H106+K106+L106</f>
        <v>15666.94214876033</v>
      </c>
      <c r="N106" s="359">
        <f>F106*E106</f>
        <v>0</v>
      </c>
      <c r="O106" s="359">
        <f>G106*E106</f>
        <v>642344.62809917354</v>
      </c>
      <c r="P106" s="359">
        <f>I106*E106</f>
        <v>0</v>
      </c>
      <c r="Q106" s="359">
        <f>J106*E106</f>
        <v>0</v>
      </c>
      <c r="R106" s="359">
        <f>+L106*E106</f>
        <v>0</v>
      </c>
      <c r="S106" s="360">
        <f>SUM(N106:R106)</f>
        <v>642344.62809917354</v>
      </c>
      <c r="T106" s="287"/>
      <c r="U106" s="432">
        <f>+ROUNDUP(M106*$T$5,0)</f>
        <v>19692</v>
      </c>
      <c r="V106" s="432">
        <f>+U106*E106</f>
        <v>807372</v>
      </c>
      <c r="X106" s="127"/>
    </row>
    <row r="107" spans="1:28" s="185" customFormat="1" ht="13" x14ac:dyDescent="0.3">
      <c r="A107" s="325">
        <v>14</v>
      </c>
      <c r="B107" s="326"/>
      <c r="C107" s="276" t="s">
        <v>335</v>
      </c>
      <c r="D107" s="177"/>
      <c r="E107" s="327"/>
      <c r="F107" s="327"/>
      <c r="G107" s="327"/>
      <c r="H107" s="327"/>
      <c r="I107" s="327"/>
      <c r="J107" s="327"/>
      <c r="K107" s="327"/>
      <c r="L107" s="327"/>
      <c r="M107" s="328"/>
      <c r="N107" s="327"/>
      <c r="O107" s="327"/>
      <c r="P107" s="327"/>
      <c r="Q107" s="327"/>
      <c r="R107" s="327"/>
      <c r="S107" s="327"/>
      <c r="T107" s="329">
        <f>SUM(S108:S114)</f>
        <v>40015552.389827222</v>
      </c>
      <c r="U107" s="327"/>
      <c r="V107" s="327"/>
      <c r="W107" s="330">
        <f>SUM(V108:V114)</f>
        <v>50296168.959899999</v>
      </c>
      <c r="X107" s="127">
        <f>+W107/$W$216</f>
        <v>4.4612423202028441E-2</v>
      </c>
      <c r="Y107" s="283">
        <f>+W107</f>
        <v>50296168.959899999</v>
      </c>
      <c r="AB107" s="385"/>
    </row>
    <row r="108" spans="1:28" ht="13" outlineLevel="1" x14ac:dyDescent="0.3">
      <c r="A108" s="331">
        <f>+A107+0.01</f>
        <v>14.01</v>
      </c>
      <c r="B108" s="380" t="s">
        <v>205</v>
      </c>
      <c r="C108" s="333" t="s">
        <v>537</v>
      </c>
      <c r="D108" s="423" t="s">
        <v>238</v>
      </c>
      <c r="E108" s="332">
        <v>334.91519999999997</v>
      </c>
      <c r="F108" s="382">
        <v>9357.531771197835</v>
      </c>
      <c r="G108" s="382"/>
      <c r="H108" s="334">
        <f>F108+G108</f>
        <v>9357.531771197835</v>
      </c>
      <c r="I108" s="382">
        <v>13673.38105190989</v>
      </c>
      <c r="J108" s="382"/>
      <c r="K108" s="334">
        <f>I108+J108</f>
        <v>13673.38105190989</v>
      </c>
      <c r="L108" s="382">
        <v>256.8223600688724</v>
      </c>
      <c r="M108" s="334">
        <f>H108+K108+L108</f>
        <v>23287.735183176599</v>
      </c>
      <c r="N108" s="335">
        <f t="shared" ref="N108:N114" si="118">F108*E108</f>
        <v>3133979.6246570768</v>
      </c>
      <c r="O108" s="335">
        <f t="shared" ref="O108:O114" si="119">G108*E108</f>
        <v>0</v>
      </c>
      <c r="P108" s="335">
        <f t="shared" ref="P108:P114" si="120">I108*E108</f>
        <v>4579423.1496766107</v>
      </c>
      <c r="Q108" s="335">
        <f t="shared" ref="Q108:Q114" si="121">J108*E108</f>
        <v>0</v>
      </c>
      <c r="R108" s="335">
        <f t="shared" ref="R108:R114" si="122">+L108*E108</f>
        <v>86013.712086938409</v>
      </c>
      <c r="S108" s="336">
        <f t="shared" ref="S108:S124" si="123">SUM(N108:R108)</f>
        <v>7799416.4864206258</v>
      </c>
      <c r="T108" s="347"/>
      <c r="U108" s="277">
        <f t="shared" ref="U108:U114" si="124">+ROUNDUP(M108*$T$5,0)</f>
        <v>29270</v>
      </c>
      <c r="V108" s="277">
        <f t="shared" ref="V108:V114" si="125">+U108*E108</f>
        <v>9802967.9039999992</v>
      </c>
      <c r="X108" s="127"/>
    </row>
    <row r="109" spans="1:28" ht="13" outlineLevel="1" x14ac:dyDescent="0.3">
      <c r="A109" s="339">
        <f t="shared" ref="A109" si="126">+A108+0.01</f>
        <v>14.02</v>
      </c>
      <c r="B109" s="350" t="s">
        <v>205</v>
      </c>
      <c r="C109" s="341" t="s">
        <v>538</v>
      </c>
      <c r="D109" s="191" t="s">
        <v>238</v>
      </c>
      <c r="E109" s="342">
        <v>280.3913</v>
      </c>
      <c r="F109" s="387">
        <v>13094.309718890145</v>
      </c>
      <c r="G109" s="387"/>
      <c r="H109" s="344">
        <f t="shared" ref="H109:H113" si="127">F109+G109</f>
        <v>13094.309718890145</v>
      </c>
      <c r="I109" s="387">
        <v>13673.38105190989</v>
      </c>
      <c r="J109" s="387"/>
      <c r="K109" s="344">
        <f t="shared" ref="K109:K112" si="128">I109+J109</f>
        <v>13673.38105190989</v>
      </c>
      <c r="L109" s="387">
        <v>256.8223600688724</v>
      </c>
      <c r="M109" s="344">
        <f t="shared" ref="M109:M114" si="129">H109+K109+L109</f>
        <v>27024.513130868909</v>
      </c>
      <c r="N109" s="345">
        <f>F109*E109</f>
        <v>3671530.5246822424</v>
      </c>
      <c r="O109" s="345">
        <f>G109*E109</f>
        <v>0</v>
      </c>
      <c r="P109" s="345">
        <f>I109*E109</f>
        <v>3833897.0885403813</v>
      </c>
      <c r="Q109" s="345">
        <f>J109*E109</f>
        <v>0</v>
      </c>
      <c r="R109" s="345">
        <f>+L109*E109</f>
        <v>72010.755408779223</v>
      </c>
      <c r="S109" s="346">
        <f t="shared" ref="S109:S114" si="130">SUM(N109:R109)</f>
        <v>7577438.368631402</v>
      </c>
      <c r="T109" s="347"/>
      <c r="U109" s="277">
        <f t="shared" si="124"/>
        <v>33967</v>
      </c>
      <c r="V109" s="277">
        <f t="shared" si="125"/>
        <v>9524051.2871000003</v>
      </c>
      <c r="X109" s="127"/>
    </row>
    <row r="110" spans="1:28" ht="13" outlineLevel="1" x14ac:dyDescent="0.3">
      <c r="A110" s="339">
        <v>14.03</v>
      </c>
      <c r="B110" s="350" t="s">
        <v>205</v>
      </c>
      <c r="C110" s="341" t="s">
        <v>539</v>
      </c>
      <c r="D110" s="191" t="s">
        <v>211</v>
      </c>
      <c r="E110" s="342">
        <v>60.8</v>
      </c>
      <c r="F110" s="387">
        <v>9357.531771197835</v>
      </c>
      <c r="G110" s="387"/>
      <c r="H110" s="344">
        <f t="shared" si="127"/>
        <v>9357.531771197835</v>
      </c>
      <c r="I110" s="387">
        <v>13673.38105190989</v>
      </c>
      <c r="J110" s="387"/>
      <c r="K110" s="344">
        <f t="shared" si="128"/>
        <v>13673.38105190989</v>
      </c>
      <c r="L110" s="387">
        <v>256.8223600688724</v>
      </c>
      <c r="M110" s="344">
        <f t="shared" si="129"/>
        <v>23287.735183176599</v>
      </c>
      <c r="N110" s="345">
        <f>F110*E110</f>
        <v>568937.93168882839</v>
      </c>
      <c r="O110" s="345">
        <f>G110*E110</f>
        <v>0</v>
      </c>
      <c r="P110" s="345">
        <f>I110*E110</f>
        <v>831341.56795612129</v>
      </c>
      <c r="Q110" s="345">
        <f>J110*E110</f>
        <v>0</v>
      </c>
      <c r="R110" s="345">
        <f>+L110*E110</f>
        <v>15614.799492187442</v>
      </c>
      <c r="S110" s="346">
        <f t="shared" si="130"/>
        <v>1415894.2991371369</v>
      </c>
      <c r="T110" s="347"/>
      <c r="U110" s="277">
        <f t="shared" si="124"/>
        <v>29270</v>
      </c>
      <c r="V110" s="277">
        <f t="shared" si="125"/>
        <v>1779616</v>
      </c>
      <c r="X110" s="127"/>
    </row>
    <row r="111" spans="1:28" ht="13" outlineLevel="1" x14ac:dyDescent="0.3">
      <c r="A111" s="339">
        <v>14.04</v>
      </c>
      <c r="B111" s="350" t="s">
        <v>205</v>
      </c>
      <c r="C111" s="341" t="s">
        <v>540</v>
      </c>
      <c r="D111" s="191" t="s">
        <v>211</v>
      </c>
      <c r="E111" s="342">
        <v>1058.3799999999997</v>
      </c>
      <c r="F111" s="387">
        <v>1093.3011417</v>
      </c>
      <c r="G111" s="343"/>
      <c r="H111" s="344">
        <f t="shared" si="127"/>
        <v>1093.3011417</v>
      </c>
      <c r="I111" s="387">
        <v>5007.5365484381318</v>
      </c>
      <c r="J111" s="343"/>
      <c r="K111" s="344">
        <f t="shared" si="128"/>
        <v>5007.5365484381318</v>
      </c>
      <c r="L111" s="387">
        <v>162.65416137695254</v>
      </c>
      <c r="M111" s="344">
        <f t="shared" si="129"/>
        <v>6263.4918515150839</v>
      </c>
      <c r="N111" s="345">
        <f t="shared" ref="N111:N112" si="131">F111*E111</f>
        <v>1157128.0623524457</v>
      </c>
      <c r="O111" s="345">
        <f t="shared" ref="O111:O112" si="132">G111*E111</f>
        <v>0</v>
      </c>
      <c r="P111" s="345">
        <f t="shared" ref="P111:P112" si="133">I111*E111</f>
        <v>5299876.5321359485</v>
      </c>
      <c r="Q111" s="345">
        <f t="shared" ref="Q111:Q112" si="134">J111*E111</f>
        <v>0</v>
      </c>
      <c r="R111" s="345">
        <f t="shared" ref="R111:R112" si="135">+L111*E111</f>
        <v>172149.91131813897</v>
      </c>
      <c r="S111" s="346">
        <f t="shared" si="130"/>
        <v>6629154.5058065336</v>
      </c>
      <c r="T111" s="347"/>
      <c r="U111" s="277">
        <f t="shared" si="124"/>
        <v>7873</v>
      </c>
      <c r="V111" s="277">
        <f t="shared" si="125"/>
        <v>8332625.7399999974</v>
      </c>
      <c r="X111" s="127"/>
    </row>
    <row r="112" spans="1:28" s="185" customFormat="1" ht="13" outlineLevel="1" x14ac:dyDescent="0.3">
      <c r="A112" s="339">
        <v>14.05</v>
      </c>
      <c r="B112" s="350" t="s">
        <v>205</v>
      </c>
      <c r="C112" s="341" t="s">
        <v>541</v>
      </c>
      <c r="D112" s="191" t="s">
        <v>238</v>
      </c>
      <c r="E112" s="342">
        <v>504.12220000000002</v>
      </c>
      <c r="F112" s="343">
        <v>0</v>
      </c>
      <c r="G112" s="343">
        <v>5770.2850618361972</v>
      </c>
      <c r="H112" s="344">
        <f t="shared" si="127"/>
        <v>5770.2850618361972</v>
      </c>
      <c r="I112" s="343">
        <v>12817.951531348474</v>
      </c>
      <c r="J112" s="343">
        <v>0</v>
      </c>
      <c r="K112" s="344">
        <f t="shared" si="128"/>
        <v>12817.951531348474</v>
      </c>
      <c r="L112" s="343"/>
      <c r="M112" s="344">
        <f t="shared" si="129"/>
        <v>18588.236593184673</v>
      </c>
      <c r="N112" s="345">
        <f t="shared" si="131"/>
        <v>0</v>
      </c>
      <c r="O112" s="345">
        <f t="shared" si="132"/>
        <v>2908928.8</v>
      </c>
      <c r="P112" s="345">
        <f t="shared" si="133"/>
        <v>6461813.9254767615</v>
      </c>
      <c r="Q112" s="345">
        <f t="shared" si="134"/>
        <v>0</v>
      </c>
      <c r="R112" s="345">
        <f t="shared" si="135"/>
        <v>0</v>
      </c>
      <c r="S112" s="346">
        <f t="shared" si="130"/>
        <v>9370742.7254767604</v>
      </c>
      <c r="T112" s="347"/>
      <c r="U112" s="277">
        <f t="shared" si="124"/>
        <v>23364</v>
      </c>
      <c r="V112" s="277">
        <f t="shared" si="125"/>
        <v>11778311.080800001</v>
      </c>
      <c r="W112" s="384"/>
      <c r="X112" s="127"/>
      <c r="Y112" s="385"/>
      <c r="AB112" s="385"/>
    </row>
    <row r="113" spans="1:28" s="185" customFormat="1" ht="13" outlineLevel="1" x14ac:dyDescent="0.3">
      <c r="A113" s="339">
        <v>14.06</v>
      </c>
      <c r="B113" s="350" t="s">
        <v>205</v>
      </c>
      <c r="C113" s="341" t="s">
        <v>542</v>
      </c>
      <c r="D113" s="191" t="s">
        <v>211</v>
      </c>
      <c r="E113" s="342">
        <v>555.99</v>
      </c>
      <c r="F113" s="343"/>
      <c r="G113" s="125"/>
      <c r="H113" s="344">
        <f t="shared" si="127"/>
        <v>0</v>
      </c>
      <c r="I113" s="349">
        <v>10160.57133582501</v>
      </c>
      <c r="J113" s="125"/>
      <c r="K113" s="344">
        <f>I113+J113</f>
        <v>10160.57133582501</v>
      </c>
      <c r="L113" s="343"/>
      <c r="M113" s="344">
        <f t="shared" si="129"/>
        <v>10160.57133582501</v>
      </c>
      <c r="N113" s="345">
        <f t="shared" si="118"/>
        <v>0</v>
      </c>
      <c r="O113" s="345">
        <f t="shared" si="119"/>
        <v>0</v>
      </c>
      <c r="P113" s="345">
        <f t="shared" si="120"/>
        <v>5649176.0570053477</v>
      </c>
      <c r="Q113" s="345">
        <f t="shared" si="121"/>
        <v>0</v>
      </c>
      <c r="R113" s="345">
        <f t="shared" si="122"/>
        <v>0</v>
      </c>
      <c r="S113" s="346">
        <f t="shared" si="130"/>
        <v>5649176.0570053477</v>
      </c>
      <c r="T113" s="347"/>
      <c r="U113" s="277">
        <f t="shared" si="124"/>
        <v>12771</v>
      </c>
      <c r="V113" s="277">
        <f t="shared" si="125"/>
        <v>7100548.29</v>
      </c>
      <c r="W113" s="384"/>
      <c r="X113" s="127"/>
      <c r="Y113" s="385"/>
      <c r="AB113" s="385"/>
    </row>
    <row r="114" spans="1:28" ht="13" outlineLevel="1" x14ac:dyDescent="0.3">
      <c r="A114" s="339">
        <v>14.07</v>
      </c>
      <c r="B114" s="352" t="s">
        <v>205</v>
      </c>
      <c r="C114" s="353" t="s">
        <v>543</v>
      </c>
      <c r="D114" s="431" t="s">
        <v>238</v>
      </c>
      <c r="E114" s="354">
        <v>429.07780000000002</v>
      </c>
      <c r="F114" s="343">
        <v>349.58695136406493</v>
      </c>
      <c r="G114" s="343">
        <v>349.58695136406493</v>
      </c>
      <c r="H114" s="356">
        <f>F114+G114</f>
        <v>699.17390272812986</v>
      </c>
      <c r="I114" s="343">
        <v>0</v>
      </c>
      <c r="J114" s="343">
        <v>2914.3266198611054</v>
      </c>
      <c r="K114" s="356">
        <f t="shared" ref="K114" si="136">I114+J114</f>
        <v>2914.3266198611054</v>
      </c>
      <c r="L114" s="343">
        <f>+(H114+K114)*0.015</f>
        <v>54.202507838838528</v>
      </c>
      <c r="M114" s="344">
        <f t="shared" si="129"/>
        <v>3667.7030304280743</v>
      </c>
      <c r="N114" s="345">
        <f t="shared" si="118"/>
        <v>150000</v>
      </c>
      <c r="O114" s="345">
        <f t="shared" si="119"/>
        <v>150000</v>
      </c>
      <c r="P114" s="345">
        <f t="shared" si="120"/>
        <v>0</v>
      </c>
      <c r="Q114" s="345">
        <f t="shared" si="121"/>
        <v>1250472.8545314395</v>
      </c>
      <c r="R114" s="345">
        <f t="shared" si="122"/>
        <v>23257.092817971592</v>
      </c>
      <c r="S114" s="346">
        <f t="shared" si="130"/>
        <v>1573729.947349411</v>
      </c>
      <c r="T114" s="347"/>
      <c r="U114" s="277">
        <f t="shared" si="124"/>
        <v>4610</v>
      </c>
      <c r="V114" s="277">
        <f t="shared" si="125"/>
        <v>1978048.6580000001</v>
      </c>
      <c r="X114" s="127"/>
    </row>
    <row r="115" spans="1:28" ht="13" x14ac:dyDescent="0.3">
      <c r="A115" s="325">
        <v>15</v>
      </c>
      <c r="B115" s="326"/>
      <c r="C115" s="276" t="s">
        <v>343</v>
      </c>
      <c r="D115" s="177"/>
      <c r="E115" s="327"/>
      <c r="F115" s="327"/>
      <c r="G115" s="327"/>
      <c r="H115" s="327"/>
      <c r="I115" s="327"/>
      <c r="J115" s="327"/>
      <c r="K115" s="327"/>
      <c r="L115" s="327"/>
      <c r="M115" s="328"/>
      <c r="N115" s="327"/>
      <c r="O115" s="327"/>
      <c r="P115" s="327"/>
      <c r="Q115" s="327"/>
      <c r="R115" s="327"/>
      <c r="S115" s="327"/>
      <c r="T115" s="329">
        <f>SUM(S116:S124)</f>
        <v>0</v>
      </c>
      <c r="U115" s="327"/>
      <c r="V115" s="327"/>
      <c r="W115" s="329">
        <f>SUM(V116:V124)</f>
        <v>0</v>
      </c>
      <c r="X115" s="127">
        <f>+W115/$W$216</f>
        <v>0</v>
      </c>
    </row>
    <row r="116" spans="1:28" ht="13" outlineLevel="1" x14ac:dyDescent="0.3">
      <c r="A116" s="339">
        <v>15.01</v>
      </c>
      <c r="B116" s="350" t="s">
        <v>205</v>
      </c>
      <c r="C116" s="341" t="s">
        <v>544</v>
      </c>
      <c r="D116" s="418" t="s">
        <v>238</v>
      </c>
      <c r="E116" s="363">
        <v>2670</v>
      </c>
      <c r="F116" s="387">
        <v>2322.5571895000003</v>
      </c>
      <c r="G116" s="433"/>
      <c r="H116" s="344">
        <f t="shared" ref="H116:H124" si="137">F116+G116</f>
        <v>2322.5571895000003</v>
      </c>
      <c r="I116" s="387">
        <v>3755.6524113285986</v>
      </c>
      <c r="J116" s="433"/>
      <c r="K116" s="344">
        <f t="shared" ref="K116:K120" si="138">I116+J116</f>
        <v>3755.6524113285986</v>
      </c>
      <c r="L116" s="387">
        <v>93.674384885486944</v>
      </c>
      <c r="M116" s="344"/>
      <c r="N116" s="345"/>
      <c r="O116" s="345"/>
      <c r="P116" s="345"/>
      <c r="Q116" s="345"/>
      <c r="R116" s="345"/>
      <c r="S116" s="346">
        <f t="shared" ref="S116:S120" si="139">SUM(N116:R116)</f>
        <v>0</v>
      </c>
      <c r="T116" s="347"/>
      <c r="U116" s="277">
        <f t="shared" ref="U116:U124" si="140">+ROUNDUP(M116*$T$5,0)</f>
        <v>0</v>
      </c>
      <c r="V116" s="277">
        <f t="shared" ref="V116:V124" si="141">+U116*E116</f>
        <v>0</v>
      </c>
      <c r="X116" s="127"/>
    </row>
    <row r="117" spans="1:28" ht="13" outlineLevel="1" x14ac:dyDescent="0.3">
      <c r="A117" s="339">
        <v>15.02</v>
      </c>
      <c r="B117" s="350" t="s">
        <v>205</v>
      </c>
      <c r="C117" s="341" t="s">
        <v>545</v>
      </c>
      <c r="D117" s="418" t="s">
        <v>238</v>
      </c>
      <c r="E117" s="363">
        <v>961</v>
      </c>
      <c r="F117" s="387">
        <v>2180.3602315000003</v>
      </c>
      <c r="G117" s="433"/>
      <c r="H117" s="344">
        <f t="shared" si="137"/>
        <v>2180.3602315000003</v>
      </c>
      <c r="I117" s="387">
        <v>3004.5219290628793</v>
      </c>
      <c r="J117" s="433"/>
      <c r="K117" s="344">
        <f t="shared" si="138"/>
        <v>3004.5219290628793</v>
      </c>
      <c r="L117" s="387">
        <v>74.939507908389544</v>
      </c>
      <c r="M117" s="344"/>
      <c r="N117" s="345"/>
      <c r="O117" s="345"/>
      <c r="P117" s="345"/>
      <c r="Q117" s="345"/>
      <c r="R117" s="345"/>
      <c r="S117" s="346">
        <f t="shared" si="139"/>
        <v>0</v>
      </c>
      <c r="T117" s="347"/>
      <c r="U117" s="277">
        <f t="shared" si="140"/>
        <v>0</v>
      </c>
      <c r="V117" s="277">
        <f t="shared" si="141"/>
        <v>0</v>
      </c>
      <c r="X117" s="127"/>
    </row>
    <row r="118" spans="1:28" ht="13" outlineLevel="1" x14ac:dyDescent="0.3">
      <c r="A118" s="339">
        <v>15.03</v>
      </c>
      <c r="B118" s="350" t="s">
        <v>205</v>
      </c>
      <c r="C118" s="341" t="s">
        <v>546</v>
      </c>
      <c r="D118" s="418" t="s">
        <v>238</v>
      </c>
      <c r="E118" s="363">
        <v>518</v>
      </c>
      <c r="F118" s="387">
        <v>2322.5571895000003</v>
      </c>
      <c r="G118" s="433"/>
      <c r="H118" s="344">
        <f t="shared" si="137"/>
        <v>2322.5571895000003</v>
      </c>
      <c r="I118" s="387">
        <v>3755.6524113285986</v>
      </c>
      <c r="J118" s="433"/>
      <c r="K118" s="344">
        <f t="shared" si="138"/>
        <v>3755.6524113285986</v>
      </c>
      <c r="L118" s="387">
        <v>93.674384885486944</v>
      </c>
      <c r="M118" s="344"/>
      <c r="N118" s="345"/>
      <c r="O118" s="345"/>
      <c r="P118" s="345"/>
      <c r="Q118" s="345"/>
      <c r="R118" s="345"/>
      <c r="S118" s="346">
        <f t="shared" si="139"/>
        <v>0</v>
      </c>
      <c r="T118" s="347"/>
      <c r="U118" s="277">
        <f t="shared" si="140"/>
        <v>0</v>
      </c>
      <c r="V118" s="277">
        <f t="shared" si="141"/>
        <v>0</v>
      </c>
      <c r="X118" s="127"/>
    </row>
    <row r="119" spans="1:28" ht="13" outlineLevel="1" x14ac:dyDescent="0.3">
      <c r="A119" s="339">
        <v>15.04</v>
      </c>
      <c r="B119" s="350" t="s">
        <v>205</v>
      </c>
      <c r="C119" s="341" t="s">
        <v>547</v>
      </c>
      <c r="D119" s="418" t="s">
        <v>238</v>
      </c>
      <c r="E119" s="363">
        <v>612</v>
      </c>
      <c r="F119" s="387">
        <v>3131.6140255000005</v>
      </c>
      <c r="G119" s="433"/>
      <c r="H119" s="344">
        <f t="shared" si="137"/>
        <v>3131.6140255000005</v>
      </c>
      <c r="I119" s="387">
        <v>7422.6925710367968</v>
      </c>
      <c r="J119" s="433"/>
      <c r="K119" s="344">
        <f t="shared" si="138"/>
        <v>7422.6925710367968</v>
      </c>
      <c r="L119" s="387">
        <v>234.75350228517792</v>
      </c>
      <c r="M119" s="344"/>
      <c r="N119" s="345"/>
      <c r="O119" s="345"/>
      <c r="P119" s="345"/>
      <c r="Q119" s="345"/>
      <c r="R119" s="345"/>
      <c r="S119" s="346">
        <f t="shared" si="139"/>
        <v>0</v>
      </c>
      <c r="T119" s="347"/>
      <c r="U119" s="277">
        <f t="shared" si="140"/>
        <v>0</v>
      </c>
      <c r="V119" s="277">
        <f t="shared" si="141"/>
        <v>0</v>
      </c>
      <c r="X119" s="127"/>
    </row>
    <row r="120" spans="1:28" ht="13" outlineLevel="1" x14ac:dyDescent="0.3">
      <c r="A120" s="339">
        <v>15.05</v>
      </c>
      <c r="B120" s="350" t="s">
        <v>205</v>
      </c>
      <c r="C120" s="341" t="s">
        <v>548</v>
      </c>
      <c r="D120" s="418" t="s">
        <v>238</v>
      </c>
      <c r="E120" s="363">
        <v>422</v>
      </c>
      <c r="F120" s="387">
        <v>2180.3602315000003</v>
      </c>
      <c r="G120" s="433"/>
      <c r="H120" s="344">
        <f t="shared" si="137"/>
        <v>2180.3602315000003</v>
      </c>
      <c r="I120" s="387">
        <v>3004.5219290628793</v>
      </c>
      <c r="J120" s="433"/>
      <c r="K120" s="344">
        <f t="shared" si="138"/>
        <v>3004.5219290628793</v>
      </c>
      <c r="L120" s="387">
        <v>74.939507908389544</v>
      </c>
      <c r="M120" s="344"/>
      <c r="N120" s="345"/>
      <c r="O120" s="345"/>
      <c r="P120" s="345"/>
      <c r="Q120" s="345"/>
      <c r="R120" s="345"/>
      <c r="S120" s="346">
        <f t="shared" si="139"/>
        <v>0</v>
      </c>
      <c r="T120" s="347"/>
      <c r="U120" s="277">
        <f t="shared" si="140"/>
        <v>0</v>
      </c>
      <c r="V120" s="277">
        <f t="shared" si="141"/>
        <v>0</v>
      </c>
      <c r="X120" s="127"/>
    </row>
    <row r="121" spans="1:28" ht="13" outlineLevel="1" x14ac:dyDescent="0.3">
      <c r="A121" s="339">
        <v>15.07</v>
      </c>
      <c r="B121" s="350" t="s">
        <v>205</v>
      </c>
      <c r="C121" s="341" t="s">
        <v>549</v>
      </c>
      <c r="D121" s="418" t="s">
        <v>238</v>
      </c>
      <c r="E121" s="363">
        <v>678.25199999999995</v>
      </c>
      <c r="F121" s="411">
        <v>7500</v>
      </c>
      <c r="G121" s="433"/>
      <c r="H121" s="344">
        <f>F121+G121</f>
        <v>7500</v>
      </c>
      <c r="I121" s="349">
        <v>7815.8241044807764</v>
      </c>
      <c r="J121" s="433"/>
      <c r="K121" s="344">
        <f>I121+J121</f>
        <v>7815.8241044807764</v>
      </c>
      <c r="L121" s="387">
        <v>176.93378676788083</v>
      </c>
      <c r="M121" s="344"/>
      <c r="N121" s="345"/>
      <c r="O121" s="345"/>
      <c r="P121" s="345"/>
      <c r="Q121" s="345"/>
      <c r="R121" s="345"/>
      <c r="S121" s="346">
        <f>SUM(N121:R121)</f>
        <v>0</v>
      </c>
      <c r="T121" s="347"/>
      <c r="U121" s="277">
        <f t="shared" si="140"/>
        <v>0</v>
      </c>
      <c r="V121" s="277">
        <f t="shared" si="141"/>
        <v>0</v>
      </c>
      <c r="X121" s="127"/>
    </row>
    <row r="122" spans="1:28" ht="13" outlineLevel="1" x14ac:dyDescent="0.3">
      <c r="A122" s="339">
        <v>15.08</v>
      </c>
      <c r="B122" s="350" t="s">
        <v>205</v>
      </c>
      <c r="C122" s="341" t="s">
        <v>550</v>
      </c>
      <c r="D122" s="418" t="s">
        <v>238</v>
      </c>
      <c r="E122" s="363">
        <v>728.48019999999985</v>
      </c>
      <c r="F122" s="411">
        <v>7500</v>
      </c>
      <c r="G122" s="433"/>
      <c r="H122" s="344">
        <f t="shared" si="137"/>
        <v>7500</v>
      </c>
      <c r="I122" s="349">
        <v>10942.153746273088</v>
      </c>
      <c r="J122" s="433"/>
      <c r="K122" s="344">
        <f t="shared" ref="K122:K124" si="142">I122+J122</f>
        <v>10942.153746273088</v>
      </c>
      <c r="L122" s="387">
        <v>176.93378676788083</v>
      </c>
      <c r="M122" s="344"/>
      <c r="N122" s="345"/>
      <c r="O122" s="345"/>
      <c r="P122" s="345"/>
      <c r="Q122" s="345"/>
      <c r="R122" s="345"/>
      <c r="S122" s="346">
        <f t="shared" ref="S122:S123" si="143">SUM(N122:R122)</f>
        <v>0</v>
      </c>
      <c r="T122" s="347"/>
      <c r="U122" s="277">
        <f t="shared" si="140"/>
        <v>0</v>
      </c>
      <c r="V122" s="277">
        <f t="shared" si="141"/>
        <v>0</v>
      </c>
      <c r="X122" s="127"/>
    </row>
    <row r="123" spans="1:28" ht="13" outlineLevel="1" x14ac:dyDescent="0.3">
      <c r="A123" s="339">
        <v>15.09</v>
      </c>
      <c r="B123" s="350" t="s">
        <v>205</v>
      </c>
      <c r="C123" s="341" t="s">
        <v>551</v>
      </c>
      <c r="D123" s="418" t="s">
        <v>294</v>
      </c>
      <c r="E123" s="363">
        <v>76</v>
      </c>
      <c r="F123" s="343">
        <v>13327.501195326317</v>
      </c>
      <c r="G123" s="343">
        <v>0</v>
      </c>
      <c r="H123" s="344">
        <f t="shared" si="137"/>
        <v>13327.501195326317</v>
      </c>
      <c r="I123" s="343">
        <v>44901.004229325525</v>
      </c>
      <c r="J123" s="343">
        <v>0</v>
      </c>
      <c r="K123" s="344">
        <f t="shared" si="142"/>
        <v>44901.004229325525</v>
      </c>
      <c r="L123" s="343">
        <f>(H123+K123)*0.015</f>
        <v>873.42758136977761</v>
      </c>
      <c r="M123" s="344"/>
      <c r="N123" s="345"/>
      <c r="O123" s="345"/>
      <c r="P123" s="345"/>
      <c r="Q123" s="345"/>
      <c r="R123" s="345"/>
      <c r="S123" s="346">
        <f t="shared" si="143"/>
        <v>0</v>
      </c>
      <c r="T123" s="347"/>
      <c r="U123" s="277">
        <f t="shared" si="140"/>
        <v>0</v>
      </c>
      <c r="V123" s="277">
        <f t="shared" si="141"/>
        <v>0</v>
      </c>
      <c r="X123" s="127"/>
    </row>
    <row r="124" spans="1:28" ht="13" outlineLevel="1" x14ac:dyDescent="0.3">
      <c r="A124" s="339">
        <v>15.1</v>
      </c>
      <c r="B124" s="352" t="s">
        <v>205</v>
      </c>
      <c r="C124" s="434" t="s">
        <v>552</v>
      </c>
      <c r="D124" s="428" t="s">
        <v>207</v>
      </c>
      <c r="E124" s="379">
        <v>1</v>
      </c>
      <c r="F124" s="358">
        <v>756143.49726719991</v>
      </c>
      <c r="G124" s="358">
        <v>0</v>
      </c>
      <c r="H124" s="356">
        <f t="shared" si="137"/>
        <v>756143.49726719991</v>
      </c>
      <c r="I124" s="358">
        <v>2547484.4737344817</v>
      </c>
      <c r="J124" s="358">
        <v>0</v>
      </c>
      <c r="K124" s="356">
        <f t="shared" si="142"/>
        <v>2547484.4737344817</v>
      </c>
      <c r="L124" s="343">
        <f>(H124+K124)*0.015</f>
        <v>49554.41956502523</v>
      </c>
      <c r="M124" s="356"/>
      <c r="N124" s="359"/>
      <c r="O124" s="359"/>
      <c r="P124" s="359"/>
      <c r="Q124" s="359"/>
      <c r="R124" s="359"/>
      <c r="S124" s="360">
        <f t="shared" si="123"/>
        <v>0</v>
      </c>
      <c r="T124" s="435"/>
      <c r="U124" s="277">
        <f t="shared" si="140"/>
        <v>0</v>
      </c>
      <c r="V124" s="277">
        <f t="shared" si="141"/>
        <v>0</v>
      </c>
      <c r="X124" s="127"/>
    </row>
    <row r="125" spans="1:28" ht="13" x14ac:dyDescent="0.3">
      <c r="A125" s="325">
        <v>16</v>
      </c>
      <c r="B125" s="326"/>
      <c r="C125" s="436" t="s">
        <v>553</v>
      </c>
      <c r="D125" s="177"/>
      <c r="E125" s="327"/>
      <c r="F125" s="327"/>
      <c r="G125" s="327"/>
      <c r="H125" s="327"/>
      <c r="I125" s="327"/>
      <c r="J125" s="327"/>
      <c r="K125" s="327"/>
      <c r="L125" s="327"/>
      <c r="M125" s="328"/>
      <c r="N125" s="327"/>
      <c r="O125" s="327"/>
      <c r="P125" s="327"/>
      <c r="Q125" s="327"/>
      <c r="R125" s="327"/>
      <c r="S125" s="327"/>
      <c r="T125" s="329">
        <f>SUM(S126:S126)</f>
        <v>0</v>
      </c>
      <c r="U125" s="327"/>
      <c r="V125" s="327"/>
      <c r="W125" s="330">
        <f>SUM(V126:V126)</f>
        <v>0</v>
      </c>
      <c r="X125" s="127">
        <f>+W125/$W$216</f>
        <v>0</v>
      </c>
      <c r="Y125" s="283">
        <f>+W125</f>
        <v>0</v>
      </c>
    </row>
    <row r="126" spans="1:28" s="185" customFormat="1" ht="13" outlineLevel="1" x14ac:dyDescent="0.3">
      <c r="A126" s="331"/>
      <c r="B126" s="380"/>
      <c r="C126" s="333"/>
      <c r="D126" s="182"/>
      <c r="E126" s="381"/>
      <c r="F126" s="407"/>
      <c r="G126" s="407"/>
      <c r="H126" s="334">
        <f>F126+G126</f>
        <v>0</v>
      </c>
      <c r="I126" s="407"/>
      <c r="J126" s="407"/>
      <c r="K126" s="334">
        <f t="shared" ref="K126" si="144">I126+J126</f>
        <v>0</v>
      </c>
      <c r="L126" s="382"/>
      <c r="M126" s="334">
        <f>H126+K126+L126</f>
        <v>0</v>
      </c>
      <c r="N126" s="335">
        <f t="shared" ref="N126" si="145">F126*E126</f>
        <v>0</v>
      </c>
      <c r="O126" s="335">
        <f t="shared" ref="O126" si="146">G126*E126</f>
        <v>0</v>
      </c>
      <c r="P126" s="335">
        <f t="shared" ref="P126" si="147">I126*E126</f>
        <v>0</v>
      </c>
      <c r="Q126" s="335">
        <f t="shared" ref="Q126" si="148">J126*E126</f>
        <v>0</v>
      </c>
      <c r="R126" s="335">
        <f t="shared" ref="R126" si="149">+L126*E126</f>
        <v>0</v>
      </c>
      <c r="S126" s="336">
        <f t="shared" ref="S126" si="150">SUM(N126:R126)</f>
        <v>0</v>
      </c>
      <c r="T126" s="347"/>
      <c r="U126" s="391">
        <f>+ROUNDUP(M126*$T$5,0)</f>
        <v>0</v>
      </c>
      <c r="V126" s="389">
        <f>+U126*E126</f>
        <v>0</v>
      </c>
      <c r="W126" s="393"/>
      <c r="X126" s="186"/>
      <c r="Y126" s="385"/>
      <c r="AB126" s="385"/>
    </row>
    <row r="127" spans="1:28" s="185" customFormat="1" ht="13" x14ac:dyDescent="0.3">
      <c r="A127" s="325">
        <v>17</v>
      </c>
      <c r="B127" s="326"/>
      <c r="C127" s="276" t="s">
        <v>357</v>
      </c>
      <c r="D127" s="177"/>
      <c r="E127" s="327"/>
      <c r="F127" s="327"/>
      <c r="G127" s="327"/>
      <c r="H127" s="327"/>
      <c r="I127" s="327"/>
      <c r="J127" s="327"/>
      <c r="K127" s="327"/>
      <c r="L127" s="327"/>
      <c r="M127" s="328"/>
      <c r="N127" s="327"/>
      <c r="O127" s="327"/>
      <c r="P127" s="327"/>
      <c r="Q127" s="327"/>
      <c r="R127" s="327"/>
      <c r="S127" s="327"/>
      <c r="T127" s="329">
        <f>SUM(S128:S131)</f>
        <v>5774751.9174432056</v>
      </c>
      <c r="U127" s="327"/>
      <c r="V127" s="327"/>
      <c r="W127" s="330">
        <f>SUM(V128:V131)</f>
        <v>7258243</v>
      </c>
      <c r="X127" s="127">
        <f>+W127/$W$216</f>
        <v>6.4380213267798822E-3</v>
      </c>
      <c r="Y127" s="283">
        <f>+W127</f>
        <v>7258243</v>
      </c>
      <c r="AB127" s="385"/>
    </row>
    <row r="128" spans="1:28" s="185" customFormat="1" ht="13" outlineLevel="1" x14ac:dyDescent="0.3">
      <c r="A128" s="331">
        <f>+A127+0.01</f>
        <v>17.010000000000002</v>
      </c>
      <c r="B128" s="380" t="s">
        <v>205</v>
      </c>
      <c r="C128" s="437" t="s">
        <v>554</v>
      </c>
      <c r="D128" s="438" t="s">
        <v>243</v>
      </c>
      <c r="E128" s="381">
        <v>47</v>
      </c>
      <c r="F128" s="382"/>
      <c r="G128" s="382">
        <v>3816.1086480000004</v>
      </c>
      <c r="H128" s="334">
        <f>F128+G128</f>
        <v>3816.1086480000004</v>
      </c>
      <c r="I128" s="439"/>
      <c r="J128" s="382">
        <v>46892.732044928976</v>
      </c>
      <c r="K128" s="334">
        <f>I128+J128</f>
        <v>46892.732044928976</v>
      </c>
      <c r="L128" s="382">
        <v>394.92625606475576</v>
      </c>
      <c r="M128" s="334">
        <f>H128+K128+L128</f>
        <v>51103.766948993733</v>
      </c>
      <c r="N128" s="335">
        <f>F128*E128</f>
        <v>0</v>
      </c>
      <c r="O128" s="335">
        <f>G128*E128</f>
        <v>179357.10645600001</v>
      </c>
      <c r="P128" s="335">
        <f>I128*E128</f>
        <v>0</v>
      </c>
      <c r="Q128" s="335">
        <f>J128*E128</f>
        <v>2203958.4061116618</v>
      </c>
      <c r="R128" s="335">
        <f>+L128*E128</f>
        <v>18561.534035043522</v>
      </c>
      <c r="S128" s="336">
        <f>SUM(N128:R128)</f>
        <v>2401877.046602705</v>
      </c>
      <c r="T128" s="393"/>
      <c r="U128" s="338">
        <f>+ROUNDUP(M128*$T$5,0)</f>
        <v>64232</v>
      </c>
      <c r="V128" s="338">
        <f>+U128*E128</f>
        <v>3018904</v>
      </c>
      <c r="W128" s="384"/>
      <c r="X128" s="127"/>
      <c r="Y128" s="385"/>
      <c r="AB128" s="385"/>
    </row>
    <row r="129" spans="1:28" s="185" customFormat="1" ht="13" outlineLevel="1" x14ac:dyDescent="0.3">
      <c r="A129" s="339">
        <v>17.02</v>
      </c>
      <c r="B129" s="350" t="s">
        <v>205</v>
      </c>
      <c r="C129" s="440" t="s">
        <v>555</v>
      </c>
      <c r="D129" s="441" t="s">
        <v>243</v>
      </c>
      <c r="E129" s="363">
        <v>23</v>
      </c>
      <c r="F129" s="387"/>
      <c r="G129" s="387">
        <v>3816.1086480000004</v>
      </c>
      <c r="H129" s="344">
        <f>F129+G129</f>
        <v>3816.1086480000004</v>
      </c>
      <c r="I129" s="442"/>
      <c r="J129" s="387">
        <v>46892.732044928976</v>
      </c>
      <c r="K129" s="344">
        <f>I129+J129</f>
        <v>46892.732044928976</v>
      </c>
      <c r="L129" s="387">
        <v>394.92625606475576</v>
      </c>
      <c r="M129" s="344">
        <f>H129+K129+L129</f>
        <v>51103.766948993733</v>
      </c>
      <c r="N129" s="345">
        <f>F129*E129</f>
        <v>0</v>
      </c>
      <c r="O129" s="345">
        <f>G129*E129</f>
        <v>87770.498904000007</v>
      </c>
      <c r="P129" s="345">
        <f>I129*E129</f>
        <v>0</v>
      </c>
      <c r="Q129" s="345">
        <f>J129*E129</f>
        <v>1078532.8370333666</v>
      </c>
      <c r="R129" s="345">
        <f>+L129*E129</f>
        <v>9083.3038894893834</v>
      </c>
      <c r="S129" s="346">
        <f>SUM(N129:R129)</f>
        <v>1175386.6398268561</v>
      </c>
      <c r="T129" s="393"/>
      <c r="U129" s="277">
        <f>+ROUNDUP(M129*$T$5,0)</f>
        <v>64232</v>
      </c>
      <c r="V129" s="277">
        <f>+U129*E129</f>
        <v>1477336</v>
      </c>
      <c r="W129" s="384"/>
      <c r="X129" s="127"/>
      <c r="Y129" s="385"/>
      <c r="AB129" s="385"/>
    </row>
    <row r="130" spans="1:28" s="185" customFormat="1" ht="13" outlineLevel="1" x14ac:dyDescent="0.3">
      <c r="A130" s="339">
        <v>17.03</v>
      </c>
      <c r="B130" s="350" t="s">
        <v>205</v>
      </c>
      <c r="C130" s="440" t="s">
        <v>556</v>
      </c>
      <c r="D130" s="441" t="s">
        <v>243</v>
      </c>
      <c r="E130" s="363">
        <v>51</v>
      </c>
      <c r="F130" s="387"/>
      <c r="G130" s="387">
        <v>1396.3488462000003</v>
      </c>
      <c r="H130" s="344">
        <f>F130+G130</f>
        <v>1396.3488462000003</v>
      </c>
      <c r="I130" s="387"/>
      <c r="J130" s="387">
        <v>31261.821363285984</v>
      </c>
      <c r="K130" s="344">
        <f t="shared" ref="K130:K131" si="151">I130+J130</f>
        <v>31261.821363285984</v>
      </c>
      <c r="L130" s="387">
        <v>197.46312803237788</v>
      </c>
      <c r="M130" s="344">
        <f>H130+K130+L130</f>
        <v>32855.63333751836</v>
      </c>
      <c r="N130" s="345">
        <f>F130*E130</f>
        <v>0</v>
      </c>
      <c r="O130" s="345">
        <f>G130*E130</f>
        <v>71213.791156200008</v>
      </c>
      <c r="P130" s="345">
        <f>I130*E130</f>
        <v>0</v>
      </c>
      <c r="Q130" s="345">
        <f>J130*E130</f>
        <v>1594352.8895275851</v>
      </c>
      <c r="R130" s="345">
        <f>+L130*E130</f>
        <v>10070.619529651272</v>
      </c>
      <c r="S130" s="346">
        <f>SUM(N130:R130)</f>
        <v>1675637.3002134364</v>
      </c>
      <c r="T130" s="393"/>
      <c r="U130" s="277">
        <f>+ROUNDUP(M130*$T$5,0)</f>
        <v>41296</v>
      </c>
      <c r="V130" s="277">
        <f>+U130*E130</f>
        <v>2106096</v>
      </c>
      <c r="W130" s="384"/>
      <c r="X130" s="127"/>
      <c r="Y130" s="385"/>
      <c r="AB130" s="385"/>
    </row>
    <row r="131" spans="1:28" s="185" customFormat="1" ht="13" outlineLevel="1" x14ac:dyDescent="0.3">
      <c r="A131" s="404">
        <v>17.04</v>
      </c>
      <c r="B131" s="352" t="s">
        <v>205</v>
      </c>
      <c r="C131" s="353" t="s">
        <v>557</v>
      </c>
      <c r="D131" s="405" t="s">
        <v>243</v>
      </c>
      <c r="E131" s="379">
        <v>7</v>
      </c>
      <c r="F131" s="399"/>
      <c r="G131" s="399">
        <f>+G128</f>
        <v>3816.1086480000004</v>
      </c>
      <c r="H131" s="356">
        <f>F131+G131</f>
        <v>3816.1086480000004</v>
      </c>
      <c r="I131" s="443">
        <f>+J131*0.5</f>
        <v>23446.366022464488</v>
      </c>
      <c r="J131" s="399">
        <f>+J128</f>
        <v>46892.732044928976</v>
      </c>
      <c r="K131" s="356">
        <f t="shared" si="151"/>
        <v>70339.098067393468</v>
      </c>
      <c r="L131" s="399">
        <f>+L128</f>
        <v>394.92625606475576</v>
      </c>
      <c r="M131" s="356">
        <f>H131+K131+L131</f>
        <v>74550.132971458224</v>
      </c>
      <c r="N131" s="359">
        <f>F131*E131</f>
        <v>0</v>
      </c>
      <c r="O131" s="359">
        <f>G131*E131</f>
        <v>26712.760536000002</v>
      </c>
      <c r="P131" s="359">
        <f>I131*E131</f>
        <v>164124.56215725141</v>
      </c>
      <c r="Q131" s="359">
        <f>J131*E131</f>
        <v>328249.12431450281</v>
      </c>
      <c r="R131" s="359">
        <f>+L131*E131</f>
        <v>2764.4837924532903</v>
      </c>
      <c r="S131" s="360">
        <f>SUM(N131:R131)</f>
        <v>521850.93080020754</v>
      </c>
      <c r="T131" s="393"/>
      <c r="U131" s="432">
        <f>+ROUNDUP(M131*$T$5,0)</f>
        <v>93701</v>
      </c>
      <c r="V131" s="432">
        <f>+U131*E131</f>
        <v>655907</v>
      </c>
      <c r="W131" s="384"/>
      <c r="X131" s="127"/>
      <c r="Y131" s="385"/>
      <c r="AB131" s="385"/>
    </row>
    <row r="132" spans="1:28" ht="13" x14ac:dyDescent="0.3">
      <c r="A132" s="325">
        <v>18</v>
      </c>
      <c r="B132" s="326"/>
      <c r="C132" s="276" t="s">
        <v>367</v>
      </c>
      <c r="D132" s="177"/>
      <c r="E132" s="327"/>
      <c r="F132" s="327"/>
      <c r="G132" s="327"/>
      <c r="H132" s="327"/>
      <c r="I132" s="327"/>
      <c r="J132" s="327"/>
      <c r="K132" s="327"/>
      <c r="L132" s="327"/>
      <c r="M132" s="328"/>
      <c r="N132" s="327"/>
      <c r="O132" s="327"/>
      <c r="P132" s="327"/>
      <c r="Q132" s="327"/>
      <c r="R132" s="327"/>
      <c r="S132" s="327"/>
      <c r="T132" s="329">
        <f>SUM(S133:S162)</f>
        <v>78986713.271521568</v>
      </c>
      <c r="U132" s="327"/>
      <c r="V132" s="327"/>
      <c r="W132" s="330">
        <f>SUM(V133:V162)</f>
        <v>99277732</v>
      </c>
      <c r="X132" s="127">
        <f>+W132/$W$216</f>
        <v>8.8058798236754762E-2</v>
      </c>
      <c r="Y132" s="283">
        <f>+W132</f>
        <v>99277732</v>
      </c>
    </row>
    <row r="133" spans="1:28" ht="13" outlineLevel="1" x14ac:dyDescent="0.3">
      <c r="A133" s="444">
        <f>+A132+0.01</f>
        <v>18.010000000000002</v>
      </c>
      <c r="B133" s="380" t="s">
        <v>205</v>
      </c>
      <c r="C133" s="445" t="s">
        <v>558</v>
      </c>
      <c r="D133" s="187" t="s">
        <v>243</v>
      </c>
      <c r="E133" s="446">
        <v>392</v>
      </c>
      <c r="F133" s="382">
        <v>13184.711802349999</v>
      </c>
      <c r="G133" s="447"/>
      <c r="H133" s="334">
        <f>F133+G133</f>
        <v>13184.711802349999</v>
      </c>
      <c r="I133" s="448">
        <v>32886.699999999997</v>
      </c>
      <c r="J133" s="447"/>
      <c r="K133" s="334">
        <f>I133+J133</f>
        <v>32886.699999999997</v>
      </c>
      <c r="L133" s="382">
        <v>1623.6466772663525</v>
      </c>
      <c r="M133" s="334">
        <f>H133+K133+L133</f>
        <v>47695.058479616353</v>
      </c>
      <c r="N133" s="335">
        <f t="shared" ref="N133:N136" si="152">F133*E133</f>
        <v>5168407.0265211994</v>
      </c>
      <c r="O133" s="335">
        <f t="shared" ref="O133:O136" si="153">G133*E133</f>
        <v>0</v>
      </c>
      <c r="P133" s="335">
        <f t="shared" ref="P133:P136" si="154">I133*E133</f>
        <v>12891586.399999999</v>
      </c>
      <c r="Q133" s="335">
        <f t="shared" ref="Q133:Q136" si="155">J133*E133</f>
        <v>0</v>
      </c>
      <c r="R133" s="335">
        <f t="shared" ref="R133:R136" si="156">+L133*E133</f>
        <v>636469.49748841021</v>
      </c>
      <c r="S133" s="336">
        <f t="shared" si="11"/>
        <v>18696462.924009606</v>
      </c>
      <c r="T133" s="337"/>
      <c r="U133" s="338">
        <f t="shared" ref="U133:U162" si="157">+ROUNDUP(M133*$T$5,0)</f>
        <v>59948</v>
      </c>
      <c r="V133" s="338">
        <f t="shared" ref="V133:V162" si="158">+U133*E133</f>
        <v>23499616</v>
      </c>
      <c r="X133" s="127"/>
    </row>
    <row r="134" spans="1:28" ht="13" outlineLevel="1" x14ac:dyDescent="0.3">
      <c r="A134" s="449">
        <v>18.02</v>
      </c>
      <c r="B134" s="350" t="s">
        <v>205</v>
      </c>
      <c r="C134" s="450" t="s">
        <v>559</v>
      </c>
      <c r="D134" s="188" t="s">
        <v>243</v>
      </c>
      <c r="E134" s="451">
        <v>19</v>
      </c>
      <c r="F134" s="387">
        <v>13184.711802349999</v>
      </c>
      <c r="G134" s="452"/>
      <c r="H134" s="344">
        <f t="shared" ref="H134:H162" si="159">F134+G134</f>
        <v>13184.711802349999</v>
      </c>
      <c r="I134" s="448">
        <v>32886.699999999997</v>
      </c>
      <c r="J134" s="452"/>
      <c r="K134" s="344">
        <f t="shared" ref="K134:K162" si="160">I134+J134</f>
        <v>32886.699999999997</v>
      </c>
      <c r="L134" s="387">
        <v>1623.6466772663525</v>
      </c>
      <c r="M134" s="344">
        <f t="shared" ref="M134:M136" si="161">H134+K134+L134</f>
        <v>47695.058479616353</v>
      </c>
      <c r="N134" s="345">
        <f t="shared" si="152"/>
        <v>250509.52424464998</v>
      </c>
      <c r="O134" s="345">
        <f t="shared" si="153"/>
        <v>0</v>
      </c>
      <c r="P134" s="345">
        <f t="shared" si="154"/>
        <v>624847.29999999993</v>
      </c>
      <c r="Q134" s="345">
        <f t="shared" si="155"/>
        <v>0</v>
      </c>
      <c r="R134" s="345">
        <f t="shared" si="156"/>
        <v>30849.286868060699</v>
      </c>
      <c r="S134" s="346">
        <f t="shared" si="11"/>
        <v>906206.11111271055</v>
      </c>
      <c r="T134" s="347"/>
      <c r="U134" s="277">
        <f t="shared" si="157"/>
        <v>59948</v>
      </c>
      <c r="V134" s="277">
        <f t="shared" si="158"/>
        <v>1139012</v>
      </c>
      <c r="X134" s="127"/>
    </row>
    <row r="135" spans="1:28" ht="13" outlineLevel="1" x14ac:dyDescent="0.3">
      <c r="A135" s="449">
        <v>18.03</v>
      </c>
      <c r="B135" s="350" t="s">
        <v>205</v>
      </c>
      <c r="C135" s="450" t="s">
        <v>560</v>
      </c>
      <c r="D135" s="188" t="s">
        <v>243</v>
      </c>
      <c r="E135" s="451">
        <v>349</v>
      </c>
      <c r="F135" s="387">
        <v>11193.920501279999</v>
      </c>
      <c r="G135" s="452"/>
      <c r="H135" s="344">
        <f t="shared" si="159"/>
        <v>11193.920501279999</v>
      </c>
      <c r="I135" s="448">
        <v>32886.699999999997</v>
      </c>
      <c r="J135" s="452"/>
      <c r="K135" s="344">
        <f t="shared" si="160"/>
        <v>32886.699999999997</v>
      </c>
      <c r="L135" s="387">
        <v>1623.6466772663525</v>
      </c>
      <c r="M135" s="344">
        <f t="shared" si="161"/>
        <v>45704.267178546354</v>
      </c>
      <c r="N135" s="345">
        <f t="shared" si="152"/>
        <v>3906678.2549467199</v>
      </c>
      <c r="O135" s="345">
        <f t="shared" si="153"/>
        <v>0</v>
      </c>
      <c r="P135" s="345">
        <f t="shared" si="154"/>
        <v>11477458.299999999</v>
      </c>
      <c r="Q135" s="345">
        <f t="shared" si="155"/>
        <v>0</v>
      </c>
      <c r="R135" s="345">
        <f t="shared" si="156"/>
        <v>566652.69036595698</v>
      </c>
      <c r="S135" s="346">
        <f t="shared" si="11"/>
        <v>15950789.245312676</v>
      </c>
      <c r="T135" s="347"/>
      <c r="U135" s="277">
        <f t="shared" si="157"/>
        <v>57445</v>
      </c>
      <c r="V135" s="277">
        <f t="shared" si="158"/>
        <v>20048305</v>
      </c>
      <c r="X135" s="127"/>
    </row>
    <row r="136" spans="1:28" ht="13" outlineLevel="1" x14ac:dyDescent="0.3">
      <c r="A136" s="453">
        <v>18.04</v>
      </c>
      <c r="B136" s="350" t="s">
        <v>205</v>
      </c>
      <c r="C136" s="450" t="s">
        <v>375</v>
      </c>
      <c r="D136" s="188" t="s">
        <v>243</v>
      </c>
      <c r="E136" s="451">
        <v>35</v>
      </c>
      <c r="F136" s="387">
        <v>11193.920501279999</v>
      </c>
      <c r="G136" s="390">
        <f>+F136*0.5</f>
        <v>5596.9602506399997</v>
      </c>
      <c r="H136" s="344">
        <f t="shared" si="159"/>
        <v>16790.880751919998</v>
      </c>
      <c r="I136" s="448">
        <v>32886.699999999997</v>
      </c>
      <c r="J136" s="452"/>
      <c r="K136" s="344">
        <f t="shared" si="160"/>
        <v>32886.699999999997</v>
      </c>
      <c r="L136" s="387">
        <v>1623.6466772663525</v>
      </c>
      <c r="M136" s="344">
        <f t="shared" si="161"/>
        <v>51301.22742918635</v>
      </c>
      <c r="N136" s="345">
        <f t="shared" si="152"/>
        <v>391787.21754479996</v>
      </c>
      <c r="O136" s="345">
        <f t="shared" si="153"/>
        <v>195893.60877239998</v>
      </c>
      <c r="P136" s="345">
        <f t="shared" si="154"/>
        <v>1151034.5</v>
      </c>
      <c r="Q136" s="345">
        <f t="shared" si="155"/>
        <v>0</v>
      </c>
      <c r="R136" s="345">
        <f t="shared" si="156"/>
        <v>56827.633704322339</v>
      </c>
      <c r="S136" s="346">
        <f t="shared" si="11"/>
        <v>1795542.9600215224</v>
      </c>
      <c r="T136" s="347"/>
      <c r="U136" s="277">
        <f t="shared" si="157"/>
        <v>64480</v>
      </c>
      <c r="V136" s="277">
        <f t="shared" si="158"/>
        <v>2256800</v>
      </c>
      <c r="X136" s="127"/>
    </row>
    <row r="137" spans="1:28" ht="13" outlineLevel="1" x14ac:dyDescent="0.3">
      <c r="A137" s="449">
        <v>18.05</v>
      </c>
      <c r="B137" s="350" t="s">
        <v>205</v>
      </c>
      <c r="C137" s="450" t="s">
        <v>376</v>
      </c>
      <c r="D137" s="188" t="s">
        <v>243</v>
      </c>
      <c r="E137" s="451">
        <v>16</v>
      </c>
      <c r="F137" s="387">
        <v>11193.920501279999</v>
      </c>
      <c r="G137" s="452"/>
      <c r="H137" s="344">
        <f>F137+G137</f>
        <v>11193.920501279999</v>
      </c>
      <c r="I137" s="448">
        <v>32886.699999999997</v>
      </c>
      <c r="J137" s="452"/>
      <c r="K137" s="344">
        <f>I137+J137</f>
        <v>32886.699999999997</v>
      </c>
      <c r="L137" s="387">
        <v>1623.6466772663525</v>
      </c>
      <c r="M137" s="344">
        <f>H137+K137+L137</f>
        <v>45704.267178546354</v>
      </c>
      <c r="N137" s="345">
        <f>F137*E137</f>
        <v>179102.72802047999</v>
      </c>
      <c r="O137" s="345">
        <f>G137*E137</f>
        <v>0</v>
      </c>
      <c r="P137" s="345">
        <f>I137*E137</f>
        <v>526187.19999999995</v>
      </c>
      <c r="Q137" s="345">
        <f>J137*E137</f>
        <v>0</v>
      </c>
      <c r="R137" s="345">
        <f>+L137*E137</f>
        <v>25978.34683626164</v>
      </c>
      <c r="S137" s="346">
        <f>SUM(N137:R137)</f>
        <v>731268.27485674166</v>
      </c>
      <c r="T137" s="347"/>
      <c r="U137" s="277">
        <f>+ROUNDUP(M137*$T$5,0)</f>
        <v>57445</v>
      </c>
      <c r="V137" s="277">
        <f>+U137*E137</f>
        <v>919120</v>
      </c>
      <c r="X137" s="127"/>
    </row>
    <row r="138" spans="1:28" ht="13" outlineLevel="1" x14ac:dyDescent="0.3">
      <c r="A138" s="453">
        <v>18.059999999999999</v>
      </c>
      <c r="B138" s="350" t="s">
        <v>205</v>
      </c>
      <c r="C138" s="450" t="s">
        <v>561</v>
      </c>
      <c r="D138" s="188" t="s">
        <v>243</v>
      </c>
      <c r="E138" s="451">
        <v>16</v>
      </c>
      <c r="F138" s="387">
        <v>11193.920501279999</v>
      </c>
      <c r="G138" s="452"/>
      <c r="H138" s="344">
        <f>F138+G138</f>
        <v>11193.920501279999</v>
      </c>
      <c r="I138" s="448">
        <v>32886.699999999997</v>
      </c>
      <c r="J138" s="452"/>
      <c r="K138" s="344">
        <f>I138+J138</f>
        <v>32886.699999999997</v>
      </c>
      <c r="L138" s="387">
        <v>1623.6466772663525</v>
      </c>
      <c r="M138" s="344">
        <f t="shared" ref="M138" si="162">H138+K138+L138</f>
        <v>45704.267178546354</v>
      </c>
      <c r="N138" s="345">
        <f t="shared" ref="N138" si="163">F138*E138</f>
        <v>179102.72802047999</v>
      </c>
      <c r="O138" s="345">
        <f t="shared" ref="O138" si="164">G138*E138</f>
        <v>0</v>
      </c>
      <c r="P138" s="345">
        <f t="shared" ref="P138" si="165">I138*E138</f>
        <v>526187.19999999995</v>
      </c>
      <c r="Q138" s="345">
        <f t="shared" ref="Q138" si="166">J138*E138</f>
        <v>0</v>
      </c>
      <c r="R138" s="345">
        <f t="shared" ref="R138" si="167">+L138*E138</f>
        <v>25978.34683626164</v>
      </c>
      <c r="S138" s="346">
        <f t="shared" ref="S138" si="168">SUM(N138:R138)</f>
        <v>731268.27485674166</v>
      </c>
      <c r="T138" s="347"/>
      <c r="U138" s="277">
        <f t="shared" ref="U138" si="169">+ROUNDUP(M138*$T$5,0)</f>
        <v>57445</v>
      </c>
      <c r="V138" s="277">
        <f t="shared" ref="V138" si="170">+U138*E138</f>
        <v>919120</v>
      </c>
      <c r="X138" s="127"/>
    </row>
    <row r="139" spans="1:28" ht="13" outlineLevel="1" x14ac:dyDescent="0.3">
      <c r="A139" s="449">
        <v>18.07</v>
      </c>
      <c r="B139" s="350" t="s">
        <v>205</v>
      </c>
      <c r="C139" s="450" t="s">
        <v>379</v>
      </c>
      <c r="D139" s="188" t="s">
        <v>243</v>
      </c>
      <c r="E139" s="451">
        <v>46</v>
      </c>
      <c r="F139" s="390">
        <v>9888.5338517624987</v>
      </c>
      <c r="G139" s="452"/>
      <c r="H139" s="344">
        <f t="shared" si="159"/>
        <v>9888.5338517624987</v>
      </c>
      <c r="I139" s="448">
        <v>22868.3</v>
      </c>
      <c r="J139" s="452"/>
      <c r="K139" s="344">
        <f t="shared" si="160"/>
        <v>22868.3</v>
      </c>
      <c r="L139" s="387">
        <v>1623.6466772663525</v>
      </c>
      <c r="M139" s="344">
        <f>H139+K139+L139</f>
        <v>34380.48052902885</v>
      </c>
      <c r="N139" s="345">
        <f>F139*E139</f>
        <v>454872.55718107492</v>
      </c>
      <c r="O139" s="345">
        <f>G139*E139</f>
        <v>0</v>
      </c>
      <c r="P139" s="345">
        <f>I139*E139</f>
        <v>1051941.8</v>
      </c>
      <c r="Q139" s="345">
        <f>J139*E139</f>
        <v>0</v>
      </c>
      <c r="R139" s="345">
        <f>+L139*E139</f>
        <v>74687.747154252211</v>
      </c>
      <c r="S139" s="346">
        <f>SUM(N139:R139)</f>
        <v>1581502.1043353272</v>
      </c>
      <c r="T139" s="347"/>
      <c r="U139" s="277">
        <f t="shared" si="157"/>
        <v>43213</v>
      </c>
      <c r="V139" s="277">
        <f t="shared" si="158"/>
        <v>1987798</v>
      </c>
      <c r="X139" s="127"/>
    </row>
    <row r="140" spans="1:28" ht="13" outlineLevel="1" x14ac:dyDescent="0.3">
      <c r="A140" s="453">
        <v>18.079999999999998</v>
      </c>
      <c r="B140" s="350" t="s">
        <v>205</v>
      </c>
      <c r="C140" s="450" t="s">
        <v>380</v>
      </c>
      <c r="D140" s="188" t="s">
        <v>243</v>
      </c>
      <c r="E140" s="451">
        <v>17</v>
      </c>
      <c r="F140" s="390">
        <v>9888.5338517624987</v>
      </c>
      <c r="G140" s="452"/>
      <c r="H140" s="344">
        <f t="shared" si="159"/>
        <v>9888.5338517624987</v>
      </c>
      <c r="I140" s="448">
        <v>22868.3</v>
      </c>
      <c r="J140" s="452"/>
      <c r="K140" s="344">
        <f t="shared" si="160"/>
        <v>22868.3</v>
      </c>
      <c r="L140" s="387">
        <v>1623.6466772663525</v>
      </c>
      <c r="M140" s="344">
        <f t="shared" ref="M140:M162" si="171">H140+K140+L140</f>
        <v>34380.48052902885</v>
      </c>
      <c r="N140" s="345">
        <f t="shared" ref="N140:N162" si="172">F140*E140</f>
        <v>168105.07547996248</v>
      </c>
      <c r="O140" s="345">
        <f t="shared" ref="O140:O162" si="173">G140*E140</f>
        <v>0</v>
      </c>
      <c r="P140" s="345">
        <f t="shared" ref="P140:P162" si="174">I140*E140</f>
        <v>388761.1</v>
      </c>
      <c r="Q140" s="345">
        <f t="shared" ref="Q140:Q162" si="175">J140*E140</f>
        <v>0</v>
      </c>
      <c r="R140" s="345">
        <f t="shared" ref="R140:R162" si="176">+L140*E140</f>
        <v>27601.993513527992</v>
      </c>
      <c r="S140" s="346">
        <f t="shared" ref="S140:S162" si="177">SUM(N140:R140)</f>
        <v>584468.16899349052</v>
      </c>
      <c r="T140" s="347"/>
      <c r="U140" s="277">
        <f t="shared" si="157"/>
        <v>43213</v>
      </c>
      <c r="V140" s="277">
        <f t="shared" si="158"/>
        <v>734621</v>
      </c>
      <c r="X140" s="127"/>
    </row>
    <row r="141" spans="1:28" ht="13" outlineLevel="1" x14ac:dyDescent="0.3">
      <c r="A141" s="449">
        <v>18.09</v>
      </c>
      <c r="B141" s="350" t="s">
        <v>205</v>
      </c>
      <c r="C141" s="450" t="s">
        <v>382</v>
      </c>
      <c r="D141" s="188" t="s">
        <v>243</v>
      </c>
      <c r="E141" s="451">
        <v>11</v>
      </c>
      <c r="F141" s="390">
        <v>9888.5338517624987</v>
      </c>
      <c r="G141" s="452"/>
      <c r="H141" s="344">
        <f t="shared" si="159"/>
        <v>9888.5338517624987</v>
      </c>
      <c r="I141" s="448">
        <v>22868.3</v>
      </c>
      <c r="J141" s="452"/>
      <c r="K141" s="344">
        <f t="shared" si="160"/>
        <v>22868.3</v>
      </c>
      <c r="L141" s="387">
        <v>1623.6466772663525</v>
      </c>
      <c r="M141" s="344">
        <f t="shared" si="171"/>
        <v>34380.48052902885</v>
      </c>
      <c r="N141" s="345">
        <f t="shared" si="172"/>
        <v>108773.87236938748</v>
      </c>
      <c r="O141" s="345">
        <f t="shared" si="173"/>
        <v>0</v>
      </c>
      <c r="P141" s="345">
        <f t="shared" si="174"/>
        <v>251551.3</v>
      </c>
      <c r="Q141" s="345">
        <f t="shared" si="175"/>
        <v>0</v>
      </c>
      <c r="R141" s="345">
        <f t="shared" si="176"/>
        <v>17860.113449929879</v>
      </c>
      <c r="S141" s="346">
        <f t="shared" si="177"/>
        <v>378185.28581931733</v>
      </c>
      <c r="T141" s="347"/>
      <c r="U141" s="277">
        <f t="shared" si="157"/>
        <v>43213</v>
      </c>
      <c r="V141" s="277">
        <f t="shared" si="158"/>
        <v>475343</v>
      </c>
      <c r="X141" s="127"/>
    </row>
    <row r="142" spans="1:28" ht="13" outlineLevel="1" x14ac:dyDescent="0.3">
      <c r="A142" s="453">
        <v>18.100000000000001</v>
      </c>
      <c r="B142" s="350" t="s">
        <v>205</v>
      </c>
      <c r="C142" s="450" t="s">
        <v>562</v>
      </c>
      <c r="D142" s="188" t="s">
        <v>243</v>
      </c>
      <c r="E142" s="451">
        <v>1</v>
      </c>
      <c r="F142" s="448">
        <v>1524162.9241119854</v>
      </c>
      <c r="G142" s="454"/>
      <c r="H142" s="344">
        <f t="shared" si="159"/>
        <v>1524162.9241119854</v>
      </c>
      <c r="I142" s="448">
        <v>329747.40000000002</v>
      </c>
      <c r="J142" s="454"/>
      <c r="K142" s="344">
        <f t="shared" si="160"/>
        <v>329747.40000000002</v>
      </c>
      <c r="L142" s="343">
        <f>(H142+K142)*0.015</f>
        <v>27808.654861679781</v>
      </c>
      <c r="M142" s="344">
        <f t="shared" si="171"/>
        <v>1881718.9789736653</v>
      </c>
      <c r="N142" s="345">
        <f t="shared" si="172"/>
        <v>1524162.9241119854</v>
      </c>
      <c r="O142" s="345">
        <f t="shared" si="173"/>
        <v>0</v>
      </c>
      <c r="P142" s="345">
        <f t="shared" si="174"/>
        <v>329747.40000000002</v>
      </c>
      <c r="Q142" s="345">
        <f t="shared" si="175"/>
        <v>0</v>
      </c>
      <c r="R142" s="345">
        <f t="shared" si="176"/>
        <v>27808.654861679781</v>
      </c>
      <c r="S142" s="346">
        <f t="shared" si="177"/>
        <v>1881718.9789736653</v>
      </c>
      <c r="T142" s="347"/>
      <c r="U142" s="277">
        <f t="shared" si="157"/>
        <v>2365100</v>
      </c>
      <c r="V142" s="277">
        <f t="shared" si="158"/>
        <v>2365100</v>
      </c>
      <c r="X142" s="127"/>
    </row>
    <row r="143" spans="1:28" ht="13" outlineLevel="1" x14ac:dyDescent="0.3">
      <c r="A143" s="449">
        <v>18.11</v>
      </c>
      <c r="B143" s="350" t="s">
        <v>205</v>
      </c>
      <c r="C143" s="450" t="s">
        <v>563</v>
      </c>
      <c r="D143" s="188" t="s">
        <v>243</v>
      </c>
      <c r="E143" s="451">
        <v>1</v>
      </c>
      <c r="F143" s="448">
        <v>651921.59563010593</v>
      </c>
      <c r="G143" s="452"/>
      <c r="H143" s="344">
        <f t="shared" si="159"/>
        <v>651921.59563010593</v>
      </c>
      <c r="I143" s="448">
        <v>219841.65</v>
      </c>
      <c r="J143" s="452"/>
      <c r="K143" s="344">
        <f t="shared" si="160"/>
        <v>219841.65</v>
      </c>
      <c r="L143" s="343">
        <f t="shared" ref="L143:L161" si="178">(H143+K143)*0.015</f>
        <v>13076.448684451589</v>
      </c>
      <c r="M143" s="344">
        <f t="shared" si="171"/>
        <v>884839.69431455759</v>
      </c>
      <c r="N143" s="345">
        <f t="shared" si="172"/>
        <v>651921.59563010593</v>
      </c>
      <c r="O143" s="345">
        <f t="shared" si="173"/>
        <v>0</v>
      </c>
      <c r="P143" s="345">
        <f t="shared" si="174"/>
        <v>219841.65</v>
      </c>
      <c r="Q143" s="345">
        <f t="shared" si="175"/>
        <v>0</v>
      </c>
      <c r="R143" s="345">
        <f t="shared" si="176"/>
        <v>13076.448684451589</v>
      </c>
      <c r="S143" s="346">
        <f t="shared" si="177"/>
        <v>884839.69431455759</v>
      </c>
      <c r="T143" s="347"/>
      <c r="U143" s="277">
        <f t="shared" si="157"/>
        <v>1112140</v>
      </c>
      <c r="V143" s="277">
        <f t="shared" si="158"/>
        <v>1112140</v>
      </c>
      <c r="X143" s="127"/>
    </row>
    <row r="144" spans="1:28" ht="13" outlineLevel="1" x14ac:dyDescent="0.3">
      <c r="A144" s="453">
        <v>18.12</v>
      </c>
      <c r="B144" s="350" t="s">
        <v>205</v>
      </c>
      <c r="C144" s="450" t="s">
        <v>564</v>
      </c>
      <c r="D144" s="188" t="s">
        <v>243</v>
      </c>
      <c r="E144" s="451">
        <v>1</v>
      </c>
      <c r="F144" s="349">
        <v>304564.37296813715</v>
      </c>
      <c r="G144" s="419"/>
      <c r="H144" s="344">
        <f t="shared" si="159"/>
        <v>304564.37296813715</v>
      </c>
      <c r="I144" s="448">
        <v>219841.65</v>
      </c>
      <c r="J144" s="452"/>
      <c r="K144" s="344">
        <f t="shared" si="160"/>
        <v>219841.65</v>
      </c>
      <c r="L144" s="343">
        <f t="shared" si="178"/>
        <v>7866.0903445220574</v>
      </c>
      <c r="M144" s="344">
        <f t="shared" si="171"/>
        <v>532272.1133126592</v>
      </c>
      <c r="N144" s="345">
        <f t="shared" si="172"/>
        <v>304564.37296813715</v>
      </c>
      <c r="O144" s="345">
        <f t="shared" si="173"/>
        <v>0</v>
      </c>
      <c r="P144" s="345">
        <f t="shared" si="174"/>
        <v>219841.65</v>
      </c>
      <c r="Q144" s="345">
        <f t="shared" si="175"/>
        <v>0</v>
      </c>
      <c r="R144" s="345">
        <f t="shared" si="176"/>
        <v>7866.0903445220574</v>
      </c>
      <c r="S144" s="346">
        <f t="shared" si="177"/>
        <v>532272.1133126592</v>
      </c>
      <c r="T144" s="347"/>
      <c r="U144" s="277">
        <f t="shared" si="157"/>
        <v>669004</v>
      </c>
      <c r="V144" s="277">
        <f t="shared" si="158"/>
        <v>669004</v>
      </c>
      <c r="X144" s="127"/>
    </row>
    <row r="145" spans="1:24" ht="13" outlineLevel="1" x14ac:dyDescent="0.3">
      <c r="A145" s="449">
        <v>18.13</v>
      </c>
      <c r="B145" s="350" t="s">
        <v>205</v>
      </c>
      <c r="C145" s="450" t="s">
        <v>565</v>
      </c>
      <c r="D145" s="188" t="s">
        <v>243</v>
      </c>
      <c r="E145" s="451">
        <v>1</v>
      </c>
      <c r="F145" s="349">
        <v>540706.66411583603</v>
      </c>
      <c r="G145" s="452"/>
      <c r="H145" s="344">
        <f t="shared" si="159"/>
        <v>540706.66411583603</v>
      </c>
      <c r="I145" s="448">
        <v>219841.65</v>
      </c>
      <c r="J145" s="452"/>
      <c r="K145" s="344">
        <f t="shared" si="160"/>
        <v>219841.65</v>
      </c>
      <c r="L145" s="343">
        <f t="shared" si="178"/>
        <v>11408.224711737541</v>
      </c>
      <c r="M145" s="344">
        <f t="shared" si="171"/>
        <v>771956.53882757365</v>
      </c>
      <c r="N145" s="345">
        <f t="shared" si="172"/>
        <v>540706.66411583603</v>
      </c>
      <c r="O145" s="345">
        <f t="shared" si="173"/>
        <v>0</v>
      </c>
      <c r="P145" s="345">
        <f t="shared" si="174"/>
        <v>219841.65</v>
      </c>
      <c r="Q145" s="345">
        <f t="shared" si="175"/>
        <v>0</v>
      </c>
      <c r="R145" s="345">
        <f t="shared" si="176"/>
        <v>11408.224711737541</v>
      </c>
      <c r="S145" s="346">
        <f t="shared" si="177"/>
        <v>771956.53882757365</v>
      </c>
      <c r="T145" s="347"/>
      <c r="U145" s="277">
        <f t="shared" si="157"/>
        <v>970259</v>
      </c>
      <c r="V145" s="277">
        <f t="shared" si="158"/>
        <v>970259</v>
      </c>
      <c r="X145" s="127"/>
    </row>
    <row r="146" spans="1:24" ht="13" outlineLevel="1" x14ac:dyDescent="0.3">
      <c r="A146" s="453">
        <v>18.14</v>
      </c>
      <c r="B146" s="350" t="s">
        <v>205</v>
      </c>
      <c r="C146" s="450" t="s">
        <v>566</v>
      </c>
      <c r="D146" s="188" t="s">
        <v>243</v>
      </c>
      <c r="E146" s="451">
        <v>1</v>
      </c>
      <c r="F146" s="448">
        <v>178279.69798522911</v>
      </c>
      <c r="G146" s="452"/>
      <c r="H146" s="344">
        <f t="shared" si="159"/>
        <v>178279.69798522911</v>
      </c>
      <c r="I146" s="448">
        <v>219841.65</v>
      </c>
      <c r="J146" s="452"/>
      <c r="K146" s="344">
        <f t="shared" si="160"/>
        <v>219841.65</v>
      </c>
      <c r="L146" s="343">
        <f t="shared" si="178"/>
        <v>5971.8202197784367</v>
      </c>
      <c r="M146" s="344">
        <f t="shared" si="171"/>
        <v>404093.16820500756</v>
      </c>
      <c r="N146" s="345">
        <f t="shared" si="172"/>
        <v>178279.69798522911</v>
      </c>
      <c r="O146" s="345">
        <f t="shared" si="173"/>
        <v>0</v>
      </c>
      <c r="P146" s="345">
        <f t="shared" si="174"/>
        <v>219841.65</v>
      </c>
      <c r="Q146" s="345">
        <f t="shared" si="175"/>
        <v>0</v>
      </c>
      <c r="R146" s="345">
        <f t="shared" si="176"/>
        <v>5971.8202197784367</v>
      </c>
      <c r="S146" s="346">
        <f t="shared" si="177"/>
        <v>404093.16820500756</v>
      </c>
      <c r="T146" s="347"/>
      <c r="U146" s="277">
        <f t="shared" si="157"/>
        <v>507898</v>
      </c>
      <c r="V146" s="277">
        <f t="shared" si="158"/>
        <v>507898</v>
      </c>
      <c r="X146" s="127"/>
    </row>
    <row r="147" spans="1:24" ht="13" outlineLevel="1" x14ac:dyDescent="0.3">
      <c r="A147" s="449">
        <v>18.149999999999999</v>
      </c>
      <c r="B147" s="350" t="s">
        <v>205</v>
      </c>
      <c r="C147" s="450" t="s">
        <v>567</v>
      </c>
      <c r="D147" s="188" t="s">
        <v>243</v>
      </c>
      <c r="E147" s="451">
        <v>7</v>
      </c>
      <c r="F147" s="448">
        <v>178279.69798522911</v>
      </c>
      <c r="G147" s="452"/>
      <c r="H147" s="344">
        <f t="shared" si="159"/>
        <v>178279.69798522911</v>
      </c>
      <c r="I147" s="448">
        <v>219841.65</v>
      </c>
      <c r="J147" s="452"/>
      <c r="K147" s="344">
        <f t="shared" si="160"/>
        <v>219841.65</v>
      </c>
      <c r="L147" s="343">
        <f t="shared" si="178"/>
        <v>5971.8202197784367</v>
      </c>
      <c r="M147" s="344">
        <f t="shared" si="171"/>
        <v>404093.16820500756</v>
      </c>
      <c r="N147" s="345">
        <f t="shared" si="172"/>
        <v>1247957.8858966038</v>
      </c>
      <c r="O147" s="345">
        <f t="shared" si="173"/>
        <v>0</v>
      </c>
      <c r="P147" s="345">
        <f t="shared" si="174"/>
        <v>1538891.55</v>
      </c>
      <c r="Q147" s="345">
        <f t="shared" si="175"/>
        <v>0</v>
      </c>
      <c r="R147" s="345">
        <f t="shared" si="176"/>
        <v>41802.74153844906</v>
      </c>
      <c r="S147" s="346">
        <f t="shared" si="177"/>
        <v>2828652.177435053</v>
      </c>
      <c r="T147" s="347"/>
      <c r="U147" s="277">
        <f t="shared" si="157"/>
        <v>507898</v>
      </c>
      <c r="V147" s="277">
        <f t="shared" si="158"/>
        <v>3555286</v>
      </c>
      <c r="X147" s="127"/>
    </row>
    <row r="148" spans="1:24" ht="13" outlineLevel="1" x14ac:dyDescent="0.3">
      <c r="A148" s="453">
        <v>18.16</v>
      </c>
      <c r="B148" s="350" t="s">
        <v>205</v>
      </c>
      <c r="C148" s="450" t="s">
        <v>568</v>
      </c>
      <c r="D148" s="188" t="s">
        <v>243</v>
      </c>
      <c r="E148" s="451">
        <v>9</v>
      </c>
      <c r="F148" s="448">
        <v>246945.70801345402</v>
      </c>
      <c r="G148" s="452"/>
      <c r="H148" s="344">
        <f t="shared" si="159"/>
        <v>246945.70801345402</v>
      </c>
      <c r="I148" s="448">
        <v>219841.65</v>
      </c>
      <c r="J148" s="452"/>
      <c r="K148" s="344">
        <f t="shared" si="160"/>
        <v>219841.65</v>
      </c>
      <c r="L148" s="343">
        <f t="shared" si="178"/>
        <v>7001.8103702018097</v>
      </c>
      <c r="M148" s="344">
        <f t="shared" si="171"/>
        <v>473789.16838365584</v>
      </c>
      <c r="N148" s="345">
        <f t="shared" si="172"/>
        <v>2222511.3721210863</v>
      </c>
      <c r="O148" s="345">
        <f t="shared" si="173"/>
        <v>0</v>
      </c>
      <c r="P148" s="345">
        <f t="shared" si="174"/>
        <v>1978574.8499999999</v>
      </c>
      <c r="Q148" s="345">
        <f t="shared" si="175"/>
        <v>0</v>
      </c>
      <c r="R148" s="345">
        <f t="shared" si="176"/>
        <v>63016.29333181629</v>
      </c>
      <c r="S148" s="346">
        <f t="shared" si="177"/>
        <v>4264102.5154529018</v>
      </c>
      <c r="T148" s="347"/>
      <c r="U148" s="277">
        <f t="shared" si="157"/>
        <v>595498</v>
      </c>
      <c r="V148" s="277">
        <f t="shared" si="158"/>
        <v>5359482</v>
      </c>
      <c r="X148" s="127"/>
    </row>
    <row r="149" spans="1:24" ht="13" outlineLevel="1" x14ac:dyDescent="0.3">
      <c r="A149" s="449">
        <v>18.170000000000002</v>
      </c>
      <c r="B149" s="350" t="s">
        <v>205</v>
      </c>
      <c r="C149" s="450" t="s">
        <v>387</v>
      </c>
      <c r="D149" s="188" t="s">
        <v>207</v>
      </c>
      <c r="E149" s="451">
        <v>1</v>
      </c>
      <c r="F149" s="455">
        <v>5500000</v>
      </c>
      <c r="G149" s="454"/>
      <c r="H149" s="344">
        <f t="shared" si="159"/>
        <v>5500000</v>
      </c>
      <c r="I149" s="454">
        <v>1298971.1999314395</v>
      </c>
      <c r="J149" s="454">
        <f>+I149*0.5</f>
        <v>649485.59996571974</v>
      </c>
      <c r="K149" s="344">
        <f t="shared" si="160"/>
        <v>1948456.7998971592</v>
      </c>
      <c r="L149" s="343">
        <f t="shared" si="178"/>
        <v>111726.85199845739</v>
      </c>
      <c r="M149" s="344">
        <f t="shared" si="171"/>
        <v>7560183.6518956171</v>
      </c>
      <c r="N149" s="345">
        <f t="shared" si="172"/>
        <v>5500000</v>
      </c>
      <c r="O149" s="345">
        <f t="shared" si="173"/>
        <v>0</v>
      </c>
      <c r="P149" s="345">
        <f t="shared" si="174"/>
        <v>1298971.1999314395</v>
      </c>
      <c r="Q149" s="345">
        <f t="shared" si="175"/>
        <v>649485.59996571974</v>
      </c>
      <c r="R149" s="345">
        <f t="shared" si="176"/>
        <v>111726.85199845739</v>
      </c>
      <c r="S149" s="346">
        <f t="shared" si="177"/>
        <v>7560183.6518956162</v>
      </c>
      <c r="T149" s="347"/>
      <c r="U149" s="277">
        <f t="shared" si="157"/>
        <v>9502264</v>
      </c>
      <c r="V149" s="277">
        <f t="shared" si="158"/>
        <v>9502264</v>
      </c>
      <c r="X149" s="127"/>
    </row>
    <row r="150" spans="1:24" ht="13" outlineLevel="1" x14ac:dyDescent="0.3">
      <c r="A150" s="453">
        <v>18.18</v>
      </c>
      <c r="B150" s="350" t="s">
        <v>205</v>
      </c>
      <c r="C150" s="450" t="s">
        <v>388</v>
      </c>
      <c r="D150" s="188" t="s">
        <v>207</v>
      </c>
      <c r="E150" s="451">
        <v>1</v>
      </c>
      <c r="F150" s="448">
        <v>607800.87756291637</v>
      </c>
      <c r="G150" s="454"/>
      <c r="H150" s="344">
        <f t="shared" si="159"/>
        <v>607800.87756291637</v>
      </c>
      <c r="I150" s="454">
        <v>576472.42766571976</v>
      </c>
      <c r="J150" s="454">
        <f>+I150*0.5</f>
        <v>288236.21383285988</v>
      </c>
      <c r="K150" s="344">
        <f t="shared" si="160"/>
        <v>864708.64149857964</v>
      </c>
      <c r="L150" s="343">
        <f t="shared" si="178"/>
        <v>22087.642785922439</v>
      </c>
      <c r="M150" s="344">
        <f t="shared" si="171"/>
        <v>1494597.1618474184</v>
      </c>
      <c r="N150" s="345">
        <f t="shared" si="172"/>
        <v>607800.87756291637</v>
      </c>
      <c r="O150" s="345">
        <f t="shared" si="173"/>
        <v>0</v>
      </c>
      <c r="P150" s="345">
        <f t="shared" si="174"/>
        <v>576472.42766571976</v>
      </c>
      <c r="Q150" s="345">
        <f t="shared" si="175"/>
        <v>288236.21383285988</v>
      </c>
      <c r="R150" s="345">
        <f t="shared" si="176"/>
        <v>22087.642785922439</v>
      </c>
      <c r="S150" s="346">
        <f t="shared" si="177"/>
        <v>1494597.1618474184</v>
      </c>
      <c r="T150" s="347"/>
      <c r="U150" s="277">
        <f t="shared" si="157"/>
        <v>1878534</v>
      </c>
      <c r="V150" s="277">
        <f t="shared" si="158"/>
        <v>1878534</v>
      </c>
      <c r="X150" s="127"/>
    </row>
    <row r="151" spans="1:24" ht="13" outlineLevel="1" x14ac:dyDescent="0.3">
      <c r="A151" s="449">
        <v>18.190000000000001</v>
      </c>
      <c r="B151" s="350" t="s">
        <v>205</v>
      </c>
      <c r="C151" s="450" t="s">
        <v>389</v>
      </c>
      <c r="D151" s="188" t="s">
        <v>207</v>
      </c>
      <c r="E151" s="451">
        <v>1</v>
      </c>
      <c r="F151" s="448">
        <v>607800.87756291637</v>
      </c>
      <c r="G151" s="454"/>
      <c r="H151" s="344">
        <f t="shared" si="159"/>
        <v>607800.87756291637</v>
      </c>
      <c r="I151" s="454">
        <f>+I150</f>
        <v>576472.42766571976</v>
      </c>
      <c r="J151" s="454">
        <f>+J150</f>
        <v>288236.21383285988</v>
      </c>
      <c r="K151" s="344">
        <f t="shared" si="160"/>
        <v>864708.64149857964</v>
      </c>
      <c r="L151" s="343">
        <f t="shared" si="178"/>
        <v>22087.642785922439</v>
      </c>
      <c r="M151" s="344">
        <f t="shared" si="171"/>
        <v>1494597.1618474184</v>
      </c>
      <c r="N151" s="345">
        <f t="shared" si="172"/>
        <v>607800.87756291637</v>
      </c>
      <c r="O151" s="345">
        <f t="shared" si="173"/>
        <v>0</v>
      </c>
      <c r="P151" s="345">
        <f t="shared" si="174"/>
        <v>576472.42766571976</v>
      </c>
      <c r="Q151" s="345">
        <f t="shared" si="175"/>
        <v>288236.21383285988</v>
      </c>
      <c r="R151" s="345">
        <f t="shared" si="176"/>
        <v>22087.642785922439</v>
      </c>
      <c r="S151" s="346">
        <f t="shared" si="177"/>
        <v>1494597.1618474184</v>
      </c>
      <c r="T151" s="347"/>
      <c r="U151" s="277">
        <f t="shared" si="157"/>
        <v>1878534</v>
      </c>
      <c r="V151" s="277">
        <f t="shared" si="158"/>
        <v>1878534</v>
      </c>
      <c r="X151" s="127"/>
    </row>
    <row r="152" spans="1:24" ht="13" outlineLevel="1" x14ac:dyDescent="0.3">
      <c r="A152" s="453">
        <v>18.2</v>
      </c>
      <c r="B152" s="350" t="s">
        <v>205</v>
      </c>
      <c r="C152" s="450" t="s">
        <v>390</v>
      </c>
      <c r="D152" s="188" t="s">
        <v>243</v>
      </c>
      <c r="E152" s="451">
        <v>33</v>
      </c>
      <c r="F152" s="448"/>
      <c r="G152" s="452"/>
      <c r="H152" s="344">
        <f t="shared" si="159"/>
        <v>0</v>
      </c>
      <c r="I152" s="448">
        <v>11158</v>
      </c>
      <c r="J152" s="452"/>
      <c r="K152" s="344">
        <f t="shared" si="160"/>
        <v>11158</v>
      </c>
      <c r="L152" s="343">
        <f t="shared" si="178"/>
        <v>167.37</v>
      </c>
      <c r="M152" s="344">
        <f t="shared" si="171"/>
        <v>11325.37</v>
      </c>
      <c r="N152" s="345">
        <f t="shared" si="172"/>
        <v>0</v>
      </c>
      <c r="O152" s="345">
        <f t="shared" si="173"/>
        <v>0</v>
      </c>
      <c r="P152" s="345">
        <f t="shared" si="174"/>
        <v>368214</v>
      </c>
      <c r="Q152" s="345">
        <f t="shared" si="175"/>
        <v>0</v>
      </c>
      <c r="R152" s="345">
        <f t="shared" si="176"/>
        <v>5523.21</v>
      </c>
      <c r="S152" s="346">
        <f t="shared" si="177"/>
        <v>373737.21</v>
      </c>
      <c r="T152" s="347"/>
      <c r="U152" s="277">
        <f t="shared" si="157"/>
        <v>14235</v>
      </c>
      <c r="V152" s="277">
        <f t="shared" si="158"/>
        <v>469755</v>
      </c>
      <c r="X152" s="127"/>
    </row>
    <row r="153" spans="1:24" ht="13" outlineLevel="1" x14ac:dyDescent="0.3">
      <c r="A153" s="449">
        <v>18.21</v>
      </c>
      <c r="B153" s="350" t="s">
        <v>205</v>
      </c>
      <c r="C153" s="450" t="s">
        <v>569</v>
      </c>
      <c r="D153" s="188" t="s">
        <v>243</v>
      </c>
      <c r="E153" s="451">
        <v>150</v>
      </c>
      <c r="F153" s="454"/>
      <c r="G153" s="454"/>
      <c r="H153" s="344">
        <f t="shared" si="159"/>
        <v>0</v>
      </c>
      <c r="I153" s="448">
        <v>7270.9</v>
      </c>
      <c r="J153" s="454"/>
      <c r="K153" s="344">
        <f t="shared" si="160"/>
        <v>7270.9</v>
      </c>
      <c r="L153" s="343">
        <f t="shared" si="178"/>
        <v>109.06349999999999</v>
      </c>
      <c r="M153" s="344">
        <f t="shared" si="171"/>
        <v>7379.9634999999998</v>
      </c>
      <c r="N153" s="345">
        <f t="shared" si="172"/>
        <v>0</v>
      </c>
      <c r="O153" s="345">
        <f t="shared" si="173"/>
        <v>0</v>
      </c>
      <c r="P153" s="345">
        <f t="shared" si="174"/>
        <v>1090635</v>
      </c>
      <c r="Q153" s="345">
        <f t="shared" si="175"/>
        <v>0</v>
      </c>
      <c r="R153" s="345">
        <f t="shared" si="176"/>
        <v>16359.524999999998</v>
      </c>
      <c r="S153" s="346">
        <f t="shared" si="177"/>
        <v>1106994.5249999999</v>
      </c>
      <c r="T153" s="347"/>
      <c r="U153" s="277">
        <f t="shared" si="157"/>
        <v>9276</v>
      </c>
      <c r="V153" s="277">
        <f t="shared" si="158"/>
        <v>1391400</v>
      </c>
      <c r="X153" s="127"/>
    </row>
    <row r="154" spans="1:24" ht="13" outlineLevel="1" x14ac:dyDescent="0.3">
      <c r="A154" s="453">
        <v>18.22</v>
      </c>
      <c r="B154" s="350" t="s">
        <v>205</v>
      </c>
      <c r="C154" s="450" t="s">
        <v>570</v>
      </c>
      <c r="D154" s="188" t="s">
        <v>243</v>
      </c>
      <c r="E154" s="451">
        <v>16</v>
      </c>
      <c r="F154" s="454"/>
      <c r="G154" s="454"/>
      <c r="H154" s="344">
        <f t="shared" si="159"/>
        <v>0</v>
      </c>
      <c r="I154" s="448">
        <v>7270.9</v>
      </c>
      <c r="J154" s="454"/>
      <c r="K154" s="344">
        <f t="shared" si="160"/>
        <v>7270.9</v>
      </c>
      <c r="L154" s="343">
        <f t="shared" si="178"/>
        <v>109.06349999999999</v>
      </c>
      <c r="M154" s="344">
        <f t="shared" si="171"/>
        <v>7379.9634999999998</v>
      </c>
      <c r="N154" s="345">
        <f t="shared" si="172"/>
        <v>0</v>
      </c>
      <c r="O154" s="345">
        <f t="shared" si="173"/>
        <v>0</v>
      </c>
      <c r="P154" s="345">
        <f t="shared" si="174"/>
        <v>116334.39999999999</v>
      </c>
      <c r="Q154" s="345">
        <f t="shared" si="175"/>
        <v>0</v>
      </c>
      <c r="R154" s="345">
        <f t="shared" si="176"/>
        <v>1745.0159999999998</v>
      </c>
      <c r="S154" s="346">
        <f t="shared" si="177"/>
        <v>118079.416</v>
      </c>
      <c r="T154" s="347"/>
      <c r="U154" s="277">
        <f t="shared" si="157"/>
        <v>9276</v>
      </c>
      <c r="V154" s="277">
        <f t="shared" si="158"/>
        <v>148416</v>
      </c>
      <c r="X154" s="127"/>
    </row>
    <row r="155" spans="1:24" ht="13" outlineLevel="1" x14ac:dyDescent="0.3">
      <c r="A155" s="449">
        <v>18.23</v>
      </c>
      <c r="B155" s="350" t="s">
        <v>205</v>
      </c>
      <c r="C155" s="450" t="s">
        <v>571</v>
      </c>
      <c r="D155" s="188" t="s">
        <v>243</v>
      </c>
      <c r="E155" s="451">
        <v>349</v>
      </c>
      <c r="F155" s="454"/>
      <c r="G155" s="454"/>
      <c r="H155" s="344">
        <f t="shared" si="159"/>
        <v>0</v>
      </c>
      <c r="I155" s="448">
        <v>7270.9</v>
      </c>
      <c r="J155" s="454"/>
      <c r="K155" s="344">
        <f t="shared" si="160"/>
        <v>7270.9</v>
      </c>
      <c r="L155" s="343">
        <f t="shared" si="178"/>
        <v>109.06349999999999</v>
      </c>
      <c r="M155" s="344">
        <f t="shared" si="171"/>
        <v>7379.9634999999998</v>
      </c>
      <c r="N155" s="345">
        <f t="shared" si="172"/>
        <v>0</v>
      </c>
      <c r="O155" s="345">
        <f t="shared" si="173"/>
        <v>0</v>
      </c>
      <c r="P155" s="345">
        <f t="shared" si="174"/>
        <v>2537544.1</v>
      </c>
      <c r="Q155" s="345">
        <f t="shared" si="175"/>
        <v>0</v>
      </c>
      <c r="R155" s="345">
        <f t="shared" si="176"/>
        <v>38063.161499999995</v>
      </c>
      <c r="S155" s="346">
        <f t="shared" si="177"/>
        <v>2575607.2615</v>
      </c>
      <c r="T155" s="347"/>
      <c r="U155" s="277">
        <f t="shared" si="157"/>
        <v>9276</v>
      </c>
      <c r="V155" s="277">
        <f t="shared" si="158"/>
        <v>3237324</v>
      </c>
      <c r="X155" s="127"/>
    </row>
    <row r="156" spans="1:24" ht="13" outlineLevel="1" x14ac:dyDescent="0.3">
      <c r="A156" s="453">
        <v>18.239999999999998</v>
      </c>
      <c r="B156" s="350" t="s">
        <v>205</v>
      </c>
      <c r="C156" s="450" t="s">
        <v>395</v>
      </c>
      <c r="D156" s="188" t="s">
        <v>243</v>
      </c>
      <c r="E156" s="451">
        <v>27</v>
      </c>
      <c r="F156" s="456"/>
      <c r="G156" s="452"/>
      <c r="H156" s="344">
        <f t="shared" si="159"/>
        <v>0</v>
      </c>
      <c r="I156" s="448">
        <v>17500</v>
      </c>
      <c r="J156" s="452"/>
      <c r="K156" s="344">
        <f t="shared" si="160"/>
        <v>17500</v>
      </c>
      <c r="L156" s="343">
        <f t="shared" si="178"/>
        <v>262.5</v>
      </c>
      <c r="M156" s="344">
        <f t="shared" si="171"/>
        <v>17762.5</v>
      </c>
      <c r="N156" s="345">
        <f t="shared" si="172"/>
        <v>0</v>
      </c>
      <c r="O156" s="345">
        <f t="shared" si="173"/>
        <v>0</v>
      </c>
      <c r="P156" s="345">
        <f t="shared" si="174"/>
        <v>472500</v>
      </c>
      <c r="Q156" s="345">
        <f t="shared" si="175"/>
        <v>0</v>
      </c>
      <c r="R156" s="345">
        <f t="shared" si="176"/>
        <v>7087.5</v>
      </c>
      <c r="S156" s="346">
        <f t="shared" si="177"/>
        <v>479587.5</v>
      </c>
      <c r="T156" s="347"/>
      <c r="U156" s="277">
        <f t="shared" si="157"/>
        <v>22326</v>
      </c>
      <c r="V156" s="277">
        <f t="shared" si="158"/>
        <v>602802</v>
      </c>
      <c r="X156" s="127"/>
    </row>
    <row r="157" spans="1:24" ht="13" outlineLevel="1" x14ac:dyDescent="0.3">
      <c r="A157" s="449">
        <v>18.25</v>
      </c>
      <c r="B157" s="350" t="s">
        <v>205</v>
      </c>
      <c r="C157" s="450" t="s">
        <v>572</v>
      </c>
      <c r="D157" s="188" t="s">
        <v>243</v>
      </c>
      <c r="E157" s="451">
        <v>16</v>
      </c>
      <c r="F157" s="448"/>
      <c r="G157" s="452"/>
      <c r="H157" s="344">
        <f t="shared" si="159"/>
        <v>0</v>
      </c>
      <c r="I157" s="448">
        <v>11158</v>
      </c>
      <c r="J157" s="452"/>
      <c r="K157" s="344">
        <f t="shared" si="160"/>
        <v>11158</v>
      </c>
      <c r="L157" s="343">
        <f t="shared" si="178"/>
        <v>167.37</v>
      </c>
      <c r="M157" s="344">
        <f t="shared" si="171"/>
        <v>11325.37</v>
      </c>
      <c r="N157" s="345">
        <f t="shared" si="172"/>
        <v>0</v>
      </c>
      <c r="O157" s="345">
        <f t="shared" si="173"/>
        <v>0</v>
      </c>
      <c r="P157" s="345">
        <f t="shared" si="174"/>
        <v>178528</v>
      </c>
      <c r="Q157" s="345">
        <f t="shared" si="175"/>
        <v>0</v>
      </c>
      <c r="R157" s="345">
        <f t="shared" si="176"/>
        <v>2677.92</v>
      </c>
      <c r="S157" s="346">
        <f t="shared" si="177"/>
        <v>181205.92</v>
      </c>
      <c r="T157" s="347"/>
      <c r="U157" s="277">
        <f t="shared" si="157"/>
        <v>14235</v>
      </c>
      <c r="V157" s="277">
        <f t="shared" si="158"/>
        <v>227760</v>
      </c>
      <c r="X157" s="127"/>
    </row>
    <row r="158" spans="1:24" ht="26" outlineLevel="1" x14ac:dyDescent="0.3">
      <c r="A158" s="453">
        <v>18.260000000000002</v>
      </c>
      <c r="B158" s="350" t="s">
        <v>205</v>
      </c>
      <c r="C158" s="450" t="s">
        <v>397</v>
      </c>
      <c r="D158" s="188" t="s">
        <v>243</v>
      </c>
      <c r="E158" s="451">
        <v>137</v>
      </c>
      <c r="F158" s="456"/>
      <c r="G158" s="452"/>
      <c r="H158" s="344">
        <f t="shared" si="159"/>
        <v>0</v>
      </c>
      <c r="I158" s="457">
        <v>11158</v>
      </c>
      <c r="J158" s="452"/>
      <c r="K158" s="344">
        <f t="shared" si="160"/>
        <v>11158</v>
      </c>
      <c r="L158" s="343">
        <f t="shared" si="178"/>
        <v>167.37</v>
      </c>
      <c r="M158" s="344">
        <f t="shared" si="171"/>
        <v>11325.37</v>
      </c>
      <c r="N158" s="345">
        <f t="shared" si="172"/>
        <v>0</v>
      </c>
      <c r="O158" s="345">
        <f t="shared" si="173"/>
        <v>0</v>
      </c>
      <c r="P158" s="345">
        <f t="shared" si="174"/>
        <v>1528646</v>
      </c>
      <c r="Q158" s="345">
        <f t="shared" si="175"/>
        <v>0</v>
      </c>
      <c r="R158" s="345">
        <f t="shared" si="176"/>
        <v>22929.690000000002</v>
      </c>
      <c r="S158" s="346">
        <f t="shared" si="177"/>
        <v>1551575.69</v>
      </c>
      <c r="T158" s="347"/>
      <c r="U158" s="277">
        <f t="shared" si="157"/>
        <v>14235</v>
      </c>
      <c r="V158" s="277">
        <f t="shared" si="158"/>
        <v>1950195</v>
      </c>
      <c r="X158" s="127"/>
    </row>
    <row r="159" spans="1:24" ht="13" outlineLevel="1" x14ac:dyDescent="0.3">
      <c r="A159" s="449">
        <v>18.27</v>
      </c>
      <c r="B159" s="350" t="s">
        <v>205</v>
      </c>
      <c r="C159" s="450" t="s">
        <v>573</v>
      </c>
      <c r="D159" s="188" t="s">
        <v>243</v>
      </c>
      <c r="E159" s="451">
        <v>1</v>
      </c>
      <c r="F159" s="456"/>
      <c r="G159" s="452"/>
      <c r="H159" s="344">
        <f t="shared" si="159"/>
        <v>0</v>
      </c>
      <c r="I159" s="457">
        <v>11158</v>
      </c>
      <c r="J159" s="452"/>
      <c r="K159" s="344">
        <f t="shared" si="160"/>
        <v>11158</v>
      </c>
      <c r="L159" s="343">
        <f t="shared" si="178"/>
        <v>167.37</v>
      </c>
      <c r="M159" s="344">
        <f t="shared" si="171"/>
        <v>11325.37</v>
      </c>
      <c r="N159" s="345">
        <f t="shared" si="172"/>
        <v>0</v>
      </c>
      <c r="O159" s="345">
        <f t="shared" si="173"/>
        <v>0</v>
      </c>
      <c r="P159" s="345">
        <f t="shared" si="174"/>
        <v>11158</v>
      </c>
      <c r="Q159" s="345">
        <f t="shared" si="175"/>
        <v>0</v>
      </c>
      <c r="R159" s="345">
        <f t="shared" si="176"/>
        <v>167.37</v>
      </c>
      <c r="S159" s="346">
        <f t="shared" si="177"/>
        <v>11325.37</v>
      </c>
      <c r="T159" s="347"/>
      <c r="U159" s="277">
        <f t="shared" si="157"/>
        <v>14235</v>
      </c>
      <c r="V159" s="277">
        <f t="shared" si="158"/>
        <v>14235</v>
      </c>
      <c r="X159" s="127"/>
    </row>
    <row r="160" spans="1:24" ht="13" outlineLevel="1" x14ac:dyDescent="0.3">
      <c r="A160" s="453">
        <v>18.28</v>
      </c>
      <c r="B160" s="350" t="s">
        <v>205</v>
      </c>
      <c r="C160" s="450" t="s">
        <v>398</v>
      </c>
      <c r="D160" s="188" t="s">
        <v>207</v>
      </c>
      <c r="E160" s="451">
        <v>1</v>
      </c>
      <c r="F160" s="448">
        <v>5844722.2283497546</v>
      </c>
      <c r="G160" s="454"/>
      <c r="H160" s="344">
        <f t="shared" si="159"/>
        <v>5844722.2283497546</v>
      </c>
      <c r="I160" s="448">
        <v>1471041.5999999999</v>
      </c>
      <c r="J160" s="454"/>
      <c r="K160" s="344">
        <f t="shared" si="160"/>
        <v>1471041.5999999999</v>
      </c>
      <c r="L160" s="343">
        <f t="shared" si="178"/>
        <v>109736.45742524631</v>
      </c>
      <c r="M160" s="344">
        <f t="shared" si="171"/>
        <v>7425500.2857750002</v>
      </c>
      <c r="N160" s="345">
        <f t="shared" si="172"/>
        <v>5844722.2283497546</v>
      </c>
      <c r="O160" s="345">
        <f t="shared" si="173"/>
        <v>0</v>
      </c>
      <c r="P160" s="345">
        <f t="shared" si="174"/>
        <v>1471041.5999999999</v>
      </c>
      <c r="Q160" s="345">
        <f t="shared" si="175"/>
        <v>0</v>
      </c>
      <c r="R160" s="345">
        <f t="shared" si="176"/>
        <v>109736.45742524631</v>
      </c>
      <c r="S160" s="346">
        <f t="shared" si="177"/>
        <v>7425500.2857750002</v>
      </c>
      <c r="T160" s="347"/>
      <c r="U160" s="277">
        <f t="shared" si="157"/>
        <v>9332982</v>
      </c>
      <c r="V160" s="277">
        <f t="shared" si="158"/>
        <v>9332982</v>
      </c>
      <c r="X160" s="127"/>
    </row>
    <row r="161" spans="1:30" ht="13" outlineLevel="1" x14ac:dyDescent="0.3">
      <c r="A161" s="449">
        <v>18.29</v>
      </c>
      <c r="B161" s="350" t="s">
        <v>205</v>
      </c>
      <c r="C161" s="450" t="s">
        <v>399</v>
      </c>
      <c r="D161" s="188" t="s">
        <v>207</v>
      </c>
      <c r="E161" s="451">
        <v>1</v>
      </c>
      <c r="F161" s="448">
        <v>1261512.1510117827</v>
      </c>
      <c r="G161" s="454"/>
      <c r="H161" s="344">
        <f t="shared" si="159"/>
        <v>1261512.1510117827</v>
      </c>
      <c r="I161" s="448">
        <v>305252.49999999994</v>
      </c>
      <c r="J161" s="343"/>
      <c r="K161" s="344">
        <f t="shared" si="160"/>
        <v>305252.49999999994</v>
      </c>
      <c r="L161" s="343">
        <f t="shared" si="178"/>
        <v>23501.469765176738</v>
      </c>
      <c r="M161" s="344">
        <f t="shared" si="171"/>
        <v>1590266.1207769595</v>
      </c>
      <c r="N161" s="345">
        <f t="shared" si="172"/>
        <v>1261512.1510117827</v>
      </c>
      <c r="O161" s="345">
        <f t="shared" si="173"/>
        <v>0</v>
      </c>
      <c r="P161" s="345">
        <f t="shared" si="174"/>
        <v>305252.49999999994</v>
      </c>
      <c r="Q161" s="345">
        <f t="shared" si="175"/>
        <v>0</v>
      </c>
      <c r="R161" s="345">
        <f t="shared" si="176"/>
        <v>23501.469765176738</v>
      </c>
      <c r="S161" s="346">
        <f t="shared" si="177"/>
        <v>1590266.1207769595</v>
      </c>
      <c r="T161" s="347"/>
      <c r="U161" s="277">
        <f t="shared" si="157"/>
        <v>1998778</v>
      </c>
      <c r="V161" s="277">
        <f t="shared" si="158"/>
        <v>1998778</v>
      </c>
      <c r="X161" s="127"/>
      <c r="AB161" s="128">
        <v>4046.5</v>
      </c>
      <c r="AC161" s="283">
        <v>45200</v>
      </c>
    </row>
    <row r="162" spans="1:30" ht="13" outlineLevel="1" x14ac:dyDescent="0.3">
      <c r="A162" s="449">
        <v>18.3</v>
      </c>
      <c r="B162" s="352" t="s">
        <v>205</v>
      </c>
      <c r="C162" s="458" t="s">
        <v>400</v>
      </c>
      <c r="D162" s="189" t="s">
        <v>207</v>
      </c>
      <c r="E162" s="459">
        <v>1</v>
      </c>
      <c r="F162" s="460"/>
      <c r="G162" s="461"/>
      <c r="H162" s="356">
        <f t="shared" si="159"/>
        <v>0</v>
      </c>
      <c r="I162" s="357">
        <v>100127.46103958957</v>
      </c>
      <c r="J162" s="461"/>
      <c r="K162" s="356">
        <f t="shared" si="160"/>
        <v>100127.46103958957</v>
      </c>
      <c r="L162" s="343"/>
      <c r="M162" s="356">
        <f t="shared" si="171"/>
        <v>100127.46103958957</v>
      </c>
      <c r="N162" s="359">
        <f t="shared" si="172"/>
        <v>0</v>
      </c>
      <c r="O162" s="359">
        <f t="shared" si="173"/>
        <v>0</v>
      </c>
      <c r="P162" s="359">
        <f t="shared" si="174"/>
        <v>100127.46103958957</v>
      </c>
      <c r="Q162" s="359">
        <f t="shared" si="175"/>
        <v>0</v>
      </c>
      <c r="R162" s="359">
        <f t="shared" si="176"/>
        <v>0</v>
      </c>
      <c r="S162" s="360">
        <f t="shared" si="177"/>
        <v>100127.46103958957</v>
      </c>
      <c r="T162" s="435"/>
      <c r="U162" s="277">
        <f t="shared" si="157"/>
        <v>125849</v>
      </c>
      <c r="V162" s="277">
        <f t="shared" si="158"/>
        <v>125849</v>
      </c>
      <c r="X162" s="127"/>
      <c r="AB162" s="128">
        <v>10483.299999999999</v>
      </c>
      <c r="AC162" s="283">
        <v>45536</v>
      </c>
    </row>
    <row r="163" spans="1:30" ht="13" x14ac:dyDescent="0.3">
      <c r="A163" s="325">
        <v>19</v>
      </c>
      <c r="B163" s="326"/>
      <c r="C163" s="276" t="s">
        <v>401</v>
      </c>
      <c r="D163" s="177"/>
      <c r="E163" s="327"/>
      <c r="F163" s="327"/>
      <c r="G163" s="327"/>
      <c r="H163" s="327"/>
      <c r="I163" s="327"/>
      <c r="J163" s="327"/>
      <c r="K163" s="327"/>
      <c r="L163" s="327"/>
      <c r="M163" s="328"/>
      <c r="N163" s="327"/>
      <c r="O163" s="327"/>
      <c r="P163" s="327"/>
      <c r="Q163" s="327"/>
      <c r="R163" s="327"/>
      <c r="S163" s="327"/>
      <c r="T163" s="462"/>
      <c r="U163" s="463"/>
      <c r="V163" s="463"/>
      <c r="W163" s="464"/>
      <c r="AB163" s="129">
        <f>+AB162/AB161</f>
        <v>2.5907080192759171</v>
      </c>
      <c r="AC163" s="283"/>
    </row>
    <row r="164" spans="1:30" ht="13" outlineLevel="1" x14ac:dyDescent="0.3">
      <c r="A164" s="325"/>
      <c r="B164" s="326"/>
      <c r="C164" s="276" t="s">
        <v>402</v>
      </c>
      <c r="D164" s="177"/>
      <c r="E164" s="327"/>
      <c r="F164" s="327"/>
      <c r="G164" s="327"/>
      <c r="H164" s="465"/>
      <c r="I164" s="327"/>
      <c r="J164" s="327"/>
      <c r="K164" s="327"/>
      <c r="L164" s="327"/>
      <c r="M164" s="328"/>
      <c r="N164" s="327"/>
      <c r="O164" s="327"/>
      <c r="P164" s="327"/>
      <c r="Q164" s="327"/>
      <c r="R164" s="327"/>
      <c r="S164" s="327"/>
      <c r="T164" s="329">
        <f>SUM(S165:S168)</f>
        <v>16836141.910895217</v>
      </c>
      <c r="U164" s="327"/>
      <c r="V164" s="327"/>
      <c r="W164" s="330">
        <f>SUM(V165:V168)</f>
        <v>21161055</v>
      </c>
      <c r="X164" s="127">
        <f>+W164/$W$216</f>
        <v>1.8769738542394082E-2</v>
      </c>
      <c r="Y164" s="283">
        <f>+W164</f>
        <v>21161055</v>
      </c>
      <c r="AA164" s="281" t="s">
        <v>574</v>
      </c>
      <c r="AB164" s="281" t="s">
        <v>575</v>
      </c>
      <c r="AC164" s="289"/>
      <c r="AD164" s="281" t="s">
        <v>576</v>
      </c>
    </row>
    <row r="165" spans="1:30" ht="13" outlineLevel="1" x14ac:dyDescent="0.3">
      <c r="A165" s="331">
        <v>19.010000000000002</v>
      </c>
      <c r="B165" s="380" t="s">
        <v>236</v>
      </c>
      <c r="C165" s="466" t="s">
        <v>577</v>
      </c>
      <c r="D165" s="183" t="s">
        <v>207</v>
      </c>
      <c r="E165" s="131">
        <v>1</v>
      </c>
      <c r="F165" s="424">
        <f>+I165*0.6</f>
        <v>2127230.3546274551</v>
      </c>
      <c r="G165" s="131"/>
      <c r="H165" s="334">
        <f>F165+G165</f>
        <v>2127230.3546274551</v>
      </c>
      <c r="I165" s="424">
        <f>+AD165*0.35</f>
        <v>3545383.9243790922</v>
      </c>
      <c r="J165" s="131"/>
      <c r="K165" s="334">
        <f t="shared" ref="K165:K180" si="179">I165+J165</f>
        <v>3545383.9243790922</v>
      </c>
      <c r="L165" s="407">
        <f>(H165+K165)*0.015</f>
        <v>85089.214185098201</v>
      </c>
      <c r="M165" s="334">
        <f>H165+K165+L165</f>
        <v>5757703.4931916455</v>
      </c>
      <c r="N165" s="335">
        <f>F165*E165</f>
        <v>2127230.3546274551</v>
      </c>
      <c r="O165" s="335">
        <f t="shared" ref="O165:O178" si="180">G165*E165</f>
        <v>0</v>
      </c>
      <c r="P165" s="335">
        <f t="shared" ref="P165:P178" si="181">I165*E165</f>
        <v>3545383.9243790922</v>
      </c>
      <c r="Q165" s="335">
        <f t="shared" ref="Q165:Q178" si="182">J165*E165</f>
        <v>0</v>
      </c>
      <c r="R165" s="335">
        <f t="shared" ref="R165:R178" si="183">+L165*E165</f>
        <v>85089.214185098201</v>
      </c>
      <c r="S165" s="336">
        <f>SUM(N165:R165)</f>
        <v>5757703.4931916455</v>
      </c>
      <c r="T165" s="347"/>
      <c r="U165" s="389">
        <f t="shared" ref="U165:U168" si="184">+ROUNDUP(M165*$T$5,0)</f>
        <v>7236758</v>
      </c>
      <c r="V165" s="389">
        <f t="shared" ref="V165:V168" si="185">+U165*E165</f>
        <v>7236758</v>
      </c>
      <c r="X165" s="127"/>
      <c r="Z165" s="128" t="s">
        <v>578</v>
      </c>
      <c r="AA165" s="129">
        <v>4600000</v>
      </c>
      <c r="AB165" s="129">
        <f>+AA165*$AB$163</f>
        <v>11917256.888669219</v>
      </c>
      <c r="AC165" s="283">
        <v>0.85</v>
      </c>
      <c r="AD165" s="129">
        <f>+AB165*AC165</f>
        <v>10129668.355368836</v>
      </c>
    </row>
    <row r="166" spans="1:30" ht="13" outlineLevel="1" x14ac:dyDescent="0.3">
      <c r="A166" s="339">
        <v>19.02</v>
      </c>
      <c r="B166" s="350" t="s">
        <v>236</v>
      </c>
      <c r="C166" s="367" t="s">
        <v>579</v>
      </c>
      <c r="D166" s="180" t="s">
        <v>207</v>
      </c>
      <c r="E166" s="125">
        <v>1</v>
      </c>
      <c r="F166" s="349">
        <f>+I166*0.55</f>
        <v>278565.87977264303</v>
      </c>
      <c r="G166" s="125"/>
      <c r="H166" s="344">
        <f>F166+G166</f>
        <v>278565.87977264303</v>
      </c>
      <c r="I166" s="349">
        <f>+AD165*0.05</f>
        <v>506483.41776844184</v>
      </c>
      <c r="J166" s="125"/>
      <c r="K166" s="344">
        <f t="shared" si="179"/>
        <v>506483.41776844184</v>
      </c>
      <c r="L166" s="343">
        <f>(H166+K166)*0.015</f>
        <v>11775.739463116273</v>
      </c>
      <c r="M166" s="344">
        <f>H166+K166+L166</f>
        <v>796825.03700420121</v>
      </c>
      <c r="N166" s="345">
        <f>F166*E166</f>
        <v>278565.87977264303</v>
      </c>
      <c r="O166" s="345">
        <f t="shared" si="180"/>
        <v>0</v>
      </c>
      <c r="P166" s="345">
        <f t="shared" si="181"/>
        <v>506483.41776844184</v>
      </c>
      <c r="Q166" s="345">
        <f t="shared" si="182"/>
        <v>0</v>
      </c>
      <c r="R166" s="345">
        <f t="shared" si="183"/>
        <v>11775.739463116273</v>
      </c>
      <c r="S166" s="346">
        <f>SUM(N166:R166)</f>
        <v>796825.03700420121</v>
      </c>
      <c r="T166" s="347"/>
      <c r="U166" s="389">
        <f t="shared" si="184"/>
        <v>1001516</v>
      </c>
      <c r="V166" s="389">
        <f t="shared" si="185"/>
        <v>1001516</v>
      </c>
      <c r="X166" s="127"/>
      <c r="Z166" s="128" t="s">
        <v>580</v>
      </c>
      <c r="AA166" s="129">
        <v>2360000</v>
      </c>
      <c r="AB166" s="129">
        <f>+AA166*$AB$163</f>
        <v>6114070.9254911644</v>
      </c>
      <c r="AC166" s="283">
        <v>0.7</v>
      </c>
      <c r="AD166" s="129">
        <f t="shared" ref="AD166:AD168" si="186">+AB166*AC166</f>
        <v>4279849.6478438145</v>
      </c>
    </row>
    <row r="167" spans="1:30" ht="13" outlineLevel="1" x14ac:dyDescent="0.3">
      <c r="A167" s="339">
        <v>19.03</v>
      </c>
      <c r="B167" s="350" t="s">
        <v>236</v>
      </c>
      <c r="C167" s="367" t="s">
        <v>405</v>
      </c>
      <c r="D167" s="180" t="s">
        <v>207</v>
      </c>
      <c r="E167" s="125">
        <v>1</v>
      </c>
      <c r="F167" s="349">
        <f>+I167*0.7</f>
        <v>2836307.1395032741</v>
      </c>
      <c r="G167" s="125"/>
      <c r="H167" s="344">
        <f>F167+G167</f>
        <v>2836307.1395032741</v>
      </c>
      <c r="I167" s="349">
        <f>+AD165*0.4</f>
        <v>4051867.3421475347</v>
      </c>
      <c r="J167" s="125"/>
      <c r="K167" s="344">
        <f t="shared" si="179"/>
        <v>4051867.3421475347</v>
      </c>
      <c r="L167" s="343">
        <f>(H167+K167)*0.015</f>
        <v>103322.61722476213</v>
      </c>
      <c r="M167" s="344">
        <f>H167+K167+L167</f>
        <v>6991497.098875571</v>
      </c>
      <c r="N167" s="345">
        <f>F167*E167</f>
        <v>2836307.1395032741</v>
      </c>
      <c r="O167" s="345">
        <f t="shared" si="180"/>
        <v>0</v>
      </c>
      <c r="P167" s="345">
        <f t="shared" si="181"/>
        <v>4051867.3421475347</v>
      </c>
      <c r="Q167" s="345">
        <f t="shared" si="182"/>
        <v>0</v>
      </c>
      <c r="R167" s="345">
        <f t="shared" si="183"/>
        <v>103322.61722476213</v>
      </c>
      <c r="S167" s="346">
        <f>SUM(N167:R167)</f>
        <v>6991497.098875571</v>
      </c>
      <c r="T167" s="347"/>
      <c r="U167" s="277">
        <f t="shared" si="184"/>
        <v>8787491</v>
      </c>
      <c r="V167" s="277">
        <f t="shared" si="185"/>
        <v>8787491</v>
      </c>
      <c r="X167" s="127"/>
      <c r="Z167" s="128" t="s">
        <v>581</v>
      </c>
      <c r="AA167" s="129">
        <v>8900000</v>
      </c>
      <c r="AB167" s="129">
        <f>+AA167*$AB$163</f>
        <v>23057301.371555664</v>
      </c>
      <c r="AC167" s="283">
        <v>0.85</v>
      </c>
      <c r="AD167" s="129">
        <f t="shared" si="186"/>
        <v>19598706.165822312</v>
      </c>
    </row>
    <row r="168" spans="1:30" ht="13" outlineLevel="1" x14ac:dyDescent="0.3">
      <c r="A168" s="351">
        <v>19.04</v>
      </c>
      <c r="B168" s="352" t="s">
        <v>236</v>
      </c>
      <c r="C168" s="467" t="s">
        <v>406</v>
      </c>
      <c r="D168" s="190" t="s">
        <v>207</v>
      </c>
      <c r="E168" s="132">
        <v>1</v>
      </c>
      <c r="F168" s="357">
        <f>+I168*0.6</f>
        <v>1215560.2026442604</v>
      </c>
      <c r="G168" s="132"/>
      <c r="H168" s="356">
        <f>F168+G168</f>
        <v>1215560.2026442604</v>
      </c>
      <c r="I168" s="357">
        <f>+AD165*0.2</f>
        <v>2025933.6710737674</v>
      </c>
      <c r="J168" s="132"/>
      <c r="K168" s="356">
        <f t="shared" si="179"/>
        <v>2025933.6710737674</v>
      </c>
      <c r="L168" s="358">
        <f>(H168+K168)*0.015</f>
        <v>48622.408105770417</v>
      </c>
      <c r="M168" s="356">
        <f>H168+K168+L168</f>
        <v>3290116.2818237985</v>
      </c>
      <c r="N168" s="359">
        <f>F168*E168</f>
        <v>1215560.2026442604</v>
      </c>
      <c r="O168" s="359">
        <f t="shared" si="180"/>
        <v>0</v>
      </c>
      <c r="P168" s="359">
        <f t="shared" si="181"/>
        <v>2025933.6710737674</v>
      </c>
      <c r="Q168" s="359">
        <f t="shared" si="182"/>
        <v>0</v>
      </c>
      <c r="R168" s="359">
        <f t="shared" si="183"/>
        <v>48622.408105770417</v>
      </c>
      <c r="S168" s="360">
        <f>SUM(N168:R168)</f>
        <v>3290116.2818237985</v>
      </c>
      <c r="T168" s="347"/>
      <c r="U168" s="277">
        <f t="shared" si="184"/>
        <v>4135290</v>
      </c>
      <c r="V168" s="277">
        <f t="shared" si="185"/>
        <v>4135290</v>
      </c>
      <c r="X168" s="127"/>
      <c r="Z168" s="128" t="s">
        <v>582</v>
      </c>
      <c r="AA168" s="129">
        <v>1200000</v>
      </c>
      <c r="AB168" s="129">
        <f>+AA168*$AB$163</f>
        <v>3108849.6231311006</v>
      </c>
      <c r="AC168" s="283">
        <v>0.6</v>
      </c>
      <c r="AD168" s="129">
        <f t="shared" si="186"/>
        <v>1865309.7738786603</v>
      </c>
    </row>
    <row r="169" spans="1:30" ht="13" outlineLevel="1" x14ac:dyDescent="0.3">
      <c r="A169" s="468"/>
      <c r="B169" s="469"/>
      <c r="C169" s="470" t="s">
        <v>407</v>
      </c>
      <c r="D169" s="175"/>
      <c r="E169" s="312"/>
      <c r="F169" s="312"/>
      <c r="G169" s="312"/>
      <c r="H169" s="312"/>
      <c r="I169" s="312"/>
      <c r="J169" s="312"/>
      <c r="K169" s="312"/>
      <c r="L169" s="471"/>
      <c r="M169" s="312"/>
      <c r="N169" s="312"/>
      <c r="O169" s="312"/>
      <c r="P169" s="312"/>
      <c r="Q169" s="312"/>
      <c r="R169" s="312"/>
      <c r="S169" s="312"/>
      <c r="T169" s="329">
        <f>SUM(S170:S172)</f>
        <v>5212856.8710737657</v>
      </c>
      <c r="U169" s="327"/>
      <c r="V169" s="327"/>
      <c r="W169" s="330">
        <f>SUM(V170:V172)</f>
        <v>6551951</v>
      </c>
      <c r="X169" s="127">
        <f>+W169/$W$216</f>
        <v>5.8115442359833883E-3</v>
      </c>
      <c r="Y169" s="283">
        <f>+W169</f>
        <v>6551951</v>
      </c>
      <c r="AB169" s="472">
        <f>SUM(AB165:AB168)</f>
        <v>44197478.808847152</v>
      </c>
      <c r="AC169" s="283"/>
      <c r="AD169" s="472">
        <f>+SUM(AD165:AD168)</f>
        <v>35873533.942913622</v>
      </c>
    </row>
    <row r="170" spans="1:30" ht="13" outlineLevel="1" x14ac:dyDescent="0.3">
      <c r="A170" s="331">
        <v>19.05</v>
      </c>
      <c r="B170" s="380" t="s">
        <v>236</v>
      </c>
      <c r="C170" s="466" t="s">
        <v>583</v>
      </c>
      <c r="D170" s="183" t="s">
        <v>207</v>
      </c>
      <c r="E170" s="131">
        <v>1</v>
      </c>
      <c r="F170" s="424">
        <f>+I170*0.4</f>
        <v>599178.95069813402</v>
      </c>
      <c r="G170" s="131"/>
      <c r="H170" s="334">
        <f>F170+G170</f>
        <v>599178.95069813402</v>
      </c>
      <c r="I170" s="424">
        <f>+AD166*0.35</f>
        <v>1497947.3767453351</v>
      </c>
      <c r="J170" s="131"/>
      <c r="K170" s="334">
        <f t="shared" si="179"/>
        <v>1497947.3767453351</v>
      </c>
      <c r="L170" s="407">
        <f>(H170+K170)*0.015</f>
        <v>31456.894911652034</v>
      </c>
      <c r="M170" s="334">
        <f>H170+K170+L170</f>
        <v>2128583.2223551213</v>
      </c>
      <c r="N170" s="335">
        <f>F170*E170</f>
        <v>599178.95069813402</v>
      </c>
      <c r="O170" s="335">
        <f t="shared" si="180"/>
        <v>0</v>
      </c>
      <c r="P170" s="335">
        <f t="shared" si="181"/>
        <v>1497947.3767453351</v>
      </c>
      <c r="Q170" s="335">
        <f t="shared" si="182"/>
        <v>0</v>
      </c>
      <c r="R170" s="335">
        <f t="shared" si="183"/>
        <v>31456.894911652034</v>
      </c>
      <c r="S170" s="336">
        <f>SUM(N170:R170)</f>
        <v>2128583.2223551213</v>
      </c>
      <c r="T170" s="287"/>
      <c r="U170" s="277">
        <f>+ROUNDUP(M170*$T$5,0)</f>
        <v>2675380</v>
      </c>
      <c r="V170" s="277">
        <f>+U170*E170</f>
        <v>2675380</v>
      </c>
      <c r="X170" s="127"/>
    </row>
    <row r="171" spans="1:30" ht="13" outlineLevel="1" x14ac:dyDescent="0.3">
      <c r="A171" s="339">
        <v>19.059999999999999</v>
      </c>
      <c r="B171" s="350" t="s">
        <v>236</v>
      </c>
      <c r="C171" s="367" t="s">
        <v>409</v>
      </c>
      <c r="D171" s="180" t="s">
        <v>207</v>
      </c>
      <c r="E171" s="125">
        <v>1</v>
      </c>
      <c r="F171" s="349">
        <f>+I171*0.6</f>
        <v>898768.42604720104</v>
      </c>
      <c r="G171" s="125"/>
      <c r="H171" s="344">
        <f>F171+G171</f>
        <v>898768.42604720104</v>
      </c>
      <c r="I171" s="349">
        <f>+AD166*0.35</f>
        <v>1497947.3767453351</v>
      </c>
      <c r="J171" s="125"/>
      <c r="K171" s="344">
        <f t="shared" si="179"/>
        <v>1497947.3767453351</v>
      </c>
      <c r="L171" s="343">
        <f>(H171+K171)*0.015</f>
        <v>35950.737041888038</v>
      </c>
      <c r="M171" s="344">
        <f>H171+K171+L171</f>
        <v>2432666.5398344239</v>
      </c>
      <c r="N171" s="345">
        <f>F171*E171</f>
        <v>898768.42604720104</v>
      </c>
      <c r="O171" s="345">
        <f t="shared" si="180"/>
        <v>0</v>
      </c>
      <c r="P171" s="345">
        <f t="shared" si="181"/>
        <v>1497947.3767453351</v>
      </c>
      <c r="Q171" s="345">
        <f t="shared" si="182"/>
        <v>0</v>
      </c>
      <c r="R171" s="345">
        <f t="shared" si="183"/>
        <v>35950.737041888038</v>
      </c>
      <c r="S171" s="346">
        <f>SUM(N171:R171)</f>
        <v>2432666.5398344239</v>
      </c>
      <c r="T171" s="287"/>
      <c r="U171" s="277">
        <f>+ROUNDUP(M171*$T$5,0)</f>
        <v>3057577</v>
      </c>
      <c r="V171" s="277">
        <f>+U171*E171</f>
        <v>3057577</v>
      </c>
      <c r="X171" s="127"/>
    </row>
    <row r="172" spans="1:30" ht="13" outlineLevel="1" x14ac:dyDescent="0.3">
      <c r="A172" s="351">
        <v>19.07</v>
      </c>
      <c r="B172" s="350" t="s">
        <v>236</v>
      </c>
      <c r="C172" s="467" t="s">
        <v>410</v>
      </c>
      <c r="D172" s="190" t="s">
        <v>207</v>
      </c>
      <c r="E172" s="132">
        <v>1</v>
      </c>
      <c r="F172" s="357">
        <f>+I172*0.5</f>
        <v>213992.48239219072</v>
      </c>
      <c r="G172" s="132"/>
      <c r="H172" s="356">
        <f>F172+G172</f>
        <v>213992.48239219072</v>
      </c>
      <c r="I172" s="357">
        <f>+AD166*0.1</f>
        <v>427984.96478438145</v>
      </c>
      <c r="J172" s="132"/>
      <c r="K172" s="356">
        <f t="shared" si="179"/>
        <v>427984.96478438145</v>
      </c>
      <c r="L172" s="358">
        <f>(H172+K172)*0.015</f>
        <v>9629.6617076485818</v>
      </c>
      <c r="M172" s="356">
        <f>H172+K172+L172</f>
        <v>651607.10888422071</v>
      </c>
      <c r="N172" s="359">
        <f>F172*E172</f>
        <v>213992.48239219072</v>
      </c>
      <c r="O172" s="359">
        <f t="shared" si="180"/>
        <v>0</v>
      </c>
      <c r="P172" s="359">
        <f t="shared" si="181"/>
        <v>427984.96478438145</v>
      </c>
      <c r="Q172" s="359">
        <f t="shared" si="182"/>
        <v>0</v>
      </c>
      <c r="R172" s="359">
        <f t="shared" si="183"/>
        <v>9629.6617076485818</v>
      </c>
      <c r="S172" s="360">
        <f>SUM(N172:R172)</f>
        <v>651607.10888422071</v>
      </c>
      <c r="T172" s="287"/>
      <c r="U172" s="277">
        <f>+ROUNDUP(M172*$T$5,0)</f>
        <v>818994</v>
      </c>
      <c r="V172" s="277">
        <f>+U172*E172</f>
        <v>818994</v>
      </c>
      <c r="X172" s="127"/>
    </row>
    <row r="173" spans="1:30" ht="13" outlineLevel="1" x14ac:dyDescent="0.3">
      <c r="A173" s="325"/>
      <c r="B173" s="326"/>
      <c r="C173" s="276" t="s">
        <v>411</v>
      </c>
      <c r="D173" s="177"/>
      <c r="E173" s="327"/>
      <c r="F173" s="327"/>
      <c r="G173" s="327"/>
      <c r="H173" s="327"/>
      <c r="I173" s="327"/>
      <c r="J173" s="327"/>
      <c r="K173" s="327"/>
      <c r="L173" s="327"/>
      <c r="M173" s="328"/>
      <c r="N173" s="327"/>
      <c r="O173" s="327"/>
      <c r="P173" s="327"/>
      <c r="Q173" s="327"/>
      <c r="R173" s="327"/>
      <c r="S173" s="327"/>
      <c r="T173" s="329">
        <f>SUM(S174:S178)</f>
        <v>29441176.402298279</v>
      </c>
      <c r="U173" s="327"/>
      <c r="V173" s="327"/>
      <c r="W173" s="330">
        <f>SUM(V174:V178)</f>
        <v>37004103</v>
      </c>
      <c r="X173" s="127">
        <f>+W173/$W$216</f>
        <v>3.2822434340150836E-2</v>
      </c>
      <c r="Y173" s="283">
        <f>+W173</f>
        <v>37004103</v>
      </c>
    </row>
    <row r="174" spans="1:30" ht="13" outlineLevel="1" x14ac:dyDescent="0.3">
      <c r="A174" s="422">
        <v>19.079999999999998</v>
      </c>
      <c r="B174" s="380" t="s">
        <v>236</v>
      </c>
      <c r="C174" s="473" t="s">
        <v>584</v>
      </c>
      <c r="D174" s="183" t="s">
        <v>207</v>
      </c>
      <c r="E174" s="131">
        <v>1</v>
      </c>
      <c r="F174" s="424">
        <f>+I174*0.5</f>
        <v>979935.30829111568</v>
      </c>
      <c r="G174" s="131"/>
      <c r="H174" s="334">
        <f t="shared" ref="H174:H178" si="187">F174+G174</f>
        <v>979935.30829111568</v>
      </c>
      <c r="I174" s="424">
        <f>+$AD$167*0.1</f>
        <v>1959870.6165822314</v>
      </c>
      <c r="J174" s="131"/>
      <c r="K174" s="334">
        <f t="shared" si="179"/>
        <v>1959870.6165822314</v>
      </c>
      <c r="L174" s="407">
        <f>(H174+K174)*0.015</f>
        <v>44097.088873100205</v>
      </c>
      <c r="M174" s="334">
        <f t="shared" ref="M174:M178" si="188">H174+K174+L174</f>
        <v>2983903.0137464469</v>
      </c>
      <c r="N174" s="335">
        <f t="shared" ref="N174:N178" si="189">F174*E174</f>
        <v>979935.30829111568</v>
      </c>
      <c r="O174" s="335">
        <f t="shared" si="180"/>
        <v>0</v>
      </c>
      <c r="P174" s="335">
        <f t="shared" si="181"/>
        <v>1959870.6165822314</v>
      </c>
      <c r="Q174" s="335">
        <f t="shared" si="182"/>
        <v>0</v>
      </c>
      <c r="R174" s="335">
        <f t="shared" si="183"/>
        <v>44097.088873100205</v>
      </c>
      <c r="S174" s="336">
        <f t="shared" ref="S174:S178" si="190">SUM(N174:R174)</f>
        <v>2983903.0137464469</v>
      </c>
      <c r="T174" s="337"/>
      <c r="U174" s="338">
        <f t="shared" ref="U174:U178" si="191">+ROUNDUP(M174*$T$5,0)</f>
        <v>3750416</v>
      </c>
      <c r="V174" s="338">
        <f t="shared" ref="V174:V178" si="192">+U174*E174</f>
        <v>3750416</v>
      </c>
      <c r="X174" s="127"/>
    </row>
    <row r="175" spans="1:30" ht="13" outlineLevel="1" x14ac:dyDescent="0.3">
      <c r="A175" s="340">
        <v>19.09</v>
      </c>
      <c r="B175" s="350" t="s">
        <v>236</v>
      </c>
      <c r="C175" s="474" t="s">
        <v>585</v>
      </c>
      <c r="D175" s="180" t="s">
        <v>207</v>
      </c>
      <c r="E175" s="125">
        <v>1</v>
      </c>
      <c r="F175" s="349">
        <f>+I175*0.5</f>
        <v>1959870.6165822314</v>
      </c>
      <c r="G175" s="125"/>
      <c r="H175" s="344">
        <f t="shared" si="187"/>
        <v>1959870.6165822314</v>
      </c>
      <c r="I175" s="349">
        <f>+$AD$167*0.2</f>
        <v>3919741.2331644627</v>
      </c>
      <c r="J175" s="125"/>
      <c r="K175" s="344">
        <f t="shared" si="179"/>
        <v>3919741.2331644627</v>
      </c>
      <c r="L175" s="343">
        <f>(H175+K175)*0.015</f>
        <v>88194.17774620041</v>
      </c>
      <c r="M175" s="344">
        <f t="shared" si="188"/>
        <v>5967806.0274928939</v>
      </c>
      <c r="N175" s="345">
        <f t="shared" si="189"/>
        <v>1959870.6165822314</v>
      </c>
      <c r="O175" s="345">
        <f t="shared" si="180"/>
        <v>0</v>
      </c>
      <c r="P175" s="345">
        <f t="shared" si="181"/>
        <v>3919741.2331644627</v>
      </c>
      <c r="Q175" s="345">
        <f t="shared" si="182"/>
        <v>0</v>
      </c>
      <c r="R175" s="345">
        <f t="shared" si="183"/>
        <v>88194.17774620041</v>
      </c>
      <c r="S175" s="346">
        <f t="shared" si="190"/>
        <v>5967806.0274928939</v>
      </c>
      <c r="T175" s="347"/>
      <c r="U175" s="277">
        <f t="shared" si="191"/>
        <v>7500832</v>
      </c>
      <c r="V175" s="277">
        <f t="shared" si="192"/>
        <v>7500832</v>
      </c>
      <c r="X175" s="127"/>
    </row>
    <row r="176" spans="1:30" ht="13" outlineLevel="1" x14ac:dyDescent="0.3">
      <c r="A176" s="340">
        <v>19.100000000000001</v>
      </c>
      <c r="B176" s="350" t="s">
        <v>236</v>
      </c>
      <c r="C176" s="475" t="s">
        <v>414</v>
      </c>
      <c r="D176" s="180" t="s">
        <v>207</v>
      </c>
      <c r="E176" s="125">
        <v>1</v>
      </c>
      <c r="F176" s="349">
        <f>+I176*0.4</f>
        <v>391974.12331644632</v>
      </c>
      <c r="G176" s="125"/>
      <c r="H176" s="344">
        <f t="shared" si="187"/>
        <v>391974.12331644632</v>
      </c>
      <c r="I176" s="349">
        <f>+$AD$167*0.05</f>
        <v>979935.30829111568</v>
      </c>
      <c r="J176" s="125"/>
      <c r="K176" s="344">
        <f t="shared" si="179"/>
        <v>979935.30829111568</v>
      </c>
      <c r="L176" s="343">
        <f>(H176+K176)*0.015</f>
        <v>20578.641474113432</v>
      </c>
      <c r="M176" s="344">
        <f t="shared" si="188"/>
        <v>1392488.0730816755</v>
      </c>
      <c r="N176" s="345">
        <f t="shared" si="189"/>
        <v>391974.12331644632</v>
      </c>
      <c r="O176" s="345">
        <f t="shared" si="180"/>
        <v>0</v>
      </c>
      <c r="P176" s="345">
        <f t="shared" si="181"/>
        <v>979935.30829111568</v>
      </c>
      <c r="Q176" s="345">
        <f t="shared" si="182"/>
        <v>0</v>
      </c>
      <c r="R176" s="345">
        <f t="shared" si="183"/>
        <v>20578.641474113432</v>
      </c>
      <c r="S176" s="346">
        <f t="shared" ref="S176:S177" si="193">SUM(N176:R176)</f>
        <v>1392488.0730816755</v>
      </c>
      <c r="T176" s="347"/>
      <c r="U176" s="277">
        <f t="shared" si="191"/>
        <v>1750194</v>
      </c>
      <c r="V176" s="277">
        <f t="shared" si="192"/>
        <v>1750194</v>
      </c>
      <c r="X176" s="127"/>
    </row>
    <row r="177" spans="1:30" ht="13" outlineLevel="1" x14ac:dyDescent="0.3">
      <c r="A177" s="340">
        <v>19.11</v>
      </c>
      <c r="B177" s="350" t="s">
        <v>236</v>
      </c>
      <c r="C177" s="474" t="s">
        <v>415</v>
      </c>
      <c r="D177" s="180" t="s">
        <v>207</v>
      </c>
      <c r="E177" s="125">
        <v>1</v>
      </c>
      <c r="F177" s="349">
        <f>+I177*0.4</f>
        <v>3135792.9865315706</v>
      </c>
      <c r="G177" s="125"/>
      <c r="H177" s="344">
        <f t="shared" si="187"/>
        <v>3135792.9865315706</v>
      </c>
      <c r="I177" s="349">
        <f>+$AD$167*0.4</f>
        <v>7839482.4663289255</v>
      </c>
      <c r="J177" s="340"/>
      <c r="K177" s="344">
        <f t="shared" si="179"/>
        <v>7839482.4663289255</v>
      </c>
      <c r="L177" s="343">
        <f>(H177+K177)*0.015</f>
        <v>164629.13179290746</v>
      </c>
      <c r="M177" s="344">
        <f t="shared" si="188"/>
        <v>11139904.584653404</v>
      </c>
      <c r="N177" s="345">
        <f t="shared" si="189"/>
        <v>3135792.9865315706</v>
      </c>
      <c r="O177" s="345">
        <f t="shared" si="180"/>
        <v>0</v>
      </c>
      <c r="P177" s="345">
        <f t="shared" si="181"/>
        <v>7839482.4663289255</v>
      </c>
      <c r="Q177" s="345">
        <f t="shared" si="182"/>
        <v>0</v>
      </c>
      <c r="R177" s="345">
        <f t="shared" si="183"/>
        <v>164629.13179290746</v>
      </c>
      <c r="S177" s="346">
        <f t="shared" si="193"/>
        <v>11139904.584653404</v>
      </c>
      <c r="T177" s="347"/>
      <c r="U177" s="277">
        <f t="shared" si="191"/>
        <v>14001552</v>
      </c>
      <c r="V177" s="277">
        <f t="shared" si="192"/>
        <v>14001552</v>
      </c>
      <c r="X177" s="127"/>
    </row>
    <row r="178" spans="1:30" ht="13" outlineLevel="1" x14ac:dyDescent="0.3">
      <c r="A178" s="340">
        <v>19.12</v>
      </c>
      <c r="B178" s="352" t="s">
        <v>236</v>
      </c>
      <c r="C178" s="476" t="s">
        <v>586</v>
      </c>
      <c r="D178" s="190" t="s">
        <v>207</v>
      </c>
      <c r="E178" s="132">
        <v>1</v>
      </c>
      <c r="F178" s="357">
        <f>+I178*0.6</f>
        <v>2939805.9248733469</v>
      </c>
      <c r="G178" s="132"/>
      <c r="H178" s="356">
        <f t="shared" si="187"/>
        <v>2939805.9248733469</v>
      </c>
      <c r="I178" s="357">
        <f>+$AD$167*0.25</f>
        <v>4899676.5414555781</v>
      </c>
      <c r="J178" s="132"/>
      <c r="K178" s="356">
        <f t="shared" si="179"/>
        <v>4899676.5414555781</v>
      </c>
      <c r="L178" s="358">
        <f>(H178+K178)*0.015</f>
        <v>117592.23699493386</v>
      </c>
      <c r="M178" s="356">
        <f t="shared" si="188"/>
        <v>7957074.7033238588</v>
      </c>
      <c r="N178" s="359">
        <f t="shared" si="189"/>
        <v>2939805.9248733469</v>
      </c>
      <c r="O178" s="359">
        <f t="shared" si="180"/>
        <v>0</v>
      </c>
      <c r="P178" s="359">
        <f t="shared" si="181"/>
        <v>4899676.5414555781</v>
      </c>
      <c r="Q178" s="359">
        <f t="shared" si="182"/>
        <v>0</v>
      </c>
      <c r="R178" s="359">
        <f t="shared" si="183"/>
        <v>117592.23699493386</v>
      </c>
      <c r="S178" s="360">
        <f t="shared" si="190"/>
        <v>7957074.7033238588</v>
      </c>
      <c r="T178" s="435"/>
      <c r="U178" s="432">
        <f t="shared" si="191"/>
        <v>10001109</v>
      </c>
      <c r="V178" s="432">
        <f t="shared" si="192"/>
        <v>10001109</v>
      </c>
      <c r="X178" s="127"/>
    </row>
    <row r="179" spans="1:30" ht="13" outlineLevel="1" x14ac:dyDescent="0.3">
      <c r="A179" s="325"/>
      <c r="B179" s="326"/>
      <c r="C179" s="276" t="s">
        <v>417</v>
      </c>
      <c r="D179" s="177"/>
      <c r="E179" s="327"/>
      <c r="F179" s="327"/>
      <c r="G179" s="327"/>
      <c r="H179" s="327"/>
      <c r="I179" s="327"/>
      <c r="J179" s="327"/>
      <c r="K179" s="327"/>
      <c r="L179" s="327"/>
      <c r="M179" s="328"/>
      <c r="N179" s="327"/>
      <c r="O179" s="327"/>
      <c r="P179" s="327"/>
      <c r="Q179" s="327"/>
      <c r="R179" s="327"/>
      <c r="S179" s="327"/>
      <c r="T179" s="329">
        <f>SUM(S180)</f>
        <v>1629017.7722105517</v>
      </c>
      <c r="U179" s="327"/>
      <c r="V179" s="327"/>
      <c r="W179" s="330">
        <f>SUM(V180)</f>
        <v>2047485</v>
      </c>
      <c r="X179" s="127">
        <f>+W179/$W$216</f>
        <v>1.8161078509305775E-3</v>
      </c>
      <c r="Y179" s="283">
        <f>+W179</f>
        <v>2047485</v>
      </c>
    </row>
    <row r="180" spans="1:30" ht="13" outlineLevel="1" x14ac:dyDescent="0.3">
      <c r="A180" s="339">
        <v>19.13</v>
      </c>
      <c r="B180" s="350" t="s">
        <v>236</v>
      </c>
      <c r="C180" s="367" t="s">
        <v>418</v>
      </c>
      <c r="D180" s="180" t="s">
        <v>207</v>
      </c>
      <c r="E180" s="125">
        <v>1</v>
      </c>
      <c r="F180" s="349">
        <f>+I180*0.5</f>
        <v>534981.20598047681</v>
      </c>
      <c r="G180" s="125"/>
      <c r="H180" s="344">
        <f>F180+G180</f>
        <v>534981.20598047681</v>
      </c>
      <c r="I180" s="357">
        <f>+AD166*0.25</f>
        <v>1069962.4119609536</v>
      </c>
      <c r="J180" s="125"/>
      <c r="K180" s="344">
        <f t="shared" si="179"/>
        <v>1069962.4119609536</v>
      </c>
      <c r="L180" s="407">
        <f>(H180+K180)*0.015</f>
        <v>24074.154269121453</v>
      </c>
      <c r="M180" s="344">
        <f>H180+K180+L180</f>
        <v>1629017.7722105517</v>
      </c>
      <c r="N180" s="345">
        <f>F180*E180</f>
        <v>534981.20598047681</v>
      </c>
      <c r="O180" s="345">
        <f t="shared" ref="O180" si="194">G180*E180</f>
        <v>0</v>
      </c>
      <c r="P180" s="345">
        <f t="shared" ref="P180" si="195">I180*E180</f>
        <v>1069962.4119609536</v>
      </c>
      <c r="Q180" s="345">
        <f t="shared" ref="Q180" si="196">J180*E180</f>
        <v>0</v>
      </c>
      <c r="R180" s="345">
        <f t="shared" ref="R180" si="197">+L180*E180</f>
        <v>24074.154269121453</v>
      </c>
      <c r="S180" s="346">
        <f>SUM(N180:R180)</f>
        <v>1629017.7722105517</v>
      </c>
      <c r="T180" s="347"/>
      <c r="U180" s="277">
        <f>+ROUNDUP(M180*$T$5,0)</f>
        <v>2047485</v>
      </c>
      <c r="V180" s="277">
        <f>+U180*E180</f>
        <v>2047485</v>
      </c>
      <c r="X180" s="127"/>
      <c r="AD180" s="184"/>
    </row>
    <row r="181" spans="1:30" ht="13" outlineLevel="1" x14ac:dyDescent="0.3">
      <c r="A181" s="325"/>
      <c r="B181" s="326"/>
      <c r="C181" s="276" t="s">
        <v>419</v>
      </c>
      <c r="D181" s="177"/>
      <c r="E181" s="327"/>
      <c r="F181" s="327"/>
      <c r="G181" s="327"/>
      <c r="H181" s="327"/>
      <c r="I181" s="327"/>
      <c r="J181" s="327"/>
      <c r="K181" s="327"/>
      <c r="L181" s="327"/>
      <c r="M181" s="328"/>
      <c r="N181" s="327"/>
      <c r="O181" s="327"/>
      <c r="P181" s="327"/>
      <c r="Q181" s="327"/>
      <c r="R181" s="327"/>
      <c r="S181" s="327"/>
      <c r="T181" s="329">
        <f>SUM(S182:S184)</f>
        <v>21506632.015608381</v>
      </c>
      <c r="U181" s="327"/>
      <c r="V181" s="327"/>
      <c r="W181" s="330">
        <f>SUM(V182:V184)</f>
        <v>27031313</v>
      </c>
      <c r="X181" s="127">
        <f>+W181/$W$216</f>
        <v>2.3976624864290474E-2</v>
      </c>
      <c r="Y181" s="283">
        <f>+W181</f>
        <v>27031313</v>
      </c>
      <c r="AD181" s="184"/>
    </row>
    <row r="182" spans="1:30" ht="13" outlineLevel="1" x14ac:dyDescent="0.3">
      <c r="A182" s="331">
        <v>19.14</v>
      </c>
      <c r="B182" s="380" t="s">
        <v>236</v>
      </c>
      <c r="C182" s="466" t="s">
        <v>587</v>
      </c>
      <c r="D182" s="183" t="s">
        <v>207</v>
      </c>
      <c r="E182" s="131">
        <v>1</v>
      </c>
      <c r="F182" s="424">
        <f>+I182*0.4</f>
        <v>3558424.4300634335</v>
      </c>
      <c r="G182" s="131"/>
      <c r="H182" s="334">
        <f>F182+G182</f>
        <v>3558424.4300634335</v>
      </c>
      <c r="I182" s="424">
        <v>8896061.075158583</v>
      </c>
      <c r="J182" s="131"/>
      <c r="K182" s="334">
        <f t="shared" ref="K182:K184" si="198">I182+J182</f>
        <v>8896061.075158583</v>
      </c>
      <c r="L182" s="407">
        <f>(H182+K182)*0.015</f>
        <v>186817.28257833025</v>
      </c>
      <c r="M182" s="334">
        <f>H182+K182+L182</f>
        <v>12641302.787800347</v>
      </c>
      <c r="N182" s="335">
        <f>F182*E182</f>
        <v>3558424.4300634335</v>
      </c>
      <c r="O182" s="335">
        <f t="shared" ref="O182:O184" si="199">G182*E182</f>
        <v>0</v>
      </c>
      <c r="P182" s="335">
        <f t="shared" ref="P182:P184" si="200">I182*E182</f>
        <v>8896061.075158583</v>
      </c>
      <c r="Q182" s="335">
        <f t="shared" ref="Q182:Q184" si="201">J182*E182</f>
        <v>0</v>
      </c>
      <c r="R182" s="335">
        <f t="shared" ref="R182:R184" si="202">+L182*E182</f>
        <v>186817.28257833025</v>
      </c>
      <c r="S182" s="336">
        <f>SUM(N182:R182)</f>
        <v>12641302.787800347</v>
      </c>
      <c r="T182" s="287"/>
      <c r="U182" s="277">
        <f>+ROUNDUP(M182*$T$5,0)</f>
        <v>15888634</v>
      </c>
      <c r="V182" s="277">
        <f>+U182*E182</f>
        <v>15888634</v>
      </c>
      <c r="X182" s="127"/>
      <c r="AD182" s="184"/>
    </row>
    <row r="183" spans="1:30" ht="13" outlineLevel="1" x14ac:dyDescent="0.3">
      <c r="A183" s="339">
        <v>19.149999999999999</v>
      </c>
      <c r="B183" s="350" t="s">
        <v>236</v>
      </c>
      <c r="C183" s="367" t="s">
        <v>588</v>
      </c>
      <c r="D183" s="180" t="s">
        <v>207</v>
      </c>
      <c r="E183" s="125">
        <v>1</v>
      </c>
      <c r="F183" s="349">
        <v>0</v>
      </c>
      <c r="G183" s="125"/>
      <c r="H183" s="344">
        <f>F183+G183</f>
        <v>0</v>
      </c>
      <c r="I183" s="349">
        <v>4852396.9500864996</v>
      </c>
      <c r="J183" s="125"/>
      <c r="K183" s="344">
        <f t="shared" si="198"/>
        <v>4852396.9500864996</v>
      </c>
      <c r="L183" s="343">
        <f>(H183+K183)*0.015</f>
        <v>72785.954251297488</v>
      </c>
      <c r="M183" s="344">
        <f>H183+K183+L183</f>
        <v>4925182.9043377973</v>
      </c>
      <c r="N183" s="345">
        <f>F183*E183</f>
        <v>0</v>
      </c>
      <c r="O183" s="345">
        <f t="shared" si="199"/>
        <v>0</v>
      </c>
      <c r="P183" s="345">
        <f t="shared" si="200"/>
        <v>4852396.9500864996</v>
      </c>
      <c r="Q183" s="345">
        <f t="shared" si="201"/>
        <v>0</v>
      </c>
      <c r="R183" s="345">
        <f t="shared" si="202"/>
        <v>72785.954251297488</v>
      </c>
      <c r="S183" s="346">
        <f>SUM(N183:R183)</f>
        <v>4925182.9043377973</v>
      </c>
      <c r="T183" s="287"/>
      <c r="U183" s="277">
        <f>+ROUNDUP(M183*$T$5,0)</f>
        <v>6190377</v>
      </c>
      <c r="V183" s="277">
        <f>+U183*E183</f>
        <v>6190377</v>
      </c>
      <c r="X183" s="127"/>
      <c r="AD183" s="184"/>
    </row>
    <row r="184" spans="1:30" ht="13" outlineLevel="1" x14ac:dyDescent="0.3">
      <c r="A184" s="351">
        <v>19.16</v>
      </c>
      <c r="B184" s="352" t="s">
        <v>236</v>
      </c>
      <c r="C184" s="467" t="s">
        <v>589</v>
      </c>
      <c r="D184" s="190" t="s">
        <v>207</v>
      </c>
      <c r="E184" s="132">
        <v>1</v>
      </c>
      <c r="F184" s="357">
        <f>+I184*0.6</f>
        <v>1455719.0850259499</v>
      </c>
      <c r="G184" s="132"/>
      <c r="H184" s="356">
        <f>F184+G184</f>
        <v>1455719.0850259499</v>
      </c>
      <c r="I184" s="357">
        <v>2426198.4750432498</v>
      </c>
      <c r="J184" s="132"/>
      <c r="K184" s="356">
        <f t="shared" si="198"/>
        <v>2426198.4750432498</v>
      </c>
      <c r="L184" s="358">
        <f>(H184+K184)*0.015</f>
        <v>58228.763401037992</v>
      </c>
      <c r="M184" s="356">
        <f>H184+K184+L184</f>
        <v>3940146.3234702377</v>
      </c>
      <c r="N184" s="359">
        <f>F184*E184</f>
        <v>1455719.0850259499</v>
      </c>
      <c r="O184" s="359">
        <f t="shared" si="199"/>
        <v>0</v>
      </c>
      <c r="P184" s="359">
        <f t="shared" si="200"/>
        <v>2426198.4750432498</v>
      </c>
      <c r="Q184" s="359">
        <f t="shared" si="201"/>
        <v>0</v>
      </c>
      <c r="R184" s="359">
        <f t="shared" si="202"/>
        <v>58228.763401037992</v>
      </c>
      <c r="S184" s="360">
        <f>SUM(N184:R184)</f>
        <v>3940146.3234702377</v>
      </c>
      <c r="T184" s="287"/>
      <c r="U184" s="277">
        <f>+ROUNDUP(M184*$T$5,0)</f>
        <v>4952302</v>
      </c>
      <c r="V184" s="277">
        <f>+U184*E184</f>
        <v>4952302</v>
      </c>
      <c r="X184" s="127"/>
      <c r="AD184" s="184"/>
    </row>
    <row r="185" spans="1:30" ht="13" outlineLevel="1" x14ac:dyDescent="0.3">
      <c r="A185" s="325"/>
      <c r="B185" s="326"/>
      <c r="C185" s="276" t="s">
        <v>422</v>
      </c>
      <c r="D185" s="177"/>
      <c r="E185" s="327"/>
      <c r="F185" s="327"/>
      <c r="G185" s="327"/>
      <c r="H185" s="327"/>
      <c r="I185" s="327"/>
      <c r="J185" s="327"/>
      <c r="K185" s="327"/>
      <c r="L185" s="327"/>
      <c r="M185" s="477"/>
      <c r="N185" s="327"/>
      <c r="O185" s="327"/>
      <c r="P185" s="327"/>
      <c r="Q185" s="327"/>
      <c r="R185" s="327"/>
      <c r="S185" s="327"/>
      <c r="T185" s="329">
        <f>SUM(S186)</f>
        <v>4142551.1224588528</v>
      </c>
      <c r="U185" s="327"/>
      <c r="V185" s="327"/>
      <c r="W185" s="330">
        <f>SUM(V186)</f>
        <v>5206701</v>
      </c>
      <c r="X185" s="127">
        <f>+W185/$W$216</f>
        <v>4.6183149393270711E-3</v>
      </c>
      <c r="Y185" s="283">
        <f>+W185</f>
        <v>5206701</v>
      </c>
    </row>
    <row r="186" spans="1:30" ht="13" outlineLevel="1" x14ac:dyDescent="0.3">
      <c r="A186" s="339">
        <v>19.170000000000002</v>
      </c>
      <c r="B186" s="350" t="s">
        <v>236</v>
      </c>
      <c r="C186" s="450" t="s">
        <v>590</v>
      </c>
      <c r="D186" s="180" t="s">
        <v>207</v>
      </c>
      <c r="E186" s="125">
        <v>1</v>
      </c>
      <c r="F186" s="357">
        <v>2093587.3781549993</v>
      </c>
      <c r="G186" s="452"/>
      <c r="H186" s="344">
        <f>F186+G186</f>
        <v>2093587.3781549993</v>
      </c>
      <c r="I186" s="349">
        <v>1987743.7769768753</v>
      </c>
      <c r="J186" s="349"/>
      <c r="K186" s="344">
        <f t="shared" ref="K186" si="203">I186+J186</f>
        <v>1987743.7769768753</v>
      </c>
      <c r="L186" s="407">
        <f>(H186+K186)*0.015</f>
        <v>61219.96732697812</v>
      </c>
      <c r="M186" s="344">
        <f>H186+K186+L186</f>
        <v>4142551.1224588528</v>
      </c>
      <c r="N186" s="345">
        <f>F186*E186</f>
        <v>2093587.3781549993</v>
      </c>
      <c r="O186" s="345">
        <f t="shared" ref="O186" si="204">G186*E186</f>
        <v>0</v>
      </c>
      <c r="P186" s="345">
        <f t="shared" ref="P186" si="205">I186*E186</f>
        <v>1987743.7769768753</v>
      </c>
      <c r="Q186" s="345">
        <f t="shared" ref="Q186" si="206">J186*E186</f>
        <v>0</v>
      </c>
      <c r="R186" s="345">
        <f t="shared" ref="R186" si="207">+L186*E186</f>
        <v>61219.96732697812</v>
      </c>
      <c r="S186" s="346">
        <f>SUM(N186:R186)</f>
        <v>4142551.1224588528</v>
      </c>
      <c r="T186" s="347"/>
      <c r="U186" s="277">
        <f>+ROUNDUP(M186*$T$5,0)</f>
        <v>5206701</v>
      </c>
      <c r="V186" s="277">
        <f>+U186*E186</f>
        <v>5206701</v>
      </c>
      <c r="X186" s="127"/>
    </row>
    <row r="187" spans="1:30" ht="13" outlineLevel="1" x14ac:dyDescent="0.3">
      <c r="A187" s="325"/>
      <c r="B187" s="326"/>
      <c r="C187" s="276" t="s">
        <v>424</v>
      </c>
      <c r="D187" s="177"/>
      <c r="E187" s="327"/>
      <c r="F187" s="327"/>
      <c r="G187" s="327"/>
      <c r="H187" s="327"/>
      <c r="I187" s="327"/>
      <c r="J187" s="327"/>
      <c r="K187" s="327"/>
      <c r="L187" s="327"/>
      <c r="M187" s="328"/>
      <c r="N187" s="327"/>
      <c r="O187" s="327"/>
      <c r="P187" s="327"/>
      <c r="Q187" s="327"/>
      <c r="R187" s="327"/>
      <c r="S187" s="327"/>
      <c r="T187" s="329">
        <f>SUM(S188:S189)</f>
        <v>16120000</v>
      </c>
      <c r="U187" s="327"/>
      <c r="V187" s="327"/>
      <c r="W187" s="330">
        <f>SUM(V188:V189)</f>
        <v>20260948</v>
      </c>
      <c r="X187" s="127">
        <f>+W187/$W$216</f>
        <v>1.7971348620427589E-2</v>
      </c>
      <c r="Y187" s="283">
        <f>+W187</f>
        <v>20260948</v>
      </c>
    </row>
    <row r="188" spans="1:30" ht="13" outlineLevel="1" x14ac:dyDescent="0.3">
      <c r="A188" s="478">
        <v>19.18</v>
      </c>
      <c r="B188" s="350" t="s">
        <v>462</v>
      </c>
      <c r="C188" s="474" t="s">
        <v>425</v>
      </c>
      <c r="D188" s="180" t="s">
        <v>207</v>
      </c>
      <c r="E188" s="125">
        <v>1</v>
      </c>
      <c r="F188" s="349">
        <v>6500000</v>
      </c>
      <c r="G188" s="125"/>
      <c r="H188" s="344">
        <f>F188+G188</f>
        <v>6500000</v>
      </c>
      <c r="I188" s="349">
        <f>+F188</f>
        <v>6500000</v>
      </c>
      <c r="J188" s="125"/>
      <c r="K188" s="344">
        <f>I188+J188</f>
        <v>6500000</v>
      </c>
      <c r="L188" s="407">
        <f>(H188+K188)*0.015</f>
        <v>195000</v>
      </c>
      <c r="M188" s="344">
        <f>H188+K188+L188</f>
        <v>13195000</v>
      </c>
      <c r="N188" s="345">
        <f>F188*E188</f>
        <v>6500000</v>
      </c>
      <c r="O188" s="345">
        <f t="shared" ref="O188:O189" si="208">G188*E188</f>
        <v>0</v>
      </c>
      <c r="P188" s="345">
        <f>I188*E188</f>
        <v>6500000</v>
      </c>
      <c r="Q188" s="345">
        <f t="shared" ref="Q188:Q189" si="209">J188*E188</f>
        <v>0</v>
      </c>
      <c r="R188" s="345">
        <f t="shared" ref="R188:R189" si="210">+L188*E188</f>
        <v>195000</v>
      </c>
      <c r="S188" s="346">
        <f>SUM(N188:R188)</f>
        <v>13195000</v>
      </c>
      <c r="T188" s="347"/>
      <c r="U188" s="277">
        <f>+ROUNDUP(M188*$T$5,0)</f>
        <v>16584566</v>
      </c>
      <c r="V188" s="277">
        <f>+U188*E188</f>
        <v>16584566</v>
      </c>
      <c r="X188" s="127"/>
    </row>
    <row r="189" spans="1:30" ht="13" outlineLevel="1" x14ac:dyDescent="0.3">
      <c r="A189" s="479">
        <v>19.190000000000001</v>
      </c>
      <c r="B189" s="352" t="s">
        <v>236</v>
      </c>
      <c r="C189" s="476" t="s">
        <v>429</v>
      </c>
      <c r="D189" s="190" t="s">
        <v>207</v>
      </c>
      <c r="E189" s="132">
        <v>1</v>
      </c>
      <c r="F189" s="132"/>
      <c r="G189" s="132"/>
      <c r="H189" s="356">
        <f t="shared" ref="H189" si="211">F189+G189</f>
        <v>0</v>
      </c>
      <c r="I189" s="480">
        <f>2500*W2</f>
        <v>2925000</v>
      </c>
      <c r="J189" s="132"/>
      <c r="K189" s="356">
        <f t="shared" ref="K189" si="212">I189+J189</f>
        <v>2925000</v>
      </c>
      <c r="L189" s="481"/>
      <c r="M189" s="356">
        <f t="shared" ref="M189" si="213">H189+K189+L189</f>
        <v>2925000</v>
      </c>
      <c r="N189" s="359">
        <f t="shared" ref="N189" si="214">F189*E189</f>
        <v>0</v>
      </c>
      <c r="O189" s="359">
        <f t="shared" si="208"/>
        <v>0</v>
      </c>
      <c r="P189" s="359">
        <f t="shared" ref="P189" si="215">I189*E189</f>
        <v>2925000</v>
      </c>
      <c r="Q189" s="359">
        <f t="shared" si="209"/>
        <v>0</v>
      </c>
      <c r="R189" s="359">
        <f t="shared" si="210"/>
        <v>0</v>
      </c>
      <c r="S189" s="360">
        <f t="shared" ref="S189" si="216">SUM(N189:R189)</f>
        <v>2925000</v>
      </c>
      <c r="T189" s="347"/>
      <c r="U189" s="277">
        <f>+ROUNDUP(M189*$T$5,0)</f>
        <v>3676382</v>
      </c>
      <c r="V189" s="277">
        <f>+U189*E189</f>
        <v>3676382</v>
      </c>
      <c r="X189" s="127"/>
    </row>
    <row r="190" spans="1:30" ht="13" x14ac:dyDescent="0.3">
      <c r="A190" s="325">
        <v>20</v>
      </c>
      <c r="B190" s="326"/>
      <c r="C190" s="276" t="s">
        <v>430</v>
      </c>
      <c r="D190" s="177"/>
      <c r="E190" s="327"/>
      <c r="F190" s="327"/>
      <c r="G190" s="327"/>
      <c r="H190" s="327"/>
      <c r="I190" s="327"/>
      <c r="J190" s="327"/>
      <c r="K190" s="327"/>
      <c r="L190" s="327"/>
      <c r="M190" s="328"/>
      <c r="N190" s="327"/>
      <c r="O190" s="327"/>
      <c r="P190" s="327"/>
      <c r="Q190" s="327"/>
      <c r="R190" s="327"/>
      <c r="S190" s="327"/>
      <c r="T190" s="329">
        <f>SUM(S191:S192)</f>
        <v>28004000</v>
      </c>
      <c r="U190" s="327"/>
      <c r="V190" s="327"/>
      <c r="W190" s="330">
        <f>SUM(V191:V192)</f>
        <v>35197776</v>
      </c>
      <c r="X190" s="127">
        <f>+W190/$W$216</f>
        <v>3.122023229908686E-2</v>
      </c>
      <c r="Y190" s="283">
        <f>+W190</f>
        <v>35197776</v>
      </c>
    </row>
    <row r="191" spans="1:30" ht="13" outlineLevel="1" x14ac:dyDescent="0.3">
      <c r="A191" s="413">
        <v>20.010000000000002</v>
      </c>
      <c r="B191" s="482" t="s">
        <v>205</v>
      </c>
      <c r="C191" s="415" t="s">
        <v>591</v>
      </c>
      <c r="D191" s="483" t="s">
        <v>243</v>
      </c>
      <c r="E191" s="484">
        <v>36</v>
      </c>
      <c r="F191" s="485">
        <v>375000</v>
      </c>
      <c r="G191" s="485"/>
      <c r="H191" s="486">
        <f>F191+G191</f>
        <v>375000</v>
      </c>
      <c r="I191" s="485">
        <v>213888.88888888888</v>
      </c>
      <c r="J191" s="485"/>
      <c r="K191" s="486">
        <f>I191+J191</f>
        <v>213888.88888888888</v>
      </c>
      <c r="L191" s="487"/>
      <c r="M191" s="486">
        <f>H191+K191+L191</f>
        <v>588888.88888888888</v>
      </c>
      <c r="N191" s="488">
        <f>F191*E191</f>
        <v>13500000</v>
      </c>
      <c r="O191" s="488">
        <f>G191*E191</f>
        <v>0</v>
      </c>
      <c r="P191" s="488">
        <f>I191*E191</f>
        <v>7700000</v>
      </c>
      <c r="Q191" s="488">
        <f>J191*E191</f>
        <v>0</v>
      </c>
      <c r="R191" s="488">
        <f>+L191*E191</f>
        <v>0</v>
      </c>
      <c r="S191" s="489">
        <f>SUM(N191:R191)</f>
        <v>21200000</v>
      </c>
      <c r="T191" s="347"/>
      <c r="U191" s="389">
        <f>+ROUNDUP(M191*$T$5,0)</f>
        <v>740165</v>
      </c>
      <c r="V191" s="389">
        <f>+U191*E191</f>
        <v>26645940</v>
      </c>
      <c r="X191" s="127"/>
    </row>
    <row r="192" spans="1:30" ht="13" outlineLevel="1" x14ac:dyDescent="0.3">
      <c r="A192" s="339">
        <v>20.02</v>
      </c>
      <c r="B192" s="340" t="s">
        <v>205</v>
      </c>
      <c r="C192" s="341" t="s">
        <v>592</v>
      </c>
      <c r="D192" s="191" t="s">
        <v>243</v>
      </c>
      <c r="E192" s="342">
        <v>36</v>
      </c>
      <c r="F192" s="349"/>
      <c r="G192" s="349"/>
      <c r="H192" s="344">
        <f>F192+G192</f>
        <v>0</v>
      </c>
      <c r="I192" s="349">
        <v>189000</v>
      </c>
      <c r="J192" s="349"/>
      <c r="K192" s="344">
        <f>I192+J192</f>
        <v>189000</v>
      </c>
      <c r="L192" s="365"/>
      <c r="M192" s="344">
        <f>H192+K192+L192</f>
        <v>189000</v>
      </c>
      <c r="N192" s="345">
        <f>F192*E192</f>
        <v>0</v>
      </c>
      <c r="O192" s="345">
        <f>G192*E192</f>
        <v>0</v>
      </c>
      <c r="P192" s="345">
        <f>I192*E192</f>
        <v>6804000</v>
      </c>
      <c r="Q192" s="345">
        <f>J192*E192</f>
        <v>0</v>
      </c>
      <c r="R192" s="345">
        <f>+L192*E192</f>
        <v>0</v>
      </c>
      <c r="S192" s="346">
        <f>SUM(N192:R192)</f>
        <v>6804000</v>
      </c>
      <c r="T192" s="347"/>
      <c r="U192" s="277">
        <f>+ROUNDUP(M192*$T$5,0)</f>
        <v>237551</v>
      </c>
      <c r="V192" s="277">
        <f>+U192*E192</f>
        <v>8551836</v>
      </c>
      <c r="X192" s="127"/>
    </row>
    <row r="193" spans="1:28" ht="13" x14ac:dyDescent="0.3">
      <c r="A193" s="325">
        <v>21</v>
      </c>
      <c r="B193" s="326"/>
      <c r="C193" s="276" t="s">
        <v>433</v>
      </c>
      <c r="D193" s="177"/>
      <c r="E193" s="327"/>
      <c r="F193" s="327"/>
      <c r="G193" s="327"/>
      <c r="H193" s="327"/>
      <c r="I193" s="327"/>
      <c r="J193" s="327"/>
      <c r="K193" s="327"/>
      <c r="L193" s="327"/>
      <c r="M193" s="328"/>
      <c r="N193" s="327"/>
      <c r="O193" s="327"/>
      <c r="P193" s="327"/>
      <c r="Q193" s="327"/>
      <c r="R193" s="327"/>
      <c r="S193" s="327"/>
      <c r="T193" s="329">
        <f>SUM(S194)</f>
        <v>0</v>
      </c>
      <c r="U193" s="327"/>
      <c r="V193" s="327"/>
      <c r="W193" s="330">
        <f>SUM(V194)</f>
        <v>0</v>
      </c>
      <c r="X193" s="127">
        <f>+W193/$W$216</f>
        <v>0</v>
      </c>
      <c r="Y193" s="283">
        <f>+W193</f>
        <v>0</v>
      </c>
    </row>
    <row r="194" spans="1:28" s="185" customFormat="1" ht="13" outlineLevel="1" x14ac:dyDescent="0.3">
      <c r="A194" s="490">
        <v>21.01</v>
      </c>
      <c r="B194" s="490" t="s">
        <v>205</v>
      </c>
      <c r="C194" s="491" t="s">
        <v>593</v>
      </c>
      <c r="D194" s="492" t="s">
        <v>207</v>
      </c>
      <c r="E194" s="493">
        <v>0</v>
      </c>
      <c r="F194" s="494"/>
      <c r="G194" s="494"/>
      <c r="H194" s="495">
        <f t="shared" ref="H194" si="217">F194+G194</f>
        <v>0</v>
      </c>
      <c r="I194" s="494"/>
      <c r="J194" s="494"/>
      <c r="K194" s="495">
        <f t="shared" ref="K194" si="218">I194+J194</f>
        <v>0</v>
      </c>
      <c r="L194" s="494"/>
      <c r="M194" s="495">
        <f t="shared" ref="M194" si="219">H194+K194+L194</f>
        <v>0</v>
      </c>
      <c r="N194" s="496">
        <f>F194*E194</f>
        <v>0</v>
      </c>
      <c r="O194" s="496">
        <f>G194*E194</f>
        <v>0</v>
      </c>
      <c r="P194" s="496">
        <f>I194*E194</f>
        <v>0</v>
      </c>
      <c r="Q194" s="496">
        <f>J194*E194</f>
        <v>0</v>
      </c>
      <c r="R194" s="496">
        <f>+L194*E194</f>
        <v>0</v>
      </c>
      <c r="S194" s="497">
        <f>SUM(N194:R194)</f>
        <v>0</v>
      </c>
      <c r="T194" s="347"/>
      <c r="U194" s="391">
        <f>+ROUNDUP(M194*$T$5,0)</f>
        <v>0</v>
      </c>
      <c r="V194" s="277">
        <f>+U194*E194</f>
        <v>0</v>
      </c>
      <c r="W194" s="384"/>
      <c r="X194" s="127"/>
      <c r="Y194" s="385"/>
      <c r="AB194" s="385"/>
    </row>
    <row r="195" spans="1:28" s="185" customFormat="1" ht="13" x14ac:dyDescent="0.3">
      <c r="A195" s="325">
        <v>22</v>
      </c>
      <c r="B195" s="326"/>
      <c r="C195" s="276" t="s">
        <v>435</v>
      </c>
      <c r="D195" s="177"/>
      <c r="E195" s="327"/>
      <c r="F195" s="327"/>
      <c r="G195" s="327"/>
      <c r="H195" s="327"/>
      <c r="I195" s="327"/>
      <c r="J195" s="327"/>
      <c r="K195" s="327"/>
      <c r="L195" s="327"/>
      <c r="M195" s="328"/>
      <c r="N195" s="327"/>
      <c r="O195" s="327"/>
      <c r="P195" s="327"/>
      <c r="Q195" s="327"/>
      <c r="R195" s="327"/>
      <c r="S195" s="327"/>
      <c r="T195" s="329">
        <f>SUM(S196:S197)</f>
        <v>2125199.9999999995</v>
      </c>
      <c r="U195" s="327"/>
      <c r="V195" s="327"/>
      <c r="W195" s="330">
        <f>SUM(V196:V197)</f>
        <v>2671152</v>
      </c>
      <c r="X195" s="127">
        <f>+W195/$W$216</f>
        <v>2.3692970245100275E-3</v>
      </c>
      <c r="Y195" s="283">
        <f>+W195</f>
        <v>2671152</v>
      </c>
      <c r="AB195" s="385"/>
    </row>
    <row r="196" spans="1:28" ht="13" outlineLevel="1" x14ac:dyDescent="0.3">
      <c r="A196" s="380">
        <v>22.01</v>
      </c>
      <c r="B196" s="380" t="s">
        <v>205</v>
      </c>
      <c r="C196" s="445" t="s">
        <v>594</v>
      </c>
      <c r="D196" s="187" t="s">
        <v>243</v>
      </c>
      <c r="E196" s="125">
        <v>16</v>
      </c>
      <c r="F196" s="349"/>
      <c r="G196" s="498"/>
      <c r="H196" s="344">
        <f t="shared" ref="H196:H197" si="220">F196+G196</f>
        <v>0</v>
      </c>
      <c r="I196" s="349">
        <v>64399.999999999993</v>
      </c>
      <c r="J196" s="498"/>
      <c r="K196" s="344">
        <f t="shared" ref="K196:K197" si="221">I196+J196</f>
        <v>64399.999999999993</v>
      </c>
      <c r="L196" s="425"/>
      <c r="M196" s="334">
        <f t="shared" ref="M196:M197" si="222">H196+K196+L196</f>
        <v>64399.999999999993</v>
      </c>
      <c r="N196" s="345">
        <f t="shared" ref="N196:N197" si="223">F196*E196</f>
        <v>0</v>
      </c>
      <c r="O196" s="345">
        <f t="shared" ref="O196:O197" si="224">G196*E196</f>
        <v>0</v>
      </c>
      <c r="P196" s="345">
        <f t="shared" ref="P196:P197" si="225">I196*E196</f>
        <v>1030399.9999999999</v>
      </c>
      <c r="Q196" s="345">
        <f t="shared" ref="Q196:Q197" si="226">J196*E196</f>
        <v>0</v>
      </c>
      <c r="R196" s="345">
        <f t="shared" ref="R196:R197" si="227">+L196*E196</f>
        <v>0</v>
      </c>
      <c r="S196" s="346">
        <f t="shared" ref="S196:S197" si="228">SUM(N196:R196)</f>
        <v>1030399.9999999999</v>
      </c>
      <c r="T196" s="347"/>
      <c r="U196" s="391">
        <f>+ROUNDUP(M196*$T$5,0)</f>
        <v>80944</v>
      </c>
      <c r="V196" s="389">
        <f>+U196*E196</f>
        <v>1295104</v>
      </c>
      <c r="X196" s="127"/>
    </row>
    <row r="197" spans="1:28" ht="13" outlineLevel="1" x14ac:dyDescent="0.3">
      <c r="A197" s="350">
        <v>22.02</v>
      </c>
      <c r="B197" s="350" t="s">
        <v>205</v>
      </c>
      <c r="C197" s="450" t="s">
        <v>437</v>
      </c>
      <c r="D197" s="188" t="s">
        <v>243</v>
      </c>
      <c r="E197" s="363">
        <v>17</v>
      </c>
      <c r="F197" s="420"/>
      <c r="G197" s="420"/>
      <c r="H197" s="344">
        <f t="shared" si="220"/>
        <v>0</v>
      </c>
      <c r="I197" s="349">
        <v>64399.999999999993</v>
      </c>
      <c r="J197" s="420"/>
      <c r="K197" s="344">
        <f t="shared" si="221"/>
        <v>64399.999999999993</v>
      </c>
      <c r="L197" s="387"/>
      <c r="M197" s="344">
        <f t="shared" si="222"/>
        <v>64399.999999999993</v>
      </c>
      <c r="N197" s="345">
        <f t="shared" si="223"/>
        <v>0</v>
      </c>
      <c r="O197" s="345">
        <f t="shared" si="224"/>
        <v>0</v>
      </c>
      <c r="P197" s="345">
        <f t="shared" si="225"/>
        <v>1094799.9999999998</v>
      </c>
      <c r="Q197" s="345">
        <f t="shared" si="226"/>
        <v>0</v>
      </c>
      <c r="R197" s="345">
        <f t="shared" si="227"/>
        <v>0</v>
      </c>
      <c r="S197" s="346">
        <f t="shared" si="228"/>
        <v>1094799.9999999998</v>
      </c>
      <c r="T197" s="347"/>
      <c r="U197" s="391">
        <f>+ROUNDUP(M197*$T$5,0)</f>
        <v>80944</v>
      </c>
      <c r="V197" s="389">
        <f>+U197*E197</f>
        <v>1376048</v>
      </c>
      <c r="X197" s="127"/>
    </row>
    <row r="198" spans="1:28" ht="13" x14ac:dyDescent="0.3">
      <c r="A198" s="325">
        <v>23</v>
      </c>
      <c r="B198" s="326"/>
      <c r="C198" s="276" t="s">
        <v>362</v>
      </c>
      <c r="D198" s="177"/>
      <c r="E198" s="327"/>
      <c r="F198" s="327"/>
      <c r="G198" s="327"/>
      <c r="H198" s="327"/>
      <c r="I198" s="327"/>
      <c r="J198" s="327"/>
      <c r="K198" s="327"/>
      <c r="L198" s="327"/>
      <c r="M198" s="328"/>
      <c r="N198" s="327"/>
      <c r="O198" s="327"/>
      <c r="P198" s="327"/>
      <c r="Q198" s="327"/>
      <c r="R198" s="327"/>
      <c r="S198" s="327"/>
      <c r="T198" s="329">
        <f>+SUM(S199:S201)</f>
        <v>3714091.0548287267</v>
      </c>
      <c r="U198" s="327"/>
      <c r="V198" s="327"/>
      <c r="W198" s="330">
        <f>SUM(V199:V201)</f>
        <v>4668180</v>
      </c>
      <c r="X198" s="127">
        <f>+W198/$W$216</f>
        <v>4.1406497959970909E-3</v>
      </c>
      <c r="Y198" s="283">
        <f>+W198</f>
        <v>4668180</v>
      </c>
    </row>
    <row r="199" spans="1:28" s="185" customFormat="1" ht="13" outlineLevel="1" x14ac:dyDescent="0.3">
      <c r="A199" s="422">
        <v>23.01</v>
      </c>
      <c r="B199" s="380" t="s">
        <v>236</v>
      </c>
      <c r="C199" s="333" t="s">
        <v>595</v>
      </c>
      <c r="D199" s="182" t="s">
        <v>207</v>
      </c>
      <c r="E199" s="381">
        <v>7</v>
      </c>
      <c r="F199" s="499">
        <v>84804.805000000008</v>
      </c>
      <c r="G199" s="499">
        <v>18052.636608644149</v>
      </c>
      <c r="H199" s="334">
        <f>F199+G199</f>
        <v>102857.44160864415</v>
      </c>
      <c r="I199" s="407">
        <v>0</v>
      </c>
      <c r="J199" s="407">
        <v>247059.61185673703</v>
      </c>
      <c r="K199" s="334">
        <f>I199+J199</f>
        <v>247059.61185673703</v>
      </c>
      <c r="L199" s="343">
        <f>(H199+K199)*0.015</f>
        <v>5248.7558019807175</v>
      </c>
      <c r="M199" s="334">
        <f>H199+K199+L199</f>
        <v>355165.80926736188</v>
      </c>
      <c r="N199" s="335">
        <f>F199*E199</f>
        <v>593633.63500000001</v>
      </c>
      <c r="O199" s="335">
        <f t="shared" ref="O199:O201" si="229">G199*E199</f>
        <v>126368.45626050903</v>
      </c>
      <c r="P199" s="335">
        <f t="shared" ref="P199:P201" si="230">I199*E199</f>
        <v>0</v>
      </c>
      <c r="Q199" s="335">
        <f t="shared" ref="Q199:Q201" si="231">J199*E199</f>
        <v>1729417.2829971593</v>
      </c>
      <c r="R199" s="335">
        <f t="shared" ref="R199:R201" si="232">+L199*E199</f>
        <v>36741.290613865021</v>
      </c>
      <c r="S199" s="336">
        <f>SUM(N199:R199)</f>
        <v>2486160.6648715334</v>
      </c>
      <c r="T199" s="287"/>
      <c r="U199" s="338">
        <f>+ROUNDUP(M199*$T$5,0)</f>
        <v>446402</v>
      </c>
      <c r="V199" s="338">
        <f>+U199*E199</f>
        <v>3124814</v>
      </c>
      <c r="W199" s="384"/>
      <c r="X199" s="127"/>
      <c r="Y199" s="385"/>
      <c r="AB199" s="385"/>
    </row>
    <row r="200" spans="1:28" s="185" customFormat="1" ht="13" outlineLevel="1" x14ac:dyDescent="0.3">
      <c r="A200" s="340">
        <v>23.02</v>
      </c>
      <c r="B200" s="350"/>
      <c r="C200" s="341" t="s">
        <v>596</v>
      </c>
      <c r="D200" s="362" t="s">
        <v>207</v>
      </c>
      <c r="E200" s="363">
        <v>1</v>
      </c>
      <c r="F200" s="500">
        <v>0</v>
      </c>
      <c r="G200" s="500">
        <v>200000</v>
      </c>
      <c r="H200" s="344">
        <f>F200+G200</f>
        <v>200000</v>
      </c>
      <c r="I200" s="343">
        <v>0</v>
      </c>
      <c r="J200" s="343">
        <v>326801.24153285986</v>
      </c>
      <c r="K200" s="344">
        <f>I200+J200</f>
        <v>326801.24153285986</v>
      </c>
      <c r="L200" s="343">
        <f>(H200+K200)*0.015</f>
        <v>7902.0186229928977</v>
      </c>
      <c r="M200" s="344">
        <f>H200+K200+L200</f>
        <v>534703.26015585277</v>
      </c>
      <c r="N200" s="345">
        <f>F200*E200</f>
        <v>0</v>
      </c>
      <c r="O200" s="345">
        <f t="shared" si="229"/>
        <v>200000</v>
      </c>
      <c r="P200" s="345">
        <f t="shared" si="230"/>
        <v>0</v>
      </c>
      <c r="Q200" s="345">
        <f t="shared" si="231"/>
        <v>326801.24153285986</v>
      </c>
      <c r="R200" s="345">
        <f t="shared" si="232"/>
        <v>7902.0186229928977</v>
      </c>
      <c r="S200" s="346">
        <f>SUM(N200:R200)</f>
        <v>534703.26015585277</v>
      </c>
      <c r="T200" s="287"/>
      <c r="U200" s="277">
        <f>+ROUNDUP(M200*$T$5,0)</f>
        <v>672060</v>
      </c>
      <c r="V200" s="277">
        <f>+U200*E200</f>
        <v>672060</v>
      </c>
      <c r="W200" s="384"/>
      <c r="X200" s="127"/>
      <c r="Y200" s="385"/>
      <c r="AB200" s="385"/>
    </row>
    <row r="201" spans="1:28" ht="13" outlineLevel="1" x14ac:dyDescent="0.3">
      <c r="A201" s="404">
        <v>23.03</v>
      </c>
      <c r="B201" s="352" t="s">
        <v>236</v>
      </c>
      <c r="C201" s="353" t="s">
        <v>597</v>
      </c>
      <c r="D201" s="405" t="s">
        <v>207</v>
      </c>
      <c r="E201" s="379">
        <v>1</v>
      </c>
      <c r="F201" s="501">
        <v>253919.62647337769</v>
      </c>
      <c r="G201" s="501"/>
      <c r="H201" s="356">
        <f>F201+G201</f>
        <v>253919.62647337769</v>
      </c>
      <c r="I201" s="357">
        <v>439307.50332796259</v>
      </c>
      <c r="J201" s="501"/>
      <c r="K201" s="356">
        <f>I201+J201</f>
        <v>439307.50332796259</v>
      </c>
      <c r="L201" s="481"/>
      <c r="M201" s="356">
        <f>H201+K201+L201</f>
        <v>693227.12980134028</v>
      </c>
      <c r="N201" s="359">
        <f>F201*E201</f>
        <v>253919.62647337769</v>
      </c>
      <c r="O201" s="359">
        <f t="shared" si="229"/>
        <v>0</v>
      </c>
      <c r="P201" s="359">
        <f t="shared" si="230"/>
        <v>439307.50332796259</v>
      </c>
      <c r="Q201" s="359">
        <f t="shared" si="231"/>
        <v>0</v>
      </c>
      <c r="R201" s="359">
        <f t="shared" si="232"/>
        <v>0</v>
      </c>
      <c r="S201" s="360">
        <f>SUM(N201:R201)</f>
        <v>693227.12980134028</v>
      </c>
      <c r="T201" s="287"/>
      <c r="U201" s="432">
        <f>+ROUNDUP(M201*$T$5,0)</f>
        <v>871306</v>
      </c>
      <c r="V201" s="432">
        <f>+U201*E201</f>
        <v>871306</v>
      </c>
      <c r="X201" s="127"/>
    </row>
    <row r="202" spans="1:28" ht="13" x14ac:dyDescent="0.3">
      <c r="A202" s="325">
        <v>24</v>
      </c>
      <c r="B202" s="326"/>
      <c r="C202" s="276" t="s">
        <v>218</v>
      </c>
      <c r="D202" s="177"/>
      <c r="E202" s="327"/>
      <c r="F202" s="327"/>
      <c r="G202" s="327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  <c r="S202" s="327"/>
      <c r="T202" s="329">
        <f>SUM(S203:S212)</f>
        <v>40135188.322516404</v>
      </c>
      <c r="U202" s="327"/>
      <c r="V202" s="327"/>
      <c r="W202" s="330">
        <f>SUM(V203:V212)</f>
        <v>50445256</v>
      </c>
      <c r="X202" s="127">
        <f>+W202/$W$216</f>
        <v>4.4744662580581941E-2</v>
      </c>
    </row>
    <row r="203" spans="1:28" ht="13" outlineLevel="1" x14ac:dyDescent="0.3">
      <c r="A203" s="331">
        <v>24.01</v>
      </c>
      <c r="B203" s="422" t="s">
        <v>205</v>
      </c>
      <c r="C203" s="502" t="s">
        <v>219</v>
      </c>
      <c r="D203" s="178" t="s">
        <v>214</v>
      </c>
      <c r="E203" s="332">
        <v>14</v>
      </c>
      <c r="F203" s="131"/>
      <c r="G203" s="498"/>
      <c r="H203" s="344">
        <f t="shared" ref="H203:H204" si="233">F203+G203</f>
        <v>0</v>
      </c>
      <c r="I203" s="503">
        <v>599210.84671886358</v>
      </c>
      <c r="J203" s="131"/>
      <c r="K203" s="344">
        <f t="shared" ref="K203:K204" si="234">I203+J203</f>
        <v>599210.84671886358</v>
      </c>
      <c r="L203" s="125"/>
      <c r="M203" s="344">
        <f t="shared" ref="M203:M204" si="235">H203+K203+L203</f>
        <v>599210.84671886358</v>
      </c>
      <c r="N203" s="345">
        <f t="shared" ref="N203:N212" si="236">F203*E203</f>
        <v>0</v>
      </c>
      <c r="O203" s="345">
        <f t="shared" ref="O203:O212" si="237">G203*E203</f>
        <v>0</v>
      </c>
      <c r="P203" s="345">
        <f t="shared" ref="P203:P212" si="238">I203*E203</f>
        <v>8388951.8540640902</v>
      </c>
      <c r="Q203" s="345">
        <f t="shared" ref="Q203:Q212" si="239">J203*E203</f>
        <v>0</v>
      </c>
      <c r="R203" s="345">
        <f t="shared" ref="R203:R212" si="240">+L203*E203</f>
        <v>0</v>
      </c>
      <c r="S203" s="346">
        <f t="shared" ref="S203:S212" si="241">SUM(N203:R203)</f>
        <v>8388951.8540640902</v>
      </c>
      <c r="T203" s="347"/>
      <c r="U203" s="277">
        <f t="shared" ref="U203:U212" si="242">+ROUNDUP(M203*$T$5,0)</f>
        <v>753138</v>
      </c>
      <c r="V203" s="277">
        <f t="shared" ref="V203:V212" si="243">+U203*E203</f>
        <v>10543932</v>
      </c>
      <c r="Y203" s="283">
        <f>+U203*AA203</f>
        <v>10543932</v>
      </c>
      <c r="AA203" s="128">
        <v>14</v>
      </c>
    </row>
    <row r="204" spans="1:28" ht="13" outlineLevel="1" x14ac:dyDescent="0.3">
      <c r="A204" s="413">
        <v>24.02</v>
      </c>
      <c r="B204" s="482" t="s">
        <v>205</v>
      </c>
      <c r="C204" s="504" t="s">
        <v>220</v>
      </c>
      <c r="D204" s="505" t="s">
        <v>214</v>
      </c>
      <c r="E204" s="484">
        <v>4</v>
      </c>
      <c r="F204" s="506"/>
      <c r="G204" s="507"/>
      <c r="H204" s="344">
        <f t="shared" si="233"/>
        <v>0</v>
      </c>
      <c r="I204" s="508">
        <v>1547376.3491999998</v>
      </c>
      <c r="J204" s="506"/>
      <c r="K204" s="344">
        <f t="shared" si="234"/>
        <v>1547376.3491999998</v>
      </c>
      <c r="L204" s="125"/>
      <c r="M204" s="344">
        <f t="shared" si="235"/>
        <v>1547376.3491999998</v>
      </c>
      <c r="N204" s="345">
        <f t="shared" si="236"/>
        <v>0</v>
      </c>
      <c r="O204" s="345">
        <f t="shared" si="237"/>
        <v>0</v>
      </c>
      <c r="P204" s="345">
        <f t="shared" si="238"/>
        <v>6189505.3967999993</v>
      </c>
      <c r="Q204" s="345">
        <f t="shared" si="239"/>
        <v>0</v>
      </c>
      <c r="R204" s="345">
        <f t="shared" si="240"/>
        <v>0</v>
      </c>
      <c r="S204" s="346">
        <f t="shared" si="241"/>
        <v>6189505.3967999993</v>
      </c>
      <c r="T204" s="347"/>
      <c r="U204" s="277">
        <f t="shared" si="242"/>
        <v>1944871</v>
      </c>
      <c r="V204" s="277">
        <f t="shared" si="243"/>
        <v>7779484</v>
      </c>
      <c r="Y204" s="283">
        <f t="shared" ref="Y204:Y212" si="244">+U204*AA204</f>
        <v>7779484</v>
      </c>
      <c r="AA204" s="128">
        <v>4</v>
      </c>
    </row>
    <row r="205" spans="1:28" ht="13" outlineLevel="1" x14ac:dyDescent="0.3">
      <c r="A205" s="339">
        <v>24.03</v>
      </c>
      <c r="B205" s="340" t="s">
        <v>205</v>
      </c>
      <c r="C205" s="509" t="s">
        <v>221</v>
      </c>
      <c r="D205" s="179" t="s">
        <v>214</v>
      </c>
      <c r="E205" s="342">
        <v>14</v>
      </c>
      <c r="F205" s="125"/>
      <c r="G205" s="420"/>
      <c r="H205" s="344">
        <f>F205+G205</f>
        <v>0</v>
      </c>
      <c r="I205" s="427">
        <v>150000</v>
      </c>
      <c r="J205" s="125"/>
      <c r="K205" s="344">
        <f>I205+J205</f>
        <v>150000</v>
      </c>
      <c r="L205" s="125"/>
      <c r="M205" s="344">
        <f>H205+K205+L205</f>
        <v>150000</v>
      </c>
      <c r="N205" s="345">
        <f t="shared" si="236"/>
        <v>0</v>
      </c>
      <c r="O205" s="345">
        <f t="shared" si="237"/>
        <v>0</v>
      </c>
      <c r="P205" s="345">
        <f t="shared" si="238"/>
        <v>2100000</v>
      </c>
      <c r="Q205" s="345">
        <f t="shared" si="239"/>
        <v>0</v>
      </c>
      <c r="R205" s="345">
        <f t="shared" si="240"/>
        <v>0</v>
      </c>
      <c r="S205" s="346">
        <f t="shared" si="241"/>
        <v>2100000</v>
      </c>
      <c r="T205" s="347"/>
      <c r="U205" s="277">
        <f t="shared" si="242"/>
        <v>188533</v>
      </c>
      <c r="V205" s="277">
        <f t="shared" si="243"/>
        <v>2639462</v>
      </c>
      <c r="Y205" s="283">
        <f t="shared" si="244"/>
        <v>2639462</v>
      </c>
      <c r="AA205" s="128">
        <v>14</v>
      </c>
    </row>
    <row r="206" spans="1:28" ht="13" outlineLevel="1" x14ac:dyDescent="0.3">
      <c r="A206" s="413">
        <v>24.04</v>
      </c>
      <c r="B206" s="340" t="s">
        <v>205</v>
      </c>
      <c r="C206" s="509" t="s">
        <v>222</v>
      </c>
      <c r="D206" s="179" t="s">
        <v>207</v>
      </c>
      <c r="E206" s="342">
        <v>1</v>
      </c>
      <c r="F206" s="343">
        <v>2388097.2693333332</v>
      </c>
      <c r="G206" s="343">
        <v>0</v>
      </c>
      <c r="H206" s="344">
        <f>F206+G206</f>
        <v>2388097.2693333332</v>
      </c>
      <c r="I206" s="343">
        <v>0</v>
      </c>
      <c r="J206" s="343">
        <v>1222808.0771714395</v>
      </c>
      <c r="K206" s="344">
        <f t="shared" ref="K206" si="245">I206+J206</f>
        <v>1222808.0771714395</v>
      </c>
      <c r="L206" s="343">
        <f>(H206+K206)*0.015</f>
        <v>54163.580197571595</v>
      </c>
      <c r="M206" s="344">
        <f>H206+K206+L206</f>
        <v>3665068.9267023448</v>
      </c>
      <c r="N206" s="345">
        <f>F206*E206</f>
        <v>2388097.2693333332</v>
      </c>
      <c r="O206" s="345">
        <f t="shared" si="237"/>
        <v>0</v>
      </c>
      <c r="P206" s="345">
        <f t="shared" si="238"/>
        <v>0</v>
      </c>
      <c r="Q206" s="345">
        <f t="shared" si="239"/>
        <v>1222808.0771714395</v>
      </c>
      <c r="R206" s="345">
        <f t="shared" si="240"/>
        <v>54163.580197571595</v>
      </c>
      <c r="S206" s="346">
        <f t="shared" si="241"/>
        <v>3665068.9267023448</v>
      </c>
      <c r="T206" s="347"/>
      <c r="U206" s="277">
        <f t="shared" si="242"/>
        <v>4606562</v>
      </c>
      <c r="V206" s="277">
        <f t="shared" si="243"/>
        <v>4606562</v>
      </c>
      <c r="Y206" s="283">
        <f t="shared" si="244"/>
        <v>4606562</v>
      </c>
      <c r="AA206" s="128">
        <v>1</v>
      </c>
    </row>
    <row r="207" spans="1:28" s="394" customFormat="1" ht="13" outlineLevel="1" x14ac:dyDescent="0.3">
      <c r="A207" s="339">
        <v>24.05</v>
      </c>
      <c r="B207" s="340" t="s">
        <v>205</v>
      </c>
      <c r="C207" s="509" t="s">
        <v>598</v>
      </c>
      <c r="D207" s="510" t="s">
        <v>214</v>
      </c>
      <c r="E207" s="342">
        <v>14</v>
      </c>
      <c r="F207" s="348">
        <v>0</v>
      </c>
      <c r="G207" s="348">
        <v>50000</v>
      </c>
      <c r="H207" s="344">
        <f>F207+G207</f>
        <v>50000</v>
      </c>
      <c r="I207" s="343">
        <v>0</v>
      </c>
      <c r="J207" s="343">
        <v>495686.16827914771</v>
      </c>
      <c r="K207" s="344">
        <f>I207+J207</f>
        <v>495686.16827914771</v>
      </c>
      <c r="L207" s="343">
        <f>(H207+K207)*0.015</f>
        <v>8185.2925241872153</v>
      </c>
      <c r="M207" s="344">
        <f t="shared" ref="M207" si="246">H207+K207+L207</f>
        <v>553871.46080333495</v>
      </c>
      <c r="N207" s="345">
        <f t="shared" ref="N207" si="247">F207*E207</f>
        <v>0</v>
      </c>
      <c r="O207" s="345">
        <f t="shared" si="237"/>
        <v>700000</v>
      </c>
      <c r="P207" s="345">
        <f t="shared" si="238"/>
        <v>0</v>
      </c>
      <c r="Q207" s="345">
        <f t="shared" si="239"/>
        <v>6939606.3559080679</v>
      </c>
      <c r="R207" s="345">
        <f t="shared" si="240"/>
        <v>114594.09533862102</v>
      </c>
      <c r="S207" s="346">
        <f t="shared" si="241"/>
        <v>7754200.4512466891</v>
      </c>
      <c r="T207" s="347"/>
      <c r="U207" s="277">
        <f t="shared" si="242"/>
        <v>696152</v>
      </c>
      <c r="V207" s="277">
        <f t="shared" si="243"/>
        <v>9746128</v>
      </c>
      <c r="W207" s="511"/>
      <c r="X207" s="127"/>
      <c r="Y207" s="283">
        <f t="shared" si="244"/>
        <v>9746128</v>
      </c>
      <c r="AA207" s="394">
        <v>14</v>
      </c>
      <c r="AB207" s="286"/>
    </row>
    <row r="208" spans="1:28" s="394" customFormat="1" ht="13" outlineLevel="1" x14ac:dyDescent="0.3">
      <c r="A208" s="413">
        <v>24.06</v>
      </c>
      <c r="B208" s="340" t="s">
        <v>205</v>
      </c>
      <c r="C208" s="509" t="s">
        <v>224</v>
      </c>
      <c r="D208" s="510" t="s">
        <v>214</v>
      </c>
      <c r="E208" s="342">
        <v>14</v>
      </c>
      <c r="F208" s="348">
        <v>0</v>
      </c>
      <c r="G208" s="348">
        <v>25000</v>
      </c>
      <c r="H208" s="344">
        <f>F208+G208</f>
        <v>25000</v>
      </c>
      <c r="I208" s="343">
        <v>0</v>
      </c>
      <c r="J208" s="343">
        <v>329565.96569537499</v>
      </c>
      <c r="K208" s="344">
        <f>I208+J208</f>
        <v>329565.96569537499</v>
      </c>
      <c r="L208" s="343">
        <f>(H208+K208)*0.015</f>
        <v>5318.4894854306249</v>
      </c>
      <c r="M208" s="344">
        <f>H208+K208+L208</f>
        <v>359884.45518080564</v>
      </c>
      <c r="N208" s="345">
        <f t="shared" si="236"/>
        <v>0</v>
      </c>
      <c r="O208" s="345">
        <f t="shared" si="237"/>
        <v>350000</v>
      </c>
      <c r="P208" s="345">
        <f t="shared" si="238"/>
        <v>0</v>
      </c>
      <c r="Q208" s="345">
        <f t="shared" si="239"/>
        <v>4613923.5197352497</v>
      </c>
      <c r="R208" s="345">
        <f t="shared" si="240"/>
        <v>74458.852796028747</v>
      </c>
      <c r="S208" s="346">
        <f t="shared" si="241"/>
        <v>5038382.3725312781</v>
      </c>
      <c r="T208" s="347"/>
      <c r="U208" s="277">
        <f t="shared" si="242"/>
        <v>452333</v>
      </c>
      <c r="V208" s="277">
        <f t="shared" si="243"/>
        <v>6332662</v>
      </c>
      <c r="W208" s="511"/>
      <c r="X208" s="127"/>
      <c r="Y208" s="283">
        <f t="shared" si="244"/>
        <v>6332662</v>
      </c>
      <c r="AA208" s="394">
        <v>14</v>
      </c>
      <c r="AB208" s="286"/>
    </row>
    <row r="209" spans="1:34" s="394" customFormat="1" ht="13" outlineLevel="1" x14ac:dyDescent="0.3">
      <c r="A209" s="339">
        <v>24.07</v>
      </c>
      <c r="B209" s="340" t="s">
        <v>205</v>
      </c>
      <c r="C209" s="509" t="s">
        <v>225</v>
      </c>
      <c r="D209" s="510" t="s">
        <v>207</v>
      </c>
      <c r="E209" s="342">
        <v>0</v>
      </c>
      <c r="F209" s="348"/>
      <c r="G209" s="348"/>
      <c r="H209" s="344">
        <f t="shared" ref="H209:H210" si="248">F209+G209</f>
        <v>0</v>
      </c>
      <c r="I209" s="343"/>
      <c r="J209" s="343"/>
      <c r="K209" s="344">
        <f t="shared" ref="K209:K210" si="249">I209+J209</f>
        <v>0</v>
      </c>
      <c r="L209" s="343">
        <f>(H209+K209)*0.015</f>
        <v>0</v>
      </c>
      <c r="M209" s="344">
        <f t="shared" ref="M209:M210" si="250">H209+K209+L209</f>
        <v>0</v>
      </c>
      <c r="N209" s="345">
        <f t="shared" si="236"/>
        <v>0</v>
      </c>
      <c r="O209" s="345">
        <f t="shared" si="237"/>
        <v>0</v>
      </c>
      <c r="P209" s="345">
        <f t="shared" si="238"/>
        <v>0</v>
      </c>
      <c r="Q209" s="345">
        <f t="shared" si="239"/>
        <v>0</v>
      </c>
      <c r="R209" s="345">
        <f t="shared" si="240"/>
        <v>0</v>
      </c>
      <c r="S209" s="346">
        <f t="shared" si="241"/>
        <v>0</v>
      </c>
      <c r="T209" s="347"/>
      <c r="U209" s="277">
        <f t="shared" si="242"/>
        <v>0</v>
      </c>
      <c r="V209" s="277">
        <f t="shared" si="243"/>
        <v>0</v>
      </c>
      <c r="W209" s="511"/>
      <c r="X209" s="127"/>
      <c r="Y209" s="283">
        <f t="shared" si="244"/>
        <v>0</v>
      </c>
      <c r="AB209" s="286"/>
    </row>
    <row r="210" spans="1:34" s="394" customFormat="1" ht="13" outlineLevel="1" x14ac:dyDescent="0.3">
      <c r="A210" s="413">
        <v>24.08</v>
      </c>
      <c r="B210" s="340" t="s">
        <v>205</v>
      </c>
      <c r="C210" s="509" t="s">
        <v>226</v>
      </c>
      <c r="D210" s="510" t="s">
        <v>214</v>
      </c>
      <c r="E210" s="342">
        <v>14</v>
      </c>
      <c r="F210" s="125"/>
      <c r="G210" s="125"/>
      <c r="H210" s="344">
        <f t="shared" si="248"/>
        <v>0</v>
      </c>
      <c r="I210" s="512">
        <v>250000</v>
      </c>
      <c r="J210" s="125"/>
      <c r="K210" s="344">
        <f t="shared" si="249"/>
        <v>250000</v>
      </c>
      <c r="L210" s="365"/>
      <c r="M210" s="344">
        <f t="shared" si="250"/>
        <v>250000</v>
      </c>
      <c r="N210" s="345">
        <f t="shared" si="236"/>
        <v>0</v>
      </c>
      <c r="O210" s="345">
        <f t="shared" si="237"/>
        <v>0</v>
      </c>
      <c r="P210" s="345">
        <f t="shared" si="238"/>
        <v>3500000</v>
      </c>
      <c r="Q210" s="345">
        <f t="shared" si="239"/>
        <v>0</v>
      </c>
      <c r="R210" s="345">
        <f t="shared" si="240"/>
        <v>0</v>
      </c>
      <c r="S210" s="346">
        <f t="shared" si="241"/>
        <v>3500000</v>
      </c>
      <c r="T210" s="347"/>
      <c r="U210" s="277">
        <f t="shared" si="242"/>
        <v>314221</v>
      </c>
      <c r="V210" s="277">
        <f t="shared" si="243"/>
        <v>4399094</v>
      </c>
      <c r="W210" s="511"/>
      <c r="X210" s="127"/>
      <c r="Y210" s="283">
        <f t="shared" si="244"/>
        <v>4399094</v>
      </c>
      <c r="AA210" s="394">
        <v>14</v>
      </c>
      <c r="AB210" s="286"/>
    </row>
    <row r="211" spans="1:34" s="513" customFormat="1" ht="13" outlineLevel="1" x14ac:dyDescent="0.3">
      <c r="A211" s="339">
        <v>24.09</v>
      </c>
      <c r="B211" s="340" t="s">
        <v>236</v>
      </c>
      <c r="C211" s="509" t="s">
        <v>599</v>
      </c>
      <c r="D211" s="510" t="s">
        <v>214</v>
      </c>
      <c r="E211" s="342">
        <v>4</v>
      </c>
      <c r="F211" s="348">
        <v>0</v>
      </c>
      <c r="G211" s="348">
        <v>0</v>
      </c>
      <c r="H211" s="344">
        <f>F211+G211</f>
        <v>0</v>
      </c>
      <c r="I211" s="343"/>
      <c r="J211" s="343">
        <v>0</v>
      </c>
      <c r="K211" s="344">
        <f>I211+J211</f>
        <v>0</v>
      </c>
      <c r="L211" s="365"/>
      <c r="M211" s="344">
        <f>H211+K211+L211</f>
        <v>0</v>
      </c>
      <c r="N211" s="345">
        <f t="shared" si="236"/>
        <v>0</v>
      </c>
      <c r="O211" s="345">
        <f t="shared" si="237"/>
        <v>0</v>
      </c>
      <c r="P211" s="345">
        <f t="shared" si="238"/>
        <v>0</v>
      </c>
      <c r="Q211" s="345">
        <f t="shared" si="239"/>
        <v>0</v>
      </c>
      <c r="R211" s="345">
        <f t="shared" si="240"/>
        <v>0</v>
      </c>
      <c r="S211" s="346">
        <f t="shared" si="241"/>
        <v>0</v>
      </c>
      <c r="T211" s="347"/>
      <c r="U211" s="342">
        <f t="shared" si="242"/>
        <v>0</v>
      </c>
      <c r="V211" s="342">
        <f t="shared" si="243"/>
        <v>0</v>
      </c>
      <c r="W211" s="511"/>
      <c r="X211" s="127"/>
      <c r="Y211" s="283">
        <f t="shared" si="244"/>
        <v>0</v>
      </c>
      <c r="AB211" s="283"/>
    </row>
    <row r="212" spans="1:34" s="513" customFormat="1" ht="13" outlineLevel="1" x14ac:dyDescent="0.3">
      <c r="A212" s="413">
        <v>24.1</v>
      </c>
      <c r="B212" s="404" t="s">
        <v>205</v>
      </c>
      <c r="C212" s="514" t="s">
        <v>227</v>
      </c>
      <c r="D212" s="515" t="s">
        <v>214</v>
      </c>
      <c r="E212" s="354">
        <v>14</v>
      </c>
      <c r="F212" s="512">
        <f>100000*2</f>
        <v>200000</v>
      </c>
      <c r="G212" s="358"/>
      <c r="H212" s="356">
        <f t="shared" ref="H212" si="251">F212+G212</f>
        <v>200000</v>
      </c>
      <c r="I212" s="358"/>
      <c r="J212" s="349">
        <v>49934.237226571968</v>
      </c>
      <c r="K212" s="356">
        <f t="shared" ref="K212" si="252">I212+J212</f>
        <v>49934.237226571968</v>
      </c>
      <c r="L212" s="481"/>
      <c r="M212" s="356">
        <f t="shared" ref="M212" si="253">H212+K212+L212</f>
        <v>249934.23722657198</v>
      </c>
      <c r="N212" s="359">
        <f t="shared" si="236"/>
        <v>2800000</v>
      </c>
      <c r="O212" s="359">
        <f t="shared" si="237"/>
        <v>0</v>
      </c>
      <c r="P212" s="359">
        <f t="shared" si="238"/>
        <v>0</v>
      </c>
      <c r="Q212" s="359">
        <f t="shared" si="239"/>
        <v>699079.32117200759</v>
      </c>
      <c r="R212" s="359">
        <f t="shared" si="240"/>
        <v>0</v>
      </c>
      <c r="S212" s="360">
        <f t="shared" si="241"/>
        <v>3499079.3211720074</v>
      </c>
      <c r="T212" s="347"/>
      <c r="U212" s="432">
        <f t="shared" si="242"/>
        <v>314138</v>
      </c>
      <c r="V212" s="432">
        <f t="shared" si="243"/>
        <v>4397932</v>
      </c>
      <c r="W212" s="511"/>
      <c r="X212" s="127"/>
      <c r="Y212" s="283">
        <f t="shared" si="244"/>
        <v>4397932</v>
      </c>
      <c r="AA212" s="513">
        <v>14</v>
      </c>
      <c r="AB212" s="283"/>
    </row>
    <row r="213" spans="1:34" ht="13" x14ac:dyDescent="0.3">
      <c r="A213" s="325">
        <v>25</v>
      </c>
      <c r="B213" s="326"/>
      <c r="C213" s="276" t="s">
        <v>228</v>
      </c>
      <c r="D213" s="177"/>
      <c r="E213" s="327"/>
      <c r="F213" s="327"/>
      <c r="G213" s="327"/>
      <c r="H213" s="327"/>
      <c r="I213" s="327"/>
      <c r="J213" s="327"/>
      <c r="K213" s="327"/>
      <c r="L213" s="327"/>
      <c r="M213" s="328"/>
      <c r="N213" s="327"/>
      <c r="O213" s="327"/>
      <c r="P213" s="327"/>
      <c r="Q213" s="327"/>
      <c r="R213" s="327"/>
      <c r="S213" s="327"/>
      <c r="T213" s="329">
        <f>SUM(S214:S215)</f>
        <v>60177188.148000002</v>
      </c>
      <c r="U213" s="327"/>
      <c r="V213" s="327"/>
      <c r="W213" s="330">
        <f>SUM(V214:V215)</f>
        <v>75635672</v>
      </c>
      <c r="X213" s="127">
        <f>+W213/$W$216</f>
        <v>6.7088422005343165E-2</v>
      </c>
      <c r="AF213" s="283">
        <f>+W218/AC215</f>
        <v>1052405.965855594</v>
      </c>
    </row>
    <row r="214" spans="1:34" s="185" customFormat="1" ht="13" outlineLevel="1" x14ac:dyDescent="0.3">
      <c r="A214" s="331">
        <v>25.01</v>
      </c>
      <c r="B214" s="380" t="s">
        <v>205</v>
      </c>
      <c r="C214" s="333" t="s">
        <v>229</v>
      </c>
      <c r="D214" s="182" t="s">
        <v>214</v>
      </c>
      <c r="E214" s="381">
        <v>14</v>
      </c>
      <c r="F214" s="382"/>
      <c r="G214" s="382"/>
      <c r="H214" s="334">
        <f>F214+G214</f>
        <v>0</v>
      </c>
      <c r="I214" s="424">
        <v>3798370.5819999999</v>
      </c>
      <c r="J214" s="382"/>
      <c r="K214" s="334">
        <f t="shared" ref="K214:K215" si="254">I214+J214</f>
        <v>3798370.5819999999</v>
      </c>
      <c r="L214" s="382"/>
      <c r="M214" s="334">
        <f>H214+K214+L214</f>
        <v>3798370.5819999999</v>
      </c>
      <c r="N214" s="335">
        <f t="shared" ref="N214:N215" si="255">F214*E214</f>
        <v>0</v>
      </c>
      <c r="O214" s="335">
        <f t="shared" ref="O214:O215" si="256">G214*E214</f>
        <v>0</v>
      </c>
      <c r="P214" s="335">
        <f t="shared" ref="P214:P215" si="257">I214*E214</f>
        <v>53177188.148000002</v>
      </c>
      <c r="Q214" s="335">
        <f t="shared" ref="Q214:Q215" si="258">J214*E214</f>
        <v>0</v>
      </c>
      <c r="R214" s="335">
        <f t="shared" ref="R214:R215" si="259">+L214*E214</f>
        <v>0</v>
      </c>
      <c r="S214" s="336">
        <f t="shared" ref="S214:S215" si="260">SUM(N214:R214)</f>
        <v>53177188.148000002</v>
      </c>
      <c r="T214" s="347"/>
      <c r="U214" s="391">
        <f>+ROUNDUP(M214*$T$5,0)</f>
        <v>4774106</v>
      </c>
      <c r="V214" s="389">
        <f>+U214*E214</f>
        <v>66837484</v>
      </c>
      <c r="W214" s="401"/>
      <c r="Y214" s="385">
        <f>+U214*AA214</f>
        <v>66837484</v>
      </c>
      <c r="AA214" s="185">
        <v>14</v>
      </c>
      <c r="AB214" s="385"/>
    </row>
    <row r="215" spans="1:34" s="185" customFormat="1" ht="13" outlineLevel="1" x14ac:dyDescent="0.3">
      <c r="A215" s="351">
        <v>25.02</v>
      </c>
      <c r="B215" s="352" t="s">
        <v>205</v>
      </c>
      <c r="C215" s="353" t="s">
        <v>230</v>
      </c>
      <c r="D215" s="405" t="s">
        <v>214</v>
      </c>
      <c r="E215" s="379">
        <v>14</v>
      </c>
      <c r="F215" s="399"/>
      <c r="G215" s="399"/>
      <c r="H215" s="356">
        <f>F215+G215</f>
        <v>0</v>
      </c>
      <c r="I215" s="357">
        <v>500000</v>
      </c>
      <c r="J215" s="399"/>
      <c r="K215" s="356">
        <f t="shared" si="254"/>
        <v>500000</v>
      </c>
      <c r="L215" s="399"/>
      <c r="M215" s="356">
        <f>H215+K215+L215</f>
        <v>500000</v>
      </c>
      <c r="N215" s="359">
        <f t="shared" si="255"/>
        <v>0</v>
      </c>
      <c r="O215" s="359">
        <f t="shared" si="256"/>
        <v>0</v>
      </c>
      <c r="P215" s="359">
        <f t="shared" si="257"/>
        <v>7000000</v>
      </c>
      <c r="Q215" s="359">
        <f t="shared" si="258"/>
        <v>0</v>
      </c>
      <c r="R215" s="359">
        <f t="shared" si="259"/>
        <v>0</v>
      </c>
      <c r="S215" s="360">
        <f t="shared" si="260"/>
        <v>7000000</v>
      </c>
      <c r="T215" s="347"/>
      <c r="U215" s="391">
        <f>+ROUNDUP(M215*$T$5,0)</f>
        <v>628442</v>
      </c>
      <c r="V215" s="277">
        <f>+U215*E215</f>
        <v>8798188</v>
      </c>
      <c r="W215" s="393"/>
      <c r="Y215" s="385">
        <f>+AA215*U215</f>
        <v>8798188</v>
      </c>
      <c r="AA215" s="185">
        <v>14</v>
      </c>
      <c r="AB215" s="370">
        <v>0.15</v>
      </c>
      <c r="AC215" s="128">
        <v>1150</v>
      </c>
      <c r="AD215" s="128">
        <v>2000</v>
      </c>
    </row>
    <row r="216" spans="1:34" s="394" customFormat="1" ht="13" x14ac:dyDescent="0.3">
      <c r="A216" s="325"/>
      <c r="B216" s="326"/>
      <c r="C216" s="276" t="s">
        <v>452</v>
      </c>
      <c r="D216" s="177"/>
      <c r="E216" s="327"/>
      <c r="F216" s="327"/>
      <c r="G216" s="327"/>
      <c r="H216" s="327"/>
      <c r="I216" s="327"/>
      <c r="J216" s="327"/>
      <c r="K216" s="327"/>
      <c r="L216" s="327"/>
      <c r="M216" s="328"/>
      <c r="N216" s="329">
        <f t="shared" ref="N216:T216" si="261">SUM(N8:N215)</f>
        <v>152635787.39072511</v>
      </c>
      <c r="O216" s="329">
        <f t="shared" si="261"/>
        <v>89943824.963067681</v>
      </c>
      <c r="P216" s="329">
        <f t="shared" si="261"/>
        <v>466157734.73748004</v>
      </c>
      <c r="Q216" s="329">
        <f t="shared" si="261"/>
        <v>167770803.14356178</v>
      </c>
      <c r="R216" s="329">
        <f t="shared" si="261"/>
        <v>20534737.960315075</v>
      </c>
      <c r="S216" s="329">
        <f t="shared" si="261"/>
        <v>897042888.19514966</v>
      </c>
      <c r="T216" s="329">
        <f t="shared" si="261"/>
        <v>897042888.1951499</v>
      </c>
      <c r="U216" s="327"/>
      <c r="V216" s="329">
        <f>SUM(V8:V215)</f>
        <v>1127402758.0195</v>
      </c>
      <c r="W216" s="330">
        <f>SUM(W8:W215)</f>
        <v>1127402758.0195</v>
      </c>
      <c r="X216" s="127">
        <f>+W216/$W$216</f>
        <v>1</v>
      </c>
      <c r="Y216" s="286">
        <f>+SUM(Y8:Y215)</f>
        <v>1127402758.0195</v>
      </c>
      <c r="Z216" s="394">
        <f>+W216*0.95</f>
        <v>1071032620.1185249</v>
      </c>
      <c r="AB216" s="283">
        <f>W218*AB215</f>
        <v>181540029.11008999</v>
      </c>
      <c r="AC216" s="130">
        <f>AB216/AC215</f>
        <v>157860.89487833911</v>
      </c>
      <c r="AD216" s="130">
        <f>AC216/AD215</f>
        <v>78.930447439169555</v>
      </c>
    </row>
    <row r="217" spans="1:34" s="394" customFormat="1" ht="13" x14ac:dyDescent="0.3">
      <c r="A217" s="516"/>
      <c r="B217" s="516"/>
      <c r="C217" s="517"/>
      <c r="D217" s="518"/>
      <c r="E217" s="519">
        <v>0.105</v>
      </c>
      <c r="F217" s="520"/>
      <c r="G217" s="520"/>
      <c r="H217" s="520"/>
      <c r="I217" s="520"/>
      <c r="J217" s="520"/>
      <c r="K217" s="520"/>
      <c r="L217" s="521"/>
      <c r="M217" s="521"/>
      <c r="N217" s="521"/>
      <c r="O217" s="521"/>
      <c r="P217" s="521"/>
      <c r="Q217" s="521"/>
      <c r="R217" s="521"/>
      <c r="S217" s="521"/>
      <c r="T217" s="522"/>
      <c r="U217" s="523"/>
      <c r="V217" s="523"/>
      <c r="W217" s="522">
        <f>E217*W216*0.7</f>
        <v>82864102.714433238</v>
      </c>
      <c r="X217" s="127"/>
      <c r="Y217" s="286"/>
      <c r="AB217" s="286"/>
    </row>
    <row r="218" spans="1:34" ht="12.75" customHeight="1" x14ac:dyDescent="0.3">
      <c r="A218" s="469"/>
      <c r="B218" s="469"/>
      <c r="C218" s="524"/>
      <c r="D218" s="525"/>
      <c r="E218" s="526"/>
      <c r="F218" s="312"/>
      <c r="G218" s="312"/>
      <c r="H218" s="312"/>
      <c r="I218" s="312"/>
      <c r="J218" s="312"/>
      <c r="K218" s="312"/>
      <c r="L218" s="471"/>
      <c r="M218" s="312"/>
      <c r="N218" s="312"/>
      <c r="O218" s="312"/>
      <c r="P218" s="312"/>
      <c r="Q218" s="312"/>
      <c r="R218" s="312"/>
      <c r="S218" s="312"/>
      <c r="T218" s="527"/>
      <c r="U218" s="312"/>
      <c r="V218" s="312"/>
      <c r="W218" s="528">
        <f>W217+W216</f>
        <v>1210266860.7339332</v>
      </c>
      <c r="Y218" s="529">
        <v>1138195271.5160999</v>
      </c>
      <c r="AE218" s="128">
        <v>2000</v>
      </c>
    </row>
    <row r="219" spans="1:34" ht="12.75" customHeight="1" x14ac:dyDescent="0.3">
      <c r="A219" s="315"/>
      <c r="B219" s="316"/>
      <c r="C219" s="530" t="s">
        <v>439</v>
      </c>
      <c r="D219" s="531" t="s">
        <v>238</v>
      </c>
      <c r="E219" s="532">
        <v>1618.5</v>
      </c>
      <c r="F219" s="462"/>
      <c r="G219" s="462"/>
      <c r="H219" s="462"/>
      <c r="I219" s="533"/>
      <c r="J219" s="533"/>
      <c r="K219" s="462"/>
      <c r="L219" s="192"/>
      <c r="M219" s="462"/>
      <c r="N219" s="462"/>
      <c r="O219" s="462"/>
      <c r="P219" s="462"/>
      <c r="Q219" s="462"/>
      <c r="R219" s="534" t="s">
        <v>440</v>
      </c>
      <c r="S219" s="535">
        <f>+T219/E219</f>
        <v>473.71227880365643</v>
      </c>
      <c r="T219" s="126">
        <v>766703.3232437179</v>
      </c>
      <c r="U219" s="534" t="s">
        <v>440</v>
      </c>
      <c r="V219" s="536">
        <f>+W219/E219</f>
        <v>595.36119917909639</v>
      </c>
      <c r="W219" s="537">
        <f>W216/W2</f>
        <v>963592.1008713675</v>
      </c>
      <c r="X219" s="127"/>
      <c r="Z219" s="129"/>
      <c r="AA219" s="128" t="s">
        <v>600</v>
      </c>
      <c r="AB219" s="283">
        <v>72</v>
      </c>
      <c r="AC219" s="128">
        <v>11</v>
      </c>
      <c r="AD219" s="130">
        <f>+AC219+AB219</f>
        <v>83</v>
      </c>
      <c r="AE219" s="128">
        <f>+AD219*$AE$218</f>
        <v>166000</v>
      </c>
      <c r="AF219" s="128">
        <v>20000</v>
      </c>
      <c r="AG219" s="128">
        <f>+AF219+AE219</f>
        <v>186000</v>
      </c>
      <c r="AH219" s="370">
        <f>+AG219/$AF$213</f>
        <v>0.17673788066070503</v>
      </c>
    </row>
    <row r="220" spans="1:34" ht="12.75" customHeight="1" x14ac:dyDescent="0.3">
      <c r="A220" s="516"/>
      <c r="B220" s="538"/>
      <c r="C220" s="539"/>
      <c r="E220" s="540"/>
      <c r="F220" s="541"/>
      <c r="G220" s="541"/>
      <c r="H220" s="541"/>
      <c r="I220" s="542"/>
      <c r="J220" s="542"/>
      <c r="K220" s="541"/>
      <c r="L220" s="543"/>
      <c r="M220" s="541"/>
      <c r="N220" s="541"/>
      <c r="O220" s="541"/>
      <c r="P220" s="541"/>
      <c r="Q220" s="544"/>
      <c r="R220" s="545"/>
      <c r="S220" s="546"/>
      <c r="T220" s="547"/>
      <c r="U220" s="545"/>
      <c r="V220" s="548"/>
      <c r="W220" s="549"/>
      <c r="X220" s="127"/>
      <c r="Z220" s="129"/>
      <c r="AA220" s="128" t="s">
        <v>601</v>
      </c>
      <c r="AB220" s="283">
        <v>37</v>
      </c>
      <c r="AC220" s="128">
        <v>5</v>
      </c>
      <c r="AD220" s="130">
        <f>+AC220+AB220</f>
        <v>42</v>
      </c>
      <c r="AE220" s="128">
        <f>+AD220*$AE$218</f>
        <v>84000</v>
      </c>
      <c r="AH220" s="370">
        <f>+AE220/$AF$213</f>
        <v>7.9817107395157114E-2</v>
      </c>
    </row>
    <row r="221" spans="1:34" ht="12.75" customHeight="1" x14ac:dyDescent="0.3">
      <c r="A221" s="315">
        <v>26</v>
      </c>
      <c r="B221" s="316"/>
      <c r="C221" s="550" t="s">
        <v>602</v>
      </c>
      <c r="D221" s="531"/>
      <c r="E221" s="551"/>
      <c r="F221" s="552"/>
      <c r="G221" s="552"/>
      <c r="H221" s="552"/>
      <c r="I221" s="553"/>
      <c r="J221" s="553"/>
      <c r="K221" s="552"/>
      <c r="L221" s="192"/>
      <c r="M221" s="552"/>
      <c r="N221" s="552"/>
      <c r="O221" s="552"/>
      <c r="P221" s="552"/>
      <c r="Q221" s="552"/>
      <c r="R221" s="554"/>
      <c r="S221" s="555"/>
      <c r="T221" s="556">
        <f>+SUM(S222:S229)</f>
        <v>224067752.32749999</v>
      </c>
      <c r="U221" s="554"/>
      <c r="V221" s="557"/>
      <c r="W221" s="330">
        <f>SUM(V222:V229)</f>
        <v>224072082</v>
      </c>
      <c r="X221" s="127"/>
      <c r="Y221" s="283">
        <v>170000</v>
      </c>
      <c r="Z221" s="370">
        <f>+Y221/W216</f>
        <v>1.5078905811676186E-4</v>
      </c>
    </row>
    <row r="222" spans="1:34" ht="12.75" customHeight="1" x14ac:dyDescent="0.3">
      <c r="A222" s="422">
        <v>26.01</v>
      </c>
      <c r="B222" s="558"/>
      <c r="C222" s="502" t="s">
        <v>603</v>
      </c>
      <c r="D222" s="178" t="s">
        <v>604</v>
      </c>
      <c r="E222" s="332">
        <v>71835</v>
      </c>
      <c r="F222" s="559">
        <v>1675.9465</v>
      </c>
      <c r="G222" s="559"/>
      <c r="H222" s="334">
        <f>F222+G222</f>
        <v>1675.9465</v>
      </c>
      <c r="I222" s="424">
        <v>0</v>
      </c>
      <c r="J222" s="382"/>
      <c r="K222" s="334">
        <f t="shared" ref="K222:K228" si="262">I222+J222</f>
        <v>0</v>
      </c>
      <c r="L222" s="382"/>
      <c r="M222" s="334">
        <f>H222+K222+L222</f>
        <v>1675.9465</v>
      </c>
      <c r="N222" s="335">
        <f t="shared" ref="N222:N228" si="263">F222*E222</f>
        <v>120391616.8275</v>
      </c>
      <c r="O222" s="335">
        <f t="shared" ref="O222:O228" si="264">G222*E222</f>
        <v>0</v>
      </c>
      <c r="P222" s="335">
        <f t="shared" ref="P222:P228" si="265">I222*E222</f>
        <v>0</v>
      </c>
      <c r="Q222" s="335">
        <f t="shared" ref="Q222:Q228" si="266">J222*E222</f>
        <v>0</v>
      </c>
      <c r="R222" s="335">
        <f t="shared" ref="R222:R228" si="267">+L222*E222</f>
        <v>0</v>
      </c>
      <c r="S222" s="336">
        <f t="shared" ref="S222:S223" si="268">SUM(N222:R222)</f>
        <v>120391616.8275</v>
      </c>
      <c r="T222" s="337"/>
      <c r="U222" s="391">
        <f>+ROUNDUP(M222*$T$4,0)</f>
        <v>1676</v>
      </c>
      <c r="V222" s="338">
        <f>+U222*E222</f>
        <v>120395460</v>
      </c>
      <c r="W222" s="560"/>
      <c r="X222" s="127"/>
      <c r="Z222" s="129"/>
    </row>
    <row r="223" spans="1:34" ht="12.75" customHeight="1" x14ac:dyDescent="0.3">
      <c r="A223" s="340">
        <v>26.02</v>
      </c>
      <c r="B223" s="561"/>
      <c r="C223" s="562" t="s">
        <v>605</v>
      </c>
      <c r="D223" s="179" t="s">
        <v>233</v>
      </c>
      <c r="E223" s="342">
        <v>641</v>
      </c>
      <c r="F223" s="419">
        <v>161741.24102964118</v>
      </c>
      <c r="G223" s="419"/>
      <c r="H223" s="344">
        <f>F223+G223</f>
        <v>161741.24102964118</v>
      </c>
      <c r="I223" s="349">
        <v>0</v>
      </c>
      <c r="J223" s="387"/>
      <c r="K223" s="344">
        <f t="shared" si="262"/>
        <v>0</v>
      </c>
      <c r="L223" s="387"/>
      <c r="M223" s="344">
        <f>H223+K223+L223</f>
        <v>161741.24102964118</v>
      </c>
      <c r="N223" s="345">
        <f t="shared" si="263"/>
        <v>103676135.5</v>
      </c>
      <c r="O223" s="345">
        <f t="shared" si="264"/>
        <v>0</v>
      </c>
      <c r="P223" s="345">
        <f t="shared" si="265"/>
        <v>0</v>
      </c>
      <c r="Q223" s="345">
        <f t="shared" si="266"/>
        <v>0</v>
      </c>
      <c r="R223" s="345">
        <f t="shared" si="267"/>
        <v>0</v>
      </c>
      <c r="S223" s="346">
        <f t="shared" si="268"/>
        <v>103676135.5</v>
      </c>
      <c r="T223" s="347"/>
      <c r="U223" s="391">
        <f>+ROUNDUP(M223*$T$4,0)</f>
        <v>161742</v>
      </c>
      <c r="V223" s="277">
        <f>+U223*E223</f>
        <v>103676622</v>
      </c>
      <c r="W223" s="560"/>
      <c r="X223" s="127"/>
      <c r="Z223" s="129"/>
    </row>
    <row r="224" spans="1:34" ht="12.75" customHeight="1" x14ac:dyDescent="0.3">
      <c r="A224" s="340">
        <v>26.03</v>
      </c>
      <c r="B224" s="561"/>
      <c r="C224" s="474" t="s">
        <v>606</v>
      </c>
      <c r="D224" s="191" t="s">
        <v>207</v>
      </c>
      <c r="E224" s="563">
        <v>1</v>
      </c>
      <c r="F224" s="419"/>
      <c r="G224" s="419"/>
      <c r="H224" s="344">
        <f>F224+G224</f>
        <v>0</v>
      </c>
      <c r="I224" s="349"/>
      <c r="J224" s="387"/>
      <c r="K224" s="344">
        <f t="shared" si="262"/>
        <v>0</v>
      </c>
      <c r="L224" s="387"/>
      <c r="M224" s="344">
        <f>H224+K224+L224</f>
        <v>0</v>
      </c>
      <c r="N224" s="345">
        <f t="shared" si="263"/>
        <v>0</v>
      </c>
      <c r="O224" s="345">
        <f t="shared" si="264"/>
        <v>0</v>
      </c>
      <c r="P224" s="345">
        <f t="shared" si="265"/>
        <v>0</v>
      </c>
      <c r="Q224" s="345">
        <f t="shared" si="266"/>
        <v>0</v>
      </c>
      <c r="R224" s="345">
        <f t="shared" si="267"/>
        <v>0</v>
      </c>
      <c r="S224" s="346">
        <f t="shared" ref="S224" si="269">SUM(N224:R224)</f>
        <v>0</v>
      </c>
      <c r="T224" s="347"/>
      <c r="U224" s="391">
        <f>+ROUNDUP(M224*$T$4,0)</f>
        <v>0</v>
      </c>
      <c r="V224" s="277">
        <f>+U224*E224</f>
        <v>0</v>
      </c>
      <c r="W224" s="560"/>
      <c r="X224" s="127"/>
      <c r="Z224" s="129"/>
      <c r="AB224" s="283">
        <v>30000000</v>
      </c>
      <c r="AC224" s="472">
        <f>+AB224/W216</f>
        <v>2.6609833785310916E-2</v>
      </c>
    </row>
    <row r="225" spans="1:29" ht="12.75" customHeight="1" x14ac:dyDescent="0.3">
      <c r="A225" s="340">
        <v>26.04</v>
      </c>
      <c r="B225" s="561"/>
      <c r="C225" s="474" t="s">
        <v>607</v>
      </c>
      <c r="D225" s="191" t="s">
        <v>243</v>
      </c>
      <c r="E225" s="563">
        <v>6</v>
      </c>
      <c r="F225" s="419"/>
      <c r="G225" s="419"/>
      <c r="H225" s="344">
        <f t="shared" ref="H225:H228" si="270">F225+G225</f>
        <v>0</v>
      </c>
      <c r="I225" s="349"/>
      <c r="J225" s="387"/>
      <c r="K225" s="344">
        <f t="shared" si="262"/>
        <v>0</v>
      </c>
      <c r="L225" s="387"/>
      <c r="M225" s="344">
        <f t="shared" ref="M225:M228" si="271">H225+K225+L225</f>
        <v>0</v>
      </c>
      <c r="N225" s="345">
        <f t="shared" si="263"/>
        <v>0</v>
      </c>
      <c r="O225" s="345">
        <f t="shared" si="264"/>
        <v>0</v>
      </c>
      <c r="P225" s="345">
        <f t="shared" si="265"/>
        <v>0</v>
      </c>
      <c r="Q225" s="345">
        <f t="shared" si="266"/>
        <v>0</v>
      </c>
      <c r="R225" s="345">
        <f t="shared" si="267"/>
        <v>0</v>
      </c>
      <c r="S225" s="346">
        <f t="shared" ref="S225:S228" si="272">SUM(N225:R225)</f>
        <v>0</v>
      </c>
      <c r="T225" s="347"/>
      <c r="U225" s="391">
        <f t="shared" ref="U225:U228" si="273">+ROUNDUP(M225*$T$4,0)</f>
        <v>0</v>
      </c>
      <c r="V225" s="277">
        <f t="shared" ref="V225:V228" si="274">+U225*E225</f>
        <v>0</v>
      </c>
      <c r="W225" s="560"/>
      <c r="X225" s="127"/>
      <c r="Z225" s="129"/>
      <c r="AB225" s="283">
        <v>11000000</v>
      </c>
      <c r="AC225" s="472">
        <f>+AB225/W216</f>
        <v>9.7569390546140035E-3</v>
      </c>
    </row>
    <row r="226" spans="1:29" ht="12.75" customHeight="1" x14ac:dyDescent="0.3">
      <c r="A226" s="340">
        <v>26.05</v>
      </c>
      <c r="B226" s="561"/>
      <c r="C226" s="474" t="s">
        <v>608</v>
      </c>
      <c r="D226" s="191" t="s">
        <v>243</v>
      </c>
      <c r="E226" s="563">
        <v>2</v>
      </c>
      <c r="F226" s="419"/>
      <c r="G226" s="419"/>
      <c r="H226" s="344">
        <f t="shared" si="270"/>
        <v>0</v>
      </c>
      <c r="I226" s="349"/>
      <c r="J226" s="387"/>
      <c r="K226" s="344">
        <f t="shared" si="262"/>
        <v>0</v>
      </c>
      <c r="L226" s="387"/>
      <c r="M226" s="344">
        <f t="shared" si="271"/>
        <v>0</v>
      </c>
      <c r="N226" s="345">
        <f t="shared" si="263"/>
        <v>0</v>
      </c>
      <c r="O226" s="345">
        <f t="shared" si="264"/>
        <v>0</v>
      </c>
      <c r="P226" s="345">
        <f t="shared" si="265"/>
        <v>0</v>
      </c>
      <c r="Q226" s="345">
        <f t="shared" si="266"/>
        <v>0</v>
      </c>
      <c r="R226" s="345">
        <f t="shared" si="267"/>
        <v>0</v>
      </c>
      <c r="S226" s="346">
        <f t="shared" si="272"/>
        <v>0</v>
      </c>
      <c r="T226" s="347"/>
      <c r="U226" s="391">
        <f t="shared" si="273"/>
        <v>0</v>
      </c>
      <c r="V226" s="277">
        <f t="shared" si="274"/>
        <v>0</v>
      </c>
      <c r="W226" s="560"/>
      <c r="X226" s="127"/>
      <c r="Z226" s="129"/>
    </row>
    <row r="227" spans="1:29" ht="12.75" customHeight="1" x14ac:dyDescent="0.3">
      <c r="A227" s="340">
        <v>26.06</v>
      </c>
      <c r="B227" s="561"/>
      <c r="C227" s="474" t="s">
        <v>609</v>
      </c>
      <c r="D227" s="191" t="s">
        <v>243</v>
      </c>
      <c r="E227" s="563">
        <v>5</v>
      </c>
      <c r="F227" s="419"/>
      <c r="G227" s="419"/>
      <c r="H227" s="344">
        <f t="shared" si="270"/>
        <v>0</v>
      </c>
      <c r="I227" s="349"/>
      <c r="J227" s="387"/>
      <c r="K227" s="344">
        <f t="shared" si="262"/>
        <v>0</v>
      </c>
      <c r="L227" s="387"/>
      <c r="M227" s="344">
        <f t="shared" si="271"/>
        <v>0</v>
      </c>
      <c r="N227" s="345">
        <f t="shared" si="263"/>
        <v>0</v>
      </c>
      <c r="O227" s="345">
        <f t="shared" si="264"/>
        <v>0</v>
      </c>
      <c r="P227" s="345">
        <f t="shared" si="265"/>
        <v>0</v>
      </c>
      <c r="Q227" s="345">
        <f t="shared" si="266"/>
        <v>0</v>
      </c>
      <c r="R227" s="345">
        <f t="shared" si="267"/>
        <v>0</v>
      </c>
      <c r="S227" s="346">
        <f t="shared" si="272"/>
        <v>0</v>
      </c>
      <c r="T227" s="347"/>
      <c r="U227" s="391">
        <f t="shared" si="273"/>
        <v>0</v>
      </c>
      <c r="V227" s="277">
        <f t="shared" si="274"/>
        <v>0</v>
      </c>
      <c r="W227" s="560"/>
      <c r="X227" s="127"/>
      <c r="Z227" s="129"/>
    </row>
    <row r="228" spans="1:29" ht="12.75" customHeight="1" x14ac:dyDescent="0.3">
      <c r="A228" s="340">
        <v>26.07</v>
      </c>
      <c r="B228" s="561"/>
      <c r="C228" s="474" t="s">
        <v>610</v>
      </c>
      <c r="D228" s="191" t="s">
        <v>243</v>
      </c>
      <c r="E228" s="563">
        <v>1</v>
      </c>
      <c r="F228" s="419"/>
      <c r="G228" s="419"/>
      <c r="H228" s="344">
        <f t="shared" si="270"/>
        <v>0</v>
      </c>
      <c r="I228" s="349"/>
      <c r="J228" s="387"/>
      <c r="K228" s="344">
        <f t="shared" si="262"/>
        <v>0</v>
      </c>
      <c r="L228" s="387"/>
      <c r="M228" s="344">
        <f t="shared" si="271"/>
        <v>0</v>
      </c>
      <c r="N228" s="345">
        <f t="shared" si="263"/>
        <v>0</v>
      </c>
      <c r="O228" s="345">
        <f t="shared" si="264"/>
        <v>0</v>
      </c>
      <c r="P228" s="345">
        <f t="shared" si="265"/>
        <v>0</v>
      </c>
      <c r="Q228" s="345">
        <f t="shared" si="266"/>
        <v>0</v>
      </c>
      <c r="R228" s="345">
        <f t="shared" si="267"/>
        <v>0</v>
      </c>
      <c r="S228" s="346">
        <f t="shared" si="272"/>
        <v>0</v>
      </c>
      <c r="T228" s="347"/>
      <c r="U228" s="391">
        <f t="shared" si="273"/>
        <v>0</v>
      </c>
      <c r="V228" s="277">
        <f t="shared" si="274"/>
        <v>0</v>
      </c>
      <c r="W228" s="560"/>
      <c r="X228" s="127"/>
      <c r="Z228" s="129"/>
    </row>
    <row r="229" spans="1:29" ht="12.75" customHeight="1" x14ac:dyDescent="0.3">
      <c r="A229" s="404">
        <v>26.08</v>
      </c>
      <c r="B229" s="564"/>
      <c r="C229" s="476" t="s">
        <v>611</v>
      </c>
      <c r="D229" s="431" t="s">
        <v>612</v>
      </c>
      <c r="E229" s="565">
        <v>0</v>
      </c>
      <c r="F229" s="566">
        <f>+SUM(N222:R228)</f>
        <v>224067752.32749999</v>
      </c>
      <c r="G229" s="566"/>
      <c r="H229" s="356">
        <f>F229+G229</f>
        <v>224067752.32749999</v>
      </c>
      <c r="I229" s="357"/>
      <c r="J229" s="399"/>
      <c r="K229" s="356">
        <f>I229+J229</f>
        <v>0</v>
      </c>
      <c r="L229" s="399"/>
      <c r="M229" s="356">
        <f>H229+K229+L229</f>
        <v>224067752.32749999</v>
      </c>
      <c r="N229" s="359">
        <f>F229*E229</f>
        <v>0</v>
      </c>
      <c r="O229" s="359">
        <f>G229*E229</f>
        <v>0</v>
      </c>
      <c r="P229" s="359">
        <f>I229*E229</f>
        <v>0</v>
      </c>
      <c r="Q229" s="359">
        <f>J229*E229</f>
        <v>0</v>
      </c>
      <c r="R229" s="359">
        <f>+L229*E229</f>
        <v>0</v>
      </c>
      <c r="S229" s="360">
        <f>SUM(N229:R229)</f>
        <v>0</v>
      </c>
      <c r="T229" s="435"/>
      <c r="U229" s="391">
        <f>+ROUNDUP(M229*$T$4,0)</f>
        <v>224067753</v>
      </c>
      <c r="V229" s="277">
        <f>+U229*E229</f>
        <v>0</v>
      </c>
      <c r="W229" s="560"/>
      <c r="X229" s="127"/>
      <c r="Y229" s="567">
        <f>V229/W232</f>
        <v>0</v>
      </c>
      <c r="Z229" s="129"/>
    </row>
    <row r="230" spans="1:29" ht="13" x14ac:dyDescent="0.3">
      <c r="A230" s="325"/>
      <c r="B230" s="326"/>
      <c r="C230" s="276"/>
      <c r="D230" s="177"/>
      <c r="E230" s="327"/>
      <c r="F230" s="327"/>
      <c r="G230" s="327"/>
      <c r="H230" s="327"/>
      <c r="I230" s="327"/>
      <c r="J230" s="327"/>
      <c r="K230" s="327"/>
      <c r="L230" s="327"/>
      <c r="M230" s="328"/>
      <c r="N230" s="329">
        <f>+SUM(N221:N229)</f>
        <v>224067752.32749999</v>
      </c>
      <c r="O230" s="329">
        <f t="shared" ref="O230:T230" si="275">+SUM(O221:O229)</f>
        <v>0</v>
      </c>
      <c r="P230" s="329">
        <f t="shared" si="275"/>
        <v>0</v>
      </c>
      <c r="Q230" s="329">
        <f t="shared" si="275"/>
        <v>0</v>
      </c>
      <c r="R230" s="329">
        <f t="shared" si="275"/>
        <v>0</v>
      </c>
      <c r="S230" s="329">
        <f t="shared" si="275"/>
        <v>224067752.32749999</v>
      </c>
      <c r="T230" s="329">
        <f t="shared" si="275"/>
        <v>224067752.32749999</v>
      </c>
      <c r="U230" s="327"/>
      <c r="V230" s="329">
        <f>+SUM(V221:V229)</f>
        <v>224072082</v>
      </c>
      <c r="W230" s="330">
        <f>+SUM(W221:W229)</f>
        <v>224072082</v>
      </c>
    </row>
    <row r="231" spans="1:29" ht="13" x14ac:dyDescent="0.3">
      <c r="A231" s="568"/>
      <c r="B231" s="568"/>
      <c r="C231" s="569"/>
      <c r="D231" s="174"/>
      <c r="E231" s="294"/>
      <c r="F231" s="294"/>
      <c r="G231" s="294"/>
      <c r="H231" s="294"/>
      <c r="I231" s="294"/>
      <c r="J231" s="294"/>
      <c r="K231" s="294"/>
      <c r="L231" s="294"/>
      <c r="M231" s="570"/>
      <c r="N231" s="287"/>
      <c r="O231" s="287"/>
      <c r="P231" s="287"/>
      <c r="Q231" s="287"/>
      <c r="R231" s="329"/>
      <c r="S231" s="329"/>
      <c r="T231" s="329"/>
      <c r="U231" s="294"/>
      <c r="V231" s="287"/>
      <c r="W231" s="287"/>
    </row>
    <row r="232" spans="1:29" ht="13" x14ac:dyDescent="0.3">
      <c r="A232" s="315"/>
      <c r="B232" s="316"/>
      <c r="C232" s="571"/>
      <c r="D232" s="531"/>
      <c r="E232" s="572"/>
      <c r="F232" s="462"/>
      <c r="G232" s="462"/>
      <c r="H232" s="462"/>
      <c r="I232" s="533"/>
      <c r="J232" s="533"/>
      <c r="K232" s="462"/>
      <c r="L232" s="192"/>
      <c r="M232" s="462"/>
      <c r="N232" s="462"/>
      <c r="O232" s="462"/>
      <c r="P232" s="462"/>
      <c r="Q232" s="462"/>
      <c r="R232" s="534" t="s">
        <v>440</v>
      </c>
      <c r="S232" s="535">
        <f>+T232/E219</f>
        <v>118.32616584813942</v>
      </c>
      <c r="T232" s="126">
        <v>191510.89942521366</v>
      </c>
      <c r="U232" s="554"/>
      <c r="V232" s="557"/>
      <c r="W232" s="537">
        <f>+W216+W230</f>
        <v>1351474840.0195</v>
      </c>
      <c r="Y232" s="330">
        <v>1380607239.4391999</v>
      </c>
      <c r="Z232" s="573">
        <f>W232/Y232</f>
        <v>0.97889885074662264</v>
      </c>
    </row>
    <row r="233" spans="1:29" ht="13" x14ac:dyDescent="0.3">
      <c r="A233" s="538"/>
      <c r="B233" s="538"/>
      <c r="C233" s="128"/>
      <c r="E233" s="574"/>
      <c r="F233" s="544"/>
      <c r="G233" s="544"/>
      <c r="H233" s="544"/>
      <c r="I233" s="575"/>
      <c r="J233" s="575"/>
      <c r="K233" s="544"/>
      <c r="L233" s="543"/>
      <c r="M233" s="544"/>
      <c r="N233" s="544"/>
      <c r="O233" s="544"/>
      <c r="P233" s="544"/>
      <c r="Q233" s="544"/>
      <c r="R233" s="545"/>
      <c r="S233" s="546"/>
      <c r="T233" s="547"/>
      <c r="U233" s="545"/>
      <c r="V233" s="576"/>
      <c r="W233" s="577"/>
    </row>
    <row r="234" spans="1:29" ht="13" x14ac:dyDescent="0.3">
      <c r="A234" s="315"/>
      <c r="B234" s="316"/>
      <c r="C234" s="571"/>
      <c r="D234" s="531"/>
      <c r="E234" s="572"/>
      <c r="F234" s="462"/>
      <c r="G234" s="462"/>
      <c r="H234" s="462"/>
      <c r="I234" s="533"/>
      <c r="J234" s="533"/>
      <c r="K234" s="462"/>
      <c r="L234" s="192"/>
      <c r="M234" s="462"/>
      <c r="N234" s="462"/>
      <c r="O234" s="462"/>
      <c r="P234" s="462"/>
      <c r="Q234" s="462"/>
      <c r="R234" s="534" t="s">
        <v>440</v>
      </c>
      <c r="S234" s="535">
        <f>+T234/E219</f>
        <v>592.03844465179588</v>
      </c>
      <c r="T234" s="126">
        <f>+T232+T219</f>
        <v>958214.22266893159</v>
      </c>
      <c r="U234" s="534" t="s">
        <v>440</v>
      </c>
      <c r="V234" s="536">
        <f>+W234/E219</f>
        <v>713.6896514497173</v>
      </c>
      <c r="W234" s="537">
        <f>W232/W2</f>
        <v>1155106.7008713675</v>
      </c>
    </row>
    <row r="235" spans="1:29" ht="12.75" customHeight="1" x14ac:dyDescent="0.3">
      <c r="A235" s="578"/>
      <c r="B235" s="578"/>
      <c r="C235" s="579"/>
      <c r="E235" s="580"/>
      <c r="F235" s="294"/>
      <c r="G235" s="294"/>
      <c r="H235" s="294"/>
      <c r="I235" s="294"/>
      <c r="J235" s="294"/>
      <c r="K235" s="294"/>
      <c r="L235" s="297"/>
      <c r="M235" s="294"/>
      <c r="N235" s="294"/>
      <c r="O235" s="294"/>
      <c r="P235" s="294"/>
      <c r="Q235" s="294"/>
      <c r="R235" s="294"/>
      <c r="S235" s="294"/>
      <c r="T235" s="287"/>
      <c r="U235" s="294"/>
      <c r="V235" s="294"/>
    </row>
    <row r="236" spans="1:29" ht="12.75" customHeight="1" x14ac:dyDescent="0.3">
      <c r="A236" s="581"/>
      <c r="B236" s="581"/>
      <c r="C236" s="582" t="s">
        <v>613</v>
      </c>
    </row>
    <row r="237" spans="1:29" ht="12.75" customHeight="1" x14ac:dyDescent="0.3">
      <c r="A237" s="581"/>
      <c r="B237" s="581"/>
      <c r="C237" s="583" t="s">
        <v>614</v>
      </c>
    </row>
    <row r="238" spans="1:29" ht="12.75" customHeight="1" x14ac:dyDescent="0.3">
      <c r="A238" s="581"/>
      <c r="B238" s="581"/>
      <c r="C238" s="582"/>
    </row>
    <row r="239" spans="1:29" ht="12.75" customHeight="1" x14ac:dyDescent="0.3">
      <c r="G239" s="128"/>
    </row>
    <row r="240" spans="1:29" ht="12.75" customHeight="1" x14ac:dyDescent="0.3">
      <c r="G240" s="128"/>
    </row>
    <row r="242" spans="1:23" ht="12.75" customHeight="1" x14ac:dyDescent="0.3">
      <c r="A242" s="315">
        <v>27</v>
      </c>
      <c r="B242" s="316"/>
      <c r="C242" s="550" t="s">
        <v>615</v>
      </c>
      <c r="D242" s="531"/>
      <c r="E242" s="551"/>
      <c r="F242" s="552"/>
      <c r="G242" s="552"/>
      <c r="H242" s="552"/>
      <c r="I242" s="553"/>
      <c r="J242" s="553"/>
      <c r="K242" s="552"/>
      <c r="L242" s="192"/>
      <c r="M242" s="552"/>
      <c r="N242" s="552"/>
      <c r="O242" s="552"/>
      <c r="P242" s="552"/>
      <c r="Q242" s="552"/>
      <c r="R242" s="554"/>
      <c r="S242" s="555"/>
      <c r="T242" s="556">
        <f>+SUM(S243:S245)</f>
        <v>10301340.803831734</v>
      </c>
      <c r="U242" s="554"/>
      <c r="V242" s="557"/>
      <c r="W242" s="330">
        <f>SUM(V243:V245)</f>
        <v>12189082</v>
      </c>
    </row>
    <row r="243" spans="1:23" ht="12.75" customHeight="1" x14ac:dyDescent="0.3">
      <c r="A243" s="422">
        <v>27.01</v>
      </c>
      <c r="B243" s="558"/>
      <c r="C243" s="502" t="s">
        <v>616</v>
      </c>
      <c r="D243" s="178" t="s">
        <v>243</v>
      </c>
      <c r="E243" s="332">
        <v>18</v>
      </c>
      <c r="F243" s="559">
        <v>15000</v>
      </c>
      <c r="G243" s="559"/>
      <c r="H243" s="334">
        <f>F243+G243</f>
        <v>15000</v>
      </c>
      <c r="I243" s="424">
        <v>75113.048226571977</v>
      </c>
      <c r="J243" s="382"/>
      <c r="K243" s="334">
        <f t="shared" ref="K243:K245" si="276">I243+J243</f>
        <v>75113.048226571977</v>
      </c>
      <c r="L243" s="382"/>
      <c r="M243" s="334">
        <f>H243+K243+L243</f>
        <v>90113.048226571977</v>
      </c>
      <c r="N243" s="335">
        <f t="shared" ref="N243:N245" si="277">F243*E243</f>
        <v>270000</v>
      </c>
      <c r="O243" s="335">
        <f t="shared" ref="O243:O245" si="278">G243*E243</f>
        <v>0</v>
      </c>
      <c r="P243" s="335">
        <f t="shared" ref="P243:P245" si="279">I243*E243</f>
        <v>1352034.8680782956</v>
      </c>
      <c r="Q243" s="335">
        <f t="shared" ref="Q243:Q245" si="280">J243*E243</f>
        <v>0</v>
      </c>
      <c r="R243" s="335">
        <f t="shared" ref="R243:R245" si="281">+L243*E243</f>
        <v>0</v>
      </c>
      <c r="S243" s="336">
        <f t="shared" ref="S243:S244" si="282">SUM(N243:R243)</f>
        <v>1622034.8680782956</v>
      </c>
      <c r="T243" s="337"/>
      <c r="U243" s="391">
        <f>+ROUNDUP(M243*$T$5,0)</f>
        <v>113262</v>
      </c>
      <c r="V243" s="338">
        <f>+U243*E243</f>
        <v>2038716</v>
      </c>
      <c r="W243" s="560"/>
    </row>
    <row r="244" spans="1:23" ht="12.75" customHeight="1" x14ac:dyDescent="0.3">
      <c r="A244" s="340">
        <v>27.02</v>
      </c>
      <c r="B244" s="561"/>
      <c r="C244" s="562" t="s">
        <v>617</v>
      </c>
      <c r="D244" s="179" t="s">
        <v>207</v>
      </c>
      <c r="E244" s="342">
        <v>1</v>
      </c>
      <c r="F244" s="419">
        <v>4362662.0991735533</v>
      </c>
      <c r="G244" s="419"/>
      <c r="H244" s="344">
        <f>F244+G244</f>
        <v>4362662.0991735533</v>
      </c>
      <c r="I244" s="349">
        <v>1363919.7599280113</v>
      </c>
      <c r="J244" s="387"/>
      <c r="K244" s="344">
        <f t="shared" si="276"/>
        <v>1363919.7599280113</v>
      </c>
      <c r="L244" s="387"/>
      <c r="M244" s="344">
        <f>H244+K244+L244</f>
        <v>5726581.8591015646</v>
      </c>
      <c r="N244" s="345">
        <f t="shared" si="277"/>
        <v>4362662.0991735533</v>
      </c>
      <c r="O244" s="345">
        <f t="shared" si="278"/>
        <v>0</v>
      </c>
      <c r="P244" s="345">
        <f t="shared" si="279"/>
        <v>1363919.7599280113</v>
      </c>
      <c r="Q244" s="345">
        <f t="shared" si="280"/>
        <v>0</v>
      </c>
      <c r="R244" s="345">
        <f t="shared" si="281"/>
        <v>0</v>
      </c>
      <c r="S244" s="346">
        <f t="shared" si="282"/>
        <v>5726581.8591015646</v>
      </c>
      <c r="T244" s="347"/>
      <c r="U244" s="391">
        <f>+ROUNDUP(M244*$T$5,0)</f>
        <v>7197641</v>
      </c>
      <c r="V244" s="277">
        <f>+U244*E244</f>
        <v>7197641</v>
      </c>
      <c r="W244" s="560"/>
    </row>
    <row r="245" spans="1:23" ht="12.75" customHeight="1" x14ac:dyDescent="0.3">
      <c r="A245" s="340">
        <v>27.03</v>
      </c>
      <c r="B245" s="561"/>
      <c r="C245" s="474" t="s">
        <v>618</v>
      </c>
      <c r="D245" s="191" t="s">
        <v>207</v>
      </c>
      <c r="E245" s="342">
        <v>1</v>
      </c>
      <c r="F245" s="419">
        <v>2952724.076651874</v>
      </c>
      <c r="G245" s="419"/>
      <c r="H245" s="344">
        <f>F245+G245</f>
        <v>2952724.076651874</v>
      </c>
      <c r="I245" s="349"/>
      <c r="J245" s="387"/>
      <c r="K245" s="344">
        <f t="shared" si="276"/>
        <v>0</v>
      </c>
      <c r="L245" s="387"/>
      <c r="M245" s="344">
        <f>H245+K245+L245</f>
        <v>2952724.076651874</v>
      </c>
      <c r="N245" s="345">
        <f t="shared" si="277"/>
        <v>2952724.076651874</v>
      </c>
      <c r="O245" s="345">
        <f t="shared" si="278"/>
        <v>0</v>
      </c>
      <c r="P245" s="345">
        <f t="shared" si="279"/>
        <v>0</v>
      </c>
      <c r="Q245" s="345">
        <f t="shared" si="280"/>
        <v>0</v>
      </c>
      <c r="R245" s="345">
        <f t="shared" si="281"/>
        <v>0</v>
      </c>
      <c r="S245" s="346">
        <f t="shared" ref="S245" si="283">SUM(N245:R245)</f>
        <v>2952724.076651874</v>
      </c>
      <c r="T245" s="347"/>
      <c r="U245" s="391">
        <f>+ROUNDUP(M245*$T$4,0)</f>
        <v>2952725</v>
      </c>
      <c r="V245" s="277">
        <f>+U245*E245</f>
        <v>2952725</v>
      </c>
      <c r="W245" s="560"/>
    </row>
    <row r="246" spans="1:23" ht="12.75" customHeight="1" x14ac:dyDescent="0.3">
      <c r="A246" s="315">
        <v>28</v>
      </c>
      <c r="B246" s="316"/>
      <c r="C246" s="550" t="s">
        <v>619</v>
      </c>
      <c r="D246" s="531"/>
      <c r="E246" s="551"/>
      <c r="F246" s="552"/>
      <c r="G246" s="552"/>
      <c r="H246" s="552"/>
      <c r="I246" s="553"/>
      <c r="J246" s="553"/>
      <c r="K246" s="552"/>
      <c r="L246" s="192"/>
      <c r="M246" s="552"/>
      <c r="N246" s="552"/>
      <c r="O246" s="552"/>
      <c r="P246" s="552"/>
      <c r="Q246" s="552"/>
      <c r="R246" s="554"/>
      <c r="S246" s="555"/>
      <c r="T246" s="556">
        <f>+SUM(S247:S249)</f>
        <v>31485744.797535218</v>
      </c>
      <c r="U246" s="554"/>
      <c r="V246" s="557"/>
      <c r="W246" s="330">
        <f>SUM(V247:V249)</f>
        <v>39573892</v>
      </c>
    </row>
    <row r="247" spans="1:23" ht="12.75" customHeight="1" x14ac:dyDescent="0.3">
      <c r="A247" s="422">
        <v>28.01</v>
      </c>
      <c r="B247" s="558"/>
      <c r="C247" s="473" t="s">
        <v>620</v>
      </c>
      <c r="D247" s="423" t="s">
        <v>207</v>
      </c>
      <c r="E247" s="332">
        <v>1</v>
      </c>
      <c r="F247" s="584">
        <v>8108346.1238842979</v>
      </c>
      <c r="G247" s="559"/>
      <c r="H247" s="334">
        <f>F247+G247</f>
        <v>8108346.1238842979</v>
      </c>
      <c r="I247" s="424">
        <v>16174656.500288332</v>
      </c>
      <c r="J247" s="382"/>
      <c r="K247" s="334">
        <f t="shared" ref="K247:K249" si="284">I247+J247</f>
        <v>16174656.500288332</v>
      </c>
      <c r="L247" s="343">
        <f>(H247+K247)*0.015</f>
        <v>364245.03936258942</v>
      </c>
      <c r="M247" s="334">
        <f>H247+K247+L247</f>
        <v>24647247.663535219</v>
      </c>
      <c r="N247" s="335">
        <f t="shared" ref="N247:N249" si="285">F247*E247</f>
        <v>8108346.1238842979</v>
      </c>
      <c r="O247" s="335">
        <f t="shared" ref="O247:O249" si="286">G247*E247</f>
        <v>0</v>
      </c>
      <c r="P247" s="335">
        <f t="shared" ref="P247:P249" si="287">I247*E247</f>
        <v>16174656.500288332</v>
      </c>
      <c r="Q247" s="335">
        <f t="shared" ref="Q247:Q249" si="288">J247*E247</f>
        <v>0</v>
      </c>
      <c r="R247" s="335">
        <f t="shared" ref="R247:R249" si="289">+L247*E247</f>
        <v>364245.03936258942</v>
      </c>
      <c r="S247" s="336">
        <f t="shared" ref="S247" si="290">SUM(N247:R247)</f>
        <v>24647247.663535219</v>
      </c>
      <c r="T247" s="347"/>
      <c r="U247" s="391">
        <f>+ROUNDUP(M247*$T$5,0)</f>
        <v>30978696</v>
      </c>
      <c r="V247" s="277">
        <f>+U247*E247</f>
        <v>30978696</v>
      </c>
      <c r="W247" s="560"/>
    </row>
    <row r="248" spans="1:23" ht="12.75" customHeight="1" x14ac:dyDescent="0.3">
      <c r="A248" s="340">
        <v>28.02</v>
      </c>
      <c r="B248" s="561"/>
      <c r="C248" s="474" t="s">
        <v>621</v>
      </c>
      <c r="D248" s="191" t="s">
        <v>207</v>
      </c>
      <c r="E248" s="342">
        <v>1</v>
      </c>
      <c r="F248" s="368">
        <v>5535035.5999999996</v>
      </c>
      <c r="G248" s="419"/>
      <c r="H248" s="344">
        <f>F248+G248</f>
        <v>5535035.5999999996</v>
      </c>
      <c r="I248" s="349"/>
      <c r="J248" s="387"/>
      <c r="K248" s="344">
        <f t="shared" si="284"/>
        <v>0</v>
      </c>
      <c r="L248" s="343">
        <f>(H248+K248)*0.015</f>
        <v>83025.533999999985</v>
      </c>
      <c r="M248" s="344">
        <f>H248+K248+L248</f>
        <v>5618061.1339999996</v>
      </c>
      <c r="N248" s="345">
        <f t="shared" si="285"/>
        <v>5535035.5999999996</v>
      </c>
      <c r="O248" s="345">
        <f t="shared" si="286"/>
        <v>0</v>
      </c>
      <c r="P248" s="345">
        <f t="shared" si="287"/>
        <v>0</v>
      </c>
      <c r="Q248" s="345">
        <f t="shared" si="288"/>
        <v>0</v>
      </c>
      <c r="R248" s="345">
        <f t="shared" si="289"/>
        <v>83025.533999999985</v>
      </c>
      <c r="S248" s="346">
        <f t="shared" ref="S248" si="291">SUM(N248:R248)</f>
        <v>5618061.1339999996</v>
      </c>
      <c r="T248" s="347"/>
      <c r="U248" s="391">
        <f>+ROUNDUP(M248*$T$5,0)</f>
        <v>7061244</v>
      </c>
      <c r="V248" s="277">
        <f>+U248*E248</f>
        <v>7061244</v>
      </c>
      <c r="W248" s="560"/>
    </row>
    <row r="249" spans="1:23" ht="12.75" customHeight="1" x14ac:dyDescent="0.3">
      <c r="A249" s="404">
        <v>28.03</v>
      </c>
      <c r="B249" s="564"/>
      <c r="C249" s="476" t="s">
        <v>622</v>
      </c>
      <c r="D249" s="431" t="s">
        <v>243</v>
      </c>
      <c r="E249" s="354">
        <v>16</v>
      </c>
      <c r="F249" s="585">
        <v>75150</v>
      </c>
      <c r="G249" s="566"/>
      <c r="H249" s="356">
        <f>F249+G249</f>
        <v>75150</v>
      </c>
      <c r="I249" s="357"/>
      <c r="J249" s="399"/>
      <c r="K249" s="356">
        <f t="shared" si="284"/>
        <v>0</v>
      </c>
      <c r="L249" s="343">
        <f>(H249+K249)*0.015</f>
        <v>1127.25</v>
      </c>
      <c r="M249" s="356">
        <f>H249+K249+L249</f>
        <v>76277.25</v>
      </c>
      <c r="N249" s="359">
        <f t="shared" si="285"/>
        <v>1202400</v>
      </c>
      <c r="O249" s="359">
        <f t="shared" si="286"/>
        <v>0</v>
      </c>
      <c r="P249" s="359">
        <f t="shared" si="287"/>
        <v>0</v>
      </c>
      <c r="Q249" s="359">
        <f t="shared" si="288"/>
        <v>0</v>
      </c>
      <c r="R249" s="359">
        <f t="shared" si="289"/>
        <v>18036</v>
      </c>
      <c r="S249" s="360">
        <f t="shared" ref="S249" si="292">SUM(N249:R249)</f>
        <v>1220436</v>
      </c>
      <c r="T249" s="347"/>
      <c r="U249" s="391">
        <f>+ROUNDUP(M249*$T$5,0)</f>
        <v>95872</v>
      </c>
      <c r="V249" s="277">
        <f>+U249*E249</f>
        <v>1533952</v>
      </c>
      <c r="W249" s="560"/>
    </row>
    <row r="250" spans="1:23" ht="12.75" customHeight="1" x14ac:dyDescent="0.3">
      <c r="A250" s="325"/>
      <c r="B250" s="326"/>
      <c r="C250" s="276"/>
      <c r="D250" s="177"/>
      <c r="E250" s="327"/>
      <c r="F250" s="327"/>
      <c r="G250" s="327"/>
      <c r="H250" s="327"/>
      <c r="I250" s="327"/>
      <c r="J250" s="327"/>
      <c r="K250" s="327"/>
      <c r="L250" s="327"/>
      <c r="M250" s="328"/>
      <c r="N250" s="329">
        <f>+SUM(N242:N249)</f>
        <v>22431167.899709724</v>
      </c>
      <c r="O250" s="329">
        <f t="shared" ref="O250:W250" si="293">+SUM(O242:O249)</f>
        <v>0</v>
      </c>
      <c r="P250" s="329">
        <f t="shared" si="293"/>
        <v>18890611.128294639</v>
      </c>
      <c r="Q250" s="329">
        <f t="shared" si="293"/>
        <v>0</v>
      </c>
      <c r="R250" s="329">
        <f t="shared" si="293"/>
        <v>465306.57336258941</v>
      </c>
      <c r="S250" s="329">
        <f t="shared" si="293"/>
        <v>41787085.601366952</v>
      </c>
      <c r="T250" s="329">
        <f t="shared" si="293"/>
        <v>41787085.601366952</v>
      </c>
      <c r="U250" s="329"/>
      <c r="V250" s="329">
        <f t="shared" si="293"/>
        <v>51762974</v>
      </c>
      <c r="W250" s="329">
        <f t="shared" si="293"/>
        <v>51762974</v>
      </c>
    </row>
    <row r="251" spans="1:23" ht="12.75" customHeight="1" x14ac:dyDescent="0.3">
      <c r="A251" s="568"/>
      <c r="B251" s="568"/>
      <c r="C251" s="569"/>
      <c r="D251" s="174"/>
      <c r="E251" s="294"/>
      <c r="F251" s="294"/>
      <c r="G251" s="294"/>
      <c r="H251" s="294"/>
      <c r="I251" s="294"/>
      <c r="J251" s="294"/>
      <c r="K251" s="294"/>
      <c r="L251" s="294"/>
      <c r="M251" s="570"/>
      <c r="N251" s="287"/>
      <c r="O251" s="287"/>
      <c r="P251" s="287"/>
      <c r="Q251" s="287"/>
      <c r="R251" s="329"/>
      <c r="S251" s="329"/>
      <c r="T251" s="329"/>
      <c r="U251" s="294"/>
      <c r="V251" s="287"/>
      <c r="W251" s="287"/>
    </row>
    <row r="252" spans="1:23" ht="12.75" customHeight="1" x14ac:dyDescent="0.3">
      <c r="A252" s="315"/>
      <c r="B252" s="316"/>
      <c r="C252" s="571"/>
      <c r="D252" s="531"/>
      <c r="E252" s="572"/>
      <c r="F252" s="462"/>
      <c r="G252" s="462"/>
      <c r="H252" s="462"/>
      <c r="I252" s="533"/>
      <c r="J252" s="533"/>
      <c r="K252" s="462"/>
      <c r="L252" s="192"/>
      <c r="M252" s="462"/>
      <c r="N252" s="462"/>
      <c r="O252" s="462"/>
      <c r="P252" s="462"/>
      <c r="Q252" s="462"/>
      <c r="R252" s="534" t="s">
        <v>440</v>
      </c>
      <c r="S252" s="535" t="e">
        <f>+T252/#REF!</f>
        <v>#DIV/0!</v>
      </c>
      <c r="T252" s="126" t="e">
        <v>#DIV/0!</v>
      </c>
      <c r="U252" s="554"/>
      <c r="V252" s="557"/>
      <c r="W252" s="537">
        <f>+W237+W250</f>
        <v>51762974</v>
      </c>
    </row>
    <row r="253" spans="1:23" ht="12.75" customHeight="1" x14ac:dyDescent="0.3">
      <c r="A253" s="538"/>
      <c r="B253" s="538"/>
      <c r="C253" s="128"/>
      <c r="E253" s="574"/>
      <c r="F253" s="544"/>
      <c r="G253" s="544"/>
      <c r="H253" s="544"/>
      <c r="I253" s="575"/>
      <c r="J253" s="575"/>
      <c r="K253" s="544"/>
      <c r="L253" s="543"/>
      <c r="M253" s="544"/>
      <c r="N253" s="544"/>
      <c r="O253" s="544"/>
      <c r="P253" s="544"/>
      <c r="Q253" s="544"/>
      <c r="R253" s="545"/>
      <c r="S253" s="546"/>
      <c r="T253" s="547"/>
      <c r="U253" s="545"/>
      <c r="V253" s="576"/>
      <c r="W253" s="577"/>
    </row>
    <row r="254" spans="1:23" ht="12.75" customHeight="1" x14ac:dyDescent="0.3">
      <c r="A254" s="315"/>
      <c r="B254" s="316"/>
      <c r="C254" s="571"/>
      <c r="D254" s="531"/>
      <c r="E254" s="572"/>
      <c r="F254" s="462"/>
      <c r="G254" s="462"/>
      <c r="H254" s="462"/>
      <c r="I254" s="533"/>
      <c r="J254" s="533"/>
      <c r="K254" s="462"/>
      <c r="L254" s="192"/>
      <c r="M254" s="462"/>
      <c r="N254" s="462"/>
      <c r="O254" s="462"/>
      <c r="P254" s="462"/>
      <c r="Q254" s="462"/>
      <c r="R254" s="534" t="s">
        <v>440</v>
      </c>
      <c r="S254" s="535" t="e">
        <f>+T254/#REF!</f>
        <v>#DIV/0!</v>
      </c>
      <c r="T254" s="126" t="e">
        <f>+T252+#REF!</f>
        <v>#DIV/0!</v>
      </c>
      <c r="U254" s="534" t="s">
        <v>440</v>
      </c>
      <c r="V254" s="536" t="e">
        <f>+W254/#REF!</f>
        <v>#REF!</v>
      </c>
      <c r="W254" s="537">
        <f>W252/W23</f>
        <v>0.20453951019703448</v>
      </c>
    </row>
  </sheetData>
  <mergeCells count="4">
    <mergeCell ref="F5:H5"/>
    <mergeCell ref="I5:K5"/>
    <mergeCell ref="N5:O5"/>
    <mergeCell ref="P5:Q5"/>
  </mergeCells>
  <conditionalFormatting sqref="B1:B1048576">
    <cfRule type="cellIs" dxfId="51" priority="21" operator="equal">
      <formula>"C"</formula>
    </cfRule>
    <cfRule type="cellIs" dxfId="50" priority="22" operator="equal">
      <formula>"R"</formula>
    </cfRule>
    <cfRule type="cellIs" dxfId="49" priority="23" operator="equal">
      <formula>"IN"</formula>
    </cfRule>
    <cfRule type="cellIs" dxfId="48" priority="24" operator="equal">
      <formula>"OK"</formula>
    </cfRule>
    <cfRule type="cellIs" dxfId="47" priority="25" operator="equal">
      <formula>"SR"</formula>
    </cfRule>
  </conditionalFormatting>
  <conditionalFormatting sqref="D3:D11 D19:D28 D56:D67 D78:D84 D88:D92 D96:D102 D105 D163:D193 D195 D202:D213">
    <cfRule type="cellIs" dxfId="46" priority="5" operator="equal">
      <formula>"x"</formula>
    </cfRule>
  </conditionalFormatting>
  <conditionalFormatting sqref="D41">
    <cfRule type="cellIs" dxfId="45" priority="6" operator="equal">
      <formula>"x"</formula>
    </cfRule>
  </conditionalFormatting>
  <conditionalFormatting sqref="D50">
    <cfRule type="cellIs" dxfId="44" priority="7" operator="equal">
      <formula>"x"</formula>
    </cfRule>
  </conditionalFormatting>
  <conditionalFormatting sqref="D69:D70">
    <cfRule type="cellIs" dxfId="43" priority="8" operator="equal">
      <formula>"x"</formula>
    </cfRule>
  </conditionalFormatting>
  <conditionalFormatting sqref="D107">
    <cfRule type="cellIs" dxfId="42" priority="9" operator="equal">
      <formula>"x"</formula>
    </cfRule>
  </conditionalFormatting>
  <conditionalFormatting sqref="D115">
    <cfRule type="cellIs" dxfId="41" priority="10" operator="equal">
      <formula>"x"</formula>
    </cfRule>
  </conditionalFormatting>
  <conditionalFormatting sqref="D125">
    <cfRule type="cellIs" dxfId="40" priority="11" operator="equal">
      <formula>"x"</formula>
    </cfRule>
  </conditionalFormatting>
  <conditionalFormatting sqref="D127">
    <cfRule type="cellIs" dxfId="39" priority="12" operator="equal">
      <formula>"x"</formula>
    </cfRule>
  </conditionalFormatting>
  <conditionalFormatting sqref="D132">
    <cfRule type="cellIs" dxfId="38" priority="13" operator="equal">
      <formula>"x"</formula>
    </cfRule>
  </conditionalFormatting>
  <conditionalFormatting sqref="D198">
    <cfRule type="cellIs" dxfId="37" priority="15" operator="equal">
      <formula>"x"</formula>
    </cfRule>
  </conditionalFormatting>
  <conditionalFormatting sqref="D216:D217">
    <cfRule type="cellIs" dxfId="36" priority="14" operator="equal">
      <formula>"x"</formula>
    </cfRule>
  </conditionalFormatting>
  <conditionalFormatting sqref="D222:D223">
    <cfRule type="cellIs" dxfId="35" priority="3" operator="equal">
      <formula>"x"</formula>
    </cfRule>
  </conditionalFormatting>
  <conditionalFormatting sqref="D230:D231">
    <cfRule type="cellIs" dxfId="34" priority="4" operator="equal">
      <formula>"x"</formula>
    </cfRule>
  </conditionalFormatting>
  <conditionalFormatting sqref="D243:D244">
    <cfRule type="cellIs" dxfId="33" priority="1" operator="equal">
      <formula>"x"</formula>
    </cfRule>
  </conditionalFormatting>
  <conditionalFormatting sqref="D250:D251">
    <cfRule type="cellIs" dxfId="32" priority="2" operator="equal">
      <formula>"x"</formula>
    </cfRule>
  </conditionalFormatting>
  <conditionalFormatting sqref="F1:F4">
    <cfRule type="cellIs" dxfId="31" priority="17" operator="equal">
      <formula>"R"</formula>
    </cfRule>
    <cfRule type="cellIs" dxfId="30" priority="18" operator="equal">
      <formula>"IN"</formula>
    </cfRule>
    <cfRule type="cellIs" dxfId="29" priority="19" operator="equal">
      <formula>"OK"</formula>
    </cfRule>
    <cfRule type="cellIs" dxfId="28" priority="20" operator="equal">
      <formula>"SR"</formula>
    </cfRule>
  </conditionalFormatting>
  <conditionalFormatting sqref="F2:F4">
    <cfRule type="cellIs" dxfId="27" priority="16" operator="equal">
      <formula>"C"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40" max="22" man="1"/>
    <brk id="131" max="22" man="1"/>
  </rowBreak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34AC-41B0-4351-B77E-5DAEF9691633}">
  <sheetPr>
    <tabColor rgb="FFFF0000"/>
  </sheetPr>
  <dimension ref="A2:AT101"/>
  <sheetViews>
    <sheetView workbookViewId="0">
      <selection activeCell="G22" sqref="G22"/>
    </sheetView>
  </sheetViews>
  <sheetFormatPr defaultColWidth="10.7265625" defaultRowHeight="14.5" x14ac:dyDescent="0.35"/>
  <cols>
    <col min="1" max="1" width="5" style="760" customWidth="1"/>
    <col min="2" max="2" width="44.1796875" style="768" bestFit="1" customWidth="1"/>
    <col min="3" max="3" width="4.7265625" style="760" bestFit="1" customWidth="1"/>
    <col min="4" max="4" width="5.7265625" style="769" bestFit="1" customWidth="1"/>
    <col min="5" max="5" width="5.54296875" style="769" bestFit="1" customWidth="1"/>
    <col min="6" max="6" width="13.453125" style="385" bestFit="1" customWidth="1"/>
    <col min="7" max="7" width="19.26953125" style="769" customWidth="1"/>
    <col min="8" max="8" width="14.7265625" style="769" customWidth="1"/>
    <col min="9" max="9" width="13.453125" style="769" bestFit="1" customWidth="1"/>
    <col min="10" max="10" width="11.54296875" style="770" bestFit="1" customWidth="1"/>
    <col min="11" max="11" width="16.7265625" style="770" bestFit="1" customWidth="1"/>
    <col min="12" max="12" width="14.7265625" style="769" customWidth="1"/>
    <col min="13" max="13" width="21.7265625" style="760" bestFit="1" customWidth="1"/>
    <col min="14" max="14" width="6.54296875" style="760" bestFit="1" customWidth="1"/>
    <col min="15" max="15" width="9.1796875" style="760" bestFit="1" customWidth="1"/>
    <col min="16" max="16" width="17.26953125" style="760" bestFit="1" customWidth="1"/>
    <col min="17" max="17" width="14.453125" style="760" bestFit="1" customWidth="1"/>
    <col min="18" max="18" width="27.54296875" style="760" bestFit="1" customWidth="1"/>
    <col min="19" max="19" width="14.81640625" style="760" bestFit="1" customWidth="1"/>
    <col min="20" max="20" width="12.7265625" style="760" bestFit="1" customWidth="1"/>
    <col min="21" max="21" width="5.7265625" style="760" bestFit="1" customWidth="1"/>
    <col min="22" max="16384" width="10.7265625" style="760"/>
  </cols>
  <sheetData>
    <row r="2" spans="1:46" s="173" customFormat="1" ht="13" x14ac:dyDescent="0.3">
      <c r="A2" s="732"/>
      <c r="B2" s="733"/>
      <c r="C2" s="174"/>
      <c r="D2" s="734"/>
      <c r="E2" s="734"/>
      <c r="F2" s="296"/>
      <c r="G2" s="735"/>
      <c r="H2" s="736">
        <v>45679</v>
      </c>
      <c r="I2" s="737"/>
      <c r="J2" s="735"/>
      <c r="K2" s="735"/>
      <c r="M2" s="737"/>
      <c r="N2" s="738"/>
      <c r="O2" s="738">
        <v>26</v>
      </c>
      <c r="P2" s="738"/>
      <c r="Q2" s="735"/>
      <c r="R2" s="739"/>
      <c r="S2" s="740"/>
      <c r="T2" s="741"/>
      <c r="U2" s="742"/>
      <c r="V2" s="743"/>
      <c r="W2" s="743"/>
      <c r="X2" s="744"/>
      <c r="Y2" s="744"/>
      <c r="Z2" s="744"/>
      <c r="AA2" s="744"/>
      <c r="AB2" s="744"/>
      <c r="AC2" s="744"/>
      <c r="AD2" s="744"/>
      <c r="AE2" s="744"/>
      <c r="AF2" s="744"/>
      <c r="AG2" s="744"/>
      <c r="AH2" s="744"/>
      <c r="AI2" s="744"/>
      <c r="AJ2" s="744"/>
      <c r="AK2" s="744"/>
      <c r="AL2" s="744"/>
      <c r="AM2" s="744"/>
      <c r="AN2" s="744"/>
      <c r="AO2" s="744"/>
      <c r="AP2" s="744"/>
      <c r="AQ2" s="744"/>
      <c r="AR2" s="744"/>
      <c r="AS2" s="744"/>
      <c r="AT2" s="744"/>
    </row>
    <row r="3" spans="1:46" s="173" customFormat="1" ht="15" customHeight="1" x14ac:dyDescent="0.3">
      <c r="A3" s="732"/>
      <c r="B3" s="745"/>
      <c r="C3" s="174"/>
      <c r="D3" s="734"/>
      <c r="E3" s="734"/>
      <c r="F3" s="290" t="s">
        <v>623</v>
      </c>
      <c r="G3" s="746" t="s">
        <v>192</v>
      </c>
      <c r="H3" s="746" t="s">
        <v>193</v>
      </c>
      <c r="I3" s="738"/>
      <c r="J3" s="738"/>
      <c r="K3" s="738"/>
      <c r="M3" s="746" t="s">
        <v>624</v>
      </c>
      <c r="N3" s="747" t="s">
        <v>625</v>
      </c>
      <c r="O3" s="747" t="s">
        <v>626</v>
      </c>
      <c r="Q3" s="735"/>
      <c r="R3" s="737"/>
      <c r="S3" s="748"/>
      <c r="T3" s="749"/>
      <c r="U3" s="750"/>
      <c r="V3" s="751"/>
      <c r="W3" s="752"/>
      <c r="X3" s="753"/>
      <c r="Y3" s="753"/>
      <c r="Z3" s="753"/>
      <c r="AA3" s="753"/>
      <c r="AB3" s="753"/>
      <c r="AC3" s="753"/>
      <c r="AD3" s="753"/>
      <c r="AE3" s="753"/>
      <c r="AF3" s="753"/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53"/>
      <c r="AT3" s="753"/>
    </row>
    <row r="4" spans="1:46" s="173" customFormat="1" ht="15" customHeight="1" x14ac:dyDescent="0.35">
      <c r="A4" s="732"/>
      <c r="B4" s="745" t="s">
        <v>627</v>
      </c>
      <c r="C4" s="174"/>
      <c r="D4" s="734"/>
      <c r="E4" s="734"/>
      <c r="F4" s="754">
        <f>+ROUNDUP(N17,0)</f>
        <v>17</v>
      </c>
      <c r="G4" s="755">
        <v>1066.5</v>
      </c>
      <c r="H4" s="755">
        <v>1170</v>
      </c>
      <c r="I4" s="756"/>
      <c r="J4" s="756"/>
      <c r="K4" s="757"/>
      <c r="M4" s="758" t="s">
        <v>628</v>
      </c>
      <c r="N4" s="759">
        <v>1</v>
      </c>
      <c r="O4" s="759">
        <f t="shared" ref="O4:O16" si="0">+N4*$O$2</f>
        <v>26</v>
      </c>
      <c r="P4" s="760"/>
      <c r="Q4" s="761" t="s">
        <v>629</v>
      </c>
      <c r="R4" s="757"/>
      <c r="S4" s="762"/>
      <c r="T4" s="763"/>
      <c r="U4" s="764"/>
      <c r="V4" s="764"/>
      <c r="W4" s="752"/>
      <c r="X4" s="765"/>
      <c r="Y4" s="765"/>
      <c r="Z4" s="765"/>
      <c r="AA4" s="765"/>
      <c r="AB4" s="765"/>
      <c r="AC4" s="766"/>
      <c r="AD4" s="767"/>
      <c r="AE4" s="766"/>
      <c r="AF4" s="767"/>
      <c r="AG4" s="766"/>
      <c r="AH4" s="767"/>
      <c r="AI4" s="765"/>
      <c r="AJ4" s="766"/>
      <c r="AK4" s="767"/>
      <c r="AL4" s="766"/>
      <c r="AM4" s="767"/>
      <c r="AN4" s="766"/>
      <c r="AO4" s="767"/>
      <c r="AP4" s="766"/>
      <c r="AQ4" s="767"/>
      <c r="AR4" s="765"/>
      <c r="AS4" s="765"/>
      <c r="AT4" s="765"/>
    </row>
    <row r="5" spans="1:46" x14ac:dyDescent="0.35">
      <c r="M5" s="771" t="s">
        <v>630</v>
      </c>
      <c r="N5" s="772">
        <v>2.5</v>
      </c>
      <c r="O5" s="772">
        <f t="shared" si="0"/>
        <v>65</v>
      </c>
      <c r="P5" s="769"/>
      <c r="Q5" s="773">
        <f>+ROUNDUP(SUM(N4:N5),0)</f>
        <v>4</v>
      </c>
      <c r="T5" s="763"/>
      <c r="U5" s="764"/>
      <c r="V5" s="764"/>
    </row>
    <row r="6" spans="1:46" s="769" customFormat="1" x14ac:dyDescent="0.35">
      <c r="B6" s="774" t="s">
        <v>631</v>
      </c>
      <c r="C6" s="775" t="s">
        <v>199</v>
      </c>
      <c r="D6" s="776" t="s">
        <v>200</v>
      </c>
      <c r="E6" s="776"/>
      <c r="F6" s="777" t="s">
        <v>632</v>
      </c>
      <c r="G6" s="776" t="s">
        <v>165</v>
      </c>
      <c r="H6" s="778">
        <f>SUM(G7:G10)</f>
        <v>0</v>
      </c>
      <c r="I6" s="779"/>
      <c r="J6" s="779"/>
      <c r="K6" s="513"/>
      <c r="M6" s="780" t="s">
        <v>633</v>
      </c>
      <c r="N6" s="772">
        <v>1</v>
      </c>
      <c r="O6" s="772">
        <f t="shared" si="0"/>
        <v>26</v>
      </c>
      <c r="Q6" s="781"/>
      <c r="T6" s="763"/>
      <c r="U6" s="764"/>
      <c r="V6" s="764"/>
    </row>
    <row r="7" spans="1:46" s="769" customFormat="1" x14ac:dyDescent="0.35">
      <c r="B7" s="782" t="s">
        <v>634</v>
      </c>
      <c r="C7" s="783" t="s">
        <v>214</v>
      </c>
      <c r="D7" s="784">
        <f>+$F$4</f>
        <v>17</v>
      </c>
      <c r="E7" s="784">
        <v>0</v>
      </c>
      <c r="F7" s="420">
        <f>E7*I7+J7</f>
        <v>0</v>
      </c>
      <c r="G7" s="507">
        <f>+F7*D7*E7</f>
        <v>0</v>
      </c>
      <c r="H7" s="779"/>
      <c r="I7" s="785"/>
      <c r="J7" s="779"/>
      <c r="K7" s="513"/>
      <c r="M7" s="780" t="s">
        <v>635</v>
      </c>
      <c r="N7" s="772">
        <v>0.75</v>
      </c>
      <c r="O7" s="772">
        <f t="shared" si="0"/>
        <v>19.5</v>
      </c>
      <c r="Q7" s="781"/>
      <c r="T7" s="763"/>
      <c r="U7" s="764"/>
      <c r="V7" s="764"/>
    </row>
    <row r="8" spans="1:46" s="769" customFormat="1" x14ac:dyDescent="0.35">
      <c r="B8" s="786" t="s">
        <v>636</v>
      </c>
      <c r="C8" s="787" t="s">
        <v>214</v>
      </c>
      <c r="D8" s="784">
        <f t="shared" ref="D8" si="1">+$F$4</f>
        <v>17</v>
      </c>
      <c r="E8" s="788">
        <v>0</v>
      </c>
      <c r="F8" s="420">
        <f>E8*I8+J8</f>
        <v>0</v>
      </c>
      <c r="G8" s="507">
        <f t="shared" ref="G8:G19" si="2">+F8*D8*E8</f>
        <v>0</v>
      </c>
      <c r="H8" s="779"/>
      <c r="I8" s="785"/>
      <c r="J8" s="779"/>
      <c r="M8" s="780" t="s">
        <v>637</v>
      </c>
      <c r="N8" s="772">
        <v>0.75</v>
      </c>
      <c r="O8" s="772">
        <f t="shared" si="0"/>
        <v>19.5</v>
      </c>
      <c r="Q8" s="781"/>
      <c r="T8" s="763"/>
      <c r="U8" s="764"/>
      <c r="V8" s="764"/>
    </row>
    <row r="9" spans="1:46" s="769" customFormat="1" x14ac:dyDescent="0.35">
      <c r="B9" s="786" t="s">
        <v>638</v>
      </c>
      <c r="C9" s="787" t="s">
        <v>214</v>
      </c>
      <c r="D9" s="784">
        <f>+$F$4</f>
        <v>17</v>
      </c>
      <c r="E9" s="788">
        <v>1</v>
      </c>
      <c r="F9" s="420">
        <f>E9*I9+J9</f>
        <v>0</v>
      </c>
      <c r="G9" s="507">
        <f t="shared" si="2"/>
        <v>0</v>
      </c>
      <c r="H9" s="779"/>
      <c r="I9" s="779"/>
      <c r="J9" s="779"/>
      <c r="M9" s="780" t="s">
        <v>639</v>
      </c>
      <c r="N9" s="772">
        <v>0.75</v>
      </c>
      <c r="O9" s="772">
        <f t="shared" si="0"/>
        <v>19.5</v>
      </c>
      <c r="P9" s="769" t="s">
        <v>640</v>
      </c>
      <c r="Q9" s="781"/>
      <c r="T9" s="763"/>
      <c r="U9" s="764"/>
      <c r="V9" s="764"/>
    </row>
    <row r="10" spans="1:46" s="769" customFormat="1" x14ac:dyDescent="0.35">
      <c r="B10" s="786" t="s">
        <v>641</v>
      </c>
      <c r="C10" s="787" t="s">
        <v>214</v>
      </c>
      <c r="D10" s="784">
        <f>+$F$4</f>
        <v>17</v>
      </c>
      <c r="E10" s="788">
        <v>2</v>
      </c>
      <c r="F10" s="420">
        <f>E10*I10+J10</f>
        <v>0</v>
      </c>
      <c r="G10" s="507">
        <f t="shared" si="2"/>
        <v>0</v>
      </c>
      <c r="H10" s="779"/>
      <c r="I10" s="779"/>
      <c r="J10" s="779"/>
      <c r="M10" s="780" t="s">
        <v>642</v>
      </c>
      <c r="N10" s="772">
        <v>0.75</v>
      </c>
      <c r="O10" s="772">
        <f t="shared" si="0"/>
        <v>19.5</v>
      </c>
      <c r="Q10" s="781"/>
      <c r="T10" s="763"/>
      <c r="U10" s="764"/>
      <c r="V10" s="764"/>
    </row>
    <row r="11" spans="1:46" s="769" customFormat="1" ht="13" x14ac:dyDescent="0.3">
      <c r="B11" s="789" t="s">
        <v>631</v>
      </c>
      <c r="C11" s="790"/>
      <c r="D11" s="791"/>
      <c r="E11" s="791"/>
      <c r="F11" s="462"/>
      <c r="G11" s="792"/>
      <c r="H11" s="793">
        <f>SUM(G12:G19)</f>
        <v>32379394.947000001</v>
      </c>
      <c r="I11" s="779"/>
      <c r="J11" s="779"/>
      <c r="K11" s="513"/>
      <c r="M11" s="780" t="s">
        <v>643</v>
      </c>
      <c r="N11" s="772">
        <v>0.5</v>
      </c>
      <c r="O11" s="772">
        <f t="shared" si="0"/>
        <v>13</v>
      </c>
      <c r="Q11" s="781" t="s">
        <v>644</v>
      </c>
      <c r="R11" s="769" t="s">
        <v>645</v>
      </c>
      <c r="T11" s="794"/>
      <c r="U11" s="794"/>
      <c r="V11" s="794"/>
    </row>
    <row r="12" spans="1:46" s="769" customFormat="1" x14ac:dyDescent="0.35">
      <c r="B12" s="795" t="s">
        <v>646</v>
      </c>
      <c r="C12" s="796" t="s">
        <v>214</v>
      </c>
      <c r="D12" s="797">
        <f>+Q5</f>
        <v>4</v>
      </c>
      <c r="E12" s="797">
        <v>1</v>
      </c>
      <c r="F12" s="498"/>
      <c r="G12" s="420">
        <f t="shared" ref="G12:G13" si="3">+F12*D12*E12</f>
        <v>0</v>
      </c>
      <c r="H12" s="779"/>
      <c r="J12" s="798">
        <v>1504670.291</v>
      </c>
      <c r="K12" s="784">
        <f>+J12*D12*E12</f>
        <v>6018681.1639999999</v>
      </c>
      <c r="M12" s="771" t="s">
        <v>647</v>
      </c>
      <c r="N12" s="772">
        <v>2</v>
      </c>
      <c r="O12" s="772">
        <f t="shared" si="0"/>
        <v>52</v>
      </c>
      <c r="Q12" s="781">
        <f>+SUM(N5:N11)</f>
        <v>7</v>
      </c>
      <c r="R12" s="769">
        <f>+ROUNDUP(Q12/3,0)</f>
        <v>3</v>
      </c>
      <c r="T12" s="794"/>
      <c r="U12" s="794"/>
      <c r="V12" s="794"/>
    </row>
    <row r="13" spans="1:46" s="769" customFormat="1" x14ac:dyDescent="0.35">
      <c r="B13" s="786" t="s">
        <v>648</v>
      </c>
      <c r="C13" s="787" t="s">
        <v>214</v>
      </c>
      <c r="D13" s="788">
        <f t="shared" ref="D13:D19" si="4">+$F$4</f>
        <v>17</v>
      </c>
      <c r="E13" s="788">
        <v>1</v>
      </c>
      <c r="F13" s="420"/>
      <c r="G13" s="420">
        <f t="shared" si="3"/>
        <v>0</v>
      </c>
      <c r="H13" s="779"/>
      <c r="J13" s="799">
        <v>150000</v>
      </c>
      <c r="K13" s="420">
        <f>+J13*D13*E13</f>
        <v>2550000</v>
      </c>
      <c r="M13" s="771" t="s">
        <v>649</v>
      </c>
      <c r="N13" s="772">
        <v>2</v>
      </c>
      <c r="O13" s="772">
        <f t="shared" si="0"/>
        <v>52</v>
      </c>
    </row>
    <row r="14" spans="1:46" s="769" customFormat="1" x14ac:dyDescent="0.35">
      <c r="B14" s="786" t="s">
        <v>650</v>
      </c>
      <c r="C14" s="787" t="s">
        <v>214</v>
      </c>
      <c r="D14" s="788">
        <f t="shared" si="4"/>
        <v>17</v>
      </c>
      <c r="E14" s="788">
        <v>0.5</v>
      </c>
      <c r="F14" s="420">
        <v>200000</v>
      </c>
      <c r="G14" s="420">
        <f t="shared" si="2"/>
        <v>1700000</v>
      </c>
      <c r="H14" s="779"/>
      <c r="I14" s="779"/>
      <c r="J14" s="513"/>
      <c r="K14" s="513"/>
      <c r="M14" s="771" t="s">
        <v>651</v>
      </c>
      <c r="N14" s="772">
        <v>2</v>
      </c>
      <c r="O14" s="772">
        <f t="shared" si="0"/>
        <v>52</v>
      </c>
    </row>
    <row r="15" spans="1:46" s="769" customFormat="1" x14ac:dyDescent="0.35">
      <c r="B15" s="786" t="s">
        <v>652</v>
      </c>
      <c r="C15" s="787" t="s">
        <v>214</v>
      </c>
      <c r="D15" s="788">
        <f t="shared" si="4"/>
        <v>17</v>
      </c>
      <c r="E15" s="788">
        <v>1</v>
      </c>
      <c r="F15" s="420">
        <v>250000</v>
      </c>
      <c r="G15" s="420">
        <f t="shared" si="2"/>
        <v>4250000</v>
      </c>
      <c r="H15" s="779"/>
      <c r="I15" s="779"/>
      <c r="J15" s="513"/>
      <c r="K15" s="513"/>
      <c r="M15" s="771" t="s">
        <v>64</v>
      </c>
      <c r="N15" s="800">
        <v>2</v>
      </c>
      <c r="O15" s="772">
        <f t="shared" si="0"/>
        <v>52</v>
      </c>
    </row>
    <row r="16" spans="1:46" s="769" customFormat="1" x14ac:dyDescent="0.35">
      <c r="B16" s="786" t="s">
        <v>653</v>
      </c>
      <c r="C16" s="787" t="s">
        <v>214</v>
      </c>
      <c r="D16" s="788">
        <f t="shared" si="4"/>
        <v>17</v>
      </c>
      <c r="E16" s="788">
        <v>1</v>
      </c>
      <c r="F16" s="420">
        <v>50000</v>
      </c>
      <c r="G16" s="420">
        <f t="shared" si="2"/>
        <v>850000</v>
      </c>
      <c r="H16" s="779"/>
      <c r="I16" s="779"/>
      <c r="J16" s="513"/>
      <c r="K16" s="513"/>
      <c r="M16" s="801" t="s">
        <v>654</v>
      </c>
      <c r="N16" s="802">
        <v>1</v>
      </c>
      <c r="O16" s="772">
        <f t="shared" si="0"/>
        <v>26</v>
      </c>
    </row>
    <row r="17" spans="2:15" s="769" customFormat="1" x14ac:dyDescent="0.35">
      <c r="B17" s="786" t="s">
        <v>655</v>
      </c>
      <c r="C17" s="787" t="s">
        <v>214</v>
      </c>
      <c r="D17" s="788">
        <f t="shared" si="4"/>
        <v>17</v>
      </c>
      <c r="E17" s="788">
        <v>0</v>
      </c>
      <c r="F17" s="420">
        <v>10000</v>
      </c>
      <c r="G17" s="420">
        <f t="shared" si="2"/>
        <v>0</v>
      </c>
      <c r="H17" s="779"/>
      <c r="I17" s="779"/>
      <c r="J17" s="513"/>
      <c r="K17" s="513"/>
      <c r="N17" s="803">
        <f>SUM(N4:N16)</f>
        <v>17</v>
      </c>
      <c r="O17" s="803">
        <f>SUM(O4:O16)</f>
        <v>442</v>
      </c>
    </row>
    <row r="18" spans="2:15" s="769" customFormat="1" x14ac:dyDescent="0.35">
      <c r="B18" s="786" t="s">
        <v>656</v>
      </c>
      <c r="C18" s="787" t="s">
        <v>214</v>
      </c>
      <c r="D18" s="788">
        <f t="shared" si="4"/>
        <v>17</v>
      </c>
      <c r="E18" s="788">
        <v>0</v>
      </c>
      <c r="F18" s="456">
        <v>3009340.5819999999</v>
      </c>
      <c r="G18" s="420">
        <f t="shared" si="2"/>
        <v>0</v>
      </c>
      <c r="H18" s="779"/>
      <c r="K18" s="513"/>
      <c r="L18" s="764"/>
    </row>
    <row r="19" spans="2:15" s="769" customFormat="1" x14ac:dyDescent="0.35">
      <c r="B19" s="786" t="s">
        <v>657</v>
      </c>
      <c r="C19" s="787" t="s">
        <v>214</v>
      </c>
      <c r="D19" s="788">
        <f t="shared" si="4"/>
        <v>17</v>
      </c>
      <c r="E19" s="804">
        <v>0.5</v>
      </c>
      <c r="F19" s="456">
        <v>3009340.5819999999</v>
      </c>
      <c r="G19" s="420">
        <f t="shared" si="2"/>
        <v>25579394.947000001</v>
      </c>
      <c r="H19" s="779"/>
      <c r="I19" s="779"/>
      <c r="J19" s="513"/>
      <c r="K19" s="513"/>
      <c r="L19" s="764"/>
    </row>
    <row r="20" spans="2:15" s="769" customFormat="1" x14ac:dyDescent="0.35">
      <c r="B20" s="805" t="s">
        <v>72</v>
      </c>
      <c r="C20" s="806"/>
      <c r="D20" s="807"/>
      <c r="E20" s="807"/>
      <c r="F20" s="533"/>
      <c r="G20" s="808"/>
      <c r="H20" s="778">
        <f>SUM(G21:G31)</f>
        <v>60580517.894148178</v>
      </c>
      <c r="I20" s="779"/>
      <c r="J20" s="513"/>
      <c r="K20" s="513"/>
    </row>
    <row r="21" spans="2:15" s="769" customFormat="1" x14ac:dyDescent="0.35">
      <c r="B21" s="795" t="s">
        <v>658</v>
      </c>
      <c r="C21" s="796" t="s">
        <v>214</v>
      </c>
      <c r="D21" s="797">
        <f>+$F$4</f>
        <v>17</v>
      </c>
      <c r="E21" s="809">
        <v>0.15</v>
      </c>
      <c r="F21" s="498">
        <v>5273644.0999999996</v>
      </c>
      <c r="G21" s="498">
        <f>+F21*D21*E21</f>
        <v>13447792.454999998</v>
      </c>
      <c r="H21" s="779"/>
      <c r="I21" s="779"/>
      <c r="J21" s="779"/>
      <c r="K21" s="513"/>
    </row>
    <row r="22" spans="2:15" s="769" customFormat="1" x14ac:dyDescent="0.35">
      <c r="B22" s="786" t="s">
        <v>659</v>
      </c>
      <c r="C22" s="787" t="s">
        <v>214</v>
      </c>
      <c r="D22" s="788">
        <f>+$F$4</f>
        <v>17</v>
      </c>
      <c r="E22" s="788">
        <v>1</v>
      </c>
      <c r="F22" s="810"/>
      <c r="G22" s="420">
        <f>+F22*D22*E22</f>
        <v>0</v>
      </c>
      <c r="H22" s="779"/>
      <c r="J22" s="799">
        <v>4372210.5820000004</v>
      </c>
      <c r="K22" s="420">
        <f>+J22*D22*E22</f>
        <v>74327579.894000009</v>
      </c>
    </row>
    <row r="23" spans="2:15" s="769" customFormat="1" x14ac:dyDescent="0.35">
      <c r="B23" s="786" t="s">
        <v>660</v>
      </c>
      <c r="C23" s="787" t="s">
        <v>214</v>
      </c>
      <c r="D23" s="788">
        <f t="shared" ref="D23:D30" si="5">+$F$4</f>
        <v>17</v>
      </c>
      <c r="E23" s="811">
        <v>0</v>
      </c>
      <c r="F23" s="420">
        <v>3009340.5819999999</v>
      </c>
      <c r="G23" s="420">
        <f t="shared" ref="G23:G29" si="6">+F23*D23*E23</f>
        <v>0</v>
      </c>
      <c r="H23" s="779"/>
      <c r="I23" s="812"/>
      <c r="J23" s="812"/>
      <c r="K23" s="513"/>
    </row>
    <row r="24" spans="2:15" s="769" customFormat="1" x14ac:dyDescent="0.35">
      <c r="B24" s="786" t="s">
        <v>661</v>
      </c>
      <c r="C24" s="787" t="s">
        <v>214</v>
      </c>
      <c r="D24" s="788">
        <f t="shared" si="5"/>
        <v>17</v>
      </c>
      <c r="E24" s="811">
        <v>0</v>
      </c>
      <c r="F24" s="420">
        <f>+F23</f>
        <v>3009340.5819999999</v>
      </c>
      <c r="G24" s="420">
        <f t="shared" si="6"/>
        <v>0</v>
      </c>
      <c r="H24" s="779"/>
      <c r="I24" s="812"/>
      <c r="J24" s="812"/>
      <c r="K24" s="513"/>
      <c r="L24" s="813"/>
    </row>
    <row r="25" spans="2:15" s="769" customFormat="1" x14ac:dyDescent="0.35">
      <c r="B25" s="786" t="s">
        <v>161</v>
      </c>
      <c r="C25" s="787" t="s">
        <v>214</v>
      </c>
      <c r="D25" s="788">
        <f t="shared" si="5"/>
        <v>17</v>
      </c>
      <c r="E25" s="811">
        <v>0.5</v>
      </c>
      <c r="F25" s="420">
        <v>3545026.5222527273</v>
      </c>
      <c r="G25" s="420">
        <f t="shared" si="6"/>
        <v>30132725.43914818</v>
      </c>
      <c r="H25" s="779"/>
      <c r="I25" s="812"/>
      <c r="J25" s="812"/>
      <c r="K25" s="513"/>
    </row>
    <row r="26" spans="2:15" s="769" customFormat="1" x14ac:dyDescent="0.35">
      <c r="B26" s="786" t="s">
        <v>662</v>
      </c>
      <c r="C26" s="787" t="s">
        <v>214</v>
      </c>
      <c r="D26" s="788">
        <f t="shared" si="5"/>
        <v>17</v>
      </c>
      <c r="E26" s="788">
        <v>1</v>
      </c>
      <c r="F26" s="420">
        <v>500000</v>
      </c>
      <c r="G26" s="420">
        <f t="shared" si="6"/>
        <v>8500000</v>
      </c>
      <c r="H26" s="779"/>
      <c r="I26" s="812"/>
      <c r="J26" s="812"/>
      <c r="K26" s="513"/>
    </row>
    <row r="27" spans="2:15" s="769" customFormat="1" x14ac:dyDescent="0.35">
      <c r="B27" s="786" t="s">
        <v>663</v>
      </c>
      <c r="C27" s="787" t="s">
        <v>214</v>
      </c>
      <c r="D27" s="788">
        <f t="shared" si="5"/>
        <v>17</v>
      </c>
      <c r="E27" s="788">
        <v>1</v>
      </c>
      <c r="F27" s="420">
        <f>F26</f>
        <v>500000</v>
      </c>
      <c r="G27" s="420">
        <f>+F27*D27*E27</f>
        <v>8500000</v>
      </c>
      <c r="H27" s="779"/>
      <c r="I27" s="812"/>
      <c r="J27" s="812"/>
      <c r="K27" s="513"/>
    </row>
    <row r="28" spans="2:15" s="769" customFormat="1" x14ac:dyDescent="0.35">
      <c r="B28" s="786" t="s">
        <v>664</v>
      </c>
      <c r="C28" s="787" t="s">
        <v>214</v>
      </c>
      <c r="D28" s="788">
        <f t="shared" si="5"/>
        <v>17</v>
      </c>
      <c r="E28" s="788">
        <v>1</v>
      </c>
      <c r="F28" s="810"/>
      <c r="G28" s="420">
        <f>+F28*D28*E28</f>
        <v>0</v>
      </c>
      <c r="H28" s="779"/>
      <c r="J28" s="799">
        <f>F26</f>
        <v>500000</v>
      </c>
      <c r="K28" s="420">
        <f>+J28*D28*E28</f>
        <v>8500000</v>
      </c>
      <c r="M28" s="760"/>
      <c r="N28" s="760"/>
    </row>
    <row r="29" spans="2:15" s="769" customFormat="1" x14ac:dyDescent="0.35">
      <c r="B29" s="786" t="s">
        <v>665</v>
      </c>
      <c r="C29" s="787" t="s">
        <v>214</v>
      </c>
      <c r="D29" s="788">
        <f t="shared" si="5"/>
        <v>17</v>
      </c>
      <c r="E29" s="788">
        <v>1</v>
      </c>
      <c r="F29" s="456"/>
      <c r="G29" s="420">
        <f t="shared" si="6"/>
        <v>0</v>
      </c>
      <c r="H29" s="779"/>
      <c r="K29" s="513"/>
      <c r="M29" s="760"/>
      <c r="N29" s="760"/>
    </row>
    <row r="30" spans="2:15" s="769" customFormat="1" x14ac:dyDescent="0.35">
      <c r="B30" s="786" t="s">
        <v>666</v>
      </c>
      <c r="C30" s="787" t="s">
        <v>214</v>
      </c>
      <c r="D30" s="788">
        <f t="shared" si="5"/>
        <v>17</v>
      </c>
      <c r="E30" s="788">
        <v>1</v>
      </c>
      <c r="F30" s="810"/>
      <c r="G30" s="810"/>
      <c r="H30" s="779"/>
      <c r="J30" s="799">
        <v>730326.96931886359</v>
      </c>
      <c r="K30" s="420">
        <f>+J30*D30*E30</f>
        <v>12415558.47842068</v>
      </c>
    </row>
    <row r="31" spans="2:15" s="769" customFormat="1" x14ac:dyDescent="0.35">
      <c r="B31" s="814"/>
      <c r="C31" s="815"/>
      <c r="D31" s="816"/>
      <c r="E31" s="816"/>
      <c r="F31" s="817"/>
      <c r="G31" s="817"/>
      <c r="H31" s="779"/>
      <c r="I31" s="779"/>
      <c r="J31" s="818"/>
      <c r="K31" s="513"/>
    </row>
    <row r="32" spans="2:15" s="769" customFormat="1" x14ac:dyDescent="0.35">
      <c r="B32" s="805" t="s">
        <v>68</v>
      </c>
      <c r="C32" s="806"/>
      <c r="D32" s="807"/>
      <c r="E32" s="807"/>
      <c r="F32" s="533"/>
      <c r="G32" s="808"/>
      <c r="H32" s="778">
        <f>SUM(G33:G41)</f>
        <v>0</v>
      </c>
      <c r="I32" s="779"/>
      <c r="J32" s="513"/>
      <c r="K32" s="513"/>
    </row>
    <row r="33" spans="2:13" s="769" customFormat="1" x14ac:dyDescent="0.35">
      <c r="B33" s="795" t="s">
        <v>667</v>
      </c>
      <c r="C33" s="796" t="s">
        <v>214</v>
      </c>
      <c r="D33" s="797"/>
      <c r="E33" s="797"/>
      <c r="F33" s="498">
        <v>130000</v>
      </c>
      <c r="G33" s="498">
        <f>+F33*D33</f>
        <v>0</v>
      </c>
      <c r="H33" s="779"/>
      <c r="I33" s="779"/>
      <c r="J33" s="513"/>
      <c r="K33" s="513"/>
    </row>
    <row r="34" spans="2:13" s="769" customFormat="1" x14ac:dyDescent="0.35">
      <c r="B34" s="786" t="s">
        <v>668</v>
      </c>
      <c r="C34" s="787" t="s">
        <v>214</v>
      </c>
      <c r="D34" s="788"/>
      <c r="E34" s="788"/>
      <c r="F34" s="420">
        <v>100000</v>
      </c>
      <c r="G34" s="420">
        <f>+F34*D34</f>
        <v>0</v>
      </c>
      <c r="H34" s="779"/>
      <c r="I34" s="779"/>
      <c r="J34" s="513"/>
      <c r="K34" s="513"/>
    </row>
    <row r="35" spans="2:13" s="769" customFormat="1" x14ac:dyDescent="0.35">
      <c r="B35" s="786" t="s">
        <v>669</v>
      </c>
      <c r="C35" s="787" t="s">
        <v>214</v>
      </c>
      <c r="D35" s="788"/>
      <c r="E35" s="788"/>
      <c r="F35" s="420">
        <v>33600</v>
      </c>
      <c r="G35" s="420">
        <f>+F35*D35</f>
        <v>0</v>
      </c>
      <c r="H35" s="779"/>
      <c r="I35" s="779"/>
      <c r="J35" s="513"/>
      <c r="K35" s="513"/>
    </row>
    <row r="36" spans="2:13" s="769" customFormat="1" x14ac:dyDescent="0.35">
      <c r="B36" s="786" t="s">
        <v>670</v>
      </c>
      <c r="C36" s="787" t="s">
        <v>214</v>
      </c>
      <c r="D36" s="788"/>
      <c r="E36" s="788"/>
      <c r="F36" s="420">
        <v>89000</v>
      </c>
      <c r="G36" s="420">
        <f>+F36*D36</f>
        <v>0</v>
      </c>
      <c r="H36" s="779"/>
      <c r="I36" s="779"/>
      <c r="J36" s="513"/>
      <c r="K36" s="513"/>
    </row>
    <row r="37" spans="2:13" s="769" customFormat="1" x14ac:dyDescent="0.35">
      <c r="B37" s="786" t="s">
        <v>671</v>
      </c>
      <c r="C37" s="787" t="s">
        <v>214</v>
      </c>
      <c r="D37" s="788"/>
      <c r="E37" s="788"/>
      <c r="F37" s="420">
        <v>70000</v>
      </c>
      <c r="G37" s="420">
        <f>+F37*D37</f>
        <v>0</v>
      </c>
      <c r="H37" s="779"/>
      <c r="I37" s="779"/>
      <c r="J37" s="513"/>
      <c r="K37" s="513"/>
    </row>
    <row r="38" spans="2:13" s="769" customFormat="1" x14ac:dyDescent="0.35">
      <c r="B38" s="786"/>
      <c r="C38" s="787"/>
      <c r="D38" s="788"/>
      <c r="E38" s="788"/>
      <c r="F38" s="420"/>
      <c r="G38" s="420"/>
      <c r="H38" s="779"/>
      <c r="I38" s="779"/>
      <c r="J38" s="513"/>
      <c r="K38" s="513"/>
    </row>
    <row r="39" spans="2:13" s="769" customFormat="1" x14ac:dyDescent="0.35">
      <c r="B39" s="786"/>
      <c r="C39" s="787"/>
      <c r="D39" s="788"/>
      <c r="E39" s="788"/>
      <c r="F39" s="420"/>
      <c r="G39" s="420"/>
      <c r="H39" s="779"/>
      <c r="I39" s="779"/>
      <c r="J39" s="513"/>
      <c r="K39" s="513"/>
    </row>
    <row r="40" spans="2:13" s="769" customFormat="1" x14ac:dyDescent="0.35">
      <c r="B40" s="786"/>
      <c r="C40" s="787"/>
      <c r="D40" s="788"/>
      <c r="E40" s="788"/>
      <c r="F40" s="420"/>
      <c r="G40" s="420"/>
      <c r="H40" s="779"/>
      <c r="I40" s="779"/>
      <c r="J40" s="513"/>
      <c r="K40" s="513"/>
    </row>
    <row r="41" spans="2:13" s="769" customFormat="1" x14ac:dyDescent="0.35">
      <c r="B41" s="814"/>
      <c r="C41" s="815"/>
      <c r="D41" s="816"/>
      <c r="E41" s="816"/>
      <c r="F41" s="817"/>
      <c r="G41" s="817"/>
      <c r="H41" s="779"/>
      <c r="I41" s="779"/>
      <c r="J41" s="513"/>
      <c r="K41" s="513"/>
    </row>
    <row r="42" spans="2:13" s="769" customFormat="1" x14ac:dyDescent="0.35">
      <c r="B42" s="805" t="s">
        <v>73</v>
      </c>
      <c r="C42" s="806"/>
      <c r="D42" s="819"/>
      <c r="E42" s="819"/>
      <c r="F42" s="533"/>
      <c r="G42" s="808"/>
      <c r="H42" s="778">
        <f>SUM(G43:G48)</f>
        <v>82753394.946999997</v>
      </c>
      <c r="I42" s="779"/>
      <c r="J42" s="513"/>
      <c r="K42" s="513"/>
    </row>
    <row r="43" spans="2:13" s="769" customFormat="1" x14ac:dyDescent="0.35">
      <c r="B43" s="782" t="s">
        <v>672</v>
      </c>
      <c r="C43" s="820" t="s">
        <v>214</v>
      </c>
      <c r="D43" s="821">
        <f>+$F$4</f>
        <v>17</v>
      </c>
      <c r="E43" s="821">
        <v>0.5</v>
      </c>
      <c r="F43" s="507">
        <v>3009340.5819999999</v>
      </c>
      <c r="G43" s="420">
        <f t="shared" ref="G43" si="7">+F43*D43*E43</f>
        <v>25579394.947000001</v>
      </c>
      <c r="H43" s="779"/>
      <c r="I43" s="779"/>
      <c r="J43" s="513"/>
      <c r="K43" s="513"/>
    </row>
    <row r="44" spans="2:13" s="769" customFormat="1" x14ac:dyDescent="0.35">
      <c r="B44" s="786" t="s">
        <v>673</v>
      </c>
      <c r="C44" s="822" t="s">
        <v>207</v>
      </c>
      <c r="D44" s="823">
        <f>+D43</f>
        <v>17</v>
      </c>
      <c r="E44" s="823">
        <v>1</v>
      </c>
      <c r="F44" s="420">
        <v>250000</v>
      </c>
      <c r="G44" s="420">
        <f>+F44*D44</f>
        <v>4250000</v>
      </c>
      <c r="H44" s="779"/>
      <c r="I44" s="779"/>
      <c r="J44" s="513"/>
      <c r="K44" s="513"/>
    </row>
    <row r="45" spans="2:13" s="769" customFormat="1" x14ac:dyDescent="0.35">
      <c r="B45" s="824" t="s">
        <v>674</v>
      </c>
      <c r="C45" s="822" t="s">
        <v>207</v>
      </c>
      <c r="D45" s="823">
        <v>0.04</v>
      </c>
      <c r="E45" s="823">
        <v>0.7</v>
      </c>
      <c r="F45" s="825">
        <v>1400000000</v>
      </c>
      <c r="G45" s="420">
        <f>+F45*D45*E45</f>
        <v>39200000</v>
      </c>
      <c r="H45" s="779"/>
      <c r="I45" s="779"/>
      <c r="J45" s="513"/>
      <c r="K45" s="778"/>
    </row>
    <row r="46" spans="2:13" s="769" customFormat="1" x14ac:dyDescent="0.35">
      <c r="B46" s="786" t="s">
        <v>675</v>
      </c>
      <c r="C46" s="822" t="s">
        <v>207</v>
      </c>
      <c r="D46" s="823">
        <f>1.2/100</f>
        <v>1.2E-2</v>
      </c>
      <c r="E46" s="823">
        <f>+E45</f>
        <v>0.7</v>
      </c>
      <c r="F46" s="420">
        <f>+F45*1.15</f>
        <v>1609999999.9999998</v>
      </c>
      <c r="G46" s="420">
        <f>+F46*D46*E46</f>
        <v>13523999.999999996</v>
      </c>
      <c r="H46" s="779"/>
      <c r="I46" s="779"/>
      <c r="J46" s="513"/>
      <c r="K46" s="779"/>
    </row>
    <row r="47" spans="2:13" s="769" customFormat="1" x14ac:dyDescent="0.35">
      <c r="B47" s="786" t="s">
        <v>676</v>
      </c>
      <c r="C47" s="822" t="s">
        <v>207</v>
      </c>
      <c r="D47" s="823">
        <v>1</v>
      </c>
      <c r="E47" s="823">
        <v>1</v>
      </c>
      <c r="F47" s="420">
        <v>200000</v>
      </c>
      <c r="G47" s="420">
        <f>+F47*D47*E47</f>
        <v>200000</v>
      </c>
      <c r="H47" s="779"/>
      <c r="I47" s="779"/>
      <c r="J47" s="513"/>
      <c r="K47" s="779"/>
      <c r="M47" s="779"/>
    </row>
    <row r="48" spans="2:13" s="769" customFormat="1" x14ac:dyDescent="0.35">
      <c r="B48" s="814"/>
      <c r="C48" s="815"/>
      <c r="D48" s="826"/>
      <c r="E48" s="826"/>
      <c r="F48" s="817"/>
      <c r="G48" s="817"/>
      <c r="H48" s="779"/>
      <c r="I48" s="779"/>
      <c r="J48" s="779"/>
      <c r="K48" s="779"/>
      <c r="M48" s="779"/>
    </row>
    <row r="49" spans="1:15" s="769" customFormat="1" x14ac:dyDescent="0.35">
      <c r="B49" s="768"/>
      <c r="C49" s="760"/>
      <c r="D49" s="827"/>
      <c r="E49" s="827"/>
      <c r="F49" s="385"/>
      <c r="G49" s="827">
        <f>SUM(G7:G48)</f>
        <v>175713307.78814816</v>
      </c>
      <c r="H49" s="793">
        <f>SUM(H6:H48)</f>
        <v>175713307.78814816</v>
      </c>
      <c r="I49" s="779"/>
      <c r="J49" s="779"/>
      <c r="K49" s="793">
        <f>SUM(K6:K48)</f>
        <v>103811819.53642069</v>
      </c>
      <c r="L49" s="828">
        <f>+H49+K49</f>
        <v>279525127.32456887</v>
      </c>
      <c r="M49" s="513"/>
      <c r="N49" s="829"/>
      <c r="O49" s="829"/>
    </row>
    <row r="50" spans="1:15" s="769" customFormat="1" x14ac:dyDescent="0.35">
      <c r="B50" s="830" t="s">
        <v>677</v>
      </c>
      <c r="C50" s="760"/>
      <c r="D50" s="827"/>
      <c r="E50" s="827"/>
      <c r="F50" s="385"/>
      <c r="G50" s="827"/>
      <c r="H50" s="831"/>
      <c r="I50" s="827"/>
      <c r="K50" s="781" t="s">
        <v>678</v>
      </c>
      <c r="L50" s="832" t="s">
        <v>679</v>
      </c>
      <c r="M50" s="513"/>
      <c r="N50" s="829"/>
      <c r="O50" s="829"/>
    </row>
    <row r="51" spans="1:15" s="769" customFormat="1" x14ac:dyDescent="0.35">
      <c r="B51" s="830" t="s">
        <v>680</v>
      </c>
      <c r="C51" s="760"/>
      <c r="D51" s="827"/>
      <c r="E51" s="827"/>
      <c r="F51" s="385"/>
      <c r="G51" s="827"/>
      <c r="H51" s="827">
        <f>+H50+H49</f>
        <v>175713307.78814816</v>
      </c>
      <c r="I51" s="827"/>
      <c r="L51" s="829"/>
      <c r="M51" s="513"/>
      <c r="N51" s="829"/>
      <c r="O51" s="829"/>
    </row>
    <row r="52" spans="1:15" s="829" customFormat="1" ht="13" x14ac:dyDescent="0.3">
      <c r="A52" s="833"/>
      <c r="B52" s="834"/>
      <c r="D52" s="835"/>
      <c r="E52" s="835"/>
      <c r="F52" s="283"/>
      <c r="G52" s="835"/>
      <c r="H52" s="835"/>
      <c r="M52" s="513"/>
    </row>
    <row r="53" spans="1:15" s="829" customFormat="1" ht="13" x14ac:dyDescent="0.3">
      <c r="A53" s="833"/>
      <c r="B53" s="834" t="s">
        <v>446</v>
      </c>
      <c r="D53" s="835"/>
      <c r="E53" s="835"/>
      <c r="F53" s="283"/>
      <c r="G53" s="513">
        <v>294935283.35845184</v>
      </c>
      <c r="H53" s="836">
        <f>+G53/$H$4</f>
        <v>252081.43876790756</v>
      </c>
      <c r="J53" s="837">
        <f>+H53/$H$59</f>
        <v>0.29208306471517492</v>
      </c>
      <c r="K53" s="838">
        <f>+H53/$H$69</f>
        <v>0.21916189219708296</v>
      </c>
      <c r="M53" s="513"/>
    </row>
    <row r="54" spans="1:15" s="829" customFormat="1" ht="13" x14ac:dyDescent="0.3">
      <c r="B54" s="834" t="s">
        <v>681</v>
      </c>
      <c r="F54" s="283"/>
      <c r="G54" s="513">
        <v>64860920.319356509</v>
      </c>
      <c r="H54" s="836">
        <f t="shared" ref="H54:H57" si="8">+G54/$H$4</f>
        <v>55436.684033638041</v>
      </c>
      <c r="J54" s="837">
        <f t="shared" ref="J54:J56" si="9">+H54/$H$59</f>
        <v>6.4233672456542726E-2</v>
      </c>
      <c r="K54" s="838">
        <f t="shared" ref="K54:K55" si="10">+H54/$H$69</f>
        <v>4.8197156559115509E-2</v>
      </c>
      <c r="M54" s="513"/>
    </row>
    <row r="55" spans="1:15" s="829" customFormat="1" ht="13" x14ac:dyDescent="0.3">
      <c r="B55" s="834" t="s">
        <v>682</v>
      </c>
      <c r="F55" s="283"/>
      <c r="G55" s="513">
        <v>460479039.26572198</v>
      </c>
      <c r="H55" s="836">
        <f t="shared" si="8"/>
        <v>393571.82843224099</v>
      </c>
      <c r="I55" s="839"/>
      <c r="J55" s="837">
        <f t="shared" si="9"/>
        <v>0.45602590335849413</v>
      </c>
      <c r="K55" s="838">
        <f t="shared" si="10"/>
        <v>0.34217492194691829</v>
      </c>
    </row>
    <row r="56" spans="1:15" s="829" customFormat="1" ht="13" x14ac:dyDescent="0.3">
      <c r="B56" s="834" t="s">
        <v>203</v>
      </c>
      <c r="F56" s="283"/>
      <c r="G56" s="513">
        <v>167995368.33061409</v>
      </c>
      <c r="H56" s="836">
        <f t="shared" si="8"/>
        <v>143585.78489796075</v>
      </c>
      <c r="I56" s="839"/>
      <c r="J56" s="837">
        <f t="shared" si="9"/>
        <v>0.16637074235816168</v>
      </c>
      <c r="K56" s="838">
        <f>+H56/$H$69</f>
        <v>0.12483478539573722</v>
      </c>
    </row>
    <row r="57" spans="1:15" s="829" customFormat="1" ht="13" x14ac:dyDescent="0.3">
      <c r="B57" s="834" t="s">
        <v>68</v>
      </c>
      <c r="F57" s="283"/>
      <c r="G57" s="513">
        <v>21494482.933074653</v>
      </c>
      <c r="H57" s="836">
        <f t="shared" si="8"/>
        <v>18371.352934251841</v>
      </c>
      <c r="I57" s="839"/>
      <c r="K57" s="840">
        <f>SUM(K53:K56)</f>
        <v>0.73436875609885399</v>
      </c>
    </row>
    <row r="58" spans="1:15" s="829" customFormat="1" ht="13" x14ac:dyDescent="0.3">
      <c r="B58" s="834"/>
      <c r="F58" s="283"/>
      <c r="G58" s="513"/>
      <c r="H58" s="836"/>
      <c r="J58" s="840">
        <f>SUM(J53:J57)</f>
        <v>0.9787133828883734</v>
      </c>
      <c r="L58" s="840">
        <f>1-J58</f>
        <v>2.1286617111626605E-2</v>
      </c>
    </row>
    <row r="59" spans="1:15" s="829" customFormat="1" ht="13" x14ac:dyDescent="0.3">
      <c r="A59" s="841" t="s">
        <v>683</v>
      </c>
      <c r="B59" s="842"/>
      <c r="C59" s="790"/>
      <c r="D59" s="790"/>
      <c r="E59" s="790"/>
      <c r="F59" s="462"/>
      <c r="G59" s="843">
        <f>SUM(G53:G58)</f>
        <v>1009765094.2072191</v>
      </c>
      <c r="H59" s="844">
        <f>SUM(H53:H58)</f>
        <v>863047.08906599914</v>
      </c>
      <c r="I59" s="839"/>
    </row>
    <row r="60" spans="1:15" s="829" customFormat="1" ht="13" x14ac:dyDescent="0.3">
      <c r="A60" s="845"/>
      <c r="B60" s="834"/>
      <c r="F60" s="283"/>
      <c r="G60" s="846"/>
      <c r="H60" s="847"/>
      <c r="J60" s="838">
        <f>+G57/G59</f>
        <v>2.1286617111626615E-2</v>
      </c>
      <c r="L60" s="848"/>
    </row>
    <row r="61" spans="1:15" s="829" customFormat="1" ht="13" x14ac:dyDescent="0.3">
      <c r="A61" s="845"/>
      <c r="B61" s="834" t="s">
        <v>684</v>
      </c>
      <c r="E61" s="129"/>
      <c r="F61" s="129">
        <f>+H51/G59</f>
        <v>0.17401404425264191</v>
      </c>
      <c r="G61" s="129">
        <f>+F61*$G$59</f>
        <v>175713307.78814816</v>
      </c>
      <c r="H61" s="836">
        <f>+G61/$H$4</f>
        <v>150182.31434884458</v>
      </c>
      <c r="J61" s="370">
        <v>0.03</v>
      </c>
    </row>
    <row r="62" spans="1:15" s="829" customFormat="1" ht="13" x14ac:dyDescent="0.3">
      <c r="A62" s="845"/>
      <c r="B62" s="834" t="s">
        <v>68</v>
      </c>
      <c r="E62" s="129">
        <v>3</v>
      </c>
      <c r="F62" s="311">
        <f>+J62</f>
        <v>8.713382888373384E-3</v>
      </c>
      <c r="G62" s="129">
        <f>+F62*$G$59</f>
        <v>8798469.8931419216</v>
      </c>
      <c r="H62" s="836">
        <f t="shared" ref="H62:H64" si="11">+G62/$H$4</f>
        <v>7520.0597377281383</v>
      </c>
      <c r="J62" s="840">
        <f>+J61-J60</f>
        <v>8.713382888373384E-3</v>
      </c>
    </row>
    <row r="63" spans="1:15" s="829" customFormat="1" ht="13" x14ac:dyDescent="0.3">
      <c r="A63" s="845"/>
      <c r="B63" s="834" t="s">
        <v>685</v>
      </c>
      <c r="E63" s="129">
        <v>5</v>
      </c>
      <c r="F63" s="311">
        <f>0.05</f>
        <v>0.05</v>
      </c>
      <c r="G63" s="129">
        <f>+F63*$G$59</f>
        <v>50488254.710360959</v>
      </c>
      <c r="H63" s="836">
        <f t="shared" si="11"/>
        <v>43152.354453299966</v>
      </c>
      <c r="I63" s="849"/>
      <c r="J63" s="848"/>
    </row>
    <row r="64" spans="1:15" s="829" customFormat="1" ht="13" x14ac:dyDescent="0.3">
      <c r="A64" s="845"/>
      <c r="B64" s="834" t="s">
        <v>686</v>
      </c>
      <c r="E64" s="129">
        <v>9</v>
      </c>
      <c r="F64" s="129">
        <v>0.1</v>
      </c>
      <c r="G64" s="129">
        <f>+F64*$G$59</f>
        <v>100976509.42072192</v>
      </c>
      <c r="H64" s="836">
        <f t="shared" si="11"/>
        <v>86304.708906599932</v>
      </c>
      <c r="I64" s="839"/>
    </row>
    <row r="65" spans="1:16" s="829" customFormat="1" ht="13" x14ac:dyDescent="0.3">
      <c r="A65" s="841" t="s">
        <v>687</v>
      </c>
      <c r="B65" s="842"/>
      <c r="C65" s="790"/>
      <c r="D65" s="790"/>
      <c r="E65" s="850"/>
      <c r="F65" s="850">
        <f>SUM(F61:F64)</f>
        <v>0.33272742714101533</v>
      </c>
      <c r="G65" s="851">
        <f>SUM(G61:G64)</f>
        <v>335976541.81237292</v>
      </c>
      <c r="H65" s="844">
        <f>+G65/$H$4</f>
        <v>287159.43744647258</v>
      </c>
      <c r="I65" s="839"/>
      <c r="K65" s="838">
        <f>+H65/H69</f>
        <v>0.24965902281668101</v>
      </c>
    </row>
    <row r="66" spans="1:16" s="829" customFormat="1" ht="13" x14ac:dyDescent="0.3">
      <c r="A66" s="845"/>
      <c r="B66" s="834"/>
      <c r="E66" s="129"/>
      <c r="F66" s="129"/>
      <c r="G66" s="129"/>
      <c r="H66" s="847"/>
    </row>
    <row r="67" spans="1:16" s="829" customFormat="1" ht="13" x14ac:dyDescent="0.3">
      <c r="A67" s="841" t="s">
        <v>688</v>
      </c>
      <c r="B67" s="842"/>
      <c r="C67" s="790"/>
      <c r="D67" s="790"/>
      <c r="E67" s="850"/>
      <c r="F67" s="851">
        <f>1+F65</f>
        <v>1.3327274271410152</v>
      </c>
      <c r="G67" s="850">
        <f>+G59*F67</f>
        <v>1345741636.019592</v>
      </c>
      <c r="H67" s="852"/>
      <c r="I67" s="513"/>
      <c r="J67" s="513"/>
      <c r="M67" s="853"/>
      <c r="N67" s="853"/>
      <c r="O67" s="839"/>
    </row>
    <row r="68" spans="1:16" s="829" customFormat="1" ht="13" x14ac:dyDescent="0.3">
      <c r="B68" s="834"/>
      <c r="E68" s="129"/>
      <c r="F68" s="129"/>
      <c r="G68" s="129"/>
      <c r="H68" s="847"/>
      <c r="M68" s="853"/>
      <c r="N68" s="853"/>
      <c r="O68" s="839"/>
    </row>
    <row r="69" spans="1:16" s="829" customFormat="1" ht="13" x14ac:dyDescent="0.3">
      <c r="A69" s="841" t="s">
        <v>689</v>
      </c>
      <c r="B69" s="842"/>
      <c r="C69" s="790"/>
      <c r="D69" s="790"/>
      <c r="E69" s="850"/>
      <c r="F69" s="850"/>
      <c r="G69" s="850">
        <f>+G59+G65</f>
        <v>1345741636.019592</v>
      </c>
      <c r="H69" s="844">
        <f>+G69/$H$4</f>
        <v>1150206.5265124717</v>
      </c>
      <c r="I69" s="854"/>
      <c r="J69" s="129"/>
      <c r="K69" s="840">
        <f>SUM(K57:K65)</f>
        <v>0.98402777891553495</v>
      </c>
    </row>
    <row r="70" spans="1:16" s="829" customFormat="1" ht="13" x14ac:dyDescent="0.3">
      <c r="B70" s="834"/>
      <c r="E70" s="129"/>
      <c r="F70" s="129"/>
      <c r="G70" s="129"/>
      <c r="H70" s="855"/>
      <c r="J70" s="129"/>
      <c r="N70" s="849"/>
      <c r="O70" s="849"/>
    </row>
    <row r="71" spans="1:16" s="829" customFormat="1" ht="13" x14ac:dyDescent="0.3">
      <c r="B71" s="834"/>
      <c r="F71" s="283"/>
      <c r="G71" s="846"/>
      <c r="H71" s="847"/>
      <c r="I71" s="853"/>
      <c r="M71" s="769"/>
      <c r="N71" s="856"/>
      <c r="O71" s="856"/>
    </row>
    <row r="72" spans="1:16" s="829" customFormat="1" ht="13" x14ac:dyDescent="0.3">
      <c r="B72" s="834"/>
      <c r="F72" s="284"/>
      <c r="G72" s="857"/>
      <c r="H72" s="857"/>
      <c r="I72" s="853"/>
      <c r="M72" s="769"/>
      <c r="N72" s="856"/>
      <c r="O72" s="856"/>
    </row>
    <row r="73" spans="1:16" s="829" customFormat="1" ht="13" x14ac:dyDescent="0.3">
      <c r="B73" s="834"/>
      <c r="F73" s="858"/>
      <c r="G73" s="857"/>
      <c r="H73" s="859"/>
      <c r="I73" s="853"/>
      <c r="M73" s="769"/>
      <c r="N73" s="856"/>
      <c r="O73" s="856"/>
    </row>
    <row r="74" spans="1:16" s="829" customFormat="1" ht="13" x14ac:dyDescent="0.3">
      <c r="B74" s="834"/>
      <c r="F74" s="283"/>
      <c r="G74" s="846"/>
      <c r="H74" s="847"/>
      <c r="I74" s="853"/>
      <c r="M74" s="769"/>
      <c r="N74" s="856"/>
      <c r="O74" s="856"/>
    </row>
    <row r="75" spans="1:16" s="829" customFormat="1" ht="13" x14ac:dyDescent="0.3">
      <c r="B75" s="834"/>
      <c r="F75" s="283"/>
      <c r="G75" s="846"/>
      <c r="H75" s="836"/>
      <c r="K75" s="860"/>
      <c r="M75" s="861"/>
      <c r="N75" s="862"/>
      <c r="O75" s="769"/>
    </row>
    <row r="76" spans="1:16" s="829" customFormat="1" ht="13" x14ac:dyDescent="0.3">
      <c r="B76" s="834"/>
      <c r="F76" s="283"/>
      <c r="L76" s="863"/>
      <c r="M76" s="861"/>
      <c r="N76" s="861"/>
      <c r="O76" s="769"/>
      <c r="P76" s="849"/>
    </row>
    <row r="77" spans="1:16" s="769" customFormat="1" x14ac:dyDescent="0.35">
      <c r="B77" s="768"/>
      <c r="C77" s="760"/>
      <c r="D77" s="827"/>
      <c r="E77" s="827"/>
      <c r="F77" s="385"/>
      <c r="G77" s="827"/>
      <c r="H77" s="827"/>
      <c r="I77" s="827"/>
      <c r="K77" s="861"/>
      <c r="L77" s="864"/>
      <c r="M77" s="861"/>
      <c r="N77" s="861"/>
      <c r="P77" s="865"/>
    </row>
    <row r="78" spans="1:16" s="769" customFormat="1" x14ac:dyDescent="0.35">
      <c r="B78" s="830"/>
      <c r="C78" s="760"/>
      <c r="D78" s="827"/>
      <c r="E78" s="827"/>
      <c r="F78" s="385"/>
      <c r="G78" s="827"/>
      <c r="H78" s="827"/>
      <c r="I78" s="827"/>
      <c r="K78" s="861"/>
      <c r="L78" s="864"/>
      <c r="M78" s="861"/>
      <c r="N78" s="861"/>
    </row>
    <row r="79" spans="1:16" s="769" customFormat="1" x14ac:dyDescent="0.35">
      <c r="B79" s="830"/>
      <c r="C79" s="760"/>
      <c r="D79" s="827"/>
      <c r="E79" s="827"/>
      <c r="F79" s="385"/>
      <c r="G79" s="827"/>
      <c r="H79" s="827"/>
      <c r="I79" s="827"/>
      <c r="K79" s="861"/>
      <c r="L79" s="866"/>
      <c r="M79" s="861"/>
      <c r="N79" s="861"/>
    </row>
    <row r="80" spans="1:16" s="769" customFormat="1" x14ac:dyDescent="0.35">
      <c r="B80" s="768"/>
      <c r="C80" s="760"/>
      <c r="D80" s="827"/>
      <c r="E80" s="827"/>
      <c r="F80" s="385"/>
      <c r="G80" s="827"/>
      <c r="H80" s="827"/>
      <c r="I80" s="827"/>
      <c r="K80" s="861"/>
      <c r="L80" s="864"/>
      <c r="M80" s="861"/>
      <c r="N80" s="861"/>
    </row>
    <row r="81" spans="1:16" s="769" customFormat="1" x14ac:dyDescent="0.35">
      <c r="B81" s="768"/>
      <c r="C81" s="760"/>
      <c r="D81" s="827"/>
      <c r="E81" s="827"/>
      <c r="F81" s="385"/>
      <c r="G81" s="827"/>
      <c r="H81" s="827"/>
      <c r="I81" s="827"/>
      <c r="K81" s="861"/>
      <c r="L81" s="866"/>
      <c r="M81" s="861"/>
      <c r="N81" s="861"/>
    </row>
    <row r="82" spans="1:16" s="769" customFormat="1" x14ac:dyDescent="0.35">
      <c r="B82" s="768"/>
      <c r="F82" s="385"/>
      <c r="G82" s="827"/>
      <c r="H82" s="827"/>
      <c r="I82" s="827"/>
      <c r="K82" s="867"/>
      <c r="L82" s="812"/>
      <c r="M82" s="861"/>
      <c r="N82" s="861"/>
    </row>
    <row r="83" spans="1:16" s="769" customFormat="1" x14ac:dyDescent="0.35">
      <c r="B83" s="768"/>
      <c r="C83" s="760"/>
      <c r="D83" s="827"/>
      <c r="E83" s="827"/>
      <c r="F83" s="385"/>
      <c r="G83" s="827"/>
      <c r="H83" s="827"/>
      <c r="I83" s="827"/>
      <c r="K83" s="861"/>
      <c r="L83" s="812"/>
      <c r="M83" s="861"/>
      <c r="N83" s="861"/>
    </row>
    <row r="84" spans="1:16" s="769" customFormat="1" x14ac:dyDescent="0.35">
      <c r="B84" s="768"/>
      <c r="C84" s="760"/>
      <c r="D84" s="827"/>
      <c r="E84" s="827"/>
      <c r="F84" s="385"/>
      <c r="G84" s="827"/>
      <c r="H84" s="827"/>
      <c r="I84" s="827"/>
      <c r="K84" s="861"/>
      <c r="L84" s="868"/>
      <c r="M84" s="861"/>
      <c r="N84" s="861"/>
    </row>
    <row r="85" spans="1:16" s="769" customFormat="1" x14ac:dyDescent="0.35">
      <c r="B85" s="768"/>
      <c r="C85" s="760"/>
      <c r="D85" s="827"/>
      <c r="E85" s="827"/>
      <c r="F85" s="385"/>
      <c r="G85" s="827"/>
      <c r="H85" s="827"/>
      <c r="I85" s="827"/>
      <c r="K85" s="861"/>
      <c r="L85" s="861"/>
      <c r="M85" s="861"/>
      <c r="N85" s="861"/>
    </row>
    <row r="86" spans="1:16" s="769" customFormat="1" x14ac:dyDescent="0.35">
      <c r="B86" s="768"/>
      <c r="C86" s="760"/>
      <c r="D86" s="827"/>
      <c r="E86" s="827"/>
      <c r="F86" s="385"/>
      <c r="G86" s="827"/>
      <c r="H86" s="827"/>
      <c r="I86" s="827"/>
      <c r="K86" s="861"/>
      <c r="L86" s="869"/>
      <c r="M86" s="861"/>
      <c r="N86" s="861"/>
    </row>
    <row r="87" spans="1:16" s="769" customFormat="1" x14ac:dyDescent="0.35">
      <c r="B87" s="768"/>
      <c r="C87" s="760"/>
      <c r="D87" s="827"/>
      <c r="E87" s="827"/>
      <c r="F87" s="385"/>
      <c r="G87" s="827"/>
      <c r="H87" s="827"/>
      <c r="I87" s="827"/>
      <c r="K87" s="861"/>
      <c r="L87" s="861"/>
      <c r="M87" s="861"/>
      <c r="N87" s="861"/>
    </row>
    <row r="88" spans="1:16" s="769" customFormat="1" x14ac:dyDescent="0.35">
      <c r="B88" s="768"/>
      <c r="C88" s="760"/>
      <c r="D88" s="827"/>
      <c r="E88" s="827"/>
      <c r="F88" s="385"/>
      <c r="G88" s="827"/>
      <c r="H88" s="827"/>
      <c r="I88" s="827"/>
      <c r="K88" s="861"/>
      <c r="L88" s="869"/>
      <c r="M88" s="861"/>
      <c r="N88" s="861"/>
    </row>
    <row r="89" spans="1:16" s="769" customFormat="1" x14ac:dyDescent="0.35">
      <c r="B89" s="768"/>
      <c r="C89" s="760"/>
      <c r="D89" s="827"/>
      <c r="E89" s="827"/>
      <c r="F89" s="385"/>
      <c r="G89" s="827"/>
      <c r="H89" s="827"/>
      <c r="I89" s="827"/>
    </row>
    <row r="90" spans="1:16" s="769" customFormat="1" x14ac:dyDescent="0.35">
      <c r="B90" s="768"/>
      <c r="C90" s="760"/>
      <c r="D90" s="827"/>
      <c r="E90" s="827"/>
      <c r="F90" s="385"/>
      <c r="G90" s="827"/>
      <c r="H90" s="827"/>
      <c r="I90" s="827"/>
    </row>
    <row r="91" spans="1:16" s="769" customFormat="1" x14ac:dyDescent="0.35">
      <c r="B91" s="768"/>
      <c r="C91" s="760"/>
      <c r="D91" s="827"/>
      <c r="E91" s="827"/>
      <c r="F91" s="385"/>
      <c r="G91" s="827"/>
      <c r="H91" s="827"/>
      <c r="I91" s="827"/>
    </row>
    <row r="92" spans="1:16" x14ac:dyDescent="0.35">
      <c r="A92" s="769"/>
      <c r="D92" s="827"/>
      <c r="E92" s="827"/>
      <c r="G92" s="827"/>
      <c r="H92" s="827"/>
      <c r="I92" s="827"/>
      <c r="J92" s="769"/>
      <c r="K92" s="769"/>
      <c r="M92" s="769"/>
      <c r="N92" s="769"/>
      <c r="O92" s="769"/>
      <c r="P92" s="769"/>
    </row>
    <row r="93" spans="1:16" x14ac:dyDescent="0.35">
      <c r="A93" s="769"/>
      <c r="D93" s="827"/>
      <c r="E93" s="827"/>
      <c r="G93" s="827"/>
      <c r="H93" s="827"/>
      <c r="I93" s="827"/>
      <c r="J93" s="769"/>
      <c r="K93" s="769"/>
      <c r="M93" s="769"/>
      <c r="N93" s="769"/>
      <c r="O93" s="769"/>
      <c r="P93" s="769"/>
    </row>
    <row r="94" spans="1:16" x14ac:dyDescent="0.35">
      <c r="A94" s="769"/>
      <c r="D94" s="827"/>
      <c r="E94" s="827"/>
      <c r="G94" s="827"/>
      <c r="H94" s="827"/>
      <c r="I94" s="827"/>
      <c r="J94" s="769"/>
      <c r="K94" s="769"/>
      <c r="M94" s="769"/>
      <c r="N94" s="769"/>
      <c r="O94" s="769"/>
      <c r="P94" s="769"/>
    </row>
    <row r="95" spans="1:16" x14ac:dyDescent="0.35">
      <c r="A95" s="769"/>
      <c r="D95" s="827"/>
      <c r="E95" s="827"/>
      <c r="G95" s="827"/>
      <c r="H95" s="827"/>
      <c r="I95" s="827"/>
      <c r="J95" s="769"/>
      <c r="K95" s="769"/>
      <c r="M95" s="769"/>
      <c r="N95" s="769"/>
      <c r="O95" s="769"/>
      <c r="P95" s="769"/>
    </row>
    <row r="96" spans="1:16" x14ac:dyDescent="0.35">
      <c r="A96" s="769"/>
      <c r="D96" s="827"/>
      <c r="E96" s="827"/>
      <c r="G96" s="827"/>
      <c r="H96" s="827"/>
      <c r="I96" s="827"/>
      <c r="J96" s="769"/>
      <c r="K96" s="769"/>
      <c r="M96" s="769"/>
      <c r="N96" s="769"/>
      <c r="O96" s="769"/>
      <c r="P96" s="769"/>
    </row>
    <row r="97" spans="1:16" x14ac:dyDescent="0.35">
      <c r="A97" s="769"/>
      <c r="D97" s="827"/>
      <c r="E97" s="827"/>
      <c r="G97" s="827"/>
      <c r="H97" s="827"/>
      <c r="I97" s="827"/>
      <c r="J97" s="769"/>
      <c r="K97" s="769"/>
      <c r="M97" s="769"/>
      <c r="N97" s="769"/>
      <c r="O97" s="769"/>
      <c r="P97" s="769"/>
    </row>
    <row r="98" spans="1:16" x14ac:dyDescent="0.35">
      <c r="A98" s="769"/>
      <c r="D98" s="827"/>
      <c r="E98" s="827"/>
      <c r="G98" s="827"/>
      <c r="H98" s="827"/>
      <c r="I98" s="827"/>
      <c r="J98" s="769"/>
      <c r="K98" s="769"/>
      <c r="P98" s="769"/>
    </row>
    <row r="99" spans="1:16" x14ac:dyDescent="0.35">
      <c r="A99" s="769"/>
      <c r="D99" s="827"/>
      <c r="E99" s="827"/>
      <c r="G99" s="827"/>
      <c r="H99" s="827"/>
      <c r="I99" s="827"/>
      <c r="J99" s="769"/>
      <c r="K99" s="769"/>
      <c r="P99" s="769"/>
    </row>
    <row r="100" spans="1:16" x14ac:dyDescent="0.35">
      <c r="A100" s="769"/>
      <c r="D100" s="827"/>
      <c r="E100" s="827"/>
      <c r="G100" s="827"/>
      <c r="H100" s="827"/>
      <c r="I100" s="827"/>
      <c r="J100" s="769"/>
      <c r="K100" s="769"/>
      <c r="P100" s="769"/>
    </row>
    <row r="101" spans="1:16" x14ac:dyDescent="0.35">
      <c r="H101" s="870"/>
      <c r="I101" s="870"/>
      <c r="J101" s="871"/>
    </row>
  </sheetData>
  <conditionalFormatting sqref="C2:C4">
    <cfRule type="cellIs" dxfId="26" priority="3" operator="equal">
      <formula>"x"</formula>
    </cfRule>
  </conditionalFormatting>
  <conditionalFormatting sqref="G21:G29 E21:E30 K28 K30">
    <cfRule type="cellIs" dxfId="25" priority="2" operator="equal">
      <formula>0</formula>
    </cfRule>
  </conditionalFormatting>
  <conditionalFormatting sqref="K22">
    <cfRule type="cellIs" dxfId="24" priority="1" operator="equal">
      <formula>0</formula>
    </cfRule>
  </conditionalFormatting>
  <conditionalFormatting sqref="X2:AT2">
    <cfRule type="cellIs" dxfId="23" priority="4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7E42-1A95-4F7C-AC70-419BC6F937CB}">
  <sheetPr codeName="Hoja8">
    <tabColor rgb="FFC6EFCE"/>
  </sheetPr>
  <dimension ref="B1:U34"/>
  <sheetViews>
    <sheetView showGridLines="0" topLeftCell="A13" workbookViewId="0">
      <selection activeCell="D32" sqref="D32:M33"/>
    </sheetView>
  </sheetViews>
  <sheetFormatPr defaultColWidth="11.453125" defaultRowHeight="14.5" x14ac:dyDescent="0.35"/>
  <cols>
    <col min="1" max="1" width="4.453125" style="213" customWidth="1"/>
    <col min="2" max="2" width="24.81640625" style="65" customWidth="1"/>
    <col min="3" max="3" width="10" style="213" bestFit="1" customWidth="1"/>
    <col min="4" max="4" width="11.453125" style="213" customWidth="1"/>
    <col min="5" max="5" width="11" style="213" bestFit="1" customWidth="1"/>
    <col min="6" max="6" width="11.26953125" style="213" bestFit="1" customWidth="1"/>
    <col min="7" max="7" width="11" style="213" customWidth="1"/>
    <col min="8" max="9" width="10.7265625" style="213" customWidth="1"/>
    <col min="10" max="13" width="10.81640625" style="213" customWidth="1"/>
    <col min="14" max="14" width="11" style="213" bestFit="1" customWidth="1"/>
    <col min="15" max="15" width="11" style="213" customWidth="1"/>
    <col min="16" max="16384" width="11.453125" style="213"/>
  </cols>
  <sheetData>
    <row r="1" spans="2:21" ht="15" thickBot="1" x14ac:dyDescent="0.4">
      <c r="B1" s="64" t="s">
        <v>37</v>
      </c>
      <c r="T1" s="157" t="s">
        <v>36</v>
      </c>
      <c r="U1" s="198">
        <v>46133</v>
      </c>
    </row>
    <row r="2" spans="2:21" x14ac:dyDescent="0.35">
      <c r="B2" s="590" t="s">
        <v>690</v>
      </c>
    </row>
    <row r="4" spans="2:21" s="214" customFormat="1" x14ac:dyDescent="0.35">
      <c r="B4" s="1194" t="s">
        <v>691</v>
      </c>
      <c r="C4" s="109">
        <v>45627</v>
      </c>
      <c r="D4" s="109">
        <v>45658</v>
      </c>
      <c r="E4" s="109">
        <v>45689</v>
      </c>
      <c r="F4" s="109">
        <v>45717</v>
      </c>
      <c r="G4" s="109">
        <v>45748</v>
      </c>
      <c r="H4" s="109">
        <v>45778</v>
      </c>
      <c r="I4" s="109">
        <v>45809</v>
      </c>
      <c r="J4" s="109">
        <v>45839</v>
      </c>
      <c r="K4" s="109">
        <v>45870</v>
      </c>
      <c r="L4" s="109">
        <v>45901</v>
      </c>
      <c r="M4" s="109">
        <v>45931</v>
      </c>
      <c r="N4" s="109">
        <v>45962</v>
      </c>
      <c r="O4" s="109">
        <v>45992</v>
      </c>
      <c r="P4" s="109">
        <v>46023</v>
      </c>
      <c r="Q4" s="109">
        <v>46054</v>
      </c>
      <c r="R4" s="109">
        <v>46082</v>
      </c>
      <c r="S4" s="109">
        <v>46113</v>
      </c>
    </row>
    <row r="5" spans="2:21" s="214" customFormat="1" x14ac:dyDescent="0.35">
      <c r="B5" s="133" t="s">
        <v>57</v>
      </c>
      <c r="C5" s="220">
        <v>110000</v>
      </c>
      <c r="D5" s="220"/>
      <c r="E5" s="220"/>
      <c r="F5" s="1193"/>
      <c r="G5" s="1193"/>
      <c r="H5" s="1193"/>
      <c r="I5" s="1193"/>
      <c r="J5" s="220"/>
      <c r="K5" s="220"/>
      <c r="L5" s="220"/>
      <c r="M5" s="220"/>
      <c r="N5" s="220"/>
      <c r="O5" s="220"/>
      <c r="P5" s="220"/>
      <c r="Q5" s="220"/>
      <c r="R5" s="220"/>
      <c r="S5" s="220"/>
    </row>
    <row r="6" spans="2:21" s="214" customFormat="1" x14ac:dyDescent="0.35">
      <c r="B6" s="133" t="s">
        <v>56</v>
      </c>
      <c r="C6" s="220"/>
      <c r="D6" s="220"/>
      <c r="E6" s="220">
        <f>3131150.45+'M.O. HOR'!M12+1134220.48-911200+1183776</f>
        <v>6949796.9299999997</v>
      </c>
      <c r="F6" s="220">
        <v>4182183.8</v>
      </c>
      <c r="G6" s="220">
        <v>163926.84999999998</v>
      </c>
      <c r="H6" s="222">
        <v>459869.25</v>
      </c>
      <c r="I6" s="222">
        <v>92816.22</v>
      </c>
      <c r="J6" s="222">
        <v>14628.44</v>
      </c>
      <c r="K6" s="222">
        <v>49173.56</v>
      </c>
      <c r="L6" s="222"/>
      <c r="M6" s="222">
        <v>1465670.09</v>
      </c>
      <c r="N6" s="1373">
        <v>202741.82</v>
      </c>
      <c r="O6" s="222"/>
      <c r="P6" s="222"/>
      <c r="Q6" s="222"/>
      <c r="R6" s="222"/>
      <c r="S6" s="222"/>
    </row>
    <row r="7" spans="2:21" s="214" customFormat="1" x14ac:dyDescent="0.35">
      <c r="B7" s="134" t="s">
        <v>58</v>
      </c>
      <c r="C7" s="221"/>
      <c r="D7" s="221"/>
      <c r="E7" s="221"/>
      <c r="F7" s="221">
        <f>SUM(Contratistas!C17)</f>
        <v>1580000</v>
      </c>
      <c r="G7" s="221">
        <f>SUM(Contratistas!C18:C19)</f>
        <v>1580000</v>
      </c>
      <c r="H7" s="221">
        <f>SUM(Contratistas!C20:C21)</f>
        <v>2974000</v>
      </c>
      <c r="I7" s="221">
        <v>3640000</v>
      </c>
      <c r="J7" s="221">
        <v>1416000</v>
      </c>
      <c r="K7" s="221"/>
      <c r="L7" s="221"/>
      <c r="M7" s="221"/>
      <c r="N7" s="221"/>
      <c r="O7" s="221"/>
      <c r="P7" s="221"/>
      <c r="Q7" s="221"/>
      <c r="R7" s="221"/>
      <c r="S7" s="221"/>
    </row>
    <row r="8" spans="2:21" s="214" customFormat="1" x14ac:dyDescent="0.35">
      <c r="B8" s="133" t="s">
        <v>692</v>
      </c>
      <c r="C8" s="220"/>
      <c r="D8" s="220"/>
      <c r="E8" s="220">
        <f>1220419+7479.36</f>
        <v>1227898.3600000001</v>
      </c>
      <c r="F8" s="220">
        <v>21854352.780000001</v>
      </c>
      <c r="G8" s="220">
        <v>64397544.729999997</v>
      </c>
      <c r="H8" s="220">
        <f>12474275.27+(25850*1192)</f>
        <v>43287475.269999996</v>
      </c>
      <c r="I8" s="220">
        <v>1606135.8499999999</v>
      </c>
      <c r="J8" s="220">
        <v>33701586.390000001</v>
      </c>
      <c r="K8" s="220">
        <v>3967437.69</v>
      </c>
      <c r="L8" s="220">
        <v>7290500.6200000001</v>
      </c>
      <c r="M8" s="220">
        <v>16835857.559999999</v>
      </c>
      <c r="N8" s="220">
        <v>88699.520000000004</v>
      </c>
      <c r="O8" s="220">
        <v>961200</v>
      </c>
      <c r="P8" s="220"/>
      <c r="Q8" s="220"/>
      <c r="R8" s="220"/>
      <c r="S8" s="220"/>
    </row>
    <row r="9" spans="2:21" s="214" customFormat="1" x14ac:dyDescent="0.35">
      <c r="B9" s="133" t="s">
        <v>693</v>
      </c>
      <c r="C9" s="220"/>
      <c r="D9" s="220"/>
      <c r="E9" s="220">
        <f>SUM('M.O. HOR'!M12)</f>
        <v>2411850</v>
      </c>
      <c r="F9" s="220">
        <f>SUM('M.O. HOR'!M13:M14)+330033.16</f>
        <v>9206862.1600000001</v>
      </c>
      <c r="G9" s="220">
        <f>SUM(Contratistas!C47:C48,Contratistas!E77:E78)+2224200</f>
        <v>10965040.02</v>
      </c>
      <c r="H9" s="220">
        <f>SUM(Contratistas!C49:D50,Contratistas!E79:E80)+28077.66</f>
        <v>9710066.5399999991</v>
      </c>
      <c r="I9" s="220">
        <f>SUM(Contratistas!C51:D52,Contratistas!E81:E82)</f>
        <v>8357133.4199999999</v>
      </c>
      <c r="J9" s="220">
        <f>SUM(Contratistas!C53,Contratistas!C55:C56,Contratistas!E84:E85)+440804.68</f>
        <v>20959355.66</v>
      </c>
      <c r="K9" s="220">
        <f>SUM(Contratistas!C54,Contratistas!C59:D59,Contratistas!E86:E87)+127954.34</f>
        <v>8121114.3800000008</v>
      </c>
      <c r="L9" s="220">
        <f>SUM(Contratistas!C60:C63,Contratistas!E88:E89)</f>
        <v>15421604.199999999</v>
      </c>
      <c r="M9" s="220">
        <f>SUM(Contratistas!C64:D66,Contratistas!E90:E91)</f>
        <v>17745228.899999999</v>
      </c>
      <c r="N9" s="220">
        <f>SUM(Contratistas!C67:D70)</f>
        <v>13121448</v>
      </c>
      <c r="O9" s="220">
        <v>1923300</v>
      </c>
      <c r="P9" s="220"/>
      <c r="Q9" s="220"/>
      <c r="R9" s="220"/>
      <c r="S9" s="220"/>
    </row>
    <row r="10" spans="2:21" s="214" customFormat="1" x14ac:dyDescent="0.35">
      <c r="B10" s="134" t="s">
        <v>69</v>
      </c>
      <c r="C10" s="222">
        <v>12905.630000000001</v>
      </c>
      <c r="D10" s="222"/>
      <c r="E10" s="222">
        <v>90000</v>
      </c>
      <c r="F10" s="222">
        <f>180000</f>
        <v>180000</v>
      </c>
      <c r="G10" s="222">
        <v>80000</v>
      </c>
      <c r="H10" s="222">
        <v>80000</v>
      </c>
      <c r="I10" s="222">
        <v>380000</v>
      </c>
      <c r="J10" s="222">
        <v>160000</v>
      </c>
      <c r="K10" s="222">
        <v>266818.18</v>
      </c>
      <c r="L10" s="222">
        <v>85000</v>
      </c>
      <c r="M10" s="222">
        <v>449000</v>
      </c>
      <c r="N10" s="222">
        <v>85000</v>
      </c>
      <c r="O10" s="222">
        <v>85000</v>
      </c>
      <c r="P10" s="222">
        <v>785714.29</v>
      </c>
      <c r="Q10" s="222">
        <v>600500</v>
      </c>
      <c r="R10" s="222">
        <v>847285.71</v>
      </c>
      <c r="S10" s="222"/>
    </row>
    <row r="11" spans="2:21" s="214" customFormat="1" x14ac:dyDescent="0.35">
      <c r="B11" s="134" t="s">
        <v>68</v>
      </c>
      <c r="C11" s="222">
        <v>58271.120924925002</v>
      </c>
      <c r="D11" s="222">
        <v>59559.523386676017</v>
      </c>
      <c r="E11" s="222">
        <v>64331.918415014567</v>
      </c>
      <c r="F11" s="222">
        <f>32983.82+254237.379</f>
        <v>287221.19899999996</v>
      </c>
      <c r="G11" s="222">
        <v>290739.62900000002</v>
      </c>
      <c r="H11" s="222">
        <v>296307.18199999997</v>
      </c>
      <c r="I11" s="222">
        <v>346009.63925495982</v>
      </c>
      <c r="J11" s="222">
        <f>609574.248+190000</f>
        <v>799574.24800000002</v>
      </c>
      <c r="K11" s="222">
        <v>631705.97862611804</v>
      </c>
      <c r="L11" s="222">
        <v>669390.32242245704</v>
      </c>
      <c r="M11" s="222">
        <v>699860.69633577787</v>
      </c>
      <c r="N11" s="222"/>
      <c r="O11" s="222"/>
      <c r="P11" s="222"/>
      <c r="Q11" s="222"/>
      <c r="R11" s="222"/>
      <c r="S11" s="222"/>
    </row>
    <row r="12" spans="2:21" s="214" customFormat="1" x14ac:dyDescent="0.35">
      <c r="B12" s="135" t="s">
        <v>87</v>
      </c>
      <c r="C12" s="223">
        <f t="shared" ref="C12:I12" si="0">SUM(C5:C11)</f>
        <v>181176.750924925</v>
      </c>
      <c r="D12" s="223">
        <f t="shared" si="0"/>
        <v>59559.523386676017</v>
      </c>
      <c r="E12" s="223">
        <f t="shared" si="0"/>
        <v>10743877.208415013</v>
      </c>
      <c r="F12" s="223">
        <f t="shared" si="0"/>
        <v>37290619.939000003</v>
      </c>
      <c r="G12" s="223">
        <f t="shared" si="0"/>
        <v>77477251.228999987</v>
      </c>
      <c r="H12" s="223">
        <f t="shared" si="0"/>
        <v>56807718.241999991</v>
      </c>
      <c r="I12" s="223">
        <f t="shared" si="0"/>
        <v>14422095.12925496</v>
      </c>
      <c r="J12" s="223">
        <f t="shared" ref="J12:K12" si="1">SUM(J5:J11)</f>
        <v>57051144.737999998</v>
      </c>
      <c r="K12" s="223">
        <f t="shared" si="1"/>
        <v>13036249.788626119</v>
      </c>
      <c r="L12" s="223">
        <f t="shared" ref="L12:M12" si="2">SUM(L5:L11)</f>
        <v>23466495.142422456</v>
      </c>
      <c r="M12" s="223">
        <f t="shared" si="2"/>
        <v>37195617.246335775</v>
      </c>
      <c r="N12" s="223">
        <f t="shared" ref="N12:O12" si="3">SUM(N5:N11)</f>
        <v>13497889.34</v>
      </c>
      <c r="O12" s="223">
        <f t="shared" si="3"/>
        <v>2969500</v>
      </c>
      <c r="P12" s="223">
        <f t="shared" ref="P12:Q12" si="4">SUM(P5:P11)</f>
        <v>785714.29</v>
      </c>
      <c r="Q12" s="223">
        <f t="shared" si="4"/>
        <v>600500</v>
      </c>
      <c r="R12" s="223">
        <f t="shared" ref="R12:S12" si="5">SUM(R5:R11)</f>
        <v>847285.71</v>
      </c>
      <c r="S12" s="223">
        <f t="shared" si="5"/>
        <v>0</v>
      </c>
    </row>
    <row r="13" spans="2:21" x14ac:dyDescent="0.35">
      <c r="C13" s="593"/>
      <c r="D13" s="593"/>
      <c r="G13" s="1196"/>
    </row>
    <row r="14" spans="2:21" x14ac:dyDescent="0.35">
      <c r="B14" s="110" t="s">
        <v>694</v>
      </c>
      <c r="C14" s="109">
        <f>C4</f>
        <v>45627</v>
      </c>
      <c r="D14" s="109">
        <f>D4</f>
        <v>45658</v>
      </c>
      <c r="E14" s="109">
        <f>E4</f>
        <v>45689</v>
      </c>
      <c r="F14" s="109">
        <v>45717</v>
      </c>
      <c r="G14" s="109">
        <v>45748</v>
      </c>
      <c r="H14" s="109">
        <v>45778</v>
      </c>
      <c r="I14" s="109">
        <v>45809</v>
      </c>
      <c r="J14" s="109">
        <v>45839</v>
      </c>
      <c r="K14" s="109">
        <v>45870</v>
      </c>
      <c r="L14" s="109">
        <v>45901</v>
      </c>
      <c r="M14" s="109">
        <v>45931</v>
      </c>
      <c r="N14" s="109">
        <v>45962</v>
      </c>
      <c r="O14" s="109">
        <v>45992</v>
      </c>
      <c r="P14" s="109">
        <v>46023</v>
      </c>
      <c r="Q14" s="109">
        <v>46054</v>
      </c>
      <c r="R14" s="109">
        <v>46082</v>
      </c>
      <c r="S14" s="109">
        <v>46113</v>
      </c>
    </row>
    <row r="15" spans="2:21" x14ac:dyDescent="0.35">
      <c r="B15" s="111" t="s">
        <v>634</v>
      </c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</row>
    <row r="16" spans="2:21" x14ac:dyDescent="0.35">
      <c r="B16" s="111" t="s">
        <v>636</v>
      </c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</row>
    <row r="17" spans="2:19" x14ac:dyDescent="0.35">
      <c r="B17" s="111" t="s">
        <v>638</v>
      </c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</row>
    <row r="18" spans="2:19" x14ac:dyDescent="0.35">
      <c r="B18" s="111" t="s">
        <v>641</v>
      </c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</row>
    <row r="19" spans="2:19" x14ac:dyDescent="0.35">
      <c r="B19" s="111" t="s">
        <v>646</v>
      </c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</row>
    <row r="20" spans="2:19" x14ac:dyDescent="0.35">
      <c r="B20" s="111" t="s">
        <v>650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</row>
    <row r="21" spans="2:19" x14ac:dyDescent="0.35">
      <c r="B21" s="1333" t="s">
        <v>652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</row>
    <row r="22" spans="2:19" x14ac:dyDescent="0.35">
      <c r="B22" s="111" t="s">
        <v>657</v>
      </c>
      <c r="C22" s="219">
        <v>2657587.0430000001</v>
      </c>
      <c r="D22" s="218">
        <v>1482428.3368463325</v>
      </c>
      <c r="E22" s="218">
        <v>2402343.653239904</v>
      </c>
      <c r="F22" s="218">
        <v>1672761</v>
      </c>
      <c r="G22" s="218">
        <v>5758121.6624100013</v>
      </c>
      <c r="H22" s="218">
        <v>1351332.0417291317</v>
      </c>
      <c r="I22" s="218">
        <v>2021235.3150384719</v>
      </c>
      <c r="J22" s="218">
        <v>1916553.9109413982</v>
      </c>
      <c r="K22" s="218">
        <v>1898342.1384411291</v>
      </c>
      <c r="L22" s="218">
        <v>3994139.3627975006</v>
      </c>
      <c r="M22" s="218">
        <v>3276272.8290500008</v>
      </c>
      <c r="N22" s="218"/>
      <c r="O22" s="218"/>
      <c r="P22" s="218"/>
      <c r="Q22" s="218"/>
      <c r="R22" s="218"/>
      <c r="S22" s="218"/>
    </row>
    <row r="23" spans="2:19" x14ac:dyDescent="0.35">
      <c r="B23" s="111" t="s">
        <v>658</v>
      </c>
      <c r="C23" s="218">
        <v>285000</v>
      </c>
      <c r="D23" s="218">
        <v>380000</v>
      </c>
      <c r="E23" s="218">
        <v>400000</v>
      </c>
      <c r="F23" s="218">
        <v>404000</v>
      </c>
      <c r="G23" s="218">
        <v>300000</v>
      </c>
      <c r="H23" s="218">
        <v>400000</v>
      </c>
      <c r="I23" s="218">
        <v>580000</v>
      </c>
      <c r="J23" s="218">
        <v>600000</v>
      </c>
      <c r="K23" s="218">
        <v>1606011</v>
      </c>
      <c r="L23" s="218">
        <v>713070.9</v>
      </c>
      <c r="M23" s="218">
        <v>730897.5</v>
      </c>
      <c r="N23" s="218"/>
      <c r="O23" s="218"/>
      <c r="P23" s="218"/>
      <c r="Q23" s="218"/>
      <c r="R23" s="218"/>
      <c r="S23" s="218"/>
    </row>
    <row r="24" spans="2:19" x14ac:dyDescent="0.35">
      <c r="B24" s="111" t="s">
        <v>660</v>
      </c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</row>
    <row r="25" spans="2:19" x14ac:dyDescent="0.35">
      <c r="B25" s="111" t="s">
        <v>161</v>
      </c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</row>
    <row r="26" spans="2:19" x14ac:dyDescent="0.35">
      <c r="B26" s="111" t="s">
        <v>662</v>
      </c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</row>
    <row r="27" spans="2:19" x14ac:dyDescent="0.35">
      <c r="B27" s="111" t="s">
        <v>663</v>
      </c>
      <c r="C27" s="218">
        <v>232617.752152606</v>
      </c>
      <c r="D27" s="218">
        <v>158507.36156067252</v>
      </c>
      <c r="E27" s="218">
        <v>81157.058917837276</v>
      </c>
      <c r="F27" s="218">
        <v>209694.70014511026</v>
      </c>
      <c r="G27" s="218">
        <v>215525.96553149819</v>
      </c>
      <c r="H27" s="218">
        <v>212177.87449192081</v>
      </c>
      <c r="I27" s="218">
        <v>215572.72048379155</v>
      </c>
      <c r="J27" s="218">
        <v>291545.843242726</v>
      </c>
      <c r="K27" s="218">
        <v>371362.6539787706</v>
      </c>
      <c r="L27" s="218">
        <v>379161.26971232478</v>
      </c>
      <c r="M27" s="218">
        <v>387881.9789157082</v>
      </c>
      <c r="N27" s="218"/>
      <c r="O27" s="218"/>
      <c r="P27" s="218"/>
      <c r="Q27" s="218"/>
      <c r="R27" s="218"/>
      <c r="S27" s="218"/>
    </row>
    <row r="28" spans="2:19" x14ac:dyDescent="0.35">
      <c r="B28" s="113" t="s">
        <v>72</v>
      </c>
      <c r="C28" s="273">
        <f t="shared" ref="C28" si="6">SUM(C15:C27)</f>
        <v>3175204.795152606</v>
      </c>
      <c r="D28" s="273">
        <f t="shared" ref="D28:F28" si="7">SUM(D15:D27)</f>
        <v>2020935.6984070051</v>
      </c>
      <c r="E28" s="273">
        <f t="shared" si="7"/>
        <v>2883500.7121577412</v>
      </c>
      <c r="F28" s="273">
        <f t="shared" si="7"/>
        <v>2286455.7001451105</v>
      </c>
      <c r="G28" s="273">
        <f t="shared" ref="G28:H28" si="8">SUM(G15:G27)</f>
        <v>6273647.6279414995</v>
      </c>
      <c r="H28" s="273">
        <f t="shared" si="8"/>
        <v>1963509.9162210524</v>
      </c>
      <c r="I28" s="273">
        <f t="shared" ref="I28:J28" si="9">SUM(I15:I27)</f>
        <v>2816808.0355222635</v>
      </c>
      <c r="J28" s="273">
        <f t="shared" si="9"/>
        <v>2808099.7541841241</v>
      </c>
      <c r="K28" s="273">
        <f t="shared" ref="K28:L28" si="10">SUM(K15:K27)</f>
        <v>3875715.7924198997</v>
      </c>
      <c r="L28" s="273">
        <f t="shared" si="10"/>
        <v>5086371.5325098261</v>
      </c>
      <c r="M28" s="273">
        <f t="shared" ref="M28:N28" si="11">SUM(M15:M27)</f>
        <v>4395052.3079657089</v>
      </c>
      <c r="N28" s="273">
        <f t="shared" si="11"/>
        <v>0</v>
      </c>
      <c r="O28" s="273">
        <f t="shared" ref="O28:P28" si="12">SUM(O15:O27)</f>
        <v>0</v>
      </c>
      <c r="P28" s="273">
        <f t="shared" si="12"/>
        <v>0</v>
      </c>
      <c r="Q28" s="273">
        <f t="shared" ref="Q28:R28" si="13">SUM(Q15:Q27)</f>
        <v>0</v>
      </c>
      <c r="R28" s="273">
        <f t="shared" si="13"/>
        <v>0</v>
      </c>
      <c r="S28" s="273">
        <f t="shared" ref="S28" si="14">SUM(S15:S27)</f>
        <v>0</v>
      </c>
    </row>
    <row r="29" spans="2:19" x14ac:dyDescent="0.35">
      <c r="B29" s="112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2:19" x14ac:dyDescent="0.35">
      <c r="B30" s="110" t="s">
        <v>695</v>
      </c>
      <c r="C30" s="109">
        <f>C4</f>
        <v>45627</v>
      </c>
      <c r="D30" s="109">
        <f>D4</f>
        <v>45658</v>
      </c>
      <c r="E30" s="109">
        <f>E4</f>
        <v>45689</v>
      </c>
      <c r="F30" s="109">
        <v>45717</v>
      </c>
      <c r="G30" s="109">
        <v>45748</v>
      </c>
      <c r="H30" s="109">
        <v>45778</v>
      </c>
      <c r="I30" s="109">
        <v>45809</v>
      </c>
      <c r="J30" s="109">
        <v>45839</v>
      </c>
      <c r="K30" s="109">
        <v>45870</v>
      </c>
      <c r="L30" s="109">
        <v>45901</v>
      </c>
      <c r="M30" s="109">
        <v>45931</v>
      </c>
      <c r="N30" s="109">
        <v>45962</v>
      </c>
      <c r="O30" s="109">
        <v>45992</v>
      </c>
      <c r="P30" s="109">
        <v>46023</v>
      </c>
      <c r="Q30" s="109">
        <v>46054</v>
      </c>
      <c r="R30" s="109">
        <v>46082</v>
      </c>
      <c r="S30" s="109">
        <v>46113</v>
      </c>
    </row>
    <row r="31" spans="2:19" x14ac:dyDescent="0.35">
      <c r="B31" s="111" t="s">
        <v>696</v>
      </c>
      <c r="C31" s="217">
        <v>639132.78100000008</v>
      </c>
      <c r="D31" s="217">
        <v>1284241.8496825288</v>
      </c>
      <c r="E31" s="217">
        <v>322781.63960555126</v>
      </c>
      <c r="F31" s="217">
        <v>648051</v>
      </c>
      <c r="G31" s="217">
        <v>651253.32128970907</v>
      </c>
      <c r="H31" s="217">
        <v>651253.32128970907</v>
      </c>
      <c r="I31" s="730">
        <v>651253.32128970907</v>
      </c>
      <c r="J31" s="217">
        <v>1302506.6425794181</v>
      </c>
      <c r="K31" s="217">
        <v>677659.8378326667</v>
      </c>
      <c r="L31" s="217">
        <v>1016489.7567489999</v>
      </c>
      <c r="M31" s="217">
        <v>1355319.6</v>
      </c>
      <c r="N31" s="217"/>
      <c r="O31" s="217"/>
      <c r="P31" s="217"/>
      <c r="Q31" s="217"/>
      <c r="R31" s="217"/>
      <c r="S31" s="217"/>
    </row>
    <row r="32" spans="2:19" x14ac:dyDescent="0.35">
      <c r="B32" s="111" t="s">
        <v>697</v>
      </c>
      <c r="C32" s="730"/>
      <c r="D32" s="730"/>
      <c r="E32" s="730"/>
      <c r="F32" s="730">
        <v>80615.33</v>
      </c>
      <c r="G32" s="730">
        <v>0</v>
      </c>
      <c r="H32" s="730">
        <v>0</v>
      </c>
      <c r="I32" s="730">
        <v>0</v>
      </c>
      <c r="J32" s="730">
        <v>0</v>
      </c>
      <c r="K32" s="730">
        <v>0</v>
      </c>
      <c r="L32" s="730">
        <v>0</v>
      </c>
      <c r="M32" s="730">
        <v>0</v>
      </c>
      <c r="N32" s="730"/>
      <c r="O32" s="730"/>
      <c r="P32" s="730"/>
      <c r="Q32" s="730"/>
      <c r="R32" s="730"/>
      <c r="S32" s="730"/>
    </row>
    <row r="33" spans="2:19" x14ac:dyDescent="0.35">
      <c r="B33" s="111" t="s">
        <v>698</v>
      </c>
      <c r="C33" s="219"/>
      <c r="D33" s="219">
        <v>541548.42914753465</v>
      </c>
      <c r="E33" s="219">
        <v>1083683.2619999999</v>
      </c>
      <c r="F33" s="219">
        <v>1985521</v>
      </c>
      <c r="G33" s="219">
        <v>1517775.9897</v>
      </c>
      <c r="H33" s="219">
        <v>1149002.8797298786</v>
      </c>
      <c r="I33" s="219">
        <v>2298005.7594597572</v>
      </c>
      <c r="J33" s="219">
        <v>2872507.1993246963</v>
      </c>
      <c r="K33" s="219">
        <v>1557715.5044999998</v>
      </c>
      <c r="L33" s="219">
        <v>2058987.8146795826</v>
      </c>
      <c r="M33" s="219">
        <v>2058987.8146795826</v>
      </c>
      <c r="N33" s="219"/>
      <c r="O33" s="219"/>
      <c r="P33" s="219"/>
      <c r="Q33" s="219"/>
      <c r="R33" s="219"/>
      <c r="S33" s="219"/>
    </row>
    <row r="34" spans="2:19" x14ac:dyDescent="0.35">
      <c r="B34" s="113" t="s">
        <v>73</v>
      </c>
      <c r="C34" s="273">
        <f t="shared" ref="C34:H34" si="15">SUM(C31:C33)</f>
        <v>639132.78100000008</v>
      </c>
      <c r="D34" s="273">
        <f t="shared" si="15"/>
        <v>1825790.2788300635</v>
      </c>
      <c r="E34" s="273">
        <f t="shared" si="15"/>
        <v>1406464.9016055511</v>
      </c>
      <c r="F34" s="273">
        <f t="shared" si="15"/>
        <v>2714187.33</v>
      </c>
      <c r="G34" s="273">
        <f t="shared" si="15"/>
        <v>2169029.3109897091</v>
      </c>
      <c r="H34" s="273">
        <f t="shared" si="15"/>
        <v>1800256.2010195877</v>
      </c>
      <c r="I34" s="273">
        <f>SUM(I31:I33)</f>
        <v>2949259.0807494661</v>
      </c>
      <c r="J34" s="273">
        <f t="shared" ref="J34:K34" si="16">SUM(J31:J33)</f>
        <v>4175013.8419041145</v>
      </c>
      <c r="K34" s="273">
        <f t="shared" si="16"/>
        <v>2235375.3423326667</v>
      </c>
      <c r="L34" s="273">
        <f t="shared" ref="L34:M34" si="17">SUM(L31:L33)</f>
        <v>3075477.5714285825</v>
      </c>
      <c r="M34" s="273">
        <f t="shared" si="17"/>
        <v>3414307.4146795827</v>
      </c>
      <c r="N34" s="273">
        <f t="shared" ref="N34:O34" si="18">SUM(N31:N33)</f>
        <v>0</v>
      </c>
      <c r="O34" s="273">
        <f t="shared" si="18"/>
        <v>0</v>
      </c>
      <c r="P34" s="273">
        <f t="shared" ref="P34:Q34" si="19">SUM(P31:P33)</f>
        <v>0</v>
      </c>
      <c r="Q34" s="273">
        <f t="shared" si="19"/>
        <v>0</v>
      </c>
      <c r="R34" s="273">
        <f t="shared" ref="R34:S34" si="20">SUM(R31:R33)</f>
        <v>0</v>
      </c>
      <c r="S34" s="273">
        <f t="shared" si="20"/>
        <v>0</v>
      </c>
    </row>
  </sheetData>
  <phoneticPr fontId="23" type="noConversion"/>
  <pageMargins left="0.7" right="0.7" top="0.75" bottom="0.75" header="0.3" footer="0.3"/>
  <pageSetup paperSize="9" orientation="portrait" r:id="rId1"/>
  <ignoredErrors>
    <ignoredError sqref="C12:E12 C34:D34 C28:D28 F28:H28 G12:J12 F34:H34 G7:H7 I28:J28 I34:J34 G9 J9 L9" formulaRange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E4CC-9AE7-4FCA-824E-A7DFB0AF9BF7}">
  <sheetPr>
    <tabColor rgb="FFC6EFCE"/>
  </sheetPr>
  <dimension ref="B1:V46"/>
  <sheetViews>
    <sheetView showGridLines="0" tabSelected="1" topLeftCell="G25" workbookViewId="0">
      <selection activeCell="O34" sqref="O34"/>
    </sheetView>
  </sheetViews>
  <sheetFormatPr defaultColWidth="11.453125" defaultRowHeight="14.5" x14ac:dyDescent="0.35"/>
  <cols>
    <col min="1" max="1" width="4.453125" style="213" customWidth="1"/>
    <col min="2" max="2" width="27.1796875" style="65" customWidth="1"/>
    <col min="3" max="3" width="11.453125" style="213" customWidth="1"/>
    <col min="4" max="4" width="11.453125" style="213"/>
    <col min="5" max="7" width="10" style="213" bestFit="1" customWidth="1"/>
    <col min="8" max="8" width="10.1796875" style="213" bestFit="1" customWidth="1"/>
    <col min="9" max="9" width="10.7265625" style="213" customWidth="1"/>
    <col min="10" max="10" width="10.81640625" style="213" customWidth="1"/>
    <col min="11" max="11" width="11" style="213" customWidth="1"/>
    <col min="12" max="12" width="10.81640625" style="213" customWidth="1"/>
    <col min="13" max="13" width="11.453125" style="213"/>
    <col min="14" max="14" width="11" style="213" bestFit="1" customWidth="1"/>
    <col min="15" max="16384" width="11.453125" style="213"/>
  </cols>
  <sheetData>
    <row r="1" spans="2:22" ht="15" thickBot="1" x14ac:dyDescent="0.4">
      <c r="B1" s="64" t="s">
        <v>37</v>
      </c>
      <c r="U1" s="157" t="s">
        <v>36</v>
      </c>
      <c r="V1" s="198">
        <v>46133</v>
      </c>
    </row>
    <row r="2" spans="2:22" x14ac:dyDescent="0.35">
      <c r="B2" s="591" t="s">
        <v>699</v>
      </c>
    </row>
    <row r="4" spans="2:22" s="214" customFormat="1" x14ac:dyDescent="0.35">
      <c r="B4" s="1194" t="s">
        <v>691</v>
      </c>
      <c r="C4" s="109">
        <v>45627</v>
      </c>
      <c r="D4" s="109">
        <v>45658</v>
      </c>
      <c r="E4" s="109">
        <v>45689</v>
      </c>
      <c r="F4" s="109">
        <v>45717</v>
      </c>
      <c r="G4" s="109">
        <v>45748</v>
      </c>
      <c r="H4" s="109">
        <v>45778</v>
      </c>
      <c r="I4" s="109">
        <v>45809</v>
      </c>
      <c r="J4" s="109">
        <v>45839</v>
      </c>
      <c r="K4" s="109">
        <v>45870</v>
      </c>
      <c r="L4" s="109">
        <v>45901</v>
      </c>
      <c r="M4" s="109">
        <v>45931</v>
      </c>
      <c r="N4" s="109">
        <v>45962</v>
      </c>
      <c r="O4" s="109">
        <v>45992</v>
      </c>
      <c r="P4" s="109">
        <v>46023</v>
      </c>
      <c r="Q4" s="109">
        <v>46054</v>
      </c>
      <c r="R4" s="109">
        <v>46082</v>
      </c>
      <c r="S4" s="109">
        <v>46113</v>
      </c>
    </row>
    <row r="5" spans="2:22" s="214" customFormat="1" x14ac:dyDescent="0.35">
      <c r="B5" s="133" t="s">
        <v>54</v>
      </c>
      <c r="C5" s="220">
        <v>2128206</v>
      </c>
      <c r="D5" s="220">
        <v>2503867.5980000002</v>
      </c>
      <c r="E5" s="220">
        <v>2666306.88</v>
      </c>
      <c r="F5" s="220">
        <v>2632626</v>
      </c>
      <c r="G5" s="220">
        <v>2612626</v>
      </c>
      <c r="H5" s="220">
        <v>2612626</v>
      </c>
      <c r="I5" s="220">
        <v>2770864.0034000003</v>
      </c>
      <c r="J5" s="220">
        <v>2921847.5164000001</v>
      </c>
      <c r="K5" s="220">
        <v>3148425.5</v>
      </c>
      <c r="L5" s="220">
        <v>3147165.5</v>
      </c>
      <c r="M5" s="220">
        <v>3507994.3699999996</v>
      </c>
      <c r="N5" s="220">
        <v>3077451.2699999996</v>
      </c>
      <c r="O5" s="220">
        <v>4621659.1609999985</v>
      </c>
      <c r="P5" s="220">
        <v>3186153.0840799995</v>
      </c>
      <c r="Q5" s="220">
        <v>3241244.866753439</v>
      </c>
      <c r="R5" s="220">
        <v>3115790.406753439</v>
      </c>
      <c r="S5" s="220"/>
    </row>
    <row r="6" spans="2:22" s="214" customFormat="1" x14ac:dyDescent="0.35">
      <c r="B6" s="133" t="s">
        <v>53</v>
      </c>
      <c r="C6" s="220"/>
      <c r="D6" s="220"/>
      <c r="E6" s="220">
        <v>240000</v>
      </c>
      <c r="F6" s="220">
        <v>1706000</v>
      </c>
      <c r="G6" s="220">
        <v>446700</v>
      </c>
      <c r="H6" s="220">
        <v>1707000</v>
      </c>
      <c r="I6" s="220">
        <v>3102500</v>
      </c>
      <c r="J6" s="220">
        <v>535650</v>
      </c>
      <c r="K6" s="220">
        <v>867350</v>
      </c>
      <c r="L6" s="220">
        <v>563846</v>
      </c>
      <c r="M6" s="220">
        <v>597500</v>
      </c>
      <c r="N6" s="220">
        <v>611500</v>
      </c>
      <c r="O6" s="220">
        <v>510175</v>
      </c>
      <c r="P6" s="220">
        <v>902278</v>
      </c>
      <c r="Q6" s="220">
        <v>537124</v>
      </c>
      <c r="R6" s="220">
        <v>1685000</v>
      </c>
      <c r="S6" s="220">
        <v>790000</v>
      </c>
    </row>
    <row r="7" spans="2:22" s="214" customFormat="1" x14ac:dyDescent="0.35">
      <c r="B7" s="134" t="s">
        <v>55</v>
      </c>
      <c r="C7" s="220"/>
      <c r="D7" s="220">
        <v>320000</v>
      </c>
      <c r="E7" s="220">
        <v>14684.619999999999</v>
      </c>
      <c r="F7" s="220">
        <v>181198.83</v>
      </c>
      <c r="G7" s="220">
        <v>217418.9</v>
      </c>
      <c r="H7" s="220">
        <v>263908.64999999997</v>
      </c>
      <c r="I7" s="220">
        <v>162641.49</v>
      </c>
      <c r="J7" s="220">
        <v>614099.15000000014</v>
      </c>
      <c r="K7" s="220">
        <v>409160.22</v>
      </c>
      <c r="L7" s="220">
        <v>639151.32999999996</v>
      </c>
      <c r="M7" s="220">
        <v>589301.63</v>
      </c>
      <c r="N7" s="220">
        <v>917395.4800000001</v>
      </c>
      <c r="O7" s="220">
        <v>1084990.74</v>
      </c>
      <c r="P7" s="220">
        <v>1932601.61</v>
      </c>
      <c r="Q7" s="220">
        <v>579958.7699999999</v>
      </c>
      <c r="R7" s="220">
        <v>621749.04</v>
      </c>
      <c r="S7" s="220">
        <v>432348.33999999997</v>
      </c>
    </row>
    <row r="8" spans="2:22" s="214" customFormat="1" x14ac:dyDescent="0.35">
      <c r="B8" s="133" t="s">
        <v>700</v>
      </c>
      <c r="C8" s="220"/>
      <c r="D8" s="220"/>
      <c r="E8" s="220"/>
      <c r="F8" s="220"/>
      <c r="G8" s="220"/>
      <c r="H8" s="1193"/>
      <c r="I8" s="220">
        <v>43528.94</v>
      </c>
      <c r="J8" s="220">
        <v>493967.79</v>
      </c>
      <c r="K8" s="220">
        <v>503642.81000000006</v>
      </c>
      <c r="L8" s="220">
        <v>343399.45</v>
      </c>
      <c r="M8" s="220">
        <v>13007537.219999999</v>
      </c>
      <c r="N8" s="220">
        <v>3518484.5700000003</v>
      </c>
      <c r="O8" s="220">
        <v>1477363.4699999997</v>
      </c>
      <c r="P8" s="220">
        <v>2864564.55</v>
      </c>
      <c r="Q8" s="220">
        <v>6304561.5599999996</v>
      </c>
      <c r="R8" s="220">
        <v>6343465.5</v>
      </c>
      <c r="S8" s="220">
        <v>1587335.5399999998</v>
      </c>
    </row>
    <row r="9" spans="2:22" s="214" customFormat="1" x14ac:dyDescent="0.35">
      <c r="B9" s="133" t="s">
        <v>701</v>
      </c>
      <c r="C9" s="220"/>
      <c r="D9" s="220"/>
      <c r="E9" s="220">
        <f>'M.O. ALB '!L20+2835</f>
        <v>725487</v>
      </c>
      <c r="F9" s="220">
        <f>306666.67+275127.15+SUM('M.O. ALB '!M21:M22)</f>
        <v>3309015.8200000003</v>
      </c>
      <c r="G9" s="220">
        <f>200000+SUM('M.O. ALB '!M23:M24)</f>
        <v>3592574</v>
      </c>
      <c r="H9" s="220">
        <f>200000+SUM('M.O. ALB '!M25:M26)</f>
        <v>3991998.6869188421</v>
      </c>
      <c r="I9" s="220">
        <f>SUM('M.O. ALB '!M27:M28)</f>
        <v>4723373.5200560717</v>
      </c>
      <c r="J9" s="220">
        <f>SUM('M.O. ALB '!M29:M30)</f>
        <v>6711151</v>
      </c>
      <c r="K9" s="220">
        <f>SUM('M.O. ALB '!M31:M32)+2677.5</f>
        <v>5712430.6100000013</v>
      </c>
      <c r="L9" s="220">
        <f>SUM('M.O. ALB '!M33:M34)</f>
        <v>7745412.9502389869</v>
      </c>
      <c r="M9" s="220">
        <f>210000+SUM('M.O. ALB '!M35:M36)</f>
        <v>8032802.8257497745</v>
      </c>
      <c r="N9" s="220">
        <f>420000+SUM('M.O. ALB '!M37:M38)</f>
        <v>14055081.798555665</v>
      </c>
      <c r="O9" s="220">
        <f>436000+SUM('M.O. ALB '!M39:M40)</f>
        <v>20262004.756642431</v>
      </c>
      <c r="P9" s="220">
        <f>444500+SUM('M.O. ALB '!M41:M42)</f>
        <v>21581644.656030096</v>
      </c>
      <c r="Q9" s="220">
        <f>SUM('M.O. ALB '!M43:M44)+SUM(Contratistas!C113)</f>
        <v>21958232.083802946</v>
      </c>
      <c r="R9" s="220">
        <f>228500+SUM(Contratistas!C114:D118)+SUM('M.O. ALB '!M45:M46)</f>
        <v>28378747.491170816</v>
      </c>
      <c r="S9" s="220">
        <f>SUM(Contratistas!C119:D119)</f>
        <v>1829165</v>
      </c>
    </row>
    <row r="10" spans="2:22" s="214" customFormat="1" x14ac:dyDescent="0.35">
      <c r="B10" s="197" t="s">
        <v>702</v>
      </c>
      <c r="C10" s="220"/>
      <c r="D10" s="220"/>
      <c r="E10" s="220"/>
      <c r="F10" s="220"/>
      <c r="G10" s="220"/>
      <c r="H10" s="1193"/>
      <c r="I10" s="1193"/>
      <c r="J10" s="220"/>
      <c r="K10" s="220"/>
      <c r="L10" s="220"/>
      <c r="M10" s="220"/>
      <c r="N10" s="220"/>
      <c r="O10" s="220"/>
      <c r="P10" s="220">
        <v>7783423.7200000007</v>
      </c>
      <c r="Q10" s="220"/>
      <c r="R10" s="220">
        <v>1583421.5</v>
      </c>
      <c r="S10" s="220"/>
    </row>
    <row r="11" spans="2:22" s="214" customFormat="1" x14ac:dyDescent="0.35">
      <c r="B11" s="134" t="s">
        <v>703</v>
      </c>
      <c r="C11" s="220"/>
      <c r="D11" s="220"/>
      <c r="E11" s="220"/>
      <c r="F11" s="220"/>
      <c r="G11" s="220"/>
      <c r="H11" s="1193"/>
      <c r="I11" s="1193"/>
      <c r="J11" s="220"/>
      <c r="K11" s="220"/>
      <c r="L11" s="220"/>
      <c r="M11" s="220"/>
      <c r="N11" s="220"/>
      <c r="O11" s="220"/>
      <c r="P11" s="220"/>
      <c r="Q11" s="220">
        <v>2400000</v>
      </c>
      <c r="R11" s="220">
        <f>SUM(Contratistas!C100:D102)</f>
        <v>7589829</v>
      </c>
      <c r="S11" s="220">
        <f>SUM(Contratistas!C103:D104)</f>
        <v>3175584</v>
      </c>
    </row>
    <row r="12" spans="2:22" s="214" customFormat="1" x14ac:dyDescent="0.35">
      <c r="B12" s="134" t="s">
        <v>704</v>
      </c>
      <c r="C12" s="222"/>
      <c r="D12" s="222"/>
      <c r="E12" s="222"/>
      <c r="F12" s="222"/>
      <c r="G12" s="222"/>
      <c r="H12" s="1332"/>
      <c r="I12" s="1332"/>
      <c r="J12" s="222"/>
      <c r="K12" s="222"/>
      <c r="L12" s="222"/>
      <c r="M12" s="222"/>
      <c r="N12" s="222"/>
      <c r="O12" s="222"/>
      <c r="P12" s="222"/>
      <c r="Q12" s="222"/>
      <c r="R12" s="222">
        <v>2012146.6</v>
      </c>
      <c r="S12" s="222"/>
    </row>
    <row r="13" spans="2:22" s="214" customFormat="1" x14ac:dyDescent="0.35">
      <c r="B13" s="134" t="s">
        <v>705</v>
      </c>
      <c r="C13" s="222"/>
      <c r="D13" s="222"/>
      <c r="E13" s="222"/>
      <c r="F13" s="222"/>
      <c r="G13" s="222"/>
      <c r="H13" s="1332"/>
      <c r="I13" s="1332"/>
      <c r="J13" s="222"/>
      <c r="K13" s="222"/>
      <c r="L13" s="222"/>
      <c r="M13" s="222"/>
      <c r="N13" s="222"/>
      <c r="O13" s="222"/>
      <c r="P13" s="222"/>
      <c r="Q13" s="222">
        <v>1940600</v>
      </c>
      <c r="R13" s="222"/>
      <c r="S13" s="222"/>
    </row>
    <row r="14" spans="2:22" s="214" customFormat="1" x14ac:dyDescent="0.35">
      <c r="B14" s="134" t="s">
        <v>706</v>
      </c>
      <c r="C14" s="222"/>
      <c r="D14" s="222"/>
      <c r="E14" s="222"/>
      <c r="F14" s="222"/>
      <c r="G14" s="222"/>
      <c r="H14" s="1332"/>
      <c r="I14" s="1332"/>
      <c r="J14" s="222"/>
      <c r="K14" s="222"/>
      <c r="L14" s="222"/>
      <c r="M14" s="222"/>
      <c r="N14" s="222"/>
      <c r="O14" s="222"/>
      <c r="P14" s="222">
        <v>116399.22</v>
      </c>
      <c r="Q14" s="222"/>
      <c r="R14" s="222">
        <v>46767.16</v>
      </c>
      <c r="S14" s="222"/>
    </row>
    <row r="15" spans="2:22" s="214" customFormat="1" x14ac:dyDescent="0.35">
      <c r="B15" s="134" t="s">
        <v>707</v>
      </c>
      <c r="C15" s="222"/>
      <c r="D15" s="222"/>
      <c r="E15" s="222"/>
      <c r="F15" s="222"/>
      <c r="G15" s="222"/>
      <c r="H15" s="1332"/>
      <c r="I15" s="1332"/>
      <c r="J15" s="222"/>
      <c r="K15" s="222"/>
      <c r="L15" s="222"/>
      <c r="M15" s="222"/>
      <c r="N15" s="222"/>
      <c r="O15" s="222"/>
      <c r="P15" s="222"/>
      <c r="Q15" s="222"/>
      <c r="R15" s="222"/>
      <c r="S15" s="222"/>
    </row>
    <row r="16" spans="2:22" s="214" customFormat="1" x14ac:dyDescent="0.35">
      <c r="B16" s="134" t="s">
        <v>708</v>
      </c>
      <c r="C16" s="222"/>
      <c r="D16" s="222"/>
      <c r="E16" s="222"/>
      <c r="F16" s="222"/>
      <c r="G16" s="222"/>
      <c r="H16" s="1332"/>
      <c r="I16" s="1332"/>
      <c r="J16" s="222">
        <v>299136.83</v>
      </c>
      <c r="K16" s="222">
        <v>1111962.1499999999</v>
      </c>
      <c r="L16" s="222">
        <v>159574.19</v>
      </c>
      <c r="M16" s="222">
        <v>1207451.04</v>
      </c>
      <c r="N16" s="222">
        <v>368352.18</v>
      </c>
      <c r="O16" s="222">
        <v>911386.19</v>
      </c>
      <c r="P16" s="222">
        <v>976118.41999999993</v>
      </c>
      <c r="Q16" s="222">
        <v>210250.83</v>
      </c>
      <c r="R16" s="222">
        <v>574075.59</v>
      </c>
      <c r="S16" s="222">
        <v>76388.009999999995</v>
      </c>
    </row>
    <row r="17" spans="2:19" s="214" customFormat="1" x14ac:dyDescent="0.35">
      <c r="B17" s="134" t="s">
        <v>709</v>
      </c>
      <c r="C17" s="222"/>
      <c r="D17" s="222"/>
      <c r="E17" s="222"/>
      <c r="F17" s="222"/>
      <c r="G17" s="222"/>
      <c r="H17" s="1332"/>
      <c r="I17" s="1332"/>
      <c r="J17" s="222">
        <v>500000</v>
      </c>
      <c r="K17" s="222">
        <v>450000</v>
      </c>
      <c r="L17" s="222">
        <f>SUM('M.O. ELE'!M24:M25)</f>
        <v>1808487.9984120834</v>
      </c>
      <c r="M17" s="222">
        <f>SUM('M.O. ELE'!M26:M27)</f>
        <v>1155022.7442295076</v>
      </c>
      <c r="N17" s="222">
        <f>SUM('M.O. ELE'!M28:M29)</f>
        <v>2519333.7981726136</v>
      </c>
      <c r="O17" s="222">
        <f>SUM('M.O. ELE'!M30:M31)</f>
        <v>3802812.4791382533</v>
      </c>
      <c r="P17" s="222">
        <f>SUM('M.O. ELE'!M32:M33)</f>
        <v>4355561.0464389808</v>
      </c>
      <c r="Q17" s="222">
        <f>SUM('M.O. ELE'!M34:M35)</f>
        <v>2943587.5098051541</v>
      </c>
      <c r="R17" s="222">
        <f>SUM('M.O. ELE'!M36:M37)</f>
        <v>4066285.0409726859</v>
      </c>
      <c r="S17" s="222"/>
    </row>
    <row r="18" spans="2:19" s="214" customFormat="1" x14ac:dyDescent="0.35">
      <c r="B18" s="134" t="s">
        <v>710</v>
      </c>
      <c r="C18" s="222"/>
      <c r="D18" s="222"/>
      <c r="E18" s="222"/>
      <c r="F18" s="222"/>
      <c r="G18" s="222"/>
      <c r="H18" s="1332"/>
      <c r="I18" s="1332"/>
      <c r="J18" s="222">
        <v>7851.24</v>
      </c>
      <c r="K18" s="222"/>
      <c r="L18" s="222"/>
      <c r="M18" s="222">
        <v>94814.9</v>
      </c>
      <c r="N18" s="222"/>
      <c r="O18" s="222">
        <v>4296617.49</v>
      </c>
      <c r="P18" s="222">
        <v>1787531.5</v>
      </c>
      <c r="Q18" s="222">
        <v>675872.12999999989</v>
      </c>
      <c r="R18" s="222">
        <v>402485.08999999997</v>
      </c>
      <c r="S18" s="222">
        <v>633057</v>
      </c>
    </row>
    <row r="19" spans="2:19" s="214" customFormat="1" x14ac:dyDescent="0.35">
      <c r="B19" s="134" t="s">
        <v>711</v>
      </c>
      <c r="C19" s="222"/>
      <c r="D19" s="222"/>
      <c r="E19" s="222"/>
      <c r="F19" s="222"/>
      <c r="G19" s="222"/>
      <c r="H19" s="1332"/>
      <c r="I19" s="1332"/>
      <c r="J19" s="222"/>
      <c r="K19" s="222"/>
      <c r="L19" s="222"/>
      <c r="M19" s="222">
        <f>SUM('M.O. PLOME'!M12:M13)</f>
        <v>495009.74752693181</v>
      </c>
      <c r="N19" s="222"/>
      <c r="O19" s="222">
        <f>390000+SUM('M.O. PLOME'!M14:M15)</f>
        <v>3912286.3011631537</v>
      </c>
      <c r="P19" s="222">
        <f>260000+SUM('M.O. PLOME'!M16:M17)</f>
        <v>4566137.8741323994</v>
      </c>
      <c r="Q19" s="222">
        <f>SUM('M.O. PLOME'!M18:M19)</f>
        <v>4327360.7719840761</v>
      </c>
      <c r="R19" s="222">
        <f>SUM('M.O. PLOME'!M20:M21)</f>
        <v>6427831.2136152536</v>
      </c>
      <c r="S19" s="222"/>
    </row>
    <row r="20" spans="2:19" s="214" customFormat="1" x14ac:dyDescent="0.35">
      <c r="B20" s="134" t="s">
        <v>712</v>
      </c>
      <c r="C20" s="222"/>
      <c r="D20" s="222"/>
      <c r="E20" s="222"/>
      <c r="F20" s="222"/>
      <c r="G20" s="222"/>
      <c r="H20" s="1332"/>
      <c r="I20" s="1332"/>
      <c r="J20" s="222"/>
      <c r="K20" s="222"/>
      <c r="L20" s="222"/>
      <c r="M20" s="222"/>
      <c r="N20" s="222"/>
      <c r="O20" s="222"/>
      <c r="P20" s="222"/>
      <c r="Q20" s="222"/>
      <c r="R20" s="222"/>
      <c r="S20" s="222"/>
    </row>
    <row r="21" spans="2:19" s="214" customFormat="1" x14ac:dyDescent="0.35">
      <c r="B21" s="134" t="s">
        <v>713</v>
      </c>
      <c r="C21" s="222"/>
      <c r="D21" s="222"/>
      <c r="E21" s="222"/>
      <c r="F21" s="222"/>
      <c r="G21" s="222"/>
      <c r="H21" s="1332"/>
      <c r="I21" s="1332"/>
      <c r="J21" s="222"/>
      <c r="K21" s="222"/>
      <c r="L21" s="222"/>
      <c r="M21" s="222"/>
      <c r="N21" s="222"/>
      <c r="O21" s="222"/>
      <c r="P21" s="222"/>
      <c r="Q21" s="222"/>
      <c r="R21" s="222"/>
      <c r="S21" s="222"/>
    </row>
    <row r="22" spans="2:19" s="214" customFormat="1" x14ac:dyDescent="0.35">
      <c r="B22" s="134" t="s">
        <v>68</v>
      </c>
      <c r="C22" s="222"/>
      <c r="D22" s="222"/>
      <c r="E22" s="222"/>
      <c r="F22" s="222"/>
      <c r="G22" s="222"/>
      <c r="H22" s="1332"/>
      <c r="I22" s="1332"/>
      <c r="J22" s="222"/>
      <c r="K22" s="222"/>
      <c r="L22" s="222"/>
      <c r="M22" s="222"/>
      <c r="N22" s="222">
        <v>688325.58848080283</v>
      </c>
      <c r="O22" s="222">
        <v>711547.43969128944</v>
      </c>
      <c r="P22" s="222">
        <v>737537.19374460424</v>
      </c>
      <c r="Q22" s="222">
        <v>761316.76355391066</v>
      </c>
      <c r="R22" s="222">
        <v>787253.60742308944</v>
      </c>
      <c r="S22" s="222"/>
    </row>
    <row r="23" spans="2:19" s="214" customFormat="1" x14ac:dyDescent="0.35">
      <c r="B23" s="135" t="s">
        <v>87</v>
      </c>
      <c r="C23" s="223">
        <f>SUM(C5:C22)</f>
        <v>2128206</v>
      </c>
      <c r="D23" s="223">
        <f t="shared" ref="D23:H23" si="0">SUM(D5:D22)</f>
        <v>2823867.5980000002</v>
      </c>
      <c r="E23" s="223">
        <f t="shared" si="0"/>
        <v>3646478.5</v>
      </c>
      <c r="F23" s="223">
        <f t="shared" si="0"/>
        <v>7828840.6500000004</v>
      </c>
      <c r="G23" s="223">
        <f t="shared" si="0"/>
        <v>6869318.9000000004</v>
      </c>
      <c r="H23" s="223">
        <f t="shared" si="0"/>
        <v>8575533.336918842</v>
      </c>
      <c r="I23" s="223">
        <f t="shared" ref="I23:J23" si="1">SUM(I5:I22)</f>
        <v>10802907.953456072</v>
      </c>
      <c r="J23" s="223">
        <f t="shared" si="1"/>
        <v>12083703.5264</v>
      </c>
      <c r="K23" s="223">
        <f t="shared" ref="K23:L23" si="2">SUM(K5:K22)</f>
        <v>12202971.290000001</v>
      </c>
      <c r="L23" s="223">
        <f t="shared" si="2"/>
        <v>14407037.41865107</v>
      </c>
      <c r="M23" s="223">
        <f t="shared" ref="M23:N23" si="3">SUM(M5:M22)</f>
        <v>28687434.477506209</v>
      </c>
      <c r="N23" s="223">
        <f t="shared" si="3"/>
        <v>25755924.685209084</v>
      </c>
      <c r="O23" s="223">
        <f t="shared" ref="O23:P23" si="4">SUM(O5:O22)</f>
        <v>41590843.027635127</v>
      </c>
      <c r="P23" s="223">
        <f t="shared" si="4"/>
        <v>50789950.874426082</v>
      </c>
      <c r="Q23" s="223">
        <f t="shared" ref="Q23:R23" si="5">SUM(Q5:Q22)</f>
        <v>45880109.285899527</v>
      </c>
      <c r="R23" s="223">
        <f t="shared" si="5"/>
        <v>63634847.239935286</v>
      </c>
      <c r="S23" s="223">
        <f t="shared" ref="S23" si="6">SUM(S5:S22)</f>
        <v>8523877.8900000006</v>
      </c>
    </row>
    <row r="24" spans="2:19" x14ac:dyDescent="0.35">
      <c r="C24"/>
      <c r="D24"/>
    </row>
    <row r="25" spans="2:19" x14ac:dyDescent="0.35">
      <c r="C25"/>
      <c r="D25"/>
    </row>
    <row r="26" spans="2:19" x14ac:dyDescent="0.35">
      <c r="B26" s="110" t="s">
        <v>694</v>
      </c>
      <c r="C26" s="109">
        <v>45627</v>
      </c>
      <c r="D26" s="109">
        <v>45658</v>
      </c>
      <c r="E26" s="109">
        <v>45689</v>
      </c>
      <c r="F26" s="109">
        <v>45717</v>
      </c>
      <c r="G26" s="109">
        <v>45748</v>
      </c>
      <c r="H26" s="109">
        <v>45778</v>
      </c>
      <c r="I26" s="109">
        <v>45809</v>
      </c>
      <c r="J26" s="109">
        <v>45839</v>
      </c>
      <c r="K26" s="109">
        <v>45870</v>
      </c>
      <c r="L26" s="109">
        <v>45901</v>
      </c>
      <c r="M26" s="109">
        <v>45931</v>
      </c>
      <c r="N26" s="109">
        <v>45962</v>
      </c>
      <c r="O26" s="109">
        <v>45992</v>
      </c>
      <c r="P26" s="109">
        <v>46023</v>
      </c>
      <c r="Q26" s="109">
        <v>46054</v>
      </c>
      <c r="R26" s="109">
        <v>46082</v>
      </c>
      <c r="S26" s="109">
        <v>46113</v>
      </c>
    </row>
    <row r="27" spans="2:19" x14ac:dyDescent="0.35">
      <c r="B27" s="111" t="s">
        <v>634</v>
      </c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</row>
    <row r="28" spans="2:19" x14ac:dyDescent="0.35">
      <c r="B28" s="111" t="s">
        <v>636</v>
      </c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</row>
    <row r="29" spans="2:19" x14ac:dyDescent="0.35">
      <c r="B29" s="111" t="s">
        <v>638</v>
      </c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</row>
    <row r="30" spans="2:19" x14ac:dyDescent="0.35">
      <c r="B30" s="111" t="s">
        <v>641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</row>
    <row r="31" spans="2:19" x14ac:dyDescent="0.35">
      <c r="B31" s="111" t="s">
        <v>646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</row>
    <row r="32" spans="2:19" x14ac:dyDescent="0.35">
      <c r="B32" s="111" t="s">
        <v>650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</row>
    <row r="33" spans="2:19" x14ac:dyDescent="0.35">
      <c r="B33" s="111" t="s">
        <v>652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</row>
    <row r="34" spans="2:19" x14ac:dyDescent="0.35">
      <c r="B34" s="111" t="s">
        <v>657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>
        <v>2005645.5177599993</v>
      </c>
      <c r="O34" s="218">
        <v>2870210.2899291008</v>
      </c>
      <c r="P34" s="218">
        <v>1119889.7549464591</v>
      </c>
      <c r="Q34" s="218">
        <v>1238690.1498306396</v>
      </c>
      <c r="R34" s="218">
        <v>1313548.9779472956</v>
      </c>
      <c r="S34" s="218"/>
    </row>
    <row r="35" spans="2:19" x14ac:dyDescent="0.35">
      <c r="B35" s="111" t="s">
        <v>658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>
        <v>494000</v>
      </c>
      <c r="O35" s="218">
        <v>755700</v>
      </c>
      <c r="P35" s="218">
        <v>513876</v>
      </c>
      <c r="Q35" s="218">
        <v>523125.60000000003</v>
      </c>
      <c r="R35" s="218">
        <v>523125.60000000003</v>
      </c>
      <c r="S35" s="218"/>
    </row>
    <row r="36" spans="2:19" x14ac:dyDescent="0.35">
      <c r="B36" s="111" t="s">
        <v>660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</row>
    <row r="37" spans="2:19" x14ac:dyDescent="0.35">
      <c r="B37" s="111" t="s">
        <v>161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</row>
    <row r="38" spans="2:19" x14ac:dyDescent="0.35">
      <c r="B38" s="111" t="s">
        <v>662</v>
      </c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</row>
    <row r="39" spans="2:19" x14ac:dyDescent="0.35">
      <c r="B39" s="111" t="s">
        <v>663</v>
      </c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>
        <v>397579.02838860085</v>
      </c>
      <c r="O39" s="218">
        <v>408711.2411834817</v>
      </c>
      <c r="P39" s="218">
        <v>420563.8671778026</v>
      </c>
      <c r="Q39" s="218">
        <v>432760.21932595887</v>
      </c>
      <c r="R39" s="218">
        <v>447474.06678304152</v>
      </c>
      <c r="S39" s="218"/>
    </row>
    <row r="40" spans="2:19" x14ac:dyDescent="0.35">
      <c r="B40" s="113" t="s">
        <v>72</v>
      </c>
      <c r="C40" s="273">
        <f t="shared" ref="C40:D40" si="7">SUM(C27:C39)</f>
        <v>0</v>
      </c>
      <c r="D40" s="273">
        <f t="shared" si="7"/>
        <v>0</v>
      </c>
      <c r="E40" s="273">
        <f t="shared" ref="E40:F40" si="8">SUM(E27:E39)</f>
        <v>0</v>
      </c>
      <c r="F40" s="273">
        <f t="shared" si="8"/>
        <v>0</v>
      </c>
      <c r="G40" s="273">
        <f t="shared" ref="G40:H40" si="9">SUM(G27:G39)</f>
        <v>0</v>
      </c>
      <c r="H40" s="273">
        <f t="shared" si="9"/>
        <v>0</v>
      </c>
      <c r="I40" s="273">
        <f t="shared" ref="I40:J40" si="10">SUM(I27:I39)</f>
        <v>0</v>
      </c>
      <c r="J40" s="273">
        <f t="shared" si="10"/>
        <v>0</v>
      </c>
      <c r="K40" s="273">
        <f t="shared" ref="K40:L40" si="11">SUM(K27:K39)</f>
        <v>0</v>
      </c>
      <c r="L40" s="273">
        <f t="shared" si="11"/>
        <v>0</v>
      </c>
      <c r="M40" s="273">
        <f t="shared" ref="M40:N40" si="12">SUM(M27:M39)</f>
        <v>0</v>
      </c>
      <c r="N40" s="273">
        <f t="shared" si="12"/>
        <v>2897224.5461486001</v>
      </c>
      <c r="O40" s="273">
        <f t="shared" ref="O40:P40" si="13">SUM(O27:O39)</f>
        <v>4034621.5311125824</v>
      </c>
      <c r="P40" s="273">
        <f t="shared" si="13"/>
        <v>2054329.6221242617</v>
      </c>
      <c r="Q40" s="273">
        <f t="shared" ref="Q40:R40" si="14">SUM(Q27:Q39)</f>
        <v>2194575.9691565987</v>
      </c>
      <c r="R40" s="273">
        <f t="shared" si="14"/>
        <v>2284148.6447303374</v>
      </c>
      <c r="S40" s="273">
        <f t="shared" ref="S40" si="15">SUM(S27:S39)</f>
        <v>0</v>
      </c>
    </row>
    <row r="41" spans="2:19" x14ac:dyDescent="0.35">
      <c r="B41" s="112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2:19" x14ac:dyDescent="0.35">
      <c r="B42" s="110" t="s">
        <v>695</v>
      </c>
      <c r="C42" s="109">
        <v>45627</v>
      </c>
      <c r="D42" s="109">
        <v>45658</v>
      </c>
      <c r="E42" s="109">
        <v>45689</v>
      </c>
      <c r="F42" s="109">
        <v>45717</v>
      </c>
      <c r="G42" s="109">
        <v>45748</v>
      </c>
      <c r="H42" s="109">
        <v>45778</v>
      </c>
      <c r="I42" s="109">
        <v>45809</v>
      </c>
      <c r="J42" s="109">
        <v>45839</v>
      </c>
      <c r="K42" s="109">
        <v>45870</v>
      </c>
      <c r="L42" s="109">
        <v>45901</v>
      </c>
      <c r="M42" s="109">
        <v>45931</v>
      </c>
      <c r="N42" s="109">
        <v>45962</v>
      </c>
      <c r="O42" s="109">
        <v>45992</v>
      </c>
      <c r="P42" s="109">
        <v>46023</v>
      </c>
      <c r="Q42" s="109">
        <v>46054</v>
      </c>
      <c r="R42" s="109">
        <v>46082</v>
      </c>
      <c r="S42" s="109">
        <v>46113</v>
      </c>
    </row>
    <row r="43" spans="2:19" x14ac:dyDescent="0.35">
      <c r="B43" s="111" t="s">
        <v>696</v>
      </c>
      <c r="C43" s="217"/>
      <c r="D43" s="217"/>
      <c r="E43" s="217"/>
      <c r="F43" s="217"/>
      <c r="G43" s="217"/>
      <c r="H43" s="730"/>
      <c r="I43" s="218"/>
      <c r="J43" s="730"/>
      <c r="K43" s="730"/>
      <c r="L43" s="730"/>
      <c r="M43" s="730"/>
      <c r="N43" s="730">
        <v>1543849.2</v>
      </c>
      <c r="O43" s="730">
        <v>2315773.9500000002</v>
      </c>
      <c r="P43" s="730">
        <v>1875000</v>
      </c>
      <c r="Q43" s="730">
        <v>1875000.15</v>
      </c>
      <c r="R43" s="730">
        <v>1562500.125</v>
      </c>
      <c r="S43" s="730"/>
    </row>
    <row r="44" spans="2:19" x14ac:dyDescent="0.35">
      <c r="B44" s="111" t="s">
        <v>697</v>
      </c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</row>
    <row r="45" spans="2:19" x14ac:dyDescent="0.35">
      <c r="B45" s="111" t="s">
        <v>698</v>
      </c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>
        <v>1448633.1548999997</v>
      </c>
      <c r="O45" s="219">
        <v>2034382.4605809362</v>
      </c>
      <c r="P45" s="219">
        <v>1609073.8068855698</v>
      </c>
      <c r="Q45" s="219">
        <v>1663872.2154952104</v>
      </c>
      <c r="R45" s="219">
        <v>1663872.2154952104</v>
      </c>
      <c r="S45" s="219"/>
    </row>
    <row r="46" spans="2:19" x14ac:dyDescent="0.35">
      <c r="B46" s="113" t="s">
        <v>73</v>
      </c>
      <c r="C46" s="273">
        <f t="shared" ref="C46:D46" si="16">SUM(C43:C45)</f>
        <v>0</v>
      </c>
      <c r="D46" s="273">
        <f t="shared" si="16"/>
        <v>0</v>
      </c>
      <c r="E46" s="273">
        <f t="shared" ref="E46:F46" si="17">SUM(E43:E45)</f>
        <v>0</v>
      </c>
      <c r="F46" s="273">
        <f t="shared" si="17"/>
        <v>0</v>
      </c>
      <c r="G46" s="273">
        <f t="shared" ref="G46:H46" si="18">SUM(G43:G45)</f>
        <v>0</v>
      </c>
      <c r="H46" s="273">
        <f t="shared" si="18"/>
        <v>0</v>
      </c>
      <c r="I46" s="273">
        <f>SUM(I44:I45)</f>
        <v>0</v>
      </c>
      <c r="J46" s="273">
        <f t="shared" ref="J46:O46" si="19">SUM(J43:J45)</f>
        <v>0</v>
      </c>
      <c r="K46" s="273">
        <f t="shared" si="19"/>
        <v>0</v>
      </c>
      <c r="L46" s="273">
        <f t="shared" si="19"/>
        <v>0</v>
      </c>
      <c r="M46" s="273">
        <f t="shared" si="19"/>
        <v>0</v>
      </c>
      <c r="N46" s="273">
        <f t="shared" si="19"/>
        <v>2992482.3548999997</v>
      </c>
      <c r="O46" s="273">
        <f t="shared" si="19"/>
        <v>4350156.4105809368</v>
      </c>
      <c r="P46" s="273">
        <f t="shared" ref="P46:Q46" si="20">SUM(P43:P45)</f>
        <v>3484073.8068855698</v>
      </c>
      <c r="Q46" s="273">
        <f t="shared" si="20"/>
        <v>3538872.3654952105</v>
      </c>
      <c r="R46" s="273">
        <f t="shared" ref="R46:S46" si="21">SUM(R43:R45)</f>
        <v>3226372.3404952101</v>
      </c>
      <c r="S46" s="273">
        <f t="shared" si="21"/>
        <v>0</v>
      </c>
    </row>
  </sheetData>
  <pageMargins left="0.7" right="0.7" top="0.75" bottom="0.75" header="0.3" footer="0.3"/>
  <pageSetup paperSize="9" orientation="portrait" r:id="rId1"/>
  <ignoredErrors>
    <ignoredError sqref="C40:H40 C46:H46 C23:H23 I23:J23 K23:L23" formulaRange="1"/>
  </ignoredError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FED9-6B93-4B60-A4CC-2346DC2240D1}">
  <sheetPr>
    <tabColor rgb="FF66FFFF"/>
  </sheetPr>
  <dimension ref="A1:D20"/>
  <sheetViews>
    <sheetView workbookViewId="0">
      <selection activeCell="G14" sqref="G14"/>
    </sheetView>
  </sheetViews>
  <sheetFormatPr defaultColWidth="11.453125" defaultRowHeight="14.5" x14ac:dyDescent="0.35"/>
  <cols>
    <col min="1" max="1" width="13.1796875" bestFit="1" customWidth="1"/>
    <col min="2" max="2" width="11.453125" bestFit="1" customWidth="1"/>
    <col min="3" max="3" width="10.54296875" bestFit="1" customWidth="1"/>
    <col min="4" max="4" width="11.81640625" bestFit="1" customWidth="1"/>
  </cols>
  <sheetData>
    <row r="1" spans="1:4" x14ac:dyDescent="0.35">
      <c r="A1" s="244" t="s">
        <v>795</v>
      </c>
      <c r="B1" s="244" t="s">
        <v>796</v>
      </c>
      <c r="C1" s="244" t="s">
        <v>797</v>
      </c>
      <c r="D1" s="244" t="s">
        <v>798</v>
      </c>
    </row>
    <row r="2" spans="1:4" x14ac:dyDescent="0.35">
      <c r="A2" s="728">
        <v>45627</v>
      </c>
      <c r="B2" s="729">
        <v>15356.4</v>
      </c>
      <c r="C2" s="729"/>
      <c r="D2" s="872">
        <f>$B$2/B2</f>
        <v>1</v>
      </c>
    </row>
    <row r="3" spans="1:4" x14ac:dyDescent="0.35">
      <c r="A3" s="246">
        <v>45658</v>
      </c>
      <c r="B3" s="247">
        <v>15592.5</v>
      </c>
      <c r="C3" s="247"/>
      <c r="D3" s="872">
        <f t="shared" ref="D3:D16" si="0">$B$2/B3</f>
        <v>0.98485810485810488</v>
      </c>
    </row>
    <row r="4" spans="1:4" x14ac:dyDescent="0.35">
      <c r="A4" s="246">
        <v>45689</v>
      </c>
      <c r="B4" s="247">
        <v>15852.4</v>
      </c>
      <c r="C4" s="247"/>
      <c r="D4" s="872">
        <f t="shared" si="0"/>
        <v>0.96871136231737776</v>
      </c>
    </row>
    <row r="5" spans="1:4" x14ac:dyDescent="0.35">
      <c r="A5" s="246">
        <v>45717</v>
      </c>
      <c r="B5" s="247">
        <v>15995.4</v>
      </c>
      <c r="C5" s="247"/>
      <c r="D5" s="872">
        <f t="shared" si="0"/>
        <v>0.96005101466671672</v>
      </c>
    </row>
    <row r="6" spans="1:4" x14ac:dyDescent="0.35">
      <c r="A6" s="246">
        <v>45748</v>
      </c>
      <c r="B6" s="247">
        <v>16253.5</v>
      </c>
      <c r="C6" s="247"/>
      <c r="D6" s="872">
        <f t="shared" si="0"/>
        <v>0.94480573414956781</v>
      </c>
    </row>
    <row r="7" spans="1:4" x14ac:dyDescent="0.35">
      <c r="A7" s="246">
        <v>45778</v>
      </c>
      <c r="B7" s="247">
        <v>16521.3</v>
      </c>
      <c r="C7" s="247"/>
      <c r="D7" s="872">
        <f t="shared" si="0"/>
        <v>0.92949102068239187</v>
      </c>
    </row>
    <row r="8" spans="1:4" x14ac:dyDescent="0.35">
      <c r="A8" s="246">
        <v>45809</v>
      </c>
      <c r="B8" s="247">
        <v>16643.400000000001</v>
      </c>
      <c r="C8" s="247"/>
      <c r="D8" s="872">
        <f t="shared" si="0"/>
        <v>0.922672050182054</v>
      </c>
    </row>
    <row r="9" spans="1:4" x14ac:dyDescent="0.35">
      <c r="A9" s="246">
        <v>45839</v>
      </c>
      <c r="B9" s="247">
        <v>16939.5</v>
      </c>
      <c r="C9" s="247"/>
      <c r="D9" s="872">
        <f t="shared" si="0"/>
        <v>0.90654387673780212</v>
      </c>
    </row>
    <row r="10" spans="1:4" x14ac:dyDescent="0.35">
      <c r="A10" s="246">
        <v>45870</v>
      </c>
      <c r="B10" s="247">
        <v>17187.599999999999</v>
      </c>
      <c r="C10" s="247"/>
      <c r="D10" s="872">
        <f t="shared" si="0"/>
        <v>0.89345807442574887</v>
      </c>
    </row>
    <row r="11" spans="1:4" x14ac:dyDescent="0.35">
      <c r="A11" s="246">
        <v>45901</v>
      </c>
      <c r="B11" s="247">
        <v>17762.3</v>
      </c>
      <c r="C11" s="247"/>
      <c r="D11" s="872">
        <f t="shared" si="0"/>
        <v>0.86455019901701924</v>
      </c>
    </row>
    <row r="12" spans="1:4" x14ac:dyDescent="0.35">
      <c r="A12" s="246">
        <v>45931</v>
      </c>
      <c r="B12" s="247">
        <v>18172.8</v>
      </c>
      <c r="C12" s="247"/>
      <c r="D12" s="872">
        <f t="shared" si="0"/>
        <v>0.84502113048071847</v>
      </c>
    </row>
    <row r="13" spans="1:4" x14ac:dyDescent="0.35">
      <c r="A13" s="246">
        <v>45962</v>
      </c>
      <c r="B13" s="247">
        <v>18534.900000000001</v>
      </c>
      <c r="C13" s="247"/>
      <c r="D13" s="872">
        <f t="shared" si="0"/>
        <v>0.82851269766764313</v>
      </c>
    </row>
    <row r="14" spans="1:4" x14ac:dyDescent="0.35">
      <c r="A14" s="246">
        <v>45992</v>
      </c>
      <c r="B14" s="247">
        <v>18776.5</v>
      </c>
      <c r="C14" s="1346"/>
      <c r="D14" s="872">
        <f t="shared" si="0"/>
        <v>0.81785210236199501</v>
      </c>
    </row>
    <row r="15" spans="1:4" x14ac:dyDescent="0.35">
      <c r="A15" s="246">
        <v>46023</v>
      </c>
      <c r="B15" s="247">
        <v>19209.400000000001</v>
      </c>
      <c r="C15" s="1346"/>
      <c r="D15" s="872">
        <f t="shared" si="0"/>
        <v>0.79942111674492689</v>
      </c>
    </row>
    <row r="16" spans="1:4" x14ac:dyDescent="0.35">
      <c r="A16" s="246">
        <v>46054</v>
      </c>
      <c r="B16" s="247">
        <v>19453</v>
      </c>
      <c r="C16" s="245"/>
      <c r="D16" s="872">
        <f t="shared" si="0"/>
        <v>0.78941037372127687</v>
      </c>
    </row>
    <row r="17" spans="1:4" x14ac:dyDescent="0.35">
      <c r="A17" s="1392">
        <v>46082</v>
      </c>
      <c r="B17" s="1393">
        <v>19806.240593911236</v>
      </c>
      <c r="C17" s="245"/>
      <c r="D17" s="872">
        <f>$B$8/B17</f>
        <v>0.84031090711462209</v>
      </c>
    </row>
    <row r="18" spans="1:4" x14ac:dyDescent="0.35">
      <c r="A18" s="1392">
        <v>46113</v>
      </c>
      <c r="B18" s="1393">
        <v>20138.793405782737</v>
      </c>
      <c r="C18" s="245"/>
      <c r="D18" s="872">
        <f>$B$8/B18</f>
        <v>0.826434814869343</v>
      </c>
    </row>
    <row r="19" spans="1:4" x14ac:dyDescent="0.35">
      <c r="A19" s="1392">
        <v>46143</v>
      </c>
      <c r="B19" s="1393">
        <v>20471.346217654242</v>
      </c>
      <c r="C19" s="245"/>
      <c r="D19" s="872">
        <f>$B$8/B19</f>
        <v>0.8130095511572627</v>
      </c>
    </row>
    <row r="20" spans="1:4" x14ac:dyDescent="0.35">
      <c r="A20" s="1377"/>
      <c r="B20" s="245"/>
      <c r="C20" s="245" t="e">
        <f>_xlfn.FORECAST.ETS(A20,$B$2:$B$12,$A$2:$A$12,1,1)</f>
        <v>#NUM!</v>
      </c>
      <c r="D20" s="1389" t="e">
        <f>$B$8/B20</f>
        <v>#DIV/0!</v>
      </c>
    </row>
  </sheetData>
  <pageMargins left="0.7" right="0.7" top="0.75" bottom="0.75" header="0.3" footer="0.3"/>
  <ignoredErrors>
    <ignoredError sqref="D2:D12 D13:D15" calculatedColumn="1"/>
  </ignoredErrors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3963-47FF-42CD-ADB1-FAF792275134}">
  <dimension ref="A1:AE250"/>
  <sheetViews>
    <sheetView zoomScale="80" zoomScaleNormal="80" workbookViewId="0">
      <selection activeCell="L10" sqref="L10"/>
    </sheetView>
  </sheetViews>
  <sheetFormatPr defaultColWidth="11.54296875" defaultRowHeight="12.75" customHeight="1" outlineLevelRow="1" outlineLevelCol="2" x14ac:dyDescent="0.3"/>
  <cols>
    <col min="1" max="1" width="7.1796875" style="279" bestFit="1" customWidth="1"/>
    <col min="2" max="2" width="4.7265625" style="279" hidden="1" customWidth="1" outlineLevel="1"/>
    <col min="3" max="3" width="84.26953125" style="280" bestFit="1" customWidth="1" collapsed="1"/>
    <col min="4" max="4" width="5.26953125" style="281" bestFit="1" customWidth="1"/>
    <col min="5" max="5" width="7.1796875" style="282" bestFit="1" customWidth="1"/>
    <col min="6" max="6" width="10.81640625" style="283" bestFit="1" customWidth="1" outlineLevel="2"/>
    <col min="7" max="7" width="17.7265625" style="283" customWidth="1" outlineLevel="2"/>
    <col min="8" max="8" width="10.54296875" style="283" bestFit="1" customWidth="1" outlineLevel="2"/>
    <col min="9" max="9" width="11.54296875" style="385" bestFit="1" customWidth="1" outlineLevel="2"/>
    <col min="10" max="10" width="10.81640625" style="385" bestFit="1" customWidth="1" outlineLevel="2"/>
    <col min="11" max="11" width="11.54296875" style="283" bestFit="1" customWidth="1" outlineLevel="2"/>
    <col min="12" max="12" width="10" style="285" customWidth="1" outlineLevel="2"/>
    <col min="13" max="13" width="11.54296875" style="283" bestFit="1" customWidth="1" outlineLevel="1"/>
    <col min="14" max="14" width="13" style="283" bestFit="1" customWidth="1" outlineLevel="1"/>
    <col min="15" max="15" width="11.54296875" style="283" bestFit="1" customWidth="1" outlineLevel="1"/>
    <col min="16" max="16" width="13" style="283" bestFit="1" customWidth="1" outlineLevel="1"/>
    <col min="17" max="17" width="12.7265625" style="283" bestFit="1" customWidth="1" outlineLevel="1"/>
    <col min="18" max="18" width="11.54296875" style="283" bestFit="1" customWidth="1" outlineLevel="1"/>
    <col min="19" max="19" width="14.26953125" style="283" bestFit="1" customWidth="1" outlineLevel="1"/>
    <col min="20" max="20" width="14.26953125" style="288" bestFit="1" customWidth="1" outlineLevel="1"/>
    <col min="21" max="21" width="14.54296875" style="596" bestFit="1" customWidth="1"/>
    <col min="22" max="22" width="17.453125" style="596" bestFit="1" customWidth="1"/>
    <col min="23" max="23" width="17" style="606" bestFit="1" customWidth="1"/>
    <col min="24" max="24" width="8.54296875" style="128" customWidth="1"/>
    <col min="25" max="25" width="13.7265625" style="128" bestFit="1" customWidth="1"/>
    <col min="26" max="26" width="14.453125" style="128" bestFit="1" customWidth="1"/>
    <col min="27" max="27" width="15.81640625" style="128" bestFit="1" customWidth="1"/>
    <col min="28" max="28" width="6" style="128" bestFit="1" customWidth="1"/>
    <col min="29" max="30" width="13.453125" style="128" bestFit="1" customWidth="1"/>
    <col min="31" max="16384" width="11.54296875" style="128"/>
  </cols>
  <sheetData>
    <row r="1" spans="1:25" ht="12.75" customHeight="1" x14ac:dyDescent="0.3">
      <c r="F1" s="121" t="s">
        <v>205</v>
      </c>
      <c r="G1" s="123" t="s">
        <v>459</v>
      </c>
      <c r="I1" s="284"/>
      <c r="J1" s="284"/>
      <c r="N1" s="286"/>
      <c r="O1" s="286"/>
      <c r="P1" s="287"/>
      <c r="Q1" s="286"/>
      <c r="R1" s="286"/>
      <c r="V1" s="597" t="s">
        <v>192</v>
      </c>
      <c r="W1" s="597" t="s">
        <v>193</v>
      </c>
    </row>
    <row r="2" spans="1:25" ht="13" x14ac:dyDescent="0.3">
      <c r="F2" s="122" t="s">
        <v>236</v>
      </c>
      <c r="G2" s="123" t="s">
        <v>460</v>
      </c>
      <c r="I2" s="284"/>
      <c r="J2" s="284"/>
      <c r="N2" s="286"/>
      <c r="O2" s="286"/>
      <c r="P2" s="287"/>
      <c r="Q2" s="286"/>
      <c r="R2" s="286"/>
      <c r="V2" s="291">
        <f>+[2]GGBB!G4</f>
        <v>1066.5</v>
      </c>
      <c r="W2" s="291">
        <f>+[2]GGBB!H4</f>
        <v>1170</v>
      </c>
      <c r="Y2" s="129"/>
    </row>
    <row r="3" spans="1:25" s="173" customFormat="1" ht="13" x14ac:dyDescent="0.3">
      <c r="A3" s="600"/>
      <c r="B3" s="292"/>
      <c r="C3" s="293"/>
      <c r="D3" s="174"/>
      <c r="E3" s="294"/>
      <c r="F3" s="295" t="s">
        <v>428</v>
      </c>
      <c r="G3" s="123" t="s">
        <v>461</v>
      </c>
      <c r="H3" s="296"/>
      <c r="I3" s="296"/>
      <c r="J3" s="296"/>
      <c r="K3" s="296"/>
      <c r="L3" s="297"/>
      <c r="M3" s="296"/>
      <c r="N3" s="294"/>
      <c r="O3" s="294"/>
      <c r="P3" s="294"/>
      <c r="Q3" s="298"/>
      <c r="R3" s="298"/>
      <c r="S3" s="296"/>
      <c r="T3" s="299"/>
      <c r="U3" s="601"/>
      <c r="V3" s="601"/>
      <c r="W3" s="602"/>
      <c r="Y3" s="313"/>
    </row>
    <row r="4" spans="1:25" s="173" customFormat="1" ht="13" x14ac:dyDescent="0.3">
      <c r="A4" s="600"/>
      <c r="B4" s="292"/>
      <c r="C4" s="293"/>
      <c r="D4" s="174"/>
      <c r="E4" s="294"/>
      <c r="F4" s="302" t="s">
        <v>462</v>
      </c>
      <c r="G4" s="124" t="s">
        <v>463</v>
      </c>
      <c r="H4" s="296"/>
      <c r="I4" s="296"/>
      <c r="J4" s="296"/>
      <c r="K4" s="296"/>
      <c r="L4" s="297"/>
      <c r="M4" s="296"/>
      <c r="N4" s="296"/>
      <c r="O4" s="296"/>
      <c r="P4" s="294"/>
      <c r="Q4" s="301"/>
      <c r="R4" s="301"/>
      <c r="S4" s="296"/>
      <c r="T4" s="303"/>
      <c r="U4" s="601"/>
      <c r="V4" s="304">
        <v>45667</v>
      </c>
      <c r="W4" s="602"/>
      <c r="Y4" s="313"/>
    </row>
    <row r="5" spans="1:25" s="173" customFormat="1" ht="13" x14ac:dyDescent="0.3">
      <c r="A5" s="600"/>
      <c r="B5" s="292"/>
      <c r="C5" s="305" t="s">
        <v>194</v>
      </c>
      <c r="D5" s="174"/>
      <c r="E5" s="294"/>
      <c r="F5" s="1441" t="s">
        <v>444</v>
      </c>
      <c r="G5" s="1443"/>
      <c r="H5" s="1442"/>
      <c r="I5" s="1441" t="s">
        <v>445</v>
      </c>
      <c r="J5" s="1443"/>
      <c r="K5" s="1442"/>
      <c r="L5" s="309"/>
      <c r="M5" s="296"/>
      <c r="N5" s="1441" t="s">
        <v>444</v>
      </c>
      <c r="O5" s="1442"/>
      <c r="P5" s="1441" t="s">
        <v>445</v>
      </c>
      <c r="Q5" s="1442"/>
      <c r="R5" s="310"/>
      <c r="S5" s="296"/>
      <c r="T5" s="311">
        <f>+[2]GGBB!F67</f>
        <v>1.3327274271410152</v>
      </c>
      <c r="U5" s="603"/>
      <c r="V5" s="603"/>
      <c r="W5" s="602"/>
      <c r="Y5" s="313"/>
    </row>
    <row r="6" spans="1:25" s="173" customFormat="1" ht="13" x14ac:dyDescent="0.3">
      <c r="A6" s="600"/>
      <c r="B6" s="292"/>
      <c r="C6" s="305" t="s">
        <v>195</v>
      </c>
      <c r="D6" s="175"/>
      <c r="E6" s="312"/>
      <c r="F6" s="306"/>
      <c r="G6" s="307"/>
      <c r="H6" s="308"/>
      <c r="I6" s="306"/>
      <c r="J6" s="307"/>
      <c r="K6" s="308"/>
      <c r="L6" s="309"/>
      <c r="M6" s="296"/>
      <c r="N6" s="306"/>
      <c r="O6" s="307"/>
      <c r="P6" s="306"/>
      <c r="Q6" s="308"/>
      <c r="R6" s="310"/>
      <c r="S6" s="310"/>
      <c r="T6" s="313">
        <v>1.1000000000000001</v>
      </c>
      <c r="U6" s="604"/>
      <c r="V6" s="604"/>
      <c r="W6" s="602"/>
    </row>
    <row r="7" spans="1:25" ht="13" x14ac:dyDescent="0.3">
      <c r="A7" s="325" t="s">
        <v>196</v>
      </c>
      <c r="B7" s="316" t="s">
        <v>197</v>
      </c>
      <c r="C7" s="317" t="s">
        <v>198</v>
      </c>
      <c r="D7" s="176" t="s">
        <v>199</v>
      </c>
      <c r="E7" s="318" t="s">
        <v>200</v>
      </c>
      <c r="F7" s="319" t="s">
        <v>446</v>
      </c>
      <c r="G7" s="318" t="s">
        <v>447</v>
      </c>
      <c r="H7" s="320" t="s">
        <v>87</v>
      </c>
      <c r="I7" s="318" t="s">
        <v>446</v>
      </c>
      <c r="J7" s="318" t="s">
        <v>449</v>
      </c>
      <c r="K7" s="320" t="s">
        <v>87</v>
      </c>
      <c r="L7" s="318" t="s">
        <v>451</v>
      </c>
      <c r="M7" s="321" t="s">
        <v>468</v>
      </c>
      <c r="N7" s="318" t="s">
        <v>446</v>
      </c>
      <c r="O7" s="318" t="s">
        <v>447</v>
      </c>
      <c r="P7" s="318" t="s">
        <v>446</v>
      </c>
      <c r="Q7" s="318" t="s">
        <v>449</v>
      </c>
      <c r="R7" s="318" t="s">
        <v>451</v>
      </c>
      <c r="S7" s="322" t="s">
        <v>87</v>
      </c>
      <c r="T7" s="323" t="s">
        <v>165</v>
      </c>
      <c r="U7" s="605" t="s">
        <v>469</v>
      </c>
      <c r="V7" s="605" t="s">
        <v>165</v>
      </c>
    </row>
    <row r="8" spans="1:25" s="185" customFormat="1" ht="13" x14ac:dyDescent="0.3">
      <c r="A8" s="325">
        <v>1</v>
      </c>
      <c r="B8" s="326"/>
      <c r="C8" s="607" t="s">
        <v>204</v>
      </c>
      <c r="D8" s="177"/>
      <c r="E8" s="327"/>
      <c r="F8" s="327"/>
      <c r="G8" s="327"/>
      <c r="H8" s="327"/>
      <c r="I8" s="327"/>
      <c r="J8" s="327"/>
      <c r="K8" s="327"/>
      <c r="L8" s="327"/>
      <c r="M8" s="328"/>
      <c r="N8" s="327"/>
      <c r="O8" s="327"/>
      <c r="P8" s="327"/>
      <c r="Q8" s="327"/>
      <c r="R8" s="327"/>
      <c r="S8" s="327"/>
      <c r="T8" s="329">
        <f>SUM(S9:S17)</f>
        <v>14922921.482082866</v>
      </c>
      <c r="U8" s="465"/>
      <c r="V8" s="465"/>
      <c r="W8" s="608">
        <f>SUM(V9:V17)</f>
        <v>19888202</v>
      </c>
      <c r="X8" s="1295">
        <f>+W8/$W$232</f>
        <v>1.4778493878826057E-2</v>
      </c>
    </row>
    <row r="9" spans="1:25" ht="13" outlineLevel="1" x14ac:dyDescent="0.3">
      <c r="A9" s="331">
        <v>1.01</v>
      </c>
      <c r="B9" s="350" t="s">
        <v>205</v>
      </c>
      <c r="C9" s="333" t="s">
        <v>206</v>
      </c>
      <c r="D9" s="178" t="s">
        <v>207</v>
      </c>
      <c r="E9" s="332">
        <v>1</v>
      </c>
      <c r="F9" s="131"/>
      <c r="G9" s="131"/>
      <c r="H9" s="334">
        <f>F9+G9</f>
        <v>0</v>
      </c>
      <c r="I9" s="131"/>
      <c r="J9" s="131"/>
      <c r="K9" s="334">
        <f>I9+J9</f>
        <v>0</v>
      </c>
      <c r="L9" s="131"/>
      <c r="M9" s="334">
        <f>H9+K9+L9</f>
        <v>0</v>
      </c>
      <c r="N9" s="335">
        <f>F9*E9</f>
        <v>0</v>
      </c>
      <c r="O9" s="335">
        <f>G9*E9</f>
        <v>0</v>
      </c>
      <c r="P9" s="335">
        <f>I9*E9</f>
        <v>0</v>
      </c>
      <c r="Q9" s="335">
        <f>J9*E9</f>
        <v>0</v>
      </c>
      <c r="R9" s="335">
        <f>+L9*E9</f>
        <v>0</v>
      </c>
      <c r="S9" s="336">
        <f>SUM(N9:R9)</f>
        <v>0</v>
      </c>
      <c r="T9" s="337"/>
      <c r="U9" s="611">
        <f t="shared" ref="U9:U17" si="0">+ROUNDUP(M9*$T$5,0)</f>
        <v>0</v>
      </c>
      <c r="V9" s="611">
        <f t="shared" ref="V9:V17" si="1">+U9*E9</f>
        <v>0</v>
      </c>
      <c r="X9" s="127"/>
    </row>
    <row r="10" spans="1:25" ht="13" outlineLevel="1" x14ac:dyDescent="0.3">
      <c r="A10" s="339">
        <v>1.02</v>
      </c>
      <c r="B10" s="350" t="s">
        <v>205</v>
      </c>
      <c r="C10" s="341" t="s">
        <v>208</v>
      </c>
      <c r="D10" s="179" t="s">
        <v>207</v>
      </c>
      <c r="E10" s="342">
        <v>3</v>
      </c>
      <c r="F10" s="343">
        <f>+[2]Tareas!H8</f>
        <v>0</v>
      </c>
      <c r="G10" s="343">
        <f>+[2]Tareas!I8</f>
        <v>25000</v>
      </c>
      <c r="H10" s="344">
        <f>F10+G10</f>
        <v>25000</v>
      </c>
      <c r="I10" s="343">
        <f>+[2]Tareas!Q8</f>
        <v>198736.84463636365</v>
      </c>
      <c r="J10" s="343">
        <f>+[2]Tareas!R8</f>
        <v>60860.580776571966</v>
      </c>
      <c r="K10" s="344">
        <f>I10+J10</f>
        <v>259597.42541293561</v>
      </c>
      <c r="L10" s="343">
        <f>+(H10+K10)*0.015</f>
        <v>4268.9613811940344</v>
      </c>
      <c r="M10" s="344">
        <f>H10+K10+L10</f>
        <v>288866.38679412962</v>
      </c>
      <c r="N10" s="345">
        <f t="shared" ref="N10" si="2">F10*E10</f>
        <v>0</v>
      </c>
      <c r="O10" s="345">
        <f t="shared" ref="O10" si="3">G10*E10</f>
        <v>75000</v>
      </c>
      <c r="P10" s="345">
        <f t="shared" ref="P10:P17" si="4">I10*E10</f>
        <v>596210.53390909091</v>
      </c>
      <c r="Q10" s="345">
        <f t="shared" ref="Q10:Q17" si="5">J10*E10</f>
        <v>182581.7423297159</v>
      </c>
      <c r="R10" s="345">
        <f t="shared" ref="R10:R17" si="6">+L10*E10</f>
        <v>12806.884143582103</v>
      </c>
      <c r="S10" s="346">
        <f t="shared" ref="S10" si="7">SUM(N10:R10)</f>
        <v>866599.16038238886</v>
      </c>
      <c r="T10" s="347"/>
      <c r="U10" s="613">
        <f t="shared" si="0"/>
        <v>384981</v>
      </c>
      <c r="V10" s="613">
        <f t="shared" si="1"/>
        <v>1154943</v>
      </c>
      <c r="X10" s="127"/>
    </row>
    <row r="11" spans="1:25" ht="13" outlineLevel="1" x14ac:dyDescent="0.3">
      <c r="A11" s="339">
        <v>1.03</v>
      </c>
      <c r="B11" s="350" t="s">
        <v>205</v>
      </c>
      <c r="C11" s="341" t="s">
        <v>209</v>
      </c>
      <c r="D11" s="180" t="s">
        <v>207</v>
      </c>
      <c r="E11" s="125">
        <v>1</v>
      </c>
      <c r="F11" s="125"/>
      <c r="G11" s="125"/>
      <c r="H11" s="344">
        <f t="shared" ref="H11:H17" si="8">F11+G11</f>
        <v>0</v>
      </c>
      <c r="I11" s="125"/>
      <c r="J11" s="125"/>
      <c r="K11" s="344">
        <f t="shared" ref="K11:K17" si="9">I11+J11</f>
        <v>0</v>
      </c>
      <c r="L11" s="125"/>
      <c r="M11" s="344">
        <f t="shared" ref="M11:M17" si="10">H11+K11+L11</f>
        <v>0</v>
      </c>
      <c r="N11" s="345">
        <f>F11*E11</f>
        <v>0</v>
      </c>
      <c r="O11" s="345">
        <f>G11*E11</f>
        <v>0</v>
      </c>
      <c r="P11" s="345">
        <f t="shared" si="4"/>
        <v>0</v>
      </c>
      <c r="Q11" s="345">
        <f t="shared" si="5"/>
        <v>0</v>
      </c>
      <c r="R11" s="345">
        <f t="shared" si="6"/>
        <v>0</v>
      </c>
      <c r="S11" s="346">
        <f t="shared" ref="S11:S146" si="11">SUM(N11:R11)</f>
        <v>0</v>
      </c>
      <c r="T11" s="347"/>
      <c r="U11" s="613">
        <f t="shared" si="0"/>
        <v>0</v>
      </c>
      <c r="V11" s="613">
        <f t="shared" si="1"/>
        <v>0</v>
      </c>
      <c r="X11" s="127"/>
    </row>
    <row r="12" spans="1:25" ht="13" outlineLevel="1" x14ac:dyDescent="0.3">
      <c r="A12" s="339">
        <v>1.04</v>
      </c>
      <c r="B12" s="350" t="s">
        <v>205</v>
      </c>
      <c r="C12" s="341" t="s">
        <v>210</v>
      </c>
      <c r="D12" s="179" t="s">
        <v>211</v>
      </c>
      <c r="E12" s="342">
        <v>10</v>
      </c>
      <c r="F12" s="343">
        <f>+[2]Tareas!H12</f>
        <v>88330.702809917348</v>
      </c>
      <c r="G12" s="343">
        <f>+[2]Tareas!I12</f>
        <v>0</v>
      </c>
      <c r="H12" s="344">
        <f t="shared" si="8"/>
        <v>88330.702809917348</v>
      </c>
      <c r="I12" s="343">
        <f>+[2]Tareas!Q12</f>
        <v>0</v>
      </c>
      <c r="J12" s="343">
        <f>+[2]Tareas!R12</f>
        <v>101654.36605985794</v>
      </c>
      <c r="K12" s="344">
        <f t="shared" si="9"/>
        <v>101654.36605985794</v>
      </c>
      <c r="L12" s="343">
        <f>+(H12+K12)*0.015</f>
        <v>2849.776033046629</v>
      </c>
      <c r="M12" s="344">
        <f t="shared" si="10"/>
        <v>192834.8449028219</v>
      </c>
      <c r="N12" s="345">
        <f>F12*E12</f>
        <v>883307.02809917345</v>
      </c>
      <c r="O12" s="345">
        <f>G12*E12</f>
        <v>0</v>
      </c>
      <c r="P12" s="345">
        <f t="shared" si="4"/>
        <v>0</v>
      </c>
      <c r="Q12" s="345">
        <f t="shared" si="5"/>
        <v>1016543.6605985794</v>
      </c>
      <c r="R12" s="345">
        <f t="shared" si="6"/>
        <v>28497.760330466292</v>
      </c>
      <c r="S12" s="346">
        <f t="shared" si="11"/>
        <v>1928348.4490282193</v>
      </c>
      <c r="T12" s="347"/>
      <c r="U12" s="613">
        <f t="shared" si="0"/>
        <v>256997</v>
      </c>
      <c r="V12" s="613">
        <f t="shared" si="1"/>
        <v>2569970</v>
      </c>
      <c r="X12" s="127"/>
    </row>
    <row r="13" spans="1:25" ht="13" outlineLevel="1" x14ac:dyDescent="0.3">
      <c r="A13" s="339">
        <v>1.05</v>
      </c>
      <c r="B13" s="350" t="s">
        <v>205</v>
      </c>
      <c r="C13" s="341" t="s">
        <v>212</v>
      </c>
      <c r="D13" s="179" t="s">
        <v>207</v>
      </c>
      <c r="E13" s="342">
        <v>1</v>
      </c>
      <c r="F13" s="348">
        <f>+[2]Tareas!H22</f>
        <v>1878824.6995041324</v>
      </c>
      <c r="G13" s="348">
        <f>+[2]Tareas!I22</f>
        <v>200000</v>
      </c>
      <c r="H13" s="344">
        <f t="shared" si="8"/>
        <v>2078824.6995041324</v>
      </c>
      <c r="I13" s="343">
        <f>+[2]Tareas!Q22</f>
        <v>750000</v>
      </c>
      <c r="J13" s="343">
        <f>+[2]Tareas!R22</f>
        <v>4424962.8553190343</v>
      </c>
      <c r="K13" s="344">
        <f t="shared" si="9"/>
        <v>5174962.8553190343</v>
      </c>
      <c r="L13" s="343">
        <f>+(H13+K13)*0.015</f>
        <v>108806.8133223475</v>
      </c>
      <c r="M13" s="344">
        <f t="shared" si="10"/>
        <v>7362594.3681455143</v>
      </c>
      <c r="N13" s="345">
        <f t="shared" ref="N13:N17" si="12">F13*E13</f>
        <v>1878824.6995041324</v>
      </c>
      <c r="O13" s="345">
        <f t="shared" ref="O13:O16" si="13">G13*E13</f>
        <v>200000</v>
      </c>
      <c r="P13" s="345">
        <f t="shared" si="4"/>
        <v>750000</v>
      </c>
      <c r="Q13" s="345">
        <f t="shared" si="5"/>
        <v>4424962.8553190343</v>
      </c>
      <c r="R13" s="345">
        <f t="shared" si="6"/>
        <v>108806.8133223475</v>
      </c>
      <c r="S13" s="346">
        <f t="shared" si="11"/>
        <v>7362594.3681455143</v>
      </c>
      <c r="T13" s="347"/>
      <c r="U13" s="613">
        <f t="shared" si="0"/>
        <v>9812332</v>
      </c>
      <c r="V13" s="613">
        <f t="shared" si="1"/>
        <v>9812332</v>
      </c>
      <c r="X13" s="127"/>
      <c r="Y13" s="184"/>
    </row>
    <row r="14" spans="1:25" ht="13" outlineLevel="1" x14ac:dyDescent="0.3">
      <c r="A14" s="339">
        <v>1.06</v>
      </c>
      <c r="B14" s="350" t="s">
        <v>205</v>
      </c>
      <c r="C14" s="341" t="s">
        <v>213</v>
      </c>
      <c r="D14" s="179" t="s">
        <v>214</v>
      </c>
      <c r="E14" s="342">
        <v>4</v>
      </c>
      <c r="F14" s="348"/>
      <c r="G14" s="348"/>
      <c r="H14" s="344">
        <f t="shared" si="8"/>
        <v>0</v>
      </c>
      <c r="I14" s="349">
        <f>+[2]Cotizaciones!D47*4</f>
        <v>318994.12117576483</v>
      </c>
      <c r="J14" s="349">
        <f>+([2]Cotizaciones!D48*2*2)/'01 (2)'!E14</f>
        <v>13291.421715656868</v>
      </c>
      <c r="K14" s="344">
        <f t="shared" si="9"/>
        <v>332285.5428914217</v>
      </c>
      <c r="L14" s="125"/>
      <c r="M14" s="344">
        <f t="shared" si="10"/>
        <v>332285.5428914217</v>
      </c>
      <c r="N14" s="345">
        <f t="shared" si="12"/>
        <v>0</v>
      </c>
      <c r="O14" s="345">
        <f t="shared" si="13"/>
        <v>0</v>
      </c>
      <c r="P14" s="345">
        <f t="shared" si="4"/>
        <v>1275976.4847030593</v>
      </c>
      <c r="Q14" s="345">
        <f t="shared" si="5"/>
        <v>53165.686862627474</v>
      </c>
      <c r="R14" s="345">
        <f t="shared" si="6"/>
        <v>0</v>
      </c>
      <c r="S14" s="346">
        <f t="shared" si="11"/>
        <v>1329142.1715656868</v>
      </c>
      <c r="T14" s="347"/>
      <c r="U14" s="613">
        <f t="shared" si="0"/>
        <v>442847</v>
      </c>
      <c r="V14" s="613">
        <f t="shared" si="1"/>
        <v>1771388</v>
      </c>
      <c r="X14" s="127"/>
      <c r="Y14" s="184"/>
    </row>
    <row r="15" spans="1:25" ht="13" outlineLevel="1" x14ac:dyDescent="0.3">
      <c r="A15" s="339">
        <v>1.07</v>
      </c>
      <c r="B15" s="350" t="s">
        <v>205</v>
      </c>
      <c r="C15" s="341" t="s">
        <v>215</v>
      </c>
      <c r="D15" s="179" t="s">
        <v>207</v>
      </c>
      <c r="E15" s="342">
        <v>1</v>
      </c>
      <c r="F15" s="348">
        <f>+[2]Tareas!H46</f>
        <v>1040000</v>
      </c>
      <c r="G15" s="348">
        <f>+[2]Tareas!I46</f>
        <v>50000</v>
      </c>
      <c r="H15" s="344">
        <f t="shared" si="8"/>
        <v>1090000</v>
      </c>
      <c r="I15" s="343">
        <f>+[2]Tareas!Q46</f>
        <v>0</v>
      </c>
      <c r="J15" s="343">
        <f>+[2]Tareas!R46</f>
        <v>601395.6746925757</v>
      </c>
      <c r="K15" s="344">
        <f t="shared" si="9"/>
        <v>601395.6746925757</v>
      </c>
      <c r="L15" s="343">
        <f>+(H15+K15)*0.015</f>
        <v>25370.935120388636</v>
      </c>
      <c r="M15" s="344">
        <f t="shared" si="10"/>
        <v>1716766.6098129645</v>
      </c>
      <c r="N15" s="345">
        <f t="shared" si="12"/>
        <v>1040000</v>
      </c>
      <c r="O15" s="345">
        <f t="shared" si="13"/>
        <v>50000</v>
      </c>
      <c r="P15" s="345">
        <f t="shared" si="4"/>
        <v>0</v>
      </c>
      <c r="Q15" s="345">
        <f t="shared" si="5"/>
        <v>601395.6746925757</v>
      </c>
      <c r="R15" s="345">
        <f t="shared" si="6"/>
        <v>25370.935120388636</v>
      </c>
      <c r="S15" s="346">
        <f t="shared" si="11"/>
        <v>1716766.6098129645</v>
      </c>
      <c r="T15" s="347"/>
      <c r="U15" s="613">
        <f t="shared" si="0"/>
        <v>2287982</v>
      </c>
      <c r="V15" s="613">
        <f t="shared" si="1"/>
        <v>2287982</v>
      </c>
      <c r="X15" s="127"/>
    </row>
    <row r="16" spans="1:25" ht="13" outlineLevel="1" x14ac:dyDescent="0.3">
      <c r="A16" s="339">
        <v>1.08</v>
      </c>
      <c r="B16" s="350" t="s">
        <v>205</v>
      </c>
      <c r="C16" s="341" t="s">
        <v>216</v>
      </c>
      <c r="D16" s="179" t="s">
        <v>207</v>
      </c>
      <c r="E16" s="342">
        <v>1</v>
      </c>
      <c r="F16" s="348">
        <f>+[2]Tareas!H53</f>
        <v>685200</v>
      </c>
      <c r="G16" s="348">
        <f>+[2]Tareas!I53</f>
        <v>0</v>
      </c>
      <c r="H16" s="344">
        <f t="shared" si="8"/>
        <v>685200</v>
      </c>
      <c r="I16" s="343">
        <f>+[2]Tareas!Q53</f>
        <v>0</v>
      </c>
      <c r="J16" s="343">
        <f>+[2]Tareas!R53</f>
        <v>651528.70745257568</v>
      </c>
      <c r="K16" s="344">
        <f t="shared" si="9"/>
        <v>651528.70745257568</v>
      </c>
      <c r="L16" s="343">
        <f>+(H16+K16)*0.015</f>
        <v>20050.930611788634</v>
      </c>
      <c r="M16" s="344">
        <f t="shared" si="10"/>
        <v>1356779.6380643642</v>
      </c>
      <c r="N16" s="345">
        <f t="shared" si="12"/>
        <v>685200</v>
      </c>
      <c r="O16" s="345">
        <f t="shared" si="13"/>
        <v>0</v>
      </c>
      <c r="P16" s="345">
        <f t="shared" si="4"/>
        <v>0</v>
      </c>
      <c r="Q16" s="345">
        <f t="shared" si="5"/>
        <v>651528.70745257568</v>
      </c>
      <c r="R16" s="345">
        <f t="shared" si="6"/>
        <v>20050.930611788634</v>
      </c>
      <c r="S16" s="346">
        <f t="shared" si="11"/>
        <v>1356779.6380643642</v>
      </c>
      <c r="T16" s="347"/>
      <c r="U16" s="613">
        <f t="shared" si="0"/>
        <v>1808218</v>
      </c>
      <c r="V16" s="613">
        <f t="shared" si="1"/>
        <v>1808218</v>
      </c>
      <c r="X16" s="127"/>
    </row>
    <row r="17" spans="1:29" ht="13" outlineLevel="1" x14ac:dyDescent="0.3">
      <c r="A17" s="339">
        <v>1.0900000000000001</v>
      </c>
      <c r="B17" s="350" t="s">
        <v>205</v>
      </c>
      <c r="C17" s="341" t="s">
        <v>217</v>
      </c>
      <c r="D17" s="179" t="s">
        <v>207</v>
      </c>
      <c r="E17" s="342">
        <v>1</v>
      </c>
      <c r="F17" s="348">
        <f>+[2]Tareas!H64</f>
        <v>0</v>
      </c>
      <c r="G17" s="348">
        <f>+[2]Tareas!I64</f>
        <v>0</v>
      </c>
      <c r="H17" s="344">
        <f t="shared" si="8"/>
        <v>0</v>
      </c>
      <c r="I17" s="343">
        <f>+[2]Tareas!Q64</f>
        <v>362691.08508372854</v>
      </c>
      <c r="J17" s="343">
        <f>+[2]Tareas!R64</f>
        <v>0</v>
      </c>
      <c r="K17" s="344">
        <f t="shared" si="9"/>
        <v>362691.08508372854</v>
      </c>
      <c r="L17" s="343"/>
      <c r="M17" s="344">
        <f t="shared" si="10"/>
        <v>362691.08508372854</v>
      </c>
      <c r="N17" s="345">
        <f t="shared" si="12"/>
        <v>0</v>
      </c>
      <c r="O17" s="345">
        <f>G17*E17</f>
        <v>0</v>
      </c>
      <c r="P17" s="345">
        <f t="shared" si="4"/>
        <v>362691.08508372854</v>
      </c>
      <c r="Q17" s="345">
        <f t="shared" si="5"/>
        <v>0</v>
      </c>
      <c r="R17" s="345">
        <f t="shared" si="6"/>
        <v>0</v>
      </c>
      <c r="S17" s="346">
        <f t="shared" si="11"/>
        <v>362691.08508372854</v>
      </c>
      <c r="T17" s="347"/>
      <c r="U17" s="613">
        <f t="shared" si="0"/>
        <v>483369</v>
      </c>
      <c r="V17" s="613">
        <f t="shared" si="1"/>
        <v>483369</v>
      </c>
      <c r="X17" s="127"/>
    </row>
    <row r="18" spans="1:29" s="185" customFormat="1" ht="13" x14ac:dyDescent="0.3">
      <c r="A18" s="325">
        <v>2</v>
      </c>
      <c r="B18" s="326"/>
      <c r="C18" s="607" t="s">
        <v>231</v>
      </c>
      <c r="D18" s="177"/>
      <c r="E18" s="327"/>
      <c r="F18" s="327"/>
      <c r="G18" s="327"/>
      <c r="H18" s="327"/>
      <c r="I18" s="327"/>
      <c r="J18" s="327"/>
      <c r="K18" s="327"/>
      <c r="L18" s="327"/>
      <c r="M18" s="328"/>
      <c r="N18" s="327"/>
      <c r="O18" s="327"/>
      <c r="P18" s="327"/>
      <c r="Q18" s="327"/>
      <c r="R18" s="327"/>
      <c r="S18" s="327"/>
      <c r="T18" s="329">
        <f>SUM(S19:S23)</f>
        <v>22247478.107879695</v>
      </c>
      <c r="U18" s="465"/>
      <c r="V18" s="465"/>
      <c r="W18" s="608">
        <f>SUM(V19:V23)</f>
        <v>29649894</v>
      </c>
      <c r="X18" s="1295">
        <f>+W18/$W$232</f>
        <v>2.20321966252576E-2</v>
      </c>
    </row>
    <row r="19" spans="1:29" ht="13" outlineLevel="1" x14ac:dyDescent="0.3">
      <c r="A19" s="339">
        <v>2.0099999999999998</v>
      </c>
      <c r="B19" s="350" t="s">
        <v>205</v>
      </c>
      <c r="C19" s="361" t="s">
        <v>232</v>
      </c>
      <c r="D19" s="362" t="s">
        <v>233</v>
      </c>
      <c r="E19" s="363">
        <f>+[2]Excavacion!M4</f>
        <v>308</v>
      </c>
      <c r="F19" s="343"/>
      <c r="G19" s="343"/>
      <c r="H19" s="344">
        <f t="shared" ref="H19:H20" si="14">F19+G19</f>
        <v>0</v>
      </c>
      <c r="I19" s="343">
        <f>+[2]Tareas!Q69</f>
        <v>33000</v>
      </c>
      <c r="J19" s="343">
        <f>+[2]Tareas!R69</f>
        <v>6520.776511775568</v>
      </c>
      <c r="K19" s="344">
        <f t="shared" ref="K19:K23" si="15">I19+J19</f>
        <v>39520.77651177557</v>
      </c>
      <c r="L19" s="343">
        <f>+J19*0.015</f>
        <v>97.811647676633513</v>
      </c>
      <c r="M19" s="344">
        <f t="shared" ref="M19:M23" si="16">H19+K19+L19</f>
        <v>39618.5881594522</v>
      </c>
      <c r="N19" s="345">
        <f t="shared" ref="N19:N23" si="17">F19*E19</f>
        <v>0</v>
      </c>
      <c r="O19" s="345">
        <f t="shared" ref="O19:O23" si="18">G19*E19</f>
        <v>0</v>
      </c>
      <c r="P19" s="345">
        <f t="shared" ref="P19:P23" si="19">I19*E19</f>
        <v>10164000</v>
      </c>
      <c r="Q19" s="345">
        <f t="shared" ref="Q19:Q23" si="20">J19*E19</f>
        <v>2008399.1656268749</v>
      </c>
      <c r="R19" s="345">
        <f t="shared" ref="R19:R23" si="21">+L19*E19</f>
        <v>30125.987484403122</v>
      </c>
      <c r="S19" s="346">
        <f t="shared" ref="S19:S23" si="22">SUM(N19:R19)</f>
        <v>12202525.153111277</v>
      </c>
      <c r="T19" s="347"/>
      <c r="U19" s="613">
        <f t="shared" ref="U19:U20" si="23">+ROUNDUP(M19*$T$5,0)</f>
        <v>52801</v>
      </c>
      <c r="V19" s="613">
        <f t="shared" ref="V19:V20" si="24">+U19*E19</f>
        <v>16262708</v>
      </c>
      <c r="X19" s="127"/>
    </row>
    <row r="20" spans="1:29" ht="13" outlineLevel="1" x14ac:dyDescent="0.3">
      <c r="A20" s="339">
        <v>2.02</v>
      </c>
      <c r="B20" s="350" t="s">
        <v>205</v>
      </c>
      <c r="C20" s="361" t="s">
        <v>234</v>
      </c>
      <c r="D20" s="362" t="s">
        <v>207</v>
      </c>
      <c r="E20" s="363">
        <v>1</v>
      </c>
      <c r="F20" s="343">
        <f>+[2]Tareas!H72</f>
        <v>105000</v>
      </c>
      <c r="G20" s="343">
        <f>+[2]Tareas!I72</f>
        <v>0</v>
      </c>
      <c r="H20" s="344">
        <f t="shared" si="14"/>
        <v>105000</v>
      </c>
      <c r="I20" s="343">
        <f>+[2]Tareas!Q72</f>
        <v>455000</v>
      </c>
      <c r="J20" s="343">
        <f>+[2]Tareas!R72</f>
        <v>8033596.6625074996</v>
      </c>
      <c r="K20" s="344">
        <f t="shared" si="15"/>
        <v>8488596.6625075005</v>
      </c>
      <c r="L20" s="343">
        <f>+(H20+K20)*0.015</f>
        <v>128903.9499376125</v>
      </c>
      <c r="M20" s="344">
        <f t="shared" si="16"/>
        <v>8722500.6124451123</v>
      </c>
      <c r="N20" s="345">
        <f t="shared" si="17"/>
        <v>105000</v>
      </c>
      <c r="O20" s="345">
        <f t="shared" si="18"/>
        <v>0</v>
      </c>
      <c r="P20" s="345">
        <f t="shared" si="19"/>
        <v>455000</v>
      </c>
      <c r="Q20" s="345">
        <f t="shared" si="20"/>
        <v>8033596.6625074996</v>
      </c>
      <c r="R20" s="345">
        <f t="shared" si="21"/>
        <v>128903.9499376125</v>
      </c>
      <c r="S20" s="346">
        <f t="shared" si="22"/>
        <v>8722500.6124451123</v>
      </c>
      <c r="T20" s="347"/>
      <c r="U20" s="613">
        <f t="shared" si="23"/>
        <v>11624716</v>
      </c>
      <c r="V20" s="613">
        <f t="shared" si="24"/>
        <v>11624716</v>
      </c>
      <c r="X20" s="127"/>
    </row>
    <row r="21" spans="1:29" ht="13" outlineLevel="1" x14ac:dyDescent="0.3">
      <c r="A21" s="339">
        <v>2.0299999999999998</v>
      </c>
      <c r="B21" s="350" t="s">
        <v>205</v>
      </c>
      <c r="C21" s="361" t="s">
        <v>235</v>
      </c>
      <c r="D21" s="362" t="s">
        <v>233</v>
      </c>
      <c r="E21" s="363">
        <f>+[2]Excavacion!M25</f>
        <v>15</v>
      </c>
      <c r="F21" s="411">
        <f>100000/(5/1.3)</f>
        <v>26000.000000000004</v>
      </c>
      <c r="G21" s="343"/>
      <c r="H21" s="344">
        <f>F21+G21</f>
        <v>26000.000000000004</v>
      </c>
      <c r="I21" s="125"/>
      <c r="J21" s="349">
        <f>+'[2]P.MO 12.24'!B7</f>
        <v>60860.580776571966</v>
      </c>
      <c r="K21" s="344">
        <f t="shared" si="15"/>
        <v>60860.580776571966</v>
      </c>
      <c r="L21" s="343">
        <f>+(H21+K21)*0.015</f>
        <v>1302.9087116485794</v>
      </c>
      <c r="M21" s="344">
        <f t="shared" si="16"/>
        <v>88163.489488220541</v>
      </c>
      <c r="N21" s="345">
        <f t="shared" si="17"/>
        <v>390000.00000000006</v>
      </c>
      <c r="O21" s="345">
        <f t="shared" si="18"/>
        <v>0</v>
      </c>
      <c r="P21" s="345">
        <f t="shared" si="19"/>
        <v>0</v>
      </c>
      <c r="Q21" s="345">
        <f t="shared" si="20"/>
        <v>912908.71164857945</v>
      </c>
      <c r="R21" s="345">
        <f t="shared" si="21"/>
        <v>19543.630674728691</v>
      </c>
      <c r="S21" s="346">
        <f t="shared" si="22"/>
        <v>1322452.3423233081</v>
      </c>
      <c r="T21" s="347"/>
      <c r="U21" s="613">
        <f>+ROUNDUP(M21*$T$5,0)</f>
        <v>117498</v>
      </c>
      <c r="V21" s="613">
        <f>+U21*E21</f>
        <v>1762470</v>
      </c>
      <c r="X21" s="127"/>
    </row>
    <row r="22" spans="1:29" ht="26" outlineLevel="1" x14ac:dyDescent="0.3">
      <c r="A22" s="621">
        <v>2.04</v>
      </c>
      <c r="B22" s="375" t="s">
        <v>236</v>
      </c>
      <c r="C22" s="622" t="s">
        <v>237</v>
      </c>
      <c r="D22" s="377" t="s">
        <v>238</v>
      </c>
      <c r="E22" s="378">
        <v>0</v>
      </c>
      <c r="F22" s="1296"/>
      <c r="G22" s="395"/>
      <c r="H22" s="344">
        <f>F22+G22</f>
        <v>0</v>
      </c>
      <c r="I22" s="349">
        <f>+[2]SUBCONTRATOS!D24</f>
        <v>21411.111111111109</v>
      </c>
      <c r="J22" s="1297"/>
      <c r="K22" s="344">
        <f t="shared" si="15"/>
        <v>21411.111111111109</v>
      </c>
      <c r="L22" s="395"/>
      <c r="M22" s="344">
        <f t="shared" si="16"/>
        <v>21411.111111111109</v>
      </c>
      <c r="N22" s="345">
        <f t="shared" si="17"/>
        <v>0</v>
      </c>
      <c r="O22" s="345">
        <f t="shared" si="18"/>
        <v>0</v>
      </c>
      <c r="P22" s="345">
        <f t="shared" si="19"/>
        <v>0</v>
      </c>
      <c r="Q22" s="345">
        <f t="shared" si="20"/>
        <v>0</v>
      </c>
      <c r="R22" s="345">
        <f t="shared" si="21"/>
        <v>0</v>
      </c>
      <c r="S22" s="346">
        <f t="shared" si="22"/>
        <v>0</v>
      </c>
      <c r="T22" s="347"/>
      <c r="U22" s="613">
        <f>+ROUNDUP(M22*$T$5,0)</f>
        <v>28536</v>
      </c>
      <c r="V22" s="613">
        <f>+U22*E22</f>
        <v>0</v>
      </c>
      <c r="X22" s="127"/>
    </row>
    <row r="23" spans="1:29" ht="13" outlineLevel="1" x14ac:dyDescent="0.3">
      <c r="A23" s="351">
        <v>2.0499999999999998</v>
      </c>
      <c r="B23" s="352" t="s">
        <v>205</v>
      </c>
      <c r="C23" s="623" t="s">
        <v>239</v>
      </c>
      <c r="D23" s="405" t="s">
        <v>207</v>
      </c>
      <c r="E23" s="379">
        <v>0</v>
      </c>
      <c r="F23" s="358"/>
      <c r="G23" s="358"/>
      <c r="H23" s="356">
        <f t="shared" ref="H23" si="25">F23+G23</f>
        <v>0</v>
      </c>
      <c r="I23" s="357"/>
      <c r="J23" s="357"/>
      <c r="K23" s="356">
        <f t="shared" si="15"/>
        <v>0</v>
      </c>
      <c r="L23" s="358"/>
      <c r="M23" s="356">
        <f t="shared" si="16"/>
        <v>0</v>
      </c>
      <c r="N23" s="359">
        <f t="shared" si="17"/>
        <v>0</v>
      </c>
      <c r="O23" s="359">
        <f t="shared" si="18"/>
        <v>0</v>
      </c>
      <c r="P23" s="359">
        <f t="shared" si="19"/>
        <v>0</v>
      </c>
      <c r="Q23" s="359">
        <f t="shared" si="20"/>
        <v>0</v>
      </c>
      <c r="R23" s="359">
        <f t="shared" si="21"/>
        <v>0</v>
      </c>
      <c r="S23" s="360">
        <f t="shared" si="22"/>
        <v>0</v>
      </c>
      <c r="T23" s="347"/>
      <c r="U23" s="613">
        <f t="shared" ref="U23" si="26">+ROUNDUP(M23*$T$5,0)</f>
        <v>0</v>
      </c>
      <c r="V23" s="613">
        <f t="shared" ref="V23" si="27">+U23*E23</f>
        <v>0</v>
      </c>
      <c r="X23" s="127"/>
    </row>
    <row r="24" spans="1:29" s="185" customFormat="1" ht="13" x14ac:dyDescent="0.3">
      <c r="A24" s="325">
        <v>3</v>
      </c>
      <c r="B24" s="326"/>
      <c r="C24" s="607" t="s">
        <v>240</v>
      </c>
      <c r="D24" s="177"/>
      <c r="E24" s="327"/>
      <c r="F24" s="327"/>
      <c r="G24" s="327"/>
      <c r="H24" s="327"/>
      <c r="I24" s="327"/>
      <c r="J24" s="327"/>
      <c r="K24" s="327"/>
      <c r="L24" s="327"/>
      <c r="M24" s="328"/>
      <c r="N24" s="327"/>
      <c r="O24" s="327"/>
      <c r="P24" s="327"/>
      <c r="Q24" s="327"/>
      <c r="R24" s="327"/>
      <c r="S24" s="327"/>
      <c r="T24" s="329">
        <f>SUM(S25:S45)</f>
        <v>338680876.79410732</v>
      </c>
      <c r="U24" s="465"/>
      <c r="V24" s="465"/>
      <c r="W24" s="624">
        <f>SUM(V25:V45)</f>
        <v>451369624</v>
      </c>
      <c r="X24" s="1295">
        <f>+W24/$W$232</f>
        <v>0.33540303066974175</v>
      </c>
      <c r="Y24" s="185">
        <v>350000</v>
      </c>
      <c r="Z24" s="1298">
        <f>+E235*Y24</f>
        <v>402807650.00000006</v>
      </c>
      <c r="AA24" s="1299">
        <f>+W24-Z24</f>
        <v>48561973.99999994</v>
      </c>
      <c r="AB24" s="370">
        <f>+Z24/W232</f>
        <v>0.29931767536699949</v>
      </c>
    </row>
    <row r="25" spans="1:29" ht="13" outlineLevel="1" x14ac:dyDescent="0.3">
      <c r="A25" s="339">
        <v>3.01</v>
      </c>
      <c r="B25" s="350" t="s">
        <v>205</v>
      </c>
      <c r="C25" s="367" t="s">
        <v>241</v>
      </c>
      <c r="D25" s="180" t="s">
        <v>233</v>
      </c>
      <c r="E25" s="125">
        <f>+[2]Excavacion!O4</f>
        <v>13</v>
      </c>
      <c r="F25" s="343">
        <f>+[2]Tareas!H76</f>
        <v>115100</v>
      </c>
      <c r="G25" s="343">
        <f>+[2]Tareas!I76</f>
        <v>0</v>
      </c>
      <c r="H25" s="344">
        <f t="shared" ref="H25:H45" si="28">F25+G25</f>
        <v>115100</v>
      </c>
      <c r="I25" s="343">
        <f>+[2]Tareas!Q76</f>
        <v>0</v>
      </c>
      <c r="J25" s="343">
        <f>+[2]Tareas!R76</f>
        <v>101603.58188318765</v>
      </c>
      <c r="K25" s="344">
        <f t="shared" ref="K25:K45" si="29">I25+J25</f>
        <v>101603.58188318765</v>
      </c>
      <c r="L25" s="343">
        <f t="shared" ref="L25:L41" si="30">+(H25+K25)*0.015</f>
        <v>3250.5537282478144</v>
      </c>
      <c r="M25" s="344">
        <f t="shared" ref="M25:M45" si="31">H25+K25+L25</f>
        <v>219954.13561143546</v>
      </c>
      <c r="N25" s="345">
        <f t="shared" ref="N25:N45" si="32">F25*E25</f>
        <v>1496300</v>
      </c>
      <c r="O25" s="345">
        <f t="shared" ref="O25:O45" si="33">G25*E25</f>
        <v>0</v>
      </c>
      <c r="P25" s="345">
        <f t="shared" ref="P25:P45" si="34">I25*E25</f>
        <v>0</v>
      </c>
      <c r="Q25" s="345">
        <f t="shared" ref="Q25:Q45" si="35">J25*E25</f>
        <v>1320846.5644814395</v>
      </c>
      <c r="R25" s="345">
        <f t="shared" ref="R25:R45" si="36">+L25*E25</f>
        <v>42257.198467221591</v>
      </c>
      <c r="S25" s="346">
        <f t="shared" ref="S25:S45" si="37">SUM(N25:R25)</f>
        <v>2859403.7629486611</v>
      </c>
      <c r="T25" s="347"/>
      <c r="U25" s="613">
        <f t="shared" ref="U25:U45" si="38">+ROUNDUP(M25*$T$5,0)</f>
        <v>293139</v>
      </c>
      <c r="V25" s="613">
        <f t="shared" ref="V25:V45" si="39">+U25*E25</f>
        <v>3810807</v>
      </c>
      <c r="X25" s="127"/>
      <c r="Z25" s="129"/>
      <c r="AC25" s="370"/>
    </row>
    <row r="26" spans="1:29" ht="13" outlineLevel="1" x14ac:dyDescent="0.3">
      <c r="A26" s="339">
        <v>3.02</v>
      </c>
      <c r="B26" s="350" t="s">
        <v>205</v>
      </c>
      <c r="C26" s="367" t="s">
        <v>242</v>
      </c>
      <c r="D26" s="180" t="s">
        <v>243</v>
      </c>
      <c r="E26" s="125">
        <v>18</v>
      </c>
      <c r="F26" s="343">
        <f>+[2]Tareas!H81</f>
        <v>90570.796344000002</v>
      </c>
      <c r="G26" s="343">
        <f>+[2]Tareas!I81</f>
        <v>0</v>
      </c>
      <c r="H26" s="344">
        <f t="shared" si="28"/>
        <v>90570.796344000002</v>
      </c>
      <c r="I26" s="343">
        <f>+[2]Tareas!Q81</f>
        <v>250000</v>
      </c>
      <c r="J26" s="343">
        <f>+[2]Tareas!R81</f>
        <v>0</v>
      </c>
      <c r="K26" s="344">
        <f t="shared" si="29"/>
        <v>250000</v>
      </c>
      <c r="L26" s="343">
        <f t="shared" si="30"/>
        <v>5108.5619451600005</v>
      </c>
      <c r="M26" s="344">
        <f t="shared" si="31"/>
        <v>345679.35828916001</v>
      </c>
      <c r="N26" s="345">
        <f t="shared" si="32"/>
        <v>1630274.3341920001</v>
      </c>
      <c r="O26" s="345">
        <f t="shared" si="33"/>
        <v>0</v>
      </c>
      <c r="P26" s="345">
        <f t="shared" si="34"/>
        <v>4500000</v>
      </c>
      <c r="Q26" s="345">
        <f t="shared" si="35"/>
        <v>0</v>
      </c>
      <c r="R26" s="345">
        <f t="shared" si="36"/>
        <v>91954.115012880007</v>
      </c>
      <c r="S26" s="346">
        <f t="shared" si="37"/>
        <v>6222228.4492048807</v>
      </c>
      <c r="T26" s="347"/>
      <c r="U26" s="613">
        <f t="shared" si="38"/>
        <v>460697</v>
      </c>
      <c r="V26" s="613">
        <f t="shared" si="39"/>
        <v>8292546</v>
      </c>
      <c r="X26" s="127"/>
      <c r="Z26" s="129"/>
      <c r="AC26" s="370"/>
    </row>
    <row r="27" spans="1:29" ht="13" outlineLevel="1" x14ac:dyDescent="0.3">
      <c r="A27" s="339">
        <v>3.03</v>
      </c>
      <c r="B27" s="350" t="s">
        <v>205</v>
      </c>
      <c r="C27" s="367" t="s">
        <v>244</v>
      </c>
      <c r="D27" s="180" t="s">
        <v>233</v>
      </c>
      <c r="E27" s="125">
        <f>+'[2]H°A° '!V4</f>
        <v>12</v>
      </c>
      <c r="F27" s="349">
        <f>+'[2]H°A° '!F50</f>
        <v>402072.54172518163</v>
      </c>
      <c r="G27" s="368"/>
      <c r="H27" s="344">
        <f t="shared" si="28"/>
        <v>402072.54172518163</v>
      </c>
      <c r="I27" s="349">
        <f>+'[2]MO HA AING'!D72</f>
        <v>357640.89987449948</v>
      </c>
      <c r="J27" s="349"/>
      <c r="K27" s="344">
        <f t="shared" si="29"/>
        <v>357640.89987449948</v>
      </c>
      <c r="L27" s="343">
        <f t="shared" si="30"/>
        <v>11395.701623995215</v>
      </c>
      <c r="M27" s="344">
        <f t="shared" si="31"/>
        <v>771109.14322367625</v>
      </c>
      <c r="N27" s="345">
        <f t="shared" si="32"/>
        <v>4824870.50070218</v>
      </c>
      <c r="O27" s="345">
        <f t="shared" si="33"/>
        <v>0</v>
      </c>
      <c r="P27" s="345">
        <f t="shared" si="34"/>
        <v>4291690.7984939935</v>
      </c>
      <c r="Q27" s="345">
        <f t="shared" si="35"/>
        <v>0</v>
      </c>
      <c r="R27" s="345">
        <f t="shared" si="36"/>
        <v>136748.41948794259</v>
      </c>
      <c r="S27" s="346">
        <f t="shared" si="37"/>
        <v>9253309.7186841145</v>
      </c>
      <c r="T27" s="347"/>
      <c r="U27" s="613">
        <f t="shared" si="38"/>
        <v>1027679</v>
      </c>
      <c r="V27" s="613">
        <f t="shared" si="39"/>
        <v>12332148</v>
      </c>
      <c r="X27" s="127"/>
    </row>
    <row r="28" spans="1:29" ht="13" outlineLevel="1" x14ac:dyDescent="0.3">
      <c r="A28" s="339">
        <v>3.04</v>
      </c>
      <c r="B28" s="350" t="s">
        <v>205</v>
      </c>
      <c r="C28" s="367" t="s">
        <v>245</v>
      </c>
      <c r="D28" s="180" t="s">
        <v>233</v>
      </c>
      <c r="E28" s="125">
        <f>+'[2]H°A° '!V8</f>
        <v>7</v>
      </c>
      <c r="F28" s="349">
        <f>+'[2]H°A° '!F49</f>
        <v>428196.58025620243</v>
      </c>
      <c r="G28" s="368"/>
      <c r="H28" s="344">
        <f t="shared" si="28"/>
        <v>428196.58025620243</v>
      </c>
      <c r="I28" s="349">
        <f>+'[2]MO HA AING'!C6</f>
        <v>281633.96217538579</v>
      </c>
      <c r="J28" s="349"/>
      <c r="K28" s="344">
        <f t="shared" si="29"/>
        <v>281633.96217538579</v>
      </c>
      <c r="L28" s="343">
        <f t="shared" si="30"/>
        <v>10647.458136473824</v>
      </c>
      <c r="M28" s="344">
        <f t="shared" si="31"/>
        <v>720478.00056806207</v>
      </c>
      <c r="N28" s="345">
        <f t="shared" si="32"/>
        <v>2997376.0617934172</v>
      </c>
      <c r="O28" s="345">
        <f t="shared" si="33"/>
        <v>0</v>
      </c>
      <c r="P28" s="345">
        <f t="shared" si="34"/>
        <v>1971437.7352277006</v>
      </c>
      <c r="Q28" s="345">
        <f t="shared" si="35"/>
        <v>0</v>
      </c>
      <c r="R28" s="345">
        <f t="shared" si="36"/>
        <v>74532.206955316768</v>
      </c>
      <c r="S28" s="346">
        <f t="shared" si="37"/>
        <v>5043346.0039764345</v>
      </c>
      <c r="T28" s="347"/>
      <c r="U28" s="613">
        <f t="shared" si="38"/>
        <v>960201</v>
      </c>
      <c r="V28" s="613">
        <f t="shared" si="39"/>
        <v>6721407</v>
      </c>
      <c r="X28" s="127"/>
      <c r="Z28" s="129"/>
    </row>
    <row r="29" spans="1:29" ht="13" outlineLevel="1" x14ac:dyDescent="0.3">
      <c r="A29" s="339">
        <v>3.05</v>
      </c>
      <c r="B29" s="350" t="s">
        <v>205</v>
      </c>
      <c r="C29" s="367" t="s">
        <v>246</v>
      </c>
      <c r="D29" s="180" t="s">
        <v>233</v>
      </c>
      <c r="E29" s="125">
        <f>+'[2]H°A° '!K7</f>
        <v>38</v>
      </c>
      <c r="F29" s="349">
        <f>+'[2]H°A° '!F53</f>
        <v>333700.5057903782</v>
      </c>
      <c r="G29" s="368"/>
      <c r="H29" s="344">
        <f t="shared" si="28"/>
        <v>333700.5057903782</v>
      </c>
      <c r="I29" s="349">
        <f>+'[2]MO HA AING'!C5</f>
        <v>194327.43390101619</v>
      </c>
      <c r="J29" s="349"/>
      <c r="K29" s="344">
        <f>I29+J29</f>
        <v>194327.43390101619</v>
      </c>
      <c r="L29" s="343">
        <f t="shared" si="30"/>
        <v>7920.4190953709149</v>
      </c>
      <c r="M29" s="344">
        <f t="shared" si="31"/>
        <v>535948.35878676525</v>
      </c>
      <c r="N29" s="345">
        <f t="shared" si="32"/>
        <v>12680619.220034372</v>
      </c>
      <c r="O29" s="345">
        <f t="shared" si="33"/>
        <v>0</v>
      </c>
      <c r="P29" s="345">
        <f t="shared" si="34"/>
        <v>7384442.488238615</v>
      </c>
      <c r="Q29" s="345">
        <f t="shared" si="35"/>
        <v>0</v>
      </c>
      <c r="R29" s="345">
        <f t="shared" si="36"/>
        <v>300975.92562409479</v>
      </c>
      <c r="S29" s="346">
        <f t="shared" si="37"/>
        <v>20366037.633897081</v>
      </c>
      <c r="T29" s="347"/>
      <c r="U29" s="613">
        <f t="shared" si="38"/>
        <v>714274</v>
      </c>
      <c r="V29" s="613">
        <f t="shared" si="39"/>
        <v>27142412</v>
      </c>
      <c r="X29" s="127"/>
    </row>
    <row r="30" spans="1:29" ht="13" outlineLevel="1" x14ac:dyDescent="0.3">
      <c r="A30" s="339">
        <v>3.06</v>
      </c>
      <c r="B30" s="350" t="s">
        <v>205</v>
      </c>
      <c r="C30" s="367" t="s">
        <v>247</v>
      </c>
      <c r="D30" s="180" t="s">
        <v>233</v>
      </c>
      <c r="E30" s="125">
        <f>+'[2]H°A° '!K4</f>
        <v>51</v>
      </c>
      <c r="F30" s="349">
        <f>+'[2]H°A° '!F47</f>
        <v>275042.3782903782</v>
      </c>
      <c r="G30" s="368"/>
      <c r="H30" s="344">
        <f t="shared" si="28"/>
        <v>275042.3782903782</v>
      </c>
      <c r="I30" s="349">
        <f>+'[2]MO HA AING'!C5</f>
        <v>194327.43390101619</v>
      </c>
      <c r="J30" s="349"/>
      <c r="K30" s="344">
        <f t="shared" ref="K30:K40" si="40">I30+J30</f>
        <v>194327.43390101619</v>
      </c>
      <c r="L30" s="343">
        <f t="shared" si="30"/>
        <v>7040.547182870916</v>
      </c>
      <c r="M30" s="344">
        <f t="shared" si="31"/>
        <v>476410.3593742653</v>
      </c>
      <c r="N30" s="345">
        <f t="shared" si="32"/>
        <v>14027161.292809289</v>
      </c>
      <c r="O30" s="345">
        <f t="shared" si="33"/>
        <v>0</v>
      </c>
      <c r="P30" s="345">
        <f t="shared" si="34"/>
        <v>9910699.1289518252</v>
      </c>
      <c r="Q30" s="345">
        <f t="shared" si="35"/>
        <v>0</v>
      </c>
      <c r="R30" s="345">
        <f t="shared" si="36"/>
        <v>359067.90632641671</v>
      </c>
      <c r="S30" s="346">
        <f t="shared" si="37"/>
        <v>24296928.328087531</v>
      </c>
      <c r="T30" s="347"/>
      <c r="U30" s="613">
        <f t="shared" si="38"/>
        <v>634926</v>
      </c>
      <c r="V30" s="613">
        <f t="shared" si="39"/>
        <v>32381226</v>
      </c>
      <c r="X30" s="127"/>
      <c r="AA30" s="129"/>
    </row>
    <row r="31" spans="1:29" ht="13" outlineLevel="1" x14ac:dyDescent="0.3">
      <c r="A31" s="339">
        <v>3.07</v>
      </c>
      <c r="B31" s="350" t="s">
        <v>205</v>
      </c>
      <c r="C31" s="367" t="s">
        <v>248</v>
      </c>
      <c r="D31" s="180" t="s">
        <v>233</v>
      </c>
      <c r="E31" s="125">
        <f>+'[2]H°A° '!K16</f>
        <v>16</v>
      </c>
      <c r="F31" s="349">
        <f>+'[2]H°A° '!F48</f>
        <v>635192.71722614043</v>
      </c>
      <c r="G31" s="368"/>
      <c r="H31" s="344">
        <f t="shared" si="28"/>
        <v>635192.71722614043</v>
      </c>
      <c r="I31" s="349">
        <f>+'[2]MO HA AING'!D47</f>
        <v>317914.04751247447</v>
      </c>
      <c r="J31" s="349"/>
      <c r="K31" s="344">
        <f t="shared" si="40"/>
        <v>317914.04751247447</v>
      </c>
      <c r="L31" s="343">
        <f t="shared" si="30"/>
        <v>14296.601471079222</v>
      </c>
      <c r="M31" s="344">
        <f t="shared" si="31"/>
        <v>967403.36620969418</v>
      </c>
      <c r="N31" s="345">
        <f t="shared" si="32"/>
        <v>10163083.475618247</v>
      </c>
      <c r="O31" s="345">
        <f t="shared" si="33"/>
        <v>0</v>
      </c>
      <c r="P31" s="345">
        <f t="shared" si="34"/>
        <v>5086624.7601995915</v>
      </c>
      <c r="Q31" s="345">
        <f t="shared" si="35"/>
        <v>0</v>
      </c>
      <c r="R31" s="345">
        <f t="shared" si="36"/>
        <v>228745.62353726756</v>
      </c>
      <c r="S31" s="346">
        <f t="shared" si="37"/>
        <v>15478453.859355107</v>
      </c>
      <c r="T31" s="347"/>
      <c r="U31" s="613">
        <f t="shared" si="38"/>
        <v>1289285</v>
      </c>
      <c r="V31" s="613">
        <f t="shared" si="39"/>
        <v>20628560</v>
      </c>
      <c r="X31" s="127"/>
      <c r="AA31" s="129"/>
    </row>
    <row r="32" spans="1:29" ht="13" outlineLevel="1" x14ac:dyDescent="0.3">
      <c r="A32" s="339">
        <v>3.08</v>
      </c>
      <c r="B32" s="350" t="s">
        <v>205</v>
      </c>
      <c r="C32" s="367" t="s">
        <v>249</v>
      </c>
      <c r="D32" s="180" t="s">
        <v>233</v>
      </c>
      <c r="E32" s="125">
        <f>+'[2]H°A° '!K5</f>
        <v>7</v>
      </c>
      <c r="F32" s="349">
        <f>+'[2]H°A° '!F52</f>
        <v>528753.37025620253</v>
      </c>
      <c r="G32" s="368"/>
      <c r="H32" s="344">
        <f t="shared" si="28"/>
        <v>528753.37025620253</v>
      </c>
      <c r="I32" s="349">
        <f>+'[2]MO HA AING'!C6</f>
        <v>281633.96217538579</v>
      </c>
      <c r="J32" s="349"/>
      <c r="K32" s="344">
        <f t="shared" si="29"/>
        <v>281633.96217538579</v>
      </c>
      <c r="L32" s="343">
        <f t="shared" si="30"/>
        <v>12155.809986473825</v>
      </c>
      <c r="M32" s="344">
        <f t="shared" si="31"/>
        <v>822543.1424180622</v>
      </c>
      <c r="N32" s="345">
        <f t="shared" si="32"/>
        <v>3701273.5917934179</v>
      </c>
      <c r="O32" s="345">
        <f t="shared" si="33"/>
        <v>0</v>
      </c>
      <c r="P32" s="345">
        <f t="shared" si="34"/>
        <v>1971437.7352277006</v>
      </c>
      <c r="Q32" s="345">
        <f t="shared" si="35"/>
        <v>0</v>
      </c>
      <c r="R32" s="345">
        <f t="shared" si="36"/>
        <v>85090.669905316783</v>
      </c>
      <c r="S32" s="346">
        <f t="shared" si="37"/>
        <v>5757801.9969264353</v>
      </c>
      <c r="T32" s="347"/>
      <c r="U32" s="613">
        <f t="shared" si="38"/>
        <v>1096226</v>
      </c>
      <c r="V32" s="613">
        <f t="shared" si="39"/>
        <v>7673582</v>
      </c>
      <c r="X32" s="127"/>
      <c r="Z32" s="472"/>
    </row>
    <row r="33" spans="1:26" ht="13" outlineLevel="1" x14ac:dyDescent="0.3">
      <c r="A33" s="339">
        <v>3.09</v>
      </c>
      <c r="B33" s="350" t="s">
        <v>205</v>
      </c>
      <c r="C33" s="341" t="s">
        <v>250</v>
      </c>
      <c r="D33" s="362" t="s">
        <v>233</v>
      </c>
      <c r="E33" s="342">
        <f>+'[2]H°A° '!K9</f>
        <v>90</v>
      </c>
      <c r="F33" s="349">
        <f>+'[2]H°A° '!F54</f>
        <v>372584.32994905504</v>
      </c>
      <c r="G33" s="349"/>
      <c r="H33" s="344">
        <f t="shared" si="28"/>
        <v>372584.32994905504</v>
      </c>
      <c r="I33" s="349">
        <f>+'[2]MO HA AING'!D123</f>
        <v>221790.79493264115</v>
      </c>
      <c r="J33" s="349"/>
      <c r="K33" s="344">
        <f t="shared" si="29"/>
        <v>221790.79493264115</v>
      </c>
      <c r="L33" s="343">
        <f t="shared" si="30"/>
        <v>8915.626873225443</v>
      </c>
      <c r="M33" s="344">
        <f t="shared" si="31"/>
        <v>603290.75175492163</v>
      </c>
      <c r="N33" s="345">
        <f t="shared" si="32"/>
        <v>33532589.695414953</v>
      </c>
      <c r="O33" s="345">
        <f t="shared" si="33"/>
        <v>0</v>
      </c>
      <c r="P33" s="345">
        <f t="shared" si="34"/>
        <v>19961171.543937702</v>
      </c>
      <c r="Q33" s="345">
        <f t="shared" si="35"/>
        <v>0</v>
      </c>
      <c r="R33" s="345">
        <f t="shared" si="36"/>
        <v>802406.41859028989</v>
      </c>
      <c r="S33" s="346">
        <f t="shared" si="37"/>
        <v>54296167.657942951</v>
      </c>
      <c r="T33" s="347"/>
      <c r="U33" s="613">
        <f t="shared" si="38"/>
        <v>804023</v>
      </c>
      <c r="V33" s="613">
        <f t="shared" si="39"/>
        <v>72362070</v>
      </c>
      <c r="X33" s="127"/>
      <c r="Z33" s="129"/>
    </row>
    <row r="34" spans="1:26" ht="13" outlineLevel="1" x14ac:dyDescent="0.3">
      <c r="A34" s="339">
        <v>3.1</v>
      </c>
      <c r="B34" s="350" t="s">
        <v>205</v>
      </c>
      <c r="C34" s="341" t="s">
        <v>251</v>
      </c>
      <c r="D34" s="362" t="s">
        <v>233</v>
      </c>
      <c r="E34" s="342">
        <f>+'[2]H°A° '!K10</f>
        <v>32</v>
      </c>
      <c r="F34" s="349">
        <f>+'[2]H°A° '!F55</f>
        <v>379758.83388002339</v>
      </c>
      <c r="G34" s="349"/>
      <c r="H34" s="344">
        <f t="shared" si="28"/>
        <v>379758.83388002339</v>
      </c>
      <c r="I34" s="349">
        <f>+'[2]MO HA AING'!D123</f>
        <v>221790.79493264115</v>
      </c>
      <c r="J34" s="371">
        <f>+I34*0.25</f>
        <v>55447.698733160287</v>
      </c>
      <c r="K34" s="344">
        <f t="shared" si="29"/>
        <v>277238.49366580142</v>
      </c>
      <c r="L34" s="343">
        <f t="shared" si="30"/>
        <v>9854.9599131873711</v>
      </c>
      <c r="M34" s="344">
        <f t="shared" si="31"/>
        <v>666852.28745901224</v>
      </c>
      <c r="N34" s="345">
        <f t="shared" si="32"/>
        <v>12152282.684160748</v>
      </c>
      <c r="O34" s="345">
        <f t="shared" si="33"/>
        <v>0</v>
      </c>
      <c r="P34" s="345">
        <f t="shared" si="34"/>
        <v>7097305.4378445167</v>
      </c>
      <c r="Q34" s="345">
        <f t="shared" si="35"/>
        <v>1774326.3594611292</v>
      </c>
      <c r="R34" s="345">
        <f t="shared" si="36"/>
        <v>315358.71722199587</v>
      </c>
      <c r="S34" s="346">
        <f t="shared" si="37"/>
        <v>21339273.198688392</v>
      </c>
      <c r="T34" s="347"/>
      <c r="U34" s="613">
        <f t="shared" si="38"/>
        <v>888733</v>
      </c>
      <c r="V34" s="613">
        <f t="shared" si="39"/>
        <v>28439456</v>
      </c>
      <c r="X34" s="127"/>
    </row>
    <row r="35" spans="1:26" ht="13" outlineLevel="1" x14ac:dyDescent="0.3">
      <c r="A35" s="339">
        <v>3.11</v>
      </c>
      <c r="B35" s="350" t="s">
        <v>205</v>
      </c>
      <c r="C35" s="341" t="s">
        <v>252</v>
      </c>
      <c r="D35" s="362" t="s">
        <v>233</v>
      </c>
      <c r="E35" s="342">
        <f>+'[2]H°A° '!K11</f>
        <v>46</v>
      </c>
      <c r="F35" s="349">
        <f>+'[2]H°A° '!F56</f>
        <v>567913.50664448494</v>
      </c>
      <c r="G35" s="349"/>
      <c r="H35" s="344">
        <f t="shared" si="28"/>
        <v>567913.50664448494</v>
      </c>
      <c r="I35" s="349">
        <f>+'[2]MO HA AING'!D99</f>
        <v>537036.8067412331</v>
      </c>
      <c r="J35" s="349"/>
      <c r="K35" s="344">
        <f t="shared" si="40"/>
        <v>537036.8067412331</v>
      </c>
      <c r="L35" s="343">
        <f t="shared" si="30"/>
        <v>16574.254700785768</v>
      </c>
      <c r="M35" s="344">
        <f t="shared" si="31"/>
        <v>1121524.5680865038</v>
      </c>
      <c r="N35" s="345">
        <f t="shared" si="32"/>
        <v>26124021.305646308</v>
      </c>
      <c r="O35" s="345">
        <f t="shared" si="33"/>
        <v>0</v>
      </c>
      <c r="P35" s="345">
        <f t="shared" si="34"/>
        <v>24703693.110096723</v>
      </c>
      <c r="Q35" s="345">
        <f t="shared" si="35"/>
        <v>0</v>
      </c>
      <c r="R35" s="345">
        <f t="shared" si="36"/>
        <v>762415.71623614535</v>
      </c>
      <c r="S35" s="346">
        <f t="shared" si="37"/>
        <v>51590130.131979175</v>
      </c>
      <c r="T35" s="347"/>
      <c r="U35" s="613">
        <f t="shared" si="38"/>
        <v>1494687</v>
      </c>
      <c r="V35" s="613">
        <f t="shared" si="39"/>
        <v>68755602</v>
      </c>
      <c r="X35" s="127"/>
    </row>
    <row r="36" spans="1:26" ht="13" outlineLevel="1" x14ac:dyDescent="0.3">
      <c r="A36" s="339">
        <v>3.12</v>
      </c>
      <c r="B36" s="350" t="s">
        <v>205</v>
      </c>
      <c r="C36" s="341" t="s">
        <v>253</v>
      </c>
      <c r="D36" s="362" t="s">
        <v>233</v>
      </c>
      <c r="E36" s="342">
        <f>+'[2]H°A° '!K12</f>
        <v>31</v>
      </c>
      <c r="F36" s="349">
        <f>+'[2]H°A° '!F57</f>
        <v>565756.86506570573</v>
      </c>
      <c r="G36" s="349"/>
      <c r="H36" s="344">
        <f t="shared" si="28"/>
        <v>565756.86506570573</v>
      </c>
      <c r="I36" s="349">
        <f>+'[2]MO HA AING'!D99</f>
        <v>537036.8067412331</v>
      </c>
      <c r="J36" s="371">
        <f>+I36*0.25</f>
        <v>134259.20168530828</v>
      </c>
      <c r="K36" s="344">
        <f t="shared" si="40"/>
        <v>671296.00842654135</v>
      </c>
      <c r="L36" s="343">
        <f t="shared" si="30"/>
        <v>18555.793102383705</v>
      </c>
      <c r="M36" s="344">
        <f t="shared" si="31"/>
        <v>1255608.6665946306</v>
      </c>
      <c r="N36" s="345">
        <f t="shared" si="32"/>
        <v>17538462.817036878</v>
      </c>
      <c r="O36" s="345">
        <f t="shared" si="33"/>
        <v>0</v>
      </c>
      <c r="P36" s="345">
        <f t="shared" si="34"/>
        <v>16648141.008978225</v>
      </c>
      <c r="Q36" s="345">
        <f t="shared" si="35"/>
        <v>4162035.2522445563</v>
      </c>
      <c r="R36" s="345">
        <f t="shared" si="36"/>
        <v>575229.58617389482</v>
      </c>
      <c r="S36" s="346">
        <f t="shared" si="37"/>
        <v>38923868.664433546</v>
      </c>
      <c r="T36" s="347"/>
      <c r="U36" s="613">
        <f t="shared" si="38"/>
        <v>1673385</v>
      </c>
      <c r="V36" s="613">
        <f t="shared" si="39"/>
        <v>51874935</v>
      </c>
      <c r="X36" s="127"/>
    </row>
    <row r="37" spans="1:26" ht="13" outlineLevel="1" x14ac:dyDescent="0.3">
      <c r="A37" s="339">
        <v>3.13</v>
      </c>
      <c r="B37" s="350" t="s">
        <v>205</v>
      </c>
      <c r="C37" s="341" t="s">
        <v>254</v>
      </c>
      <c r="D37" s="362" t="s">
        <v>233</v>
      </c>
      <c r="E37" s="342">
        <f>+'[2]H°A° '!K13</f>
        <v>24</v>
      </c>
      <c r="F37" s="349">
        <f>+'[2]H°A° '!F58</f>
        <v>410452.27422518161</v>
      </c>
      <c r="G37" s="349"/>
      <c r="H37" s="344">
        <f t="shared" si="28"/>
        <v>410452.27422518161</v>
      </c>
      <c r="I37" s="349">
        <f>+'[2]MO HA AING'!D72</f>
        <v>357640.89987449948</v>
      </c>
      <c r="J37" s="349"/>
      <c r="K37" s="344">
        <f t="shared" si="29"/>
        <v>357640.89987449948</v>
      </c>
      <c r="L37" s="343">
        <f t="shared" si="30"/>
        <v>11521.397611495217</v>
      </c>
      <c r="M37" s="344">
        <f t="shared" si="31"/>
        <v>779614.57171117631</v>
      </c>
      <c r="N37" s="345">
        <f t="shared" si="32"/>
        <v>9850854.5814043581</v>
      </c>
      <c r="O37" s="345">
        <f t="shared" si="33"/>
        <v>0</v>
      </c>
      <c r="P37" s="345">
        <f t="shared" si="34"/>
        <v>8583381.5969879869</v>
      </c>
      <c r="Q37" s="345">
        <f t="shared" si="35"/>
        <v>0</v>
      </c>
      <c r="R37" s="345">
        <f t="shared" si="36"/>
        <v>276513.5426758852</v>
      </c>
      <c r="S37" s="346">
        <f t="shared" si="37"/>
        <v>18710749.72106823</v>
      </c>
      <c r="T37" s="347"/>
      <c r="U37" s="613">
        <f t="shared" si="38"/>
        <v>1039014</v>
      </c>
      <c r="V37" s="613">
        <f t="shared" si="39"/>
        <v>24936336</v>
      </c>
      <c r="X37" s="127"/>
    </row>
    <row r="38" spans="1:26" ht="13" outlineLevel="1" x14ac:dyDescent="0.3">
      <c r="A38" s="339">
        <v>3.14</v>
      </c>
      <c r="B38" s="350" t="s">
        <v>205</v>
      </c>
      <c r="C38" s="341" t="s">
        <v>255</v>
      </c>
      <c r="D38" s="362" t="s">
        <v>233</v>
      </c>
      <c r="E38" s="342">
        <f>+'[2]H°A° '!K14</f>
        <v>39</v>
      </c>
      <c r="F38" s="349">
        <f>+'[2]H°A° '!F60</f>
        <v>534635.9272261404</v>
      </c>
      <c r="G38" s="349"/>
      <c r="H38" s="344">
        <f t="shared" si="28"/>
        <v>534635.9272261404</v>
      </c>
      <c r="I38" s="349">
        <f>+'[2]MO HA AING'!D47</f>
        <v>317914.04751247447</v>
      </c>
      <c r="J38" s="349"/>
      <c r="K38" s="344">
        <f t="shared" si="29"/>
        <v>317914.04751247447</v>
      </c>
      <c r="L38" s="343">
        <f t="shared" si="30"/>
        <v>12788.249621079223</v>
      </c>
      <c r="M38" s="344">
        <f t="shared" si="31"/>
        <v>865338.22435969405</v>
      </c>
      <c r="N38" s="345">
        <f t="shared" si="32"/>
        <v>20850801.161819477</v>
      </c>
      <c r="O38" s="345">
        <f t="shared" si="33"/>
        <v>0</v>
      </c>
      <c r="P38" s="345">
        <f t="shared" si="34"/>
        <v>12398647.852986503</v>
      </c>
      <c r="Q38" s="345">
        <f t="shared" si="35"/>
        <v>0</v>
      </c>
      <c r="R38" s="345">
        <f t="shared" si="36"/>
        <v>498741.73522208969</v>
      </c>
      <c r="S38" s="346">
        <f t="shared" si="37"/>
        <v>33748190.750028066</v>
      </c>
      <c r="T38" s="347"/>
      <c r="U38" s="613">
        <f t="shared" si="38"/>
        <v>1153260</v>
      </c>
      <c r="V38" s="613">
        <f t="shared" si="39"/>
        <v>44977140</v>
      </c>
      <c r="X38" s="127"/>
    </row>
    <row r="39" spans="1:26" ht="13" outlineLevel="1" x14ac:dyDescent="0.3">
      <c r="A39" s="339">
        <v>3.16</v>
      </c>
      <c r="B39" s="350" t="s">
        <v>205</v>
      </c>
      <c r="C39" s="341" t="s">
        <v>256</v>
      </c>
      <c r="D39" s="362" t="s">
        <v>233</v>
      </c>
      <c r="E39" s="342">
        <f>+'[2]H°A° '!K15</f>
        <v>4</v>
      </c>
      <c r="F39" s="349">
        <f>+'[2]H°A° '!F61</f>
        <v>543657.96059143287</v>
      </c>
      <c r="G39" s="349"/>
      <c r="H39" s="344">
        <f t="shared" si="28"/>
        <v>543657.96059143287</v>
      </c>
      <c r="I39" s="349">
        <f>+'[2]MO HA AING'!D47</f>
        <v>317914.04751247447</v>
      </c>
      <c r="J39" s="371">
        <f>+I39*0.25</f>
        <v>79478.511878118617</v>
      </c>
      <c r="K39" s="344">
        <f t="shared" si="40"/>
        <v>397392.55939059309</v>
      </c>
      <c r="L39" s="343"/>
      <c r="M39" s="344">
        <f t="shared" si="31"/>
        <v>941050.51998202596</v>
      </c>
      <c r="N39" s="345">
        <f t="shared" si="32"/>
        <v>2174631.8423657315</v>
      </c>
      <c r="O39" s="345">
        <f t="shared" si="33"/>
        <v>0</v>
      </c>
      <c r="P39" s="345">
        <f t="shared" si="34"/>
        <v>1271656.1900498979</v>
      </c>
      <c r="Q39" s="345">
        <f t="shared" si="35"/>
        <v>317914.04751247447</v>
      </c>
      <c r="R39" s="345">
        <f t="shared" si="36"/>
        <v>0</v>
      </c>
      <c r="S39" s="346">
        <f t="shared" si="37"/>
        <v>3764202.0799281038</v>
      </c>
      <c r="T39" s="347"/>
      <c r="U39" s="613">
        <f t="shared" si="38"/>
        <v>1254164</v>
      </c>
      <c r="V39" s="613">
        <f t="shared" si="39"/>
        <v>5016656</v>
      </c>
      <c r="X39" s="127"/>
    </row>
    <row r="40" spans="1:26" ht="13" outlineLevel="1" x14ac:dyDescent="0.3">
      <c r="A40" s="339">
        <v>3.17</v>
      </c>
      <c r="B40" s="350" t="s">
        <v>205</v>
      </c>
      <c r="C40" s="341" t="s">
        <v>257</v>
      </c>
      <c r="D40" s="362" t="s">
        <v>233</v>
      </c>
      <c r="E40" s="342">
        <f>+'[2]H°A° '!K17</f>
        <v>10</v>
      </c>
      <c r="F40" s="349">
        <f>+'[2]H°A° '!F63</f>
        <v>416173.60204176838</v>
      </c>
      <c r="G40" s="349"/>
      <c r="H40" s="344">
        <f t="shared" si="28"/>
        <v>416173.60204176838</v>
      </c>
      <c r="I40" s="349">
        <f>+'[2]MO HA AING'!D148</f>
        <v>324424.43495983491</v>
      </c>
      <c r="J40" s="371">
        <f>+I40*0.25</f>
        <v>81106.108739958727</v>
      </c>
      <c r="K40" s="344">
        <f t="shared" si="40"/>
        <v>405530.54369979363</v>
      </c>
      <c r="L40" s="343">
        <f t="shared" si="30"/>
        <v>12325.56218612343</v>
      </c>
      <c r="M40" s="344">
        <f t="shared" si="31"/>
        <v>834029.70792768546</v>
      </c>
      <c r="N40" s="345">
        <f t="shared" si="32"/>
        <v>4161736.0204176838</v>
      </c>
      <c r="O40" s="345">
        <f t="shared" si="33"/>
        <v>0</v>
      </c>
      <c r="P40" s="345">
        <f t="shared" si="34"/>
        <v>3244244.3495983491</v>
      </c>
      <c r="Q40" s="345">
        <f t="shared" si="35"/>
        <v>811061.08739958727</v>
      </c>
      <c r="R40" s="345">
        <f t="shared" si="36"/>
        <v>123255.62186123431</v>
      </c>
      <c r="S40" s="346">
        <f t="shared" si="37"/>
        <v>8340297.0792768542</v>
      </c>
      <c r="T40" s="347"/>
      <c r="U40" s="613">
        <f t="shared" si="38"/>
        <v>1111535</v>
      </c>
      <c r="V40" s="613">
        <f t="shared" si="39"/>
        <v>11115350</v>
      </c>
      <c r="X40" s="127"/>
    </row>
    <row r="41" spans="1:26" ht="13" outlineLevel="1" x14ac:dyDescent="0.3">
      <c r="A41" s="339">
        <v>3.18</v>
      </c>
      <c r="B41" s="350" t="s">
        <v>205</v>
      </c>
      <c r="C41" s="341" t="s">
        <v>258</v>
      </c>
      <c r="D41" s="362" t="s">
        <v>233</v>
      </c>
      <c r="E41" s="342">
        <f>+'[2]H°A° '!K18</f>
        <v>6</v>
      </c>
      <c r="F41" s="349">
        <f>+'[2]H°A° '!F58</f>
        <v>410452.27422518161</v>
      </c>
      <c r="G41" s="349"/>
      <c r="H41" s="344">
        <f t="shared" si="28"/>
        <v>410452.27422518161</v>
      </c>
      <c r="I41" s="349">
        <f>+'[2]MO HA AING'!D72</f>
        <v>357640.89987449948</v>
      </c>
      <c r="J41" s="349"/>
      <c r="K41" s="344">
        <f t="shared" si="29"/>
        <v>357640.89987449948</v>
      </c>
      <c r="L41" s="343">
        <f t="shared" si="30"/>
        <v>11521.397611495217</v>
      </c>
      <c r="M41" s="344">
        <f t="shared" si="31"/>
        <v>779614.57171117631</v>
      </c>
      <c r="N41" s="345">
        <f t="shared" si="32"/>
        <v>2462713.6453510895</v>
      </c>
      <c r="O41" s="345">
        <f t="shared" si="33"/>
        <v>0</v>
      </c>
      <c r="P41" s="345">
        <f t="shared" si="34"/>
        <v>2145845.3992469967</v>
      </c>
      <c r="Q41" s="345">
        <f t="shared" si="35"/>
        <v>0</v>
      </c>
      <c r="R41" s="345">
        <f t="shared" si="36"/>
        <v>69128.385668971299</v>
      </c>
      <c r="S41" s="346">
        <f t="shared" si="37"/>
        <v>4677687.4302670574</v>
      </c>
      <c r="T41" s="347"/>
      <c r="U41" s="613">
        <f t="shared" si="38"/>
        <v>1039014</v>
      </c>
      <c r="V41" s="613">
        <f t="shared" si="39"/>
        <v>6234084</v>
      </c>
      <c r="X41" s="127"/>
    </row>
    <row r="42" spans="1:26" ht="13" outlineLevel="1" x14ac:dyDescent="0.3">
      <c r="A42" s="339">
        <v>3.19</v>
      </c>
      <c r="B42" s="350" t="s">
        <v>205</v>
      </c>
      <c r="C42" s="372" t="s">
        <v>259</v>
      </c>
      <c r="D42" s="362" t="s">
        <v>207</v>
      </c>
      <c r="E42" s="625">
        <v>1</v>
      </c>
      <c r="F42" s="373"/>
      <c r="G42" s="349"/>
      <c r="H42" s="344">
        <f t="shared" si="28"/>
        <v>0</v>
      </c>
      <c r="I42" s="374"/>
      <c r="J42" s="349"/>
      <c r="K42" s="344">
        <f t="shared" si="29"/>
        <v>0</v>
      </c>
      <c r="L42" s="349">
        <f>+'[2]ENCOFRADO '!G148</f>
        <v>8458556.625</v>
      </c>
      <c r="M42" s="344">
        <f t="shared" si="31"/>
        <v>8458556.625</v>
      </c>
      <c r="N42" s="345">
        <f t="shared" si="32"/>
        <v>0</v>
      </c>
      <c r="O42" s="345">
        <f t="shared" si="33"/>
        <v>0</v>
      </c>
      <c r="P42" s="345">
        <f t="shared" si="34"/>
        <v>0</v>
      </c>
      <c r="Q42" s="345">
        <f t="shared" si="35"/>
        <v>0</v>
      </c>
      <c r="R42" s="345">
        <f t="shared" si="36"/>
        <v>8458556.625</v>
      </c>
      <c r="S42" s="346">
        <f t="shared" si="37"/>
        <v>8458556.625</v>
      </c>
      <c r="T42" s="347"/>
      <c r="U42" s="613">
        <f t="shared" si="38"/>
        <v>11272951</v>
      </c>
      <c r="V42" s="613">
        <f t="shared" si="39"/>
        <v>11272951</v>
      </c>
      <c r="X42" s="127"/>
    </row>
    <row r="43" spans="1:26" ht="13" outlineLevel="1" x14ac:dyDescent="0.3">
      <c r="A43" s="339">
        <v>3.2</v>
      </c>
      <c r="B43" s="350" t="s">
        <v>205</v>
      </c>
      <c r="C43" s="372" t="s">
        <v>260</v>
      </c>
      <c r="D43" s="362" t="s">
        <v>243</v>
      </c>
      <c r="E43" s="363">
        <f>+'[2]H°A° '!O39</f>
        <v>15</v>
      </c>
      <c r="F43" s="128"/>
      <c r="G43" s="125"/>
      <c r="H43" s="344">
        <f t="shared" si="28"/>
        <v>0</v>
      </c>
      <c r="I43" s="349">
        <f>+'[2]H°A° '!O40</f>
        <v>228712</v>
      </c>
      <c r="J43" s="125"/>
      <c r="K43" s="344">
        <f t="shared" si="29"/>
        <v>228712</v>
      </c>
      <c r="L43" s="343"/>
      <c r="M43" s="344">
        <f t="shared" si="31"/>
        <v>228712</v>
      </c>
      <c r="N43" s="345">
        <f t="shared" si="32"/>
        <v>0</v>
      </c>
      <c r="O43" s="345">
        <f t="shared" si="33"/>
        <v>0</v>
      </c>
      <c r="P43" s="345">
        <f t="shared" si="34"/>
        <v>3430680</v>
      </c>
      <c r="Q43" s="345">
        <f t="shared" si="35"/>
        <v>0</v>
      </c>
      <c r="R43" s="345">
        <f t="shared" si="36"/>
        <v>0</v>
      </c>
      <c r="S43" s="346">
        <f t="shared" si="37"/>
        <v>3430680</v>
      </c>
      <c r="T43" s="347"/>
      <c r="U43" s="613">
        <f t="shared" si="38"/>
        <v>304811</v>
      </c>
      <c r="V43" s="613">
        <f t="shared" si="39"/>
        <v>4572165</v>
      </c>
      <c r="X43" s="127"/>
    </row>
    <row r="44" spans="1:26" ht="13" outlineLevel="1" x14ac:dyDescent="0.3">
      <c r="A44" s="339">
        <v>3.21</v>
      </c>
      <c r="B44" s="350" t="s">
        <v>205</v>
      </c>
      <c r="C44" s="376" t="s">
        <v>261</v>
      </c>
      <c r="D44" s="377" t="s">
        <v>207</v>
      </c>
      <c r="E44" s="378">
        <f>+[2]GGBB!R12</f>
        <v>3</v>
      </c>
      <c r="F44" s="349">
        <f>62000/1.21</f>
        <v>51239.669421487604</v>
      </c>
      <c r="G44" s="125"/>
      <c r="H44" s="344">
        <f t="shared" si="28"/>
        <v>51239.669421487604</v>
      </c>
      <c r="I44" s="374"/>
      <c r="J44" s="125"/>
      <c r="K44" s="344">
        <f t="shared" si="29"/>
        <v>0</v>
      </c>
      <c r="L44" s="343"/>
      <c r="M44" s="344">
        <f t="shared" si="31"/>
        <v>51239.669421487604</v>
      </c>
      <c r="N44" s="345">
        <f t="shared" si="32"/>
        <v>153719.00826446281</v>
      </c>
      <c r="O44" s="345">
        <f t="shared" si="33"/>
        <v>0</v>
      </c>
      <c r="P44" s="345">
        <f t="shared" si="34"/>
        <v>0</v>
      </c>
      <c r="Q44" s="345">
        <f t="shared" si="35"/>
        <v>0</v>
      </c>
      <c r="R44" s="345">
        <f t="shared" si="36"/>
        <v>0</v>
      </c>
      <c r="S44" s="346">
        <f t="shared" si="37"/>
        <v>153719.00826446281</v>
      </c>
      <c r="T44" s="347"/>
      <c r="U44" s="613">
        <f t="shared" si="38"/>
        <v>68289</v>
      </c>
      <c r="V44" s="613">
        <f t="shared" si="39"/>
        <v>204867</v>
      </c>
      <c r="X44" s="127"/>
    </row>
    <row r="45" spans="1:26" ht="13" outlineLevel="1" x14ac:dyDescent="0.3">
      <c r="A45" s="339">
        <v>3.22</v>
      </c>
      <c r="B45" s="350" t="s">
        <v>205</v>
      </c>
      <c r="C45" s="353" t="s">
        <v>262</v>
      </c>
      <c r="D45" s="181" t="s">
        <v>238</v>
      </c>
      <c r="E45" s="379">
        <f>[2]Computo!E33</f>
        <v>78</v>
      </c>
      <c r="F45" s="358">
        <f>+[2]Tareas!H87</f>
        <v>5128.2051282051279</v>
      </c>
      <c r="G45" s="358">
        <f>+[2]Tareas!I87</f>
        <v>1923.0769230769231</v>
      </c>
      <c r="H45" s="356">
        <f t="shared" si="28"/>
        <v>7051.2820512820508</v>
      </c>
      <c r="I45" s="358">
        <f>+[2]Tareas!Q87</f>
        <v>0</v>
      </c>
      <c r="J45" s="358">
        <f>+[2]Tareas!R87</f>
        <v>17829.919087410399</v>
      </c>
      <c r="K45" s="356">
        <f t="shared" si="29"/>
        <v>17829.919087410399</v>
      </c>
      <c r="L45" s="358">
        <f>+(H45+K45)*0.015</f>
        <v>373.21801708038674</v>
      </c>
      <c r="M45" s="344">
        <f t="shared" si="31"/>
        <v>25254.419155772837</v>
      </c>
      <c r="N45" s="345">
        <f t="shared" si="32"/>
        <v>400000</v>
      </c>
      <c r="O45" s="345">
        <f t="shared" si="33"/>
        <v>150000</v>
      </c>
      <c r="P45" s="345">
        <f t="shared" si="34"/>
        <v>0</v>
      </c>
      <c r="Q45" s="345">
        <f t="shared" si="35"/>
        <v>1390733.6888180112</v>
      </c>
      <c r="R45" s="345">
        <f t="shared" si="36"/>
        <v>29111.005332270164</v>
      </c>
      <c r="S45" s="346">
        <f t="shared" si="37"/>
        <v>1969844.6941502814</v>
      </c>
      <c r="T45" s="347"/>
      <c r="U45" s="613">
        <f t="shared" si="38"/>
        <v>33658</v>
      </c>
      <c r="V45" s="613">
        <f t="shared" si="39"/>
        <v>2625324</v>
      </c>
      <c r="X45" s="127"/>
    </row>
    <row r="46" spans="1:26" s="185" customFormat="1" ht="13" x14ac:dyDescent="0.3">
      <c r="A46" s="325">
        <v>4</v>
      </c>
      <c r="B46" s="326"/>
      <c r="C46" s="607" t="s">
        <v>263</v>
      </c>
      <c r="D46" s="177"/>
      <c r="E46" s="327"/>
      <c r="F46" s="327"/>
      <c r="G46" s="327"/>
      <c r="H46" s="327"/>
      <c r="I46" s="327"/>
      <c r="J46" s="327"/>
      <c r="K46" s="327"/>
      <c r="L46" s="327"/>
      <c r="M46" s="328"/>
      <c r="N46" s="327"/>
      <c r="O46" s="327"/>
      <c r="P46" s="327"/>
      <c r="Q46" s="327"/>
      <c r="R46" s="327"/>
      <c r="S46" s="327"/>
      <c r="T46" s="329">
        <f>SUM(S47:S60)</f>
        <v>38301058.851527117</v>
      </c>
      <c r="U46" s="465"/>
      <c r="V46" s="465"/>
      <c r="W46" s="608">
        <f>SUM(V47:V60)</f>
        <v>51045774</v>
      </c>
      <c r="X46" s="1295">
        <f>+W46/$W$232</f>
        <v>3.7931013502323557E-2</v>
      </c>
    </row>
    <row r="47" spans="1:26" s="185" customFormat="1" ht="13" outlineLevel="1" x14ac:dyDescent="0.3">
      <c r="A47" s="331">
        <v>4.01</v>
      </c>
      <c r="B47" s="380" t="s">
        <v>205</v>
      </c>
      <c r="C47" s="333" t="s">
        <v>264</v>
      </c>
      <c r="D47" s="182" t="s">
        <v>238</v>
      </c>
      <c r="E47" s="381">
        <f>+[2]Mampostería!L301</f>
        <v>621</v>
      </c>
      <c r="F47" s="382"/>
      <c r="G47" s="382">
        <f>+'[2]APU 12.24'!E13</f>
        <v>6590.9962250622011</v>
      </c>
      <c r="H47" s="334">
        <f t="shared" ref="H47:H60" si="41">F47+G47</f>
        <v>6590.9962250622011</v>
      </c>
      <c r="I47" s="383"/>
      <c r="J47" s="382">
        <f>+'[2]APU 12.24'!H13</f>
        <v>9785.84519554293</v>
      </c>
      <c r="K47" s="334">
        <f t="shared" ref="K47" si="42">I47+J47</f>
        <v>9785.84519554293</v>
      </c>
      <c r="L47" s="382">
        <f>+'[2]APU 12.24'!K13</f>
        <v>235.33191244914221</v>
      </c>
      <c r="M47" s="334">
        <f>H47+K47+L47</f>
        <v>16612.173333054274</v>
      </c>
      <c r="N47" s="335">
        <f t="shared" ref="N47:N77" si="43">F47*E47</f>
        <v>0</v>
      </c>
      <c r="O47" s="335">
        <f t="shared" ref="O47" si="44">G47*E47</f>
        <v>4093008.655763627</v>
      </c>
      <c r="P47" s="335">
        <f t="shared" ref="P47:P77" si="45">I47*E47</f>
        <v>0</v>
      </c>
      <c r="Q47" s="335">
        <f t="shared" ref="Q47:Q77" si="46">J47*E47</f>
        <v>6077009.8664321592</v>
      </c>
      <c r="R47" s="335">
        <f t="shared" ref="R47:R77" si="47">+L47*E47</f>
        <v>146141.11763091732</v>
      </c>
      <c r="S47" s="336">
        <f t="shared" ref="S47:S72" si="48">SUM(N47:R47)</f>
        <v>10316159.639826704</v>
      </c>
      <c r="T47" s="287"/>
      <c r="U47" s="611">
        <f t="shared" ref="U47:U60" si="49">+ROUNDUP(M47*$T$5,0)</f>
        <v>22140</v>
      </c>
      <c r="V47" s="611">
        <f t="shared" ref="V47:V60" si="50">+U47*E47</f>
        <v>13748940</v>
      </c>
      <c r="W47" s="630"/>
      <c r="X47" s="127"/>
    </row>
    <row r="48" spans="1:26" s="185" customFormat="1" ht="13" outlineLevel="1" x14ac:dyDescent="0.3">
      <c r="A48" s="339">
        <v>4.0199999999999996</v>
      </c>
      <c r="B48" s="350" t="s">
        <v>205</v>
      </c>
      <c r="C48" s="386" t="s">
        <v>265</v>
      </c>
      <c r="D48" s="362" t="s">
        <v>238</v>
      </c>
      <c r="E48" s="363">
        <f>+[2]Mampostería!M301</f>
        <v>780</v>
      </c>
      <c r="F48" s="387"/>
      <c r="G48" s="387">
        <f>+'[2]APU 12.24'!E14</f>
        <v>8314.4980560000004</v>
      </c>
      <c r="H48" s="344">
        <f t="shared" si="41"/>
        <v>8314.4980560000004</v>
      </c>
      <c r="I48" s="388"/>
      <c r="J48" s="387">
        <f>+'[2]APU 12.24'!H14</f>
        <v>9785.84519554293</v>
      </c>
      <c r="K48" s="344">
        <f>I48+J48</f>
        <v>9785.84519554293</v>
      </c>
      <c r="L48" s="387">
        <f>+'[2]APU 12.24'!K14</f>
        <v>235.33191244914221</v>
      </c>
      <c r="M48" s="344">
        <f>H48+K48+L48</f>
        <v>18335.675163992073</v>
      </c>
      <c r="N48" s="345">
        <f>F48*E48</f>
        <v>0</v>
      </c>
      <c r="O48" s="345">
        <f>G48*E48</f>
        <v>6485308.4836800005</v>
      </c>
      <c r="P48" s="345">
        <f>I48*E48</f>
        <v>0</v>
      </c>
      <c r="Q48" s="345">
        <f>J48*E48</f>
        <v>7632959.2525234856</v>
      </c>
      <c r="R48" s="345">
        <f>+L48*E48</f>
        <v>183558.89171033094</v>
      </c>
      <c r="S48" s="346">
        <f>SUM(N48:R48)</f>
        <v>14301826.627913818</v>
      </c>
      <c r="T48" s="287"/>
      <c r="U48" s="618">
        <f>+ROUNDUP(M48*$T$5,0)</f>
        <v>24437</v>
      </c>
      <c r="V48" s="613">
        <f>+U48*E48</f>
        <v>19060860</v>
      </c>
      <c r="W48" s="630"/>
      <c r="X48" s="127"/>
    </row>
    <row r="49" spans="1:24" s="185" customFormat="1" ht="13" outlineLevel="1" x14ac:dyDescent="0.3">
      <c r="A49" s="339">
        <v>4.03</v>
      </c>
      <c r="B49" s="350" t="s">
        <v>205</v>
      </c>
      <c r="C49" s="341" t="s">
        <v>266</v>
      </c>
      <c r="D49" s="362" t="s">
        <v>238</v>
      </c>
      <c r="E49" s="363">
        <f>+[2]Mampostería!O301</f>
        <v>56</v>
      </c>
      <c r="F49" s="387"/>
      <c r="G49" s="390">
        <f>+'[2]APU 12.24'!E12/2</f>
        <v>6454.6901391632509</v>
      </c>
      <c r="H49" s="344">
        <f t="shared" si="41"/>
        <v>6454.6901391632509</v>
      </c>
      <c r="I49" s="388"/>
      <c r="J49" s="390">
        <f>+'[2]APU 12.24'!H12/2</f>
        <v>10484.834138081711</v>
      </c>
      <c r="K49" s="344">
        <f>I49+J49</f>
        <v>10484.834138081711</v>
      </c>
      <c r="L49" s="387">
        <f>+'[2]APU 12.24'!K12</f>
        <v>504.28266953387617</v>
      </c>
      <c r="M49" s="344">
        <f>H49+K49+L49</f>
        <v>17443.806946778841</v>
      </c>
      <c r="N49" s="345">
        <f>F49*E49</f>
        <v>0</v>
      </c>
      <c r="O49" s="345">
        <f>G49*E49</f>
        <v>361462.64779314207</v>
      </c>
      <c r="P49" s="345">
        <f>I49*E49</f>
        <v>0</v>
      </c>
      <c r="Q49" s="345">
        <f>J49*E49</f>
        <v>587150.71173257579</v>
      </c>
      <c r="R49" s="345">
        <f>+L49*E49</f>
        <v>28239.829493897065</v>
      </c>
      <c r="S49" s="346">
        <f>SUM(N49:R49)</f>
        <v>976853.18901961483</v>
      </c>
      <c r="T49" s="287"/>
      <c r="U49" s="618">
        <f t="shared" si="49"/>
        <v>23248</v>
      </c>
      <c r="V49" s="613">
        <f t="shared" si="50"/>
        <v>1301888</v>
      </c>
      <c r="W49" s="630"/>
      <c r="X49" s="127"/>
    </row>
    <row r="50" spans="1:24" s="185" customFormat="1" ht="13" outlineLevel="1" x14ac:dyDescent="0.3">
      <c r="A50" s="339">
        <v>4.04</v>
      </c>
      <c r="B50" s="350" t="s">
        <v>205</v>
      </c>
      <c r="C50" s="341" t="s">
        <v>267</v>
      </c>
      <c r="D50" s="362" t="s">
        <v>238</v>
      </c>
      <c r="E50" s="363">
        <f>+[2]Mampostería!P301</f>
        <v>42</v>
      </c>
      <c r="F50" s="387"/>
      <c r="G50" s="387">
        <f>+'[2]APU 12.24'!E17</f>
        <v>11547.8937354768</v>
      </c>
      <c r="H50" s="344">
        <f t="shared" si="41"/>
        <v>11547.8937354768</v>
      </c>
      <c r="I50" s="388"/>
      <c r="J50" s="387">
        <f>+'[2]APU 12.24'!H17</f>
        <v>9785.84519554293</v>
      </c>
      <c r="K50" s="344">
        <f t="shared" ref="K50:K60" si="51">I50+J50</f>
        <v>9785.84519554293</v>
      </c>
      <c r="L50" s="387">
        <f>+'[2]APU 12.24'!K17</f>
        <v>235.33191244914221</v>
      </c>
      <c r="M50" s="344">
        <f t="shared" ref="M50:M60" si="52">H50+K50+L50</f>
        <v>21569.070843468875</v>
      </c>
      <c r="N50" s="345">
        <f t="shared" ref="N50:N60" si="53">F50*E50</f>
        <v>0</v>
      </c>
      <c r="O50" s="345">
        <f t="shared" ref="O50:O60" si="54">G50*E50</f>
        <v>485011.5368900256</v>
      </c>
      <c r="P50" s="345">
        <f t="shared" ref="P50:P60" si="55">I50*E50</f>
        <v>0</v>
      </c>
      <c r="Q50" s="345">
        <f t="shared" ref="Q50:Q60" si="56">J50*E50</f>
        <v>411005.49821280304</v>
      </c>
      <c r="R50" s="345">
        <f t="shared" ref="R50:R60" si="57">+L50*E50</f>
        <v>9883.9403228639731</v>
      </c>
      <c r="S50" s="346">
        <f t="shared" ref="S50:S60" si="58">SUM(N50:R50)</f>
        <v>905900.97542569262</v>
      </c>
      <c r="T50" s="287"/>
      <c r="U50" s="618">
        <f t="shared" si="49"/>
        <v>28746</v>
      </c>
      <c r="V50" s="613">
        <f t="shared" si="50"/>
        <v>1207332</v>
      </c>
      <c r="W50" s="630"/>
      <c r="X50" s="127"/>
    </row>
    <row r="51" spans="1:24" s="185" customFormat="1" ht="13" outlineLevel="1" x14ac:dyDescent="0.3">
      <c r="A51" s="339">
        <v>4.05</v>
      </c>
      <c r="B51" s="350" t="s">
        <v>236</v>
      </c>
      <c r="C51" s="341" t="s">
        <v>268</v>
      </c>
      <c r="D51" s="362" t="s">
        <v>238</v>
      </c>
      <c r="E51" s="363">
        <f>+[2]Mampostería!Q301</f>
        <v>70</v>
      </c>
      <c r="F51" s="343">
        <f>+[2]Tareas!H92</f>
        <v>0</v>
      </c>
      <c r="G51" s="343">
        <f>+[2]Tareas!I92</f>
        <v>16817.940685714286</v>
      </c>
      <c r="H51" s="344">
        <f t="shared" si="41"/>
        <v>16817.940685714286</v>
      </c>
      <c r="I51" s="343">
        <f>+[2]Tareas!Q92</f>
        <v>0</v>
      </c>
      <c r="J51" s="343">
        <f>+[2]Tareas!R92</f>
        <v>10484.834138081709</v>
      </c>
      <c r="K51" s="344">
        <f t="shared" si="51"/>
        <v>10484.834138081709</v>
      </c>
      <c r="L51" s="343">
        <f t="shared" ref="L51" si="59">+(H51+K51)*0.015</f>
        <v>409.54162235693991</v>
      </c>
      <c r="M51" s="344">
        <f t="shared" si="52"/>
        <v>27712.316446152938</v>
      </c>
      <c r="N51" s="345">
        <f t="shared" si="53"/>
        <v>0</v>
      </c>
      <c r="O51" s="345">
        <f t="shared" si="54"/>
        <v>1177255.848</v>
      </c>
      <c r="P51" s="345">
        <f t="shared" si="55"/>
        <v>0</v>
      </c>
      <c r="Q51" s="345">
        <f t="shared" si="56"/>
        <v>733938.38966571959</v>
      </c>
      <c r="R51" s="345">
        <f t="shared" si="57"/>
        <v>28667.913564985793</v>
      </c>
      <c r="S51" s="346">
        <f t="shared" si="58"/>
        <v>1939862.1512307054</v>
      </c>
      <c r="T51" s="287"/>
      <c r="U51" s="618">
        <f t="shared" si="49"/>
        <v>36933</v>
      </c>
      <c r="V51" s="613">
        <f t="shared" si="50"/>
        <v>2585310</v>
      </c>
      <c r="W51" s="630"/>
      <c r="X51" s="127"/>
    </row>
    <row r="52" spans="1:24" s="185" customFormat="1" ht="13" outlineLevel="1" x14ac:dyDescent="0.3">
      <c r="A52" s="339">
        <v>4.0599999999999996</v>
      </c>
      <c r="B52" s="350" t="s">
        <v>205</v>
      </c>
      <c r="C52" s="341" t="s">
        <v>269</v>
      </c>
      <c r="D52" s="362" t="s">
        <v>238</v>
      </c>
      <c r="E52" s="363">
        <f>+[2]Mampostería!R301</f>
        <v>5</v>
      </c>
      <c r="F52" s="387"/>
      <c r="G52" s="387">
        <f>+'[2]APU 12.24'!E15</f>
        <v>11492.440370891401</v>
      </c>
      <c r="H52" s="344">
        <f t="shared" si="41"/>
        <v>11492.440370891401</v>
      </c>
      <c r="I52" s="388"/>
      <c r="J52" s="387">
        <f>+'[2]APU 12.24'!H15</f>
        <v>9785.84519554293</v>
      </c>
      <c r="K52" s="344">
        <f t="shared" si="51"/>
        <v>9785.84519554293</v>
      </c>
      <c r="L52" s="387">
        <f>+'[2]APU 12.24'!K15</f>
        <v>235.33191244914221</v>
      </c>
      <c r="M52" s="344">
        <f t="shared" si="52"/>
        <v>21513.617478883472</v>
      </c>
      <c r="N52" s="345">
        <f t="shared" si="53"/>
        <v>0</v>
      </c>
      <c r="O52" s="345">
        <f t="shared" si="54"/>
        <v>57462.201854457009</v>
      </c>
      <c r="P52" s="345">
        <f t="shared" si="55"/>
        <v>0</v>
      </c>
      <c r="Q52" s="345">
        <f t="shared" si="56"/>
        <v>48929.225977714654</v>
      </c>
      <c r="R52" s="345">
        <f t="shared" si="57"/>
        <v>1176.659562245711</v>
      </c>
      <c r="S52" s="346">
        <f t="shared" si="58"/>
        <v>107568.08739441738</v>
      </c>
      <c r="T52" s="287"/>
      <c r="U52" s="618">
        <f t="shared" si="49"/>
        <v>28672</v>
      </c>
      <c r="V52" s="613">
        <f t="shared" si="50"/>
        <v>143360</v>
      </c>
      <c r="W52" s="630"/>
      <c r="X52" s="127"/>
    </row>
    <row r="53" spans="1:24" s="185" customFormat="1" ht="26" outlineLevel="1" x14ac:dyDescent="0.3">
      <c r="A53" s="339">
        <v>4.07</v>
      </c>
      <c r="B53" s="350" t="s">
        <v>205</v>
      </c>
      <c r="C53" s="341" t="s">
        <v>270</v>
      </c>
      <c r="D53" s="362" t="s">
        <v>238</v>
      </c>
      <c r="E53" s="625">
        <f>+[2]Mampostería!S301</f>
        <v>193</v>
      </c>
      <c r="F53" s="388"/>
      <c r="G53" s="390">
        <f>+'[2]APU 12.24'!E12/4</f>
        <v>3227.3450695816255</v>
      </c>
      <c r="H53" s="344">
        <f t="shared" si="41"/>
        <v>3227.3450695816255</v>
      </c>
      <c r="I53" s="387"/>
      <c r="J53" s="390">
        <f>+'[2]APU 12.24'!H12/2</f>
        <v>10484.834138081711</v>
      </c>
      <c r="K53" s="344">
        <f t="shared" si="51"/>
        <v>10484.834138081711</v>
      </c>
      <c r="L53" s="390">
        <f>+'[2]APU 12.24'!K12/2</f>
        <v>252.14133476693809</v>
      </c>
      <c r="M53" s="344">
        <f t="shared" si="52"/>
        <v>13964.320542430274</v>
      </c>
      <c r="N53" s="345">
        <f t="shared" si="53"/>
        <v>0</v>
      </c>
      <c r="O53" s="345">
        <f t="shared" si="54"/>
        <v>622877.59842925367</v>
      </c>
      <c r="P53" s="345">
        <f t="shared" si="55"/>
        <v>0</v>
      </c>
      <c r="Q53" s="345">
        <f t="shared" si="56"/>
        <v>2023572.9886497702</v>
      </c>
      <c r="R53" s="345">
        <f t="shared" si="57"/>
        <v>48663.277610019053</v>
      </c>
      <c r="S53" s="346">
        <f t="shared" si="58"/>
        <v>2695113.8646890428</v>
      </c>
      <c r="T53" s="287"/>
      <c r="U53" s="618">
        <f t="shared" si="49"/>
        <v>18611</v>
      </c>
      <c r="V53" s="613">
        <f t="shared" si="50"/>
        <v>3591923</v>
      </c>
      <c r="W53" s="630"/>
      <c r="X53" s="127"/>
    </row>
    <row r="54" spans="1:24" s="185" customFormat="1" ht="13" outlineLevel="1" x14ac:dyDescent="0.3">
      <c r="A54" s="339">
        <v>4.08</v>
      </c>
      <c r="B54" s="350" t="s">
        <v>236</v>
      </c>
      <c r="C54" s="341" t="s">
        <v>271</v>
      </c>
      <c r="D54" s="362" t="s">
        <v>211</v>
      </c>
      <c r="E54" s="625">
        <f>+[2]Computo!E294</f>
        <v>61</v>
      </c>
      <c r="F54" s="343">
        <f>+[2]Tareas!H98</f>
        <v>7702.0017868852465</v>
      </c>
      <c r="G54" s="343">
        <f>+[2]Tareas!I98</f>
        <v>1391.9845000000003</v>
      </c>
      <c r="H54" s="344">
        <f t="shared" si="41"/>
        <v>9093.986286885247</v>
      </c>
      <c r="I54" s="343">
        <f>+[2]Tareas!Q98</f>
        <v>0</v>
      </c>
      <c r="J54" s="343">
        <f>+[2]Tareas!R98</f>
        <v>12031.776879765897</v>
      </c>
      <c r="K54" s="344">
        <f t="shared" si="51"/>
        <v>12031.776879765897</v>
      </c>
      <c r="L54" s="343">
        <f t="shared" ref="L54:L60" si="60">+(H54+K54)*0.015</f>
        <v>316.88644749976714</v>
      </c>
      <c r="M54" s="344">
        <f t="shared" si="52"/>
        <v>21442.649614150912</v>
      </c>
      <c r="N54" s="345">
        <f t="shared" si="53"/>
        <v>469822.10900000005</v>
      </c>
      <c r="O54" s="345">
        <f t="shared" si="54"/>
        <v>84911.054500000013</v>
      </c>
      <c r="P54" s="345">
        <f t="shared" si="55"/>
        <v>0</v>
      </c>
      <c r="Q54" s="345">
        <f t="shared" si="56"/>
        <v>733938.3896657197</v>
      </c>
      <c r="R54" s="345">
        <f t="shared" si="57"/>
        <v>19330.073297485797</v>
      </c>
      <c r="S54" s="346">
        <f t="shared" si="58"/>
        <v>1308001.6264632056</v>
      </c>
      <c r="T54" s="287"/>
      <c r="U54" s="618">
        <f t="shared" si="49"/>
        <v>28578</v>
      </c>
      <c r="V54" s="613">
        <f t="shared" si="50"/>
        <v>1743258</v>
      </c>
      <c r="W54" s="630"/>
      <c r="X54" s="127"/>
    </row>
    <row r="55" spans="1:24" s="185" customFormat="1" ht="13" outlineLevel="1" x14ac:dyDescent="0.3">
      <c r="A55" s="339">
        <v>4.09</v>
      </c>
      <c r="B55" s="350" t="s">
        <v>236</v>
      </c>
      <c r="C55" s="341" t="s">
        <v>272</v>
      </c>
      <c r="D55" s="362" t="s">
        <v>207</v>
      </c>
      <c r="E55" s="625">
        <v>1</v>
      </c>
      <c r="F55" s="343">
        <f>+[2]Tareas!H105</f>
        <v>0</v>
      </c>
      <c r="G55" s="343">
        <f>+[2]Tareas!I105</f>
        <v>60811.031153400014</v>
      </c>
      <c r="H55" s="344">
        <f t="shared" si="41"/>
        <v>60811.031153400014</v>
      </c>
      <c r="I55" s="343">
        <f>+[2]Tareas!Q105</f>
        <v>0</v>
      </c>
      <c r="J55" s="343">
        <f>+[2]Tareas!R105</f>
        <v>146787.67793314395</v>
      </c>
      <c r="K55" s="344">
        <f t="shared" si="51"/>
        <v>146787.67793314395</v>
      </c>
      <c r="L55" s="343">
        <f t="shared" si="60"/>
        <v>3113.9806362981594</v>
      </c>
      <c r="M55" s="344">
        <f t="shared" si="52"/>
        <v>210712.68972284213</v>
      </c>
      <c r="N55" s="345">
        <f t="shared" si="53"/>
        <v>0</v>
      </c>
      <c r="O55" s="345">
        <f t="shared" si="54"/>
        <v>60811.031153400014</v>
      </c>
      <c r="P55" s="345">
        <f t="shared" si="55"/>
        <v>0</v>
      </c>
      <c r="Q55" s="345">
        <f t="shared" si="56"/>
        <v>146787.67793314395</v>
      </c>
      <c r="R55" s="345">
        <f t="shared" si="57"/>
        <v>3113.9806362981594</v>
      </c>
      <c r="S55" s="346">
        <f t="shared" si="58"/>
        <v>210712.68972284213</v>
      </c>
      <c r="T55" s="287"/>
      <c r="U55" s="618">
        <f t="shared" si="49"/>
        <v>280823</v>
      </c>
      <c r="V55" s="613">
        <f t="shared" si="50"/>
        <v>280823</v>
      </c>
      <c r="W55" s="630"/>
      <c r="X55" s="127"/>
    </row>
    <row r="56" spans="1:24" s="185" customFormat="1" ht="13" outlineLevel="1" x14ac:dyDescent="0.3">
      <c r="A56" s="339">
        <v>4.0999999999999996</v>
      </c>
      <c r="B56" s="350" t="s">
        <v>236</v>
      </c>
      <c r="C56" s="341" t="s">
        <v>273</v>
      </c>
      <c r="D56" s="362" t="s">
        <v>207</v>
      </c>
      <c r="E56" s="625">
        <v>1</v>
      </c>
      <c r="F56" s="343">
        <f>+[2]Tareas!H110</f>
        <v>0</v>
      </c>
      <c r="G56" s="343">
        <f>+[2]Tareas!I110</f>
        <v>151935.62173020007</v>
      </c>
      <c r="H56" s="344">
        <f t="shared" si="41"/>
        <v>151935.62173020007</v>
      </c>
      <c r="I56" s="343">
        <f>+[2]Tareas!Q110</f>
        <v>0</v>
      </c>
      <c r="J56" s="343">
        <f>+[2]Tareas!R110</f>
        <v>440363.03379943187</v>
      </c>
      <c r="K56" s="344">
        <f t="shared" si="51"/>
        <v>440363.03379943187</v>
      </c>
      <c r="L56" s="343">
        <f t="shared" si="60"/>
        <v>8884.4798329444802</v>
      </c>
      <c r="M56" s="344">
        <f t="shared" si="52"/>
        <v>601183.13536257646</v>
      </c>
      <c r="N56" s="345">
        <f t="shared" si="53"/>
        <v>0</v>
      </c>
      <c r="O56" s="345">
        <f t="shared" si="54"/>
        <v>151935.62173020007</v>
      </c>
      <c r="P56" s="345">
        <f t="shared" si="55"/>
        <v>0</v>
      </c>
      <c r="Q56" s="345">
        <f t="shared" si="56"/>
        <v>440363.03379943187</v>
      </c>
      <c r="R56" s="345">
        <f t="shared" si="57"/>
        <v>8884.4798329444802</v>
      </c>
      <c r="S56" s="346">
        <f t="shared" si="58"/>
        <v>601183.13536257646</v>
      </c>
      <c r="T56" s="287"/>
      <c r="U56" s="618">
        <f t="shared" si="49"/>
        <v>801214</v>
      </c>
      <c r="V56" s="613">
        <f t="shared" si="50"/>
        <v>801214</v>
      </c>
      <c r="W56" s="630"/>
      <c r="X56" s="127"/>
    </row>
    <row r="57" spans="1:24" s="185" customFormat="1" ht="13" outlineLevel="1" x14ac:dyDescent="0.3">
      <c r="A57" s="339">
        <v>4.1100000000000003</v>
      </c>
      <c r="B57" s="350" t="s">
        <v>205</v>
      </c>
      <c r="C57" s="341" t="s">
        <v>274</v>
      </c>
      <c r="D57" s="362" t="s">
        <v>207</v>
      </c>
      <c r="E57" s="625">
        <v>1</v>
      </c>
      <c r="F57" s="343">
        <f>+[2]Tareas!H115</f>
        <v>0</v>
      </c>
      <c r="G57" s="343">
        <f>+[2]Tareas!I115</f>
        <v>128742.89499999999</v>
      </c>
      <c r="H57" s="344">
        <f t="shared" si="41"/>
        <v>128742.89499999999</v>
      </c>
      <c r="I57" s="343">
        <f>+[2]Tareas!Q115</f>
        <v>0</v>
      </c>
      <c r="J57" s="343">
        <f>+[2]Tareas!R115</f>
        <v>259536.82203628783</v>
      </c>
      <c r="K57" s="344">
        <f t="shared" si="51"/>
        <v>259536.82203628783</v>
      </c>
      <c r="L57" s="343">
        <f t="shared" si="60"/>
        <v>5824.1957555443169</v>
      </c>
      <c r="M57" s="344">
        <f t="shared" si="52"/>
        <v>394103.91279183212</v>
      </c>
      <c r="N57" s="345">
        <f t="shared" si="53"/>
        <v>0</v>
      </c>
      <c r="O57" s="345">
        <f t="shared" si="54"/>
        <v>128742.89499999999</v>
      </c>
      <c r="P57" s="345">
        <f t="shared" si="55"/>
        <v>0</v>
      </c>
      <c r="Q57" s="345">
        <f t="shared" si="56"/>
        <v>259536.82203628783</v>
      </c>
      <c r="R57" s="345">
        <f t="shared" si="57"/>
        <v>5824.1957555443169</v>
      </c>
      <c r="S57" s="346">
        <f t="shared" si="58"/>
        <v>394103.91279183212</v>
      </c>
      <c r="T57" s="287"/>
      <c r="U57" s="618">
        <f t="shared" si="49"/>
        <v>525234</v>
      </c>
      <c r="V57" s="613">
        <f t="shared" si="50"/>
        <v>525234</v>
      </c>
      <c r="W57" s="630"/>
      <c r="X57" s="127"/>
    </row>
    <row r="58" spans="1:24" s="185" customFormat="1" ht="13" outlineLevel="1" x14ac:dyDescent="0.3">
      <c r="A58" s="339">
        <v>4.12</v>
      </c>
      <c r="B58" s="350" t="s">
        <v>205</v>
      </c>
      <c r="C58" s="341" t="s">
        <v>275</v>
      </c>
      <c r="D58" s="362" t="s">
        <v>243</v>
      </c>
      <c r="E58" s="625">
        <v>3</v>
      </c>
      <c r="F58" s="343">
        <f>+[2]Tareas!H120</f>
        <v>121487.60330578515</v>
      </c>
      <c r="G58" s="343">
        <f>+[2]Tareas!I120</f>
        <v>0</v>
      </c>
      <c r="H58" s="344">
        <f t="shared" si="41"/>
        <v>121487.60330578515</v>
      </c>
      <c r="I58" s="343">
        <f>+[2]Tareas!Q120</f>
        <v>0</v>
      </c>
      <c r="J58" s="343">
        <f>+[2]Tareas!R120</f>
        <v>54294.058954381304</v>
      </c>
      <c r="K58" s="344">
        <f t="shared" si="51"/>
        <v>54294.058954381304</v>
      </c>
      <c r="L58" s="343">
        <f t="shared" si="60"/>
        <v>2636.7249339024966</v>
      </c>
      <c r="M58" s="344">
        <f t="shared" si="52"/>
        <v>178418.38719406896</v>
      </c>
      <c r="N58" s="345">
        <f t="shared" si="53"/>
        <v>364462.80991735542</v>
      </c>
      <c r="O58" s="345">
        <f t="shared" si="54"/>
        <v>0</v>
      </c>
      <c r="P58" s="345">
        <f t="shared" si="55"/>
        <v>0</v>
      </c>
      <c r="Q58" s="345">
        <f t="shared" si="56"/>
        <v>162882.17686314392</v>
      </c>
      <c r="R58" s="345">
        <f t="shared" si="57"/>
        <v>7910.1748017074897</v>
      </c>
      <c r="S58" s="346">
        <f t="shared" si="58"/>
        <v>535255.16158220684</v>
      </c>
      <c r="T58" s="287"/>
      <c r="U58" s="618">
        <f t="shared" si="49"/>
        <v>237784</v>
      </c>
      <c r="V58" s="613">
        <f t="shared" si="50"/>
        <v>713352</v>
      </c>
      <c r="W58" s="630"/>
      <c r="X58" s="127"/>
    </row>
    <row r="59" spans="1:24" s="185" customFormat="1" ht="13" outlineLevel="1" x14ac:dyDescent="0.3">
      <c r="A59" s="339">
        <v>4.13</v>
      </c>
      <c r="B59" s="350" t="s">
        <v>236</v>
      </c>
      <c r="C59" s="341" t="s">
        <v>276</v>
      </c>
      <c r="D59" s="362" t="s">
        <v>211</v>
      </c>
      <c r="E59" s="625">
        <f>+[2]Computo!C278</f>
        <v>40</v>
      </c>
      <c r="F59" s="343">
        <f>+[2]Tareas!H124</f>
        <v>36748.8825</v>
      </c>
      <c r="G59" s="343">
        <f>+[2]Tareas!I124</f>
        <v>0</v>
      </c>
      <c r="H59" s="344">
        <f t="shared" si="41"/>
        <v>36748.8825</v>
      </c>
      <c r="I59" s="343">
        <f>+[2]Tareas!Q124</f>
        <v>0</v>
      </c>
      <c r="J59" s="343">
        <f>+[2]Tareas!R124</f>
        <v>35716.756336364582</v>
      </c>
      <c r="K59" s="344">
        <f t="shared" si="51"/>
        <v>35716.756336364582</v>
      </c>
      <c r="L59" s="343">
        <f t="shared" si="60"/>
        <v>1086.9845825454686</v>
      </c>
      <c r="M59" s="344">
        <f t="shared" si="52"/>
        <v>73552.623418910051</v>
      </c>
      <c r="N59" s="345">
        <f t="shared" si="53"/>
        <v>1469955.3</v>
      </c>
      <c r="O59" s="345">
        <f t="shared" si="54"/>
        <v>0</v>
      </c>
      <c r="P59" s="345">
        <f t="shared" si="55"/>
        <v>0</v>
      </c>
      <c r="Q59" s="345">
        <f t="shared" si="56"/>
        <v>1428670.2534545832</v>
      </c>
      <c r="R59" s="345">
        <f t="shared" si="57"/>
        <v>43479.383301818743</v>
      </c>
      <c r="S59" s="346">
        <f t="shared" si="58"/>
        <v>2942104.9367564023</v>
      </c>
      <c r="T59" s="287"/>
      <c r="U59" s="618">
        <f t="shared" si="49"/>
        <v>98026</v>
      </c>
      <c r="V59" s="613">
        <f t="shared" si="50"/>
        <v>3921040</v>
      </c>
      <c r="W59" s="630"/>
      <c r="X59" s="127"/>
    </row>
    <row r="60" spans="1:24" s="185" customFormat="1" ht="13" outlineLevel="1" x14ac:dyDescent="0.3">
      <c r="A60" s="339">
        <v>4.1399999999999997</v>
      </c>
      <c r="B60" s="352" t="s">
        <v>236</v>
      </c>
      <c r="C60" s="353" t="s">
        <v>277</v>
      </c>
      <c r="D60" s="405" t="s">
        <v>243</v>
      </c>
      <c r="E60" s="631">
        <v>8</v>
      </c>
      <c r="F60" s="358">
        <f>+[2]Tareas!H132</f>
        <v>7500</v>
      </c>
      <c r="G60" s="358">
        <f>+[2]Tareas!I132</f>
        <v>16446.262090863162</v>
      </c>
      <c r="H60" s="356">
        <f t="shared" si="41"/>
        <v>23946.262090863162</v>
      </c>
      <c r="I60" s="358">
        <f>+[2]Tareas!Q132</f>
        <v>0</v>
      </c>
      <c r="J60" s="358">
        <f>+[2]Tareas!R132</f>
        <v>107385.37009485794</v>
      </c>
      <c r="K60" s="356">
        <f t="shared" si="51"/>
        <v>107385.37009485794</v>
      </c>
      <c r="L60" s="343">
        <f t="shared" si="60"/>
        <v>1969.9744827858165</v>
      </c>
      <c r="M60" s="356">
        <f t="shared" si="52"/>
        <v>133301.60666850692</v>
      </c>
      <c r="N60" s="359">
        <f t="shared" si="53"/>
        <v>60000</v>
      </c>
      <c r="O60" s="359">
        <f t="shared" si="54"/>
        <v>131570.09672690529</v>
      </c>
      <c r="P60" s="359">
        <f t="shared" si="55"/>
        <v>0</v>
      </c>
      <c r="Q60" s="359">
        <f t="shared" si="56"/>
        <v>859082.96075886348</v>
      </c>
      <c r="R60" s="359">
        <f t="shared" si="57"/>
        <v>15759.795862286532</v>
      </c>
      <c r="S60" s="360">
        <f t="shared" si="58"/>
        <v>1066412.8533480554</v>
      </c>
      <c r="T60" s="287"/>
      <c r="U60" s="618">
        <f t="shared" si="49"/>
        <v>177655</v>
      </c>
      <c r="V60" s="613">
        <f t="shared" si="50"/>
        <v>1421240</v>
      </c>
      <c r="W60" s="630"/>
      <c r="X60" s="127"/>
    </row>
    <row r="61" spans="1:24" ht="13" x14ac:dyDescent="0.3">
      <c r="A61" s="325">
        <v>5</v>
      </c>
      <c r="B61" s="326"/>
      <c r="C61" s="276" t="s">
        <v>278</v>
      </c>
      <c r="D61" s="17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9">
        <f>SUM(S62:S68)</f>
        <v>14436015.187865768</v>
      </c>
      <c r="U61" s="465"/>
      <c r="V61" s="465"/>
      <c r="W61" s="608">
        <f>SUM(V62:V68)</f>
        <v>19239698</v>
      </c>
      <c r="X61" s="127">
        <f>+W61/$W$232</f>
        <v>1.429660454592436E-2</v>
      </c>
    </row>
    <row r="62" spans="1:24" s="185" customFormat="1" ht="13" outlineLevel="1" x14ac:dyDescent="0.3">
      <c r="A62" s="331">
        <v>5.01</v>
      </c>
      <c r="B62" s="380" t="s">
        <v>205</v>
      </c>
      <c r="C62" s="333" t="s">
        <v>279</v>
      </c>
      <c r="D62" s="182" t="s">
        <v>211</v>
      </c>
      <c r="E62" s="632">
        <f>+[2]Computo!C285</f>
        <v>136</v>
      </c>
      <c r="F62" s="407"/>
      <c r="G62" s="382">
        <f>+'[2]APU 12.24'!E21</f>
        <v>809.61503400000015</v>
      </c>
      <c r="H62" s="334">
        <f>F62+G62</f>
        <v>809.61503400000015</v>
      </c>
      <c r="I62" s="407"/>
      <c r="J62" s="382">
        <f>+'[2]APU 12.24'!H21</f>
        <v>3938.2617666857413</v>
      </c>
      <c r="K62" s="334">
        <f>I62+J62</f>
        <v>3938.2617666857413</v>
      </c>
      <c r="L62" s="382">
        <f>+'[2]APU 12.24'!K21</f>
        <v>126.07066738346904</v>
      </c>
      <c r="M62" s="334">
        <f>H62+K62+L62</f>
        <v>4873.947468069211</v>
      </c>
      <c r="N62" s="335">
        <f>F62*E62</f>
        <v>0</v>
      </c>
      <c r="O62" s="335">
        <f>G62*E62</f>
        <v>110107.64462400002</v>
      </c>
      <c r="P62" s="335">
        <f>I62*E62</f>
        <v>0</v>
      </c>
      <c r="Q62" s="335">
        <f>J62*E62</f>
        <v>535603.60026926082</v>
      </c>
      <c r="R62" s="335">
        <f>+L62*E62</f>
        <v>17145.610764151788</v>
      </c>
      <c r="S62" s="336">
        <f>SUM(N62:R62)</f>
        <v>662856.85565741267</v>
      </c>
      <c r="T62" s="287"/>
      <c r="U62" s="618">
        <f>+ROUNDUP(M62*$T$5,0)</f>
        <v>6496</v>
      </c>
      <c r="V62" s="613">
        <f>+U62*E62</f>
        <v>883456</v>
      </c>
      <c r="W62" s="630"/>
      <c r="X62" s="127"/>
    </row>
    <row r="63" spans="1:24" s="185" customFormat="1" ht="13" outlineLevel="1" x14ac:dyDescent="0.3">
      <c r="A63" s="339">
        <v>5.0199999999999996</v>
      </c>
      <c r="B63" s="350" t="s">
        <v>205</v>
      </c>
      <c r="C63" s="450" t="s">
        <v>280</v>
      </c>
      <c r="D63" s="362" t="s">
        <v>238</v>
      </c>
      <c r="E63" s="363">
        <f>+[2]Locales!AE121</f>
        <v>77</v>
      </c>
      <c r="F63" s="411">
        <f>+G63*0.35</f>
        <v>3419.2038226737845</v>
      </c>
      <c r="G63" s="387">
        <f>+'[2]APU 12.24'!E50</f>
        <v>9769.1537790679558</v>
      </c>
      <c r="H63" s="344">
        <f>F63+G63</f>
        <v>13188.35760174174</v>
      </c>
      <c r="I63" s="390">
        <f>+J63</f>
        <v>5871.5071173257575</v>
      </c>
      <c r="J63" s="387">
        <f>+'[2]APU 12.24'!H50</f>
        <v>5871.5071173257575</v>
      </c>
      <c r="K63" s="344">
        <f t="shared" ref="K63:K68" si="61">I63+J63</f>
        <v>11743.014234651515</v>
      </c>
      <c r="L63" s="387">
        <f>+'[2]APU 12.24'!K50</f>
        <v>32.180227486448004</v>
      </c>
      <c r="M63" s="344">
        <f>H63+K63+L63</f>
        <v>24963.552063879706</v>
      </c>
      <c r="N63" s="345">
        <f t="shared" si="43"/>
        <v>263278.69434588141</v>
      </c>
      <c r="O63" s="345">
        <f>G63*E63</f>
        <v>752224.84098823264</v>
      </c>
      <c r="P63" s="345">
        <f t="shared" si="45"/>
        <v>452106.04803408333</v>
      </c>
      <c r="Q63" s="345">
        <f t="shared" si="46"/>
        <v>452106.04803408333</v>
      </c>
      <c r="R63" s="345">
        <f t="shared" si="47"/>
        <v>2477.8775164564963</v>
      </c>
      <c r="S63" s="346">
        <f t="shared" si="48"/>
        <v>1922193.5089187371</v>
      </c>
      <c r="T63" s="347"/>
      <c r="U63" s="617">
        <f t="shared" ref="U63:U68" si="62">+ROUNDUP(M63*$T$5,0)</f>
        <v>33270</v>
      </c>
      <c r="V63" s="618">
        <f t="shared" ref="V63:V68" si="63">+U63*E63</f>
        <v>2561790</v>
      </c>
      <c r="W63" s="630"/>
      <c r="X63" s="127"/>
    </row>
    <row r="64" spans="1:24" s="185" customFormat="1" ht="13" outlineLevel="1" x14ac:dyDescent="0.3">
      <c r="A64" s="339">
        <v>5.03</v>
      </c>
      <c r="B64" s="350" t="s">
        <v>205</v>
      </c>
      <c r="C64" s="341" t="s">
        <v>281</v>
      </c>
      <c r="D64" s="362" t="s">
        <v>238</v>
      </c>
      <c r="E64" s="363">
        <f>+[2]Locales!AG121</f>
        <v>107</v>
      </c>
      <c r="F64" s="388"/>
      <c r="G64" s="387">
        <f>+'[2]APU 12.24'!E21</f>
        <v>809.61503400000015</v>
      </c>
      <c r="H64" s="344">
        <f>F64+G64</f>
        <v>809.61503400000015</v>
      </c>
      <c r="I64" s="388"/>
      <c r="J64" s="387">
        <f>+'[2]APU 12.24'!H21</f>
        <v>3938.2617666857413</v>
      </c>
      <c r="K64" s="344">
        <f t="shared" si="61"/>
        <v>3938.2617666857413</v>
      </c>
      <c r="L64" s="387">
        <f>+'[2]APU 12.24'!K21</f>
        <v>126.07066738346904</v>
      </c>
      <c r="M64" s="344">
        <f>H64+K64+L64</f>
        <v>4873.947468069211</v>
      </c>
      <c r="N64" s="345">
        <f>F64*E64</f>
        <v>0</v>
      </c>
      <c r="O64" s="345">
        <f>G64*E64</f>
        <v>86628.808638000017</v>
      </c>
      <c r="P64" s="345">
        <f>I64*E64</f>
        <v>0</v>
      </c>
      <c r="Q64" s="345">
        <f>J64*E64</f>
        <v>421394.00903537433</v>
      </c>
      <c r="R64" s="345">
        <f>+L64*E64</f>
        <v>13489.561410031187</v>
      </c>
      <c r="S64" s="346">
        <f>SUM(N64:R64)</f>
        <v>521512.37908340548</v>
      </c>
      <c r="T64" s="347"/>
      <c r="U64" s="617">
        <f t="shared" si="62"/>
        <v>6496</v>
      </c>
      <c r="V64" s="613">
        <f t="shared" si="63"/>
        <v>695072</v>
      </c>
      <c r="W64" s="630"/>
      <c r="X64" s="127"/>
    </row>
    <row r="65" spans="1:24" s="185" customFormat="1" ht="13" outlineLevel="1" x14ac:dyDescent="0.3">
      <c r="A65" s="339">
        <v>5.04</v>
      </c>
      <c r="B65" s="350" t="s">
        <v>205</v>
      </c>
      <c r="C65" s="341" t="s">
        <v>282</v>
      </c>
      <c r="D65" s="362" t="s">
        <v>238</v>
      </c>
      <c r="E65" s="363">
        <f>+[2]Locales!AH121</f>
        <v>186</v>
      </c>
      <c r="F65" s="388"/>
      <c r="G65" s="349">
        <f>+[2]Cotizaciones!D50</f>
        <v>3625.4</v>
      </c>
      <c r="H65" s="344">
        <f t="shared" ref="H65:H67" si="64">F65+G65</f>
        <v>3625.4</v>
      </c>
      <c r="I65" s="388"/>
      <c r="J65" s="388"/>
      <c r="K65" s="344">
        <f t="shared" si="61"/>
        <v>0</v>
      </c>
      <c r="L65" s="388"/>
      <c r="M65" s="344">
        <f t="shared" ref="M65:M67" si="65">H65+K65+L65</f>
        <v>3625.4</v>
      </c>
      <c r="N65" s="345">
        <f t="shared" ref="N65:N67" si="66">F65*E65</f>
        <v>0</v>
      </c>
      <c r="O65" s="345">
        <f t="shared" ref="O65:O68" si="67">G65*E65</f>
        <v>674324.4</v>
      </c>
      <c r="P65" s="345">
        <f t="shared" ref="P65:P68" si="68">I65*E65</f>
        <v>0</v>
      </c>
      <c r="Q65" s="345">
        <f t="shared" ref="Q65:Q68" si="69">J65*E65</f>
        <v>0</v>
      </c>
      <c r="R65" s="345">
        <f t="shared" ref="R65:R68" si="70">+L65*E65</f>
        <v>0</v>
      </c>
      <c r="S65" s="346">
        <f t="shared" ref="S65:S68" si="71">SUM(N65:R65)</f>
        <v>674324.4</v>
      </c>
      <c r="T65" s="347"/>
      <c r="U65" s="617">
        <f t="shared" si="62"/>
        <v>4832</v>
      </c>
      <c r="V65" s="613">
        <f t="shared" si="63"/>
        <v>898752</v>
      </c>
      <c r="W65" s="630"/>
      <c r="X65" s="127"/>
    </row>
    <row r="66" spans="1:24" s="185" customFormat="1" ht="13" outlineLevel="1" x14ac:dyDescent="0.3">
      <c r="A66" s="339">
        <v>5.05</v>
      </c>
      <c r="B66" s="350" t="s">
        <v>205</v>
      </c>
      <c r="C66" s="341" t="s">
        <v>283</v>
      </c>
      <c r="D66" s="362" t="s">
        <v>238</v>
      </c>
      <c r="E66" s="363">
        <f>+[2]Locales!AH121</f>
        <v>186</v>
      </c>
      <c r="F66" s="388"/>
      <c r="G66" s="387">
        <f>+'[2]APU 12.24'!E56</f>
        <v>1256.6125285555554</v>
      </c>
      <c r="H66" s="344">
        <f t="shared" si="64"/>
        <v>1256.6125285555554</v>
      </c>
      <c r="I66" s="388"/>
      <c r="J66" s="387">
        <f>+'[2]APU 12.24'!H56</f>
        <v>1834.8459741642994</v>
      </c>
      <c r="K66" s="344">
        <f t="shared" si="61"/>
        <v>1834.8459741642994</v>
      </c>
      <c r="L66" s="387">
        <f>+'[2]APU 12.24'!K56</f>
        <v>10.056321089515</v>
      </c>
      <c r="M66" s="344">
        <f t="shared" si="65"/>
        <v>3101.5148238093698</v>
      </c>
      <c r="N66" s="345">
        <f t="shared" si="66"/>
        <v>0</v>
      </c>
      <c r="O66" s="345">
        <f t="shared" si="67"/>
        <v>233729.9303113333</v>
      </c>
      <c r="P66" s="345">
        <f t="shared" si="68"/>
        <v>0</v>
      </c>
      <c r="Q66" s="345">
        <f t="shared" si="69"/>
        <v>341281.35119455971</v>
      </c>
      <c r="R66" s="345">
        <f t="shared" si="70"/>
        <v>1870.47572264979</v>
      </c>
      <c r="S66" s="346">
        <f t="shared" si="71"/>
        <v>576881.75722854282</v>
      </c>
      <c r="T66" s="347"/>
      <c r="U66" s="617">
        <f t="shared" si="62"/>
        <v>4134</v>
      </c>
      <c r="V66" s="613">
        <f t="shared" si="63"/>
        <v>768924</v>
      </c>
      <c r="W66" s="630"/>
      <c r="X66" s="127"/>
    </row>
    <row r="67" spans="1:24" s="394" customFormat="1" ht="13" outlineLevel="1" x14ac:dyDescent="0.3">
      <c r="A67" s="339">
        <v>5.0599999999999996</v>
      </c>
      <c r="B67" s="350" t="s">
        <v>205</v>
      </c>
      <c r="C67" s="341" t="s">
        <v>284</v>
      </c>
      <c r="D67" s="392" t="s">
        <v>238</v>
      </c>
      <c r="E67" s="363">
        <f>+[2]Locales!AI121</f>
        <v>390</v>
      </c>
      <c r="F67" s="411">
        <f>+G67*0.2</f>
        <v>1953.8307558135912</v>
      </c>
      <c r="G67" s="387">
        <f>+'[2]APU 12.24'!E50</f>
        <v>9769.1537790679558</v>
      </c>
      <c r="H67" s="344">
        <f t="shared" si="64"/>
        <v>11722.984534881547</v>
      </c>
      <c r="I67" s="390">
        <f>+J67*0.6</f>
        <v>3522.9042703954542</v>
      </c>
      <c r="J67" s="387">
        <f>+'[2]APU 12.24'!H50</f>
        <v>5871.5071173257575</v>
      </c>
      <c r="K67" s="344">
        <f t="shared" si="61"/>
        <v>9394.4113877212112</v>
      </c>
      <c r="L67" s="387">
        <f>+'[2]APU 12.24'!K50</f>
        <v>32.180227486448004</v>
      </c>
      <c r="M67" s="344">
        <f t="shared" si="65"/>
        <v>21149.576150089208</v>
      </c>
      <c r="N67" s="345">
        <f t="shared" si="66"/>
        <v>761993.99476730055</v>
      </c>
      <c r="O67" s="345">
        <f t="shared" si="67"/>
        <v>3809969.973836503</v>
      </c>
      <c r="P67" s="345">
        <f t="shared" si="68"/>
        <v>1373932.6654542272</v>
      </c>
      <c r="Q67" s="345">
        <f t="shared" si="69"/>
        <v>2289887.7757570455</v>
      </c>
      <c r="R67" s="345">
        <f t="shared" si="70"/>
        <v>12550.288719714721</v>
      </c>
      <c r="S67" s="346">
        <f t="shared" si="71"/>
        <v>8248334.6985347914</v>
      </c>
      <c r="T67" s="347"/>
      <c r="U67" s="617">
        <f t="shared" si="62"/>
        <v>28187</v>
      </c>
      <c r="V67" s="613">
        <f t="shared" si="63"/>
        <v>10992930</v>
      </c>
      <c r="W67" s="633"/>
      <c r="X67" s="127"/>
    </row>
    <row r="68" spans="1:24" s="394" customFormat="1" ht="13" outlineLevel="1" x14ac:dyDescent="0.3">
      <c r="A68" s="339">
        <v>5.07</v>
      </c>
      <c r="B68" s="350" t="s">
        <v>205</v>
      </c>
      <c r="C68" s="341" t="s">
        <v>285</v>
      </c>
      <c r="D68" s="392" t="s">
        <v>207</v>
      </c>
      <c r="E68" s="363">
        <v>1</v>
      </c>
      <c r="F68" s="343"/>
      <c r="G68" s="343"/>
      <c r="H68" s="344">
        <f>F68+G68</f>
        <v>0</v>
      </c>
      <c r="I68" s="448">
        <f>+[2]SUBCONTRATOS!D74</f>
        <v>1829911.588442879</v>
      </c>
      <c r="J68" s="343"/>
      <c r="K68" s="344">
        <f t="shared" si="61"/>
        <v>1829911.588442879</v>
      </c>
      <c r="L68" s="387"/>
      <c r="M68" s="344">
        <f>H68+K68+L68</f>
        <v>1829911.588442879</v>
      </c>
      <c r="N68" s="345">
        <f>F68*E68</f>
        <v>0</v>
      </c>
      <c r="O68" s="345">
        <f t="shared" si="67"/>
        <v>0</v>
      </c>
      <c r="P68" s="345">
        <f t="shared" si="68"/>
        <v>1829911.588442879</v>
      </c>
      <c r="Q68" s="345">
        <f t="shared" si="69"/>
        <v>0</v>
      </c>
      <c r="R68" s="345">
        <f t="shared" si="70"/>
        <v>0</v>
      </c>
      <c r="S68" s="346">
        <f t="shared" si="71"/>
        <v>1829911.588442879</v>
      </c>
      <c r="T68" s="347"/>
      <c r="U68" s="617">
        <f t="shared" si="62"/>
        <v>2438774</v>
      </c>
      <c r="V68" s="613">
        <f t="shared" si="63"/>
        <v>2438774</v>
      </c>
      <c r="W68" s="568"/>
      <c r="X68" s="127"/>
    </row>
    <row r="69" spans="1:24" s="185" customFormat="1" ht="13" x14ac:dyDescent="0.3">
      <c r="A69" s="325">
        <v>6</v>
      </c>
      <c r="B69" s="326"/>
      <c r="C69" s="607" t="s">
        <v>286</v>
      </c>
      <c r="D69" s="177"/>
      <c r="E69" s="327"/>
      <c r="F69" s="327"/>
      <c r="G69" s="327"/>
      <c r="H69" s="327"/>
      <c r="I69" s="327"/>
      <c r="J69" s="327"/>
      <c r="K69" s="327"/>
      <c r="L69" s="327"/>
      <c r="M69" s="328"/>
      <c r="N69" s="327"/>
      <c r="O69" s="327"/>
      <c r="P69" s="327"/>
      <c r="Q69" s="327"/>
      <c r="R69" s="327"/>
      <c r="S69" s="327"/>
      <c r="T69" s="329">
        <f>SUM(S70:S70)</f>
        <v>1292728.5048842144</v>
      </c>
      <c r="U69" s="465"/>
      <c r="V69" s="465"/>
      <c r="W69" s="608">
        <f>SUM(V70:V70)</f>
        <v>1722875</v>
      </c>
      <c r="X69" s="1295">
        <f>+W69/$W$232</f>
        <v>1.2802312467201633E-3</v>
      </c>
    </row>
    <row r="70" spans="1:24" s="394" customFormat="1" ht="13" outlineLevel="1" x14ac:dyDescent="0.3">
      <c r="A70" s="350">
        <v>6.02</v>
      </c>
      <c r="B70" s="350" t="s">
        <v>205</v>
      </c>
      <c r="C70" s="353" t="s">
        <v>287</v>
      </c>
      <c r="D70" s="398" t="s">
        <v>211</v>
      </c>
      <c r="E70" s="354">
        <v>55</v>
      </c>
      <c r="F70" s="355">
        <f>+[2]Tareas!H139</f>
        <v>14897.520661157025</v>
      </c>
      <c r="G70" s="355">
        <f>+[2]Tareas!I139</f>
        <v>0</v>
      </c>
      <c r="H70" s="356">
        <f>F70+G70</f>
        <v>14897.520661157025</v>
      </c>
      <c r="I70" s="355">
        <f>+[2]Tareas!Q139</f>
        <v>0</v>
      </c>
      <c r="J70" s="355">
        <f>+[2]Tareas!R139</f>
        <v>8259.2819341714894</v>
      </c>
      <c r="K70" s="356">
        <f t="shared" ref="K70" si="72">I70+J70</f>
        <v>8259.2819341714894</v>
      </c>
      <c r="L70" s="343">
        <f t="shared" ref="L70" si="73">+(H70+K70)*0.015</f>
        <v>347.35203892992769</v>
      </c>
      <c r="M70" s="356">
        <f t="shared" ref="M70" si="74">H70+K70+L70</f>
        <v>23504.154634258441</v>
      </c>
      <c r="N70" s="359">
        <f>F70*E70</f>
        <v>819363.63636363635</v>
      </c>
      <c r="O70" s="359">
        <f>G70*E70</f>
        <v>0</v>
      </c>
      <c r="P70" s="359">
        <f>I70*E70</f>
        <v>0</v>
      </c>
      <c r="Q70" s="359">
        <f>J70*E70</f>
        <v>454260.50637943193</v>
      </c>
      <c r="R70" s="359">
        <f>+L70*E70</f>
        <v>19104.362141146023</v>
      </c>
      <c r="S70" s="360">
        <f>SUM(N70:R70)</f>
        <v>1292728.5048842144</v>
      </c>
      <c r="T70" s="347"/>
      <c r="U70" s="613">
        <f>+ROUNDUP(M70*$T$5,0)</f>
        <v>31325</v>
      </c>
      <c r="V70" s="613">
        <f>+U70*E70</f>
        <v>1722875</v>
      </c>
      <c r="W70" s="633"/>
      <c r="X70" s="127"/>
    </row>
    <row r="71" spans="1:24" ht="13" x14ac:dyDescent="0.3">
      <c r="A71" s="325">
        <v>7</v>
      </c>
      <c r="B71" s="326"/>
      <c r="C71" s="276" t="s">
        <v>288</v>
      </c>
      <c r="D71" s="177"/>
      <c r="E71" s="327"/>
      <c r="F71" s="327"/>
      <c r="G71" s="327"/>
      <c r="H71" s="327"/>
      <c r="I71" s="327"/>
      <c r="J71" s="327"/>
      <c r="K71" s="327"/>
      <c r="L71" s="327"/>
      <c r="M71" s="328"/>
      <c r="N71" s="327"/>
      <c r="O71" s="327"/>
      <c r="P71" s="327"/>
      <c r="Q71" s="327"/>
      <c r="R71" s="327"/>
      <c r="S71" s="327"/>
      <c r="T71" s="329">
        <f>SUM(S72:S77)</f>
        <v>69273282.538216397</v>
      </c>
      <c r="U71" s="465"/>
      <c r="V71" s="465"/>
      <c r="W71" s="608">
        <f>SUM(V72:V77)</f>
        <v>92324467</v>
      </c>
      <c r="X71" s="127">
        <f>+W71/$W$232</f>
        <v>6.8604319808566822E-2</v>
      </c>
    </row>
    <row r="72" spans="1:24" s="185" customFormat="1" ht="13" outlineLevel="1" x14ac:dyDescent="0.3">
      <c r="A72" s="331">
        <v>7.01</v>
      </c>
      <c r="B72" s="380" t="s">
        <v>205</v>
      </c>
      <c r="C72" s="400" t="s">
        <v>289</v>
      </c>
      <c r="D72" s="182" t="s">
        <v>238</v>
      </c>
      <c r="E72" s="381">
        <f>+[2]Revoques!L244</f>
        <v>879</v>
      </c>
      <c r="F72" s="382"/>
      <c r="G72" s="382">
        <f>+'[2]APU 12.24'!E23</f>
        <v>4009.2266140000002</v>
      </c>
      <c r="H72" s="334">
        <f>F72+G72</f>
        <v>4009.2266140000002</v>
      </c>
      <c r="I72" s="131"/>
      <c r="J72" s="382">
        <f>+'[2]APU 12.24'!H23</f>
        <v>10647.256141088275</v>
      </c>
      <c r="K72" s="334">
        <f>I72+J72</f>
        <v>10647.256141088275</v>
      </c>
      <c r="L72" s="387">
        <f>+'[2]APU 12.24'!K23</f>
        <v>306.95466841192462</v>
      </c>
      <c r="M72" s="334">
        <f>H72+K72+L72</f>
        <v>14963.437423500201</v>
      </c>
      <c r="N72" s="335">
        <f t="shared" si="43"/>
        <v>0</v>
      </c>
      <c r="O72" s="335">
        <f>G72*E72</f>
        <v>3524110.1937060002</v>
      </c>
      <c r="P72" s="335">
        <f t="shared" si="45"/>
        <v>0</v>
      </c>
      <c r="Q72" s="335">
        <f t="shared" si="46"/>
        <v>9358938.1480165944</v>
      </c>
      <c r="R72" s="335">
        <f t="shared" si="47"/>
        <v>269813.15353408176</v>
      </c>
      <c r="S72" s="336">
        <f t="shared" si="48"/>
        <v>13152861.495256677</v>
      </c>
      <c r="T72" s="347"/>
      <c r="U72" s="611">
        <f t="shared" ref="U72:U77" si="75">+ROUNDUP(M72*$T$5,0)</f>
        <v>19943</v>
      </c>
      <c r="V72" s="611">
        <f t="shared" ref="V72:V77" si="76">+U72*E72</f>
        <v>17529897</v>
      </c>
      <c r="W72" s="634"/>
      <c r="X72" s="127"/>
    </row>
    <row r="73" spans="1:24" s="185" customFormat="1" ht="13" outlineLevel="1" x14ac:dyDescent="0.3">
      <c r="A73" s="339">
        <v>7.02</v>
      </c>
      <c r="B73" s="350" t="s">
        <v>205</v>
      </c>
      <c r="C73" s="402" t="s">
        <v>290</v>
      </c>
      <c r="D73" s="362" t="s">
        <v>238</v>
      </c>
      <c r="E73" s="363">
        <f>+[2]Revoques!O244</f>
        <v>716</v>
      </c>
      <c r="F73" s="387"/>
      <c r="G73" s="387">
        <f>+'[2]APU 12.24'!E24</f>
        <v>4009.2266140000002</v>
      </c>
      <c r="H73" s="344">
        <f>F73+G73</f>
        <v>4009.2266140000002</v>
      </c>
      <c r="I73" s="343"/>
      <c r="J73" s="387">
        <f>+'[2]APU 12.24'!H24</f>
        <v>15305.430702814396</v>
      </c>
      <c r="K73" s="344">
        <f>I73+J73</f>
        <v>15305.430702814396</v>
      </c>
      <c r="L73" s="387">
        <f>+'[2]APU 12.24'!K24</f>
        <v>769.31526348917725</v>
      </c>
      <c r="M73" s="344">
        <f>H73+K73+L73</f>
        <v>20083.972580303573</v>
      </c>
      <c r="N73" s="345">
        <f t="shared" si="43"/>
        <v>0</v>
      </c>
      <c r="O73" s="345">
        <f t="shared" ref="O73:O77" si="77">G73*E73</f>
        <v>2870606.255624</v>
      </c>
      <c r="P73" s="345">
        <f t="shared" si="45"/>
        <v>0</v>
      </c>
      <c r="Q73" s="345">
        <f t="shared" si="46"/>
        <v>10958688.383215107</v>
      </c>
      <c r="R73" s="345">
        <f t="shared" si="47"/>
        <v>550829.72865825088</v>
      </c>
      <c r="S73" s="346">
        <f t="shared" ref="S73:S77" si="78">SUM(N73:R73)</f>
        <v>14380124.367497358</v>
      </c>
      <c r="T73" s="347"/>
      <c r="U73" s="613">
        <f t="shared" si="75"/>
        <v>26767</v>
      </c>
      <c r="V73" s="613">
        <f t="shared" si="76"/>
        <v>19165172</v>
      </c>
      <c r="W73" s="633"/>
      <c r="X73" s="127"/>
    </row>
    <row r="74" spans="1:24" s="185" customFormat="1" ht="13" outlineLevel="1" x14ac:dyDescent="0.3">
      <c r="A74" s="339">
        <v>7.03</v>
      </c>
      <c r="B74" s="350" t="s">
        <v>205</v>
      </c>
      <c r="C74" s="341" t="s">
        <v>291</v>
      </c>
      <c r="D74" s="362" t="s">
        <v>238</v>
      </c>
      <c r="E74" s="363">
        <f>+[2]Revoques!M244</f>
        <v>1439</v>
      </c>
      <c r="F74" s="343">
        <f>+[2]Tareas!H145</f>
        <v>0</v>
      </c>
      <c r="G74" s="343">
        <f>+[2]Tareas!I145</f>
        <v>5324.1714662960394</v>
      </c>
      <c r="H74" s="344">
        <f t="shared" ref="H74:H77" si="79">F74+G74</f>
        <v>5324.1714662960394</v>
      </c>
      <c r="I74" s="343">
        <f>+[2]Tareas!Q145</f>
        <v>11651.218312085946</v>
      </c>
      <c r="J74" s="343">
        <f>+[2]Tareas!R145</f>
        <v>0</v>
      </c>
      <c r="K74" s="344">
        <f t="shared" ref="K74:K77" si="80">I74+J74</f>
        <v>11651.218312085946</v>
      </c>
      <c r="L74" s="343">
        <f t="shared" ref="L74:L76" si="81">+(H74+K74)*0.015</f>
        <v>254.63084667572977</v>
      </c>
      <c r="M74" s="344">
        <f t="shared" ref="M74:M77" si="82">H74+K74+L74</f>
        <v>17230.020625057714</v>
      </c>
      <c r="N74" s="345">
        <f t="shared" si="43"/>
        <v>0</v>
      </c>
      <c r="O74" s="345">
        <f t="shared" si="77"/>
        <v>7661482.7400000012</v>
      </c>
      <c r="P74" s="345">
        <f t="shared" si="45"/>
        <v>16766103.151091676</v>
      </c>
      <c r="Q74" s="345">
        <f t="shared" si="46"/>
        <v>0</v>
      </c>
      <c r="R74" s="345">
        <f t="shared" si="47"/>
        <v>366413.78836637514</v>
      </c>
      <c r="S74" s="346">
        <f t="shared" si="78"/>
        <v>24793999.679458052</v>
      </c>
      <c r="T74" s="347"/>
      <c r="U74" s="613">
        <f t="shared" si="75"/>
        <v>22963</v>
      </c>
      <c r="V74" s="613">
        <f t="shared" si="76"/>
        <v>33043757</v>
      </c>
      <c r="W74" s="633"/>
      <c r="X74" s="127"/>
    </row>
    <row r="75" spans="1:24" s="185" customFormat="1" ht="13" outlineLevel="1" x14ac:dyDescent="0.3">
      <c r="A75" s="350">
        <v>7.04</v>
      </c>
      <c r="B75" s="350" t="s">
        <v>205</v>
      </c>
      <c r="C75" s="403" t="s">
        <v>292</v>
      </c>
      <c r="D75" s="362" t="s">
        <v>211</v>
      </c>
      <c r="E75" s="363">
        <f>+[2]Computo!F330</f>
        <v>347</v>
      </c>
      <c r="F75" s="343">
        <f>+[2]Tareas!H150</f>
        <v>0</v>
      </c>
      <c r="G75" s="343">
        <f>+[2]Tareas!I150</f>
        <v>0</v>
      </c>
      <c r="H75" s="344">
        <f t="shared" si="79"/>
        <v>0</v>
      </c>
      <c r="I75" s="343">
        <f>+[2]Tareas!Q150</f>
        <v>12499.473157106691</v>
      </c>
      <c r="J75" s="343">
        <f>+[2]Tareas!R150</f>
        <v>0</v>
      </c>
      <c r="K75" s="344">
        <f t="shared" si="80"/>
        <v>12499.473157106691</v>
      </c>
      <c r="L75" s="343">
        <f t="shared" si="81"/>
        <v>187.49209735660037</v>
      </c>
      <c r="M75" s="344">
        <f t="shared" si="82"/>
        <v>12686.965254463292</v>
      </c>
      <c r="N75" s="345">
        <f t="shared" si="43"/>
        <v>0</v>
      </c>
      <c r="O75" s="345">
        <f t="shared" si="77"/>
        <v>0</v>
      </c>
      <c r="P75" s="345">
        <f t="shared" si="45"/>
        <v>4337317.1855160221</v>
      </c>
      <c r="Q75" s="345">
        <f t="shared" si="46"/>
        <v>0</v>
      </c>
      <c r="R75" s="345">
        <f t="shared" si="47"/>
        <v>65059.757782740329</v>
      </c>
      <c r="S75" s="346">
        <f t="shared" si="78"/>
        <v>4402376.9432987627</v>
      </c>
      <c r="T75" s="347"/>
      <c r="U75" s="613">
        <f t="shared" si="75"/>
        <v>16909</v>
      </c>
      <c r="V75" s="613">
        <f t="shared" si="76"/>
        <v>5867423</v>
      </c>
      <c r="W75" s="633"/>
      <c r="X75" s="127"/>
    </row>
    <row r="76" spans="1:24" s="185" customFormat="1" ht="13" outlineLevel="1" x14ac:dyDescent="0.3">
      <c r="A76" s="339">
        <v>7.05</v>
      </c>
      <c r="B76" s="350" t="s">
        <v>205</v>
      </c>
      <c r="C76" s="403" t="s">
        <v>293</v>
      </c>
      <c r="D76" s="362" t="s">
        <v>294</v>
      </c>
      <c r="E76" s="363">
        <f>+[2]Computo!H329</f>
        <v>132</v>
      </c>
      <c r="F76" s="343">
        <f>+[2]Tareas!H152</f>
        <v>0</v>
      </c>
      <c r="G76" s="343">
        <f>+[2]Tareas!I152</f>
        <v>1167.2735606060608</v>
      </c>
      <c r="H76" s="344">
        <f t="shared" si="79"/>
        <v>1167.2735606060608</v>
      </c>
      <c r="I76" s="343">
        <f>+[2]Tareas!Q152</f>
        <v>13162.324006347197</v>
      </c>
      <c r="J76" s="343">
        <f>+[2]Tareas!R152</f>
        <v>0</v>
      </c>
      <c r="K76" s="344">
        <f t="shared" si="80"/>
        <v>13162.324006347197</v>
      </c>
      <c r="L76" s="343">
        <f t="shared" si="81"/>
        <v>214.94396350429886</v>
      </c>
      <c r="M76" s="344">
        <f t="shared" si="82"/>
        <v>14544.541530457556</v>
      </c>
      <c r="N76" s="345">
        <f t="shared" si="43"/>
        <v>0</v>
      </c>
      <c r="O76" s="345">
        <f t="shared" si="77"/>
        <v>154080.11000000002</v>
      </c>
      <c r="P76" s="345">
        <f t="shared" si="45"/>
        <v>1737426.7688378301</v>
      </c>
      <c r="Q76" s="345">
        <f t="shared" si="46"/>
        <v>0</v>
      </c>
      <c r="R76" s="345">
        <f t="shared" si="47"/>
        <v>28372.603182567451</v>
      </c>
      <c r="S76" s="346">
        <f t="shared" si="78"/>
        <v>1919879.4820203977</v>
      </c>
      <c r="T76" s="347"/>
      <c r="U76" s="613">
        <f t="shared" si="75"/>
        <v>19384</v>
      </c>
      <c r="V76" s="613">
        <f t="shared" si="76"/>
        <v>2558688</v>
      </c>
      <c r="W76" s="633"/>
      <c r="X76" s="127"/>
    </row>
    <row r="77" spans="1:24" s="185" customFormat="1" ht="13" outlineLevel="1" x14ac:dyDescent="0.3">
      <c r="A77" s="350">
        <v>7.06</v>
      </c>
      <c r="B77" s="350" t="s">
        <v>205</v>
      </c>
      <c r="C77" s="341" t="s">
        <v>295</v>
      </c>
      <c r="D77" s="362" t="s">
        <v>238</v>
      </c>
      <c r="E77" s="363">
        <f>+[2]Revoques!N244</f>
        <v>710</v>
      </c>
      <c r="F77" s="406"/>
      <c r="G77" s="399">
        <f>+'[2]APU 12.24'!E23</f>
        <v>4009.2266140000002</v>
      </c>
      <c r="H77" s="344">
        <f t="shared" si="79"/>
        <v>4009.2266140000002</v>
      </c>
      <c r="I77" s="132"/>
      <c r="J77" s="399">
        <f>+'[2]APU 12.24'!H23</f>
        <v>10647.256141088275</v>
      </c>
      <c r="K77" s="344">
        <f t="shared" si="80"/>
        <v>10647.256141088275</v>
      </c>
      <c r="L77" s="387">
        <f>+'[2]APU 12.24'!K23</f>
        <v>306.95466841192462</v>
      </c>
      <c r="M77" s="344">
        <f t="shared" si="82"/>
        <v>14963.437423500201</v>
      </c>
      <c r="N77" s="345">
        <f t="shared" si="43"/>
        <v>0</v>
      </c>
      <c r="O77" s="345">
        <f t="shared" si="77"/>
        <v>2846550.8959400002</v>
      </c>
      <c r="P77" s="345">
        <f t="shared" si="45"/>
        <v>0</v>
      </c>
      <c r="Q77" s="345">
        <f t="shared" si="46"/>
        <v>7559551.8601726759</v>
      </c>
      <c r="R77" s="345">
        <f t="shared" si="47"/>
        <v>217937.81457246648</v>
      </c>
      <c r="S77" s="346">
        <f t="shared" si="78"/>
        <v>10624040.570685143</v>
      </c>
      <c r="T77" s="347"/>
      <c r="U77" s="613">
        <f t="shared" si="75"/>
        <v>19943</v>
      </c>
      <c r="V77" s="613">
        <f t="shared" si="76"/>
        <v>14159530</v>
      </c>
      <c r="W77" s="633"/>
      <c r="X77" s="127"/>
    </row>
    <row r="78" spans="1:24" s="185" customFormat="1" ht="13" x14ac:dyDescent="0.3">
      <c r="A78" s="325">
        <v>8</v>
      </c>
      <c r="B78" s="326"/>
      <c r="C78" s="607" t="s">
        <v>296</v>
      </c>
      <c r="D78" s="177"/>
      <c r="E78" s="327"/>
      <c r="F78" s="327"/>
      <c r="G78" s="327"/>
      <c r="H78" s="327"/>
      <c r="I78" s="327"/>
      <c r="J78" s="327"/>
      <c r="K78" s="327"/>
      <c r="L78" s="327"/>
      <c r="M78" s="328"/>
      <c r="N78" s="327"/>
      <c r="O78" s="327"/>
      <c r="P78" s="327"/>
      <c r="Q78" s="327"/>
      <c r="R78" s="327"/>
      <c r="S78" s="327"/>
      <c r="T78" s="329">
        <f>SUM(S79:S86)</f>
        <v>37156873.260113068</v>
      </c>
      <c r="U78" s="465"/>
      <c r="V78" s="465"/>
      <c r="W78" s="608">
        <f>SUM(V79:V86)</f>
        <v>49520833</v>
      </c>
      <c r="X78" s="1295">
        <f>+W78/$W$232</f>
        <v>3.6797862741180298E-2</v>
      </c>
    </row>
    <row r="79" spans="1:24" s="185" customFormat="1" ht="13" outlineLevel="1" x14ac:dyDescent="0.3">
      <c r="A79" s="331">
        <v>8.01</v>
      </c>
      <c r="B79" s="635" t="s">
        <v>236</v>
      </c>
      <c r="C79" s="333" t="s">
        <v>297</v>
      </c>
      <c r="D79" s="182" t="s">
        <v>238</v>
      </c>
      <c r="E79" s="381">
        <f>+[2]Locales!N121</f>
        <v>107</v>
      </c>
      <c r="F79" s="407">
        <f>+[2]Tareas!H155</f>
        <v>0</v>
      </c>
      <c r="G79" s="407">
        <f>+[2]Tareas!I155</f>
        <v>30940.006841121492</v>
      </c>
      <c r="H79" s="334">
        <f t="shared" ref="H79:H86" si="83">F79+G79</f>
        <v>30940.006841121492</v>
      </c>
      <c r="I79" s="407">
        <f>+[2]Tareas!Q155</f>
        <v>0</v>
      </c>
      <c r="J79" s="407">
        <f>+[2]Tareas!R155</f>
        <v>12364.893372256442</v>
      </c>
      <c r="K79" s="334">
        <f t="shared" ref="K79:K86" si="84">I79+J79</f>
        <v>12364.893372256442</v>
      </c>
      <c r="L79" s="343">
        <f t="shared" ref="L79:L84" si="85">+(H79+K79)*0.015</f>
        <v>649.57350320066905</v>
      </c>
      <c r="M79" s="334">
        <f t="shared" ref="M79:M86" si="86">H79+K79+L79</f>
        <v>43954.473716578606</v>
      </c>
      <c r="N79" s="335">
        <f t="shared" ref="N79:N86" si="87">F79*E79</f>
        <v>0</v>
      </c>
      <c r="O79" s="335">
        <f t="shared" ref="O79:O86" si="88">G79*E79</f>
        <v>3310580.7319999998</v>
      </c>
      <c r="P79" s="335">
        <f t="shared" ref="P79:P86" si="89">I79*E79</f>
        <v>0</v>
      </c>
      <c r="Q79" s="335">
        <f t="shared" ref="Q79:Q86" si="90">J79*E79</f>
        <v>1323043.5908314392</v>
      </c>
      <c r="R79" s="335">
        <f t="shared" ref="R79:R86" si="91">+L79*E79</f>
        <v>69504.364842471594</v>
      </c>
      <c r="S79" s="336">
        <f t="shared" ref="S79:S86" si="92">SUM(N79:R79)</f>
        <v>4703128.6876739105</v>
      </c>
      <c r="T79" s="408"/>
      <c r="U79" s="618">
        <f t="shared" ref="U79:U86" si="93">+ROUNDUP(M79*$T$5,0)</f>
        <v>58580</v>
      </c>
      <c r="V79" s="618">
        <f t="shared" ref="V79:V86" si="94">+U79*E79</f>
        <v>6268060</v>
      </c>
      <c r="W79" s="630"/>
      <c r="X79" s="127"/>
    </row>
    <row r="80" spans="1:24" s="185" customFormat="1" ht="13" outlineLevel="1" x14ac:dyDescent="0.3">
      <c r="A80" s="413">
        <v>8.02</v>
      </c>
      <c r="B80" s="636" t="s">
        <v>236</v>
      </c>
      <c r="C80" s="415" t="s">
        <v>298</v>
      </c>
      <c r="D80" s="637" t="s">
        <v>238</v>
      </c>
      <c r="E80" s="378">
        <f>+[2]Locales!O121</f>
        <v>258</v>
      </c>
      <c r="F80" s="429">
        <f>+[2]Tareas!H163</f>
        <v>22041.277519379844</v>
      </c>
      <c r="G80" s="429">
        <f>+[2]Tareas!I163</f>
        <v>0</v>
      </c>
      <c r="H80" s="344">
        <f t="shared" si="83"/>
        <v>22041.277519379844</v>
      </c>
      <c r="I80" s="429">
        <f>+[2]Tareas!Q163</f>
        <v>891.47286821705427</v>
      </c>
      <c r="J80" s="429">
        <f>+[2]Tareas!R163</f>
        <v>5697.0204215681515</v>
      </c>
      <c r="K80" s="344">
        <f t="shared" si="84"/>
        <v>6588.4932897852059</v>
      </c>
      <c r="L80" s="343">
        <f t="shared" si="85"/>
        <v>429.44656213747572</v>
      </c>
      <c r="M80" s="344">
        <f t="shared" si="86"/>
        <v>29059.217371302526</v>
      </c>
      <c r="N80" s="345">
        <f t="shared" si="87"/>
        <v>5686649.5999999996</v>
      </c>
      <c r="O80" s="345">
        <f t="shared" si="88"/>
        <v>0</v>
      </c>
      <c r="P80" s="345">
        <f t="shared" si="89"/>
        <v>230000</v>
      </c>
      <c r="Q80" s="345">
        <f t="shared" si="90"/>
        <v>1469831.2687645832</v>
      </c>
      <c r="R80" s="345">
        <f t="shared" si="91"/>
        <v>110797.21303146874</v>
      </c>
      <c r="S80" s="346">
        <f t="shared" si="92"/>
        <v>7497278.0817960519</v>
      </c>
      <c r="T80" s="408"/>
      <c r="U80" s="618">
        <f t="shared" si="93"/>
        <v>38729</v>
      </c>
      <c r="V80" s="618">
        <f t="shared" si="94"/>
        <v>9992082</v>
      </c>
      <c r="W80" s="630"/>
      <c r="X80" s="127"/>
    </row>
    <row r="81" spans="1:28" s="185" customFormat="1" ht="13" outlineLevel="1" x14ac:dyDescent="0.3">
      <c r="A81" s="339">
        <v>8.0299999999999994</v>
      </c>
      <c r="B81" s="638" t="s">
        <v>205</v>
      </c>
      <c r="C81" s="341" t="s">
        <v>299</v>
      </c>
      <c r="D81" s="362" t="s">
        <v>238</v>
      </c>
      <c r="E81" s="363">
        <f>+[2]Locales!P121</f>
        <v>425</v>
      </c>
      <c r="F81" s="410"/>
      <c r="G81" s="387">
        <f>+'[2]APU 12.24'!E27</f>
        <v>6968.0306291446286</v>
      </c>
      <c r="H81" s="344">
        <f t="shared" si="83"/>
        <v>6968.0306291446286</v>
      </c>
      <c r="I81" s="433"/>
      <c r="J81" s="387">
        <f>+'[2]APU 12.24'!H27</f>
        <v>10126.741046938852</v>
      </c>
      <c r="K81" s="344">
        <f t="shared" si="84"/>
        <v>10126.741046938852</v>
      </c>
      <c r="L81" s="387">
        <f>+'[2]APU 12.24'!K27</f>
        <v>120.04691821133424</v>
      </c>
      <c r="M81" s="344">
        <f t="shared" si="86"/>
        <v>17214.818594294815</v>
      </c>
      <c r="N81" s="345">
        <f t="shared" si="87"/>
        <v>0</v>
      </c>
      <c r="O81" s="345">
        <f t="shared" si="88"/>
        <v>2961413.0173864672</v>
      </c>
      <c r="P81" s="345">
        <f t="shared" si="89"/>
        <v>0</v>
      </c>
      <c r="Q81" s="345">
        <f t="shared" si="90"/>
        <v>4303864.9449490122</v>
      </c>
      <c r="R81" s="345">
        <f t="shared" si="91"/>
        <v>51019.940239817057</v>
      </c>
      <c r="S81" s="346">
        <f t="shared" si="92"/>
        <v>7316297.9025752963</v>
      </c>
      <c r="T81" s="408"/>
      <c r="U81" s="618">
        <f t="shared" si="93"/>
        <v>22943</v>
      </c>
      <c r="V81" s="618">
        <f t="shared" si="94"/>
        <v>9750775</v>
      </c>
      <c r="W81" s="630"/>
      <c r="X81" s="127"/>
    </row>
    <row r="82" spans="1:28" s="185" customFormat="1" ht="13" outlineLevel="1" x14ac:dyDescent="0.3">
      <c r="A82" s="413">
        <v>8.0399999999999991</v>
      </c>
      <c r="B82" s="638" t="s">
        <v>236</v>
      </c>
      <c r="C82" s="341" t="s">
        <v>300</v>
      </c>
      <c r="D82" s="362" t="s">
        <v>238</v>
      </c>
      <c r="E82" s="363">
        <f>+[2]Locales!Q121</f>
        <v>200</v>
      </c>
      <c r="F82" s="348">
        <f>+[2]Tareas!H172</f>
        <v>24169.45</v>
      </c>
      <c r="G82" s="348">
        <f>+[2]Tareas!I172</f>
        <v>300</v>
      </c>
      <c r="H82" s="344">
        <f t="shared" si="83"/>
        <v>24469.45</v>
      </c>
      <c r="I82" s="343">
        <f>+[2]Tareas!Q172</f>
        <v>0</v>
      </c>
      <c r="J82" s="343">
        <f>+[2]Tareas!R172</f>
        <v>5362.3939312257571</v>
      </c>
      <c r="K82" s="344">
        <f t="shared" si="84"/>
        <v>5362.3939312257571</v>
      </c>
      <c r="L82" s="343">
        <f t="shared" si="85"/>
        <v>447.47765896838638</v>
      </c>
      <c r="M82" s="344">
        <f t="shared" si="86"/>
        <v>30279.321590194144</v>
      </c>
      <c r="N82" s="345">
        <f t="shared" si="87"/>
        <v>4833890</v>
      </c>
      <c r="O82" s="345">
        <f t="shared" si="88"/>
        <v>60000</v>
      </c>
      <c r="P82" s="345">
        <f t="shared" si="89"/>
        <v>0</v>
      </c>
      <c r="Q82" s="345">
        <f t="shared" si="90"/>
        <v>1072478.7862451514</v>
      </c>
      <c r="R82" s="345">
        <f t="shared" si="91"/>
        <v>89495.531793677277</v>
      </c>
      <c r="S82" s="346">
        <f t="shared" si="92"/>
        <v>6055864.3180388287</v>
      </c>
      <c r="T82" s="408"/>
      <c r="U82" s="618">
        <f t="shared" si="93"/>
        <v>40355</v>
      </c>
      <c r="V82" s="618">
        <f t="shared" si="94"/>
        <v>8071000</v>
      </c>
      <c r="W82" s="630"/>
      <c r="X82" s="127"/>
    </row>
    <row r="83" spans="1:28" s="185" customFormat="1" ht="13" outlineLevel="1" x14ac:dyDescent="0.3">
      <c r="A83" s="339">
        <v>8.0500000000000007</v>
      </c>
      <c r="B83" s="638" t="s">
        <v>236</v>
      </c>
      <c r="C83" s="341" t="s">
        <v>301</v>
      </c>
      <c r="D83" s="362" t="s">
        <v>238</v>
      </c>
      <c r="E83" s="363">
        <f>+[2]Locales!R121</f>
        <v>77</v>
      </c>
      <c r="F83" s="348">
        <f>+[2]Tareas!H178</f>
        <v>0</v>
      </c>
      <c r="G83" s="348">
        <f>+[2]Tareas!I178</f>
        <v>8233.9594805194811</v>
      </c>
      <c r="H83" s="344">
        <f t="shared" si="83"/>
        <v>8233.9594805194811</v>
      </c>
      <c r="I83" s="343">
        <f>+[2]Tareas!Q178</f>
        <v>0</v>
      </c>
      <c r="J83" s="343">
        <f>+[2]Tareas!R178</f>
        <v>15063.226619458379</v>
      </c>
      <c r="K83" s="344">
        <f t="shared" si="84"/>
        <v>15063.226619458379</v>
      </c>
      <c r="L83" s="343">
        <f t="shared" si="85"/>
        <v>349.45779149966785</v>
      </c>
      <c r="M83" s="344">
        <f t="shared" si="86"/>
        <v>23646.643891477524</v>
      </c>
      <c r="N83" s="345">
        <f t="shared" si="87"/>
        <v>0</v>
      </c>
      <c r="O83" s="345">
        <f t="shared" si="88"/>
        <v>634014.88</v>
      </c>
      <c r="P83" s="345">
        <f t="shared" si="89"/>
        <v>0</v>
      </c>
      <c r="Q83" s="345">
        <f t="shared" si="90"/>
        <v>1159868.4496982952</v>
      </c>
      <c r="R83" s="345">
        <f t="shared" si="91"/>
        <v>26908.249945474425</v>
      </c>
      <c r="S83" s="346">
        <f t="shared" si="92"/>
        <v>1820791.5796437697</v>
      </c>
      <c r="T83" s="408"/>
      <c r="U83" s="618">
        <f t="shared" si="93"/>
        <v>31515</v>
      </c>
      <c r="V83" s="618">
        <f t="shared" si="94"/>
        <v>2426655</v>
      </c>
      <c r="W83" s="630"/>
      <c r="X83" s="127"/>
    </row>
    <row r="84" spans="1:28" s="185" customFormat="1" ht="13" outlineLevel="1" x14ac:dyDescent="0.3">
      <c r="A84" s="413">
        <v>8.06</v>
      </c>
      <c r="B84" s="638" t="s">
        <v>236</v>
      </c>
      <c r="C84" s="341" t="s">
        <v>302</v>
      </c>
      <c r="D84" s="362" t="s">
        <v>238</v>
      </c>
      <c r="E84" s="363">
        <f>+[2]Locales!S121</f>
        <v>77</v>
      </c>
      <c r="F84" s="348">
        <f>+[2]Tareas!H185</f>
        <v>6718.9009337769667</v>
      </c>
      <c r="G84" s="348">
        <f>+[2]Tareas!I185</f>
        <v>671.89009337769676</v>
      </c>
      <c r="H84" s="344">
        <f t="shared" si="83"/>
        <v>7390.7910271546634</v>
      </c>
      <c r="I84" s="343">
        <f>+[2]Tareas!Q185</f>
        <v>0</v>
      </c>
      <c r="J84" s="343">
        <f>+[2]Tareas!R185</f>
        <v>7159.2550900334509</v>
      </c>
      <c r="K84" s="344">
        <f t="shared" si="84"/>
        <v>7159.2550900334509</v>
      </c>
      <c r="L84" s="343">
        <f t="shared" si="85"/>
        <v>218.2506917578217</v>
      </c>
      <c r="M84" s="344">
        <f t="shared" si="86"/>
        <v>14768.296808945935</v>
      </c>
      <c r="N84" s="345">
        <f t="shared" si="87"/>
        <v>517355.37190082646</v>
      </c>
      <c r="O84" s="345">
        <f t="shared" si="88"/>
        <v>51735.53719008265</v>
      </c>
      <c r="P84" s="345">
        <f t="shared" si="89"/>
        <v>0</v>
      </c>
      <c r="Q84" s="345">
        <f t="shared" si="90"/>
        <v>551262.64193257573</v>
      </c>
      <c r="R84" s="345">
        <f t="shared" si="91"/>
        <v>16805.303265352271</v>
      </c>
      <c r="S84" s="346">
        <f t="shared" si="92"/>
        <v>1137158.8542888369</v>
      </c>
      <c r="T84" s="408"/>
      <c r="U84" s="618">
        <f t="shared" si="93"/>
        <v>19683</v>
      </c>
      <c r="V84" s="618">
        <f t="shared" si="94"/>
        <v>1515591</v>
      </c>
      <c r="W84" s="630"/>
      <c r="X84" s="127"/>
    </row>
    <row r="85" spans="1:28" s="185" customFormat="1" ht="13" outlineLevel="1" x14ac:dyDescent="0.3">
      <c r="A85" s="339">
        <v>8.07</v>
      </c>
      <c r="B85" s="638" t="s">
        <v>205</v>
      </c>
      <c r="C85" s="341" t="s">
        <v>303</v>
      </c>
      <c r="D85" s="362" t="s">
        <v>238</v>
      </c>
      <c r="E85" s="363">
        <f>+[2]Locales!T121</f>
        <v>442</v>
      </c>
      <c r="F85" s="343"/>
      <c r="G85" s="387">
        <f>+'[2]APU 12.24'!E79</f>
        <v>2717.5178580000002</v>
      </c>
      <c r="H85" s="344">
        <f t="shared" si="83"/>
        <v>2717.5178580000002</v>
      </c>
      <c r="I85" s="343"/>
      <c r="J85" s="387">
        <f>+'[2]APU 12.24'!H79</f>
        <v>7814.7833452434052</v>
      </c>
      <c r="K85" s="344">
        <f t="shared" si="84"/>
        <v>7814.7833452434052</v>
      </c>
      <c r="L85" s="387">
        <f>+'[2]APU 12.24'!K79</f>
        <v>223.75096146529327</v>
      </c>
      <c r="M85" s="344">
        <f t="shared" si="86"/>
        <v>10756.052164708699</v>
      </c>
      <c r="N85" s="345">
        <f t="shared" si="87"/>
        <v>0</v>
      </c>
      <c r="O85" s="345">
        <f t="shared" si="88"/>
        <v>1201142.8932360001</v>
      </c>
      <c r="P85" s="345">
        <f t="shared" si="89"/>
        <v>0</v>
      </c>
      <c r="Q85" s="345">
        <f t="shared" si="90"/>
        <v>3454134.2385975849</v>
      </c>
      <c r="R85" s="345">
        <f t="shared" si="91"/>
        <v>98897.924967659623</v>
      </c>
      <c r="S85" s="346">
        <f t="shared" si="92"/>
        <v>4754175.0568012446</v>
      </c>
      <c r="T85" s="408"/>
      <c r="U85" s="618">
        <f t="shared" si="93"/>
        <v>14335</v>
      </c>
      <c r="V85" s="618">
        <f t="shared" si="94"/>
        <v>6336070</v>
      </c>
      <c r="W85" s="630"/>
      <c r="X85" s="127"/>
    </row>
    <row r="86" spans="1:28" s="185" customFormat="1" ht="13" outlineLevel="1" x14ac:dyDescent="0.3">
      <c r="A86" s="413">
        <v>8.08</v>
      </c>
      <c r="B86" s="638" t="s">
        <v>205</v>
      </c>
      <c r="C86" s="341" t="s">
        <v>304</v>
      </c>
      <c r="D86" s="362" t="s">
        <v>238</v>
      </c>
      <c r="E86" s="363">
        <f>+[2]Locales!U121</f>
        <v>360</v>
      </c>
      <c r="F86" s="343"/>
      <c r="G86" s="387">
        <f>+'[2]APU 12.24'!E79</f>
        <v>2717.5178580000002</v>
      </c>
      <c r="H86" s="344">
        <f t="shared" si="83"/>
        <v>2717.5178580000002</v>
      </c>
      <c r="I86" s="343"/>
      <c r="J86" s="387">
        <f>+'[2]APU 12.24'!H79</f>
        <v>7814.7833452434052</v>
      </c>
      <c r="K86" s="344">
        <f t="shared" si="84"/>
        <v>7814.7833452434052</v>
      </c>
      <c r="L86" s="387">
        <f>+'[2]APU 12.24'!K79</f>
        <v>223.75096146529327</v>
      </c>
      <c r="M86" s="344">
        <f t="shared" si="86"/>
        <v>10756.052164708699</v>
      </c>
      <c r="N86" s="345">
        <f t="shared" si="87"/>
        <v>0</v>
      </c>
      <c r="O86" s="345">
        <f t="shared" si="88"/>
        <v>978306.42888000002</v>
      </c>
      <c r="P86" s="345">
        <f t="shared" si="89"/>
        <v>0</v>
      </c>
      <c r="Q86" s="345">
        <f t="shared" si="90"/>
        <v>2813322.0042876257</v>
      </c>
      <c r="R86" s="345">
        <f t="shared" si="91"/>
        <v>80550.346127505574</v>
      </c>
      <c r="S86" s="346">
        <f t="shared" si="92"/>
        <v>3872178.7792951311</v>
      </c>
      <c r="T86" s="408"/>
      <c r="U86" s="618">
        <f t="shared" si="93"/>
        <v>14335</v>
      </c>
      <c r="V86" s="618">
        <f t="shared" si="94"/>
        <v>5160600</v>
      </c>
      <c r="W86" s="630"/>
      <c r="X86" s="127"/>
    </row>
    <row r="87" spans="1:28" s="185" customFormat="1" ht="13" x14ac:dyDescent="0.3">
      <c r="A87" s="325">
        <v>9</v>
      </c>
      <c r="B87" s="326"/>
      <c r="C87" s="607" t="s">
        <v>305</v>
      </c>
      <c r="D87" s="177"/>
      <c r="E87" s="327"/>
      <c r="F87" s="327"/>
      <c r="G87" s="327"/>
      <c r="H87" s="327"/>
      <c r="I87" s="327"/>
      <c r="J87" s="327"/>
      <c r="K87" s="327"/>
      <c r="L87" s="327"/>
      <c r="M87" s="328"/>
      <c r="N87" s="327"/>
      <c r="O87" s="327"/>
      <c r="P87" s="327"/>
      <c r="Q87" s="327"/>
      <c r="R87" s="327"/>
      <c r="S87" s="327"/>
      <c r="T87" s="329">
        <f>SUM(S88:S90)</f>
        <v>3641244.8155415766</v>
      </c>
      <c r="U87" s="465"/>
      <c r="V87" s="465"/>
      <c r="W87" s="608">
        <f>SUM(V88:V90)</f>
        <v>4852846</v>
      </c>
      <c r="X87" s="1295">
        <f>+W87/$W$232</f>
        <v>3.6060451772304768E-3</v>
      </c>
    </row>
    <row r="88" spans="1:28" ht="13" outlineLevel="1" x14ac:dyDescent="0.3">
      <c r="A88" s="331">
        <v>9.01</v>
      </c>
      <c r="B88" s="380" t="s">
        <v>205</v>
      </c>
      <c r="C88" s="333" t="s">
        <v>306</v>
      </c>
      <c r="D88" s="412" t="s">
        <v>207</v>
      </c>
      <c r="E88" s="381">
        <v>1</v>
      </c>
      <c r="F88" s="407">
        <f>+[2]Tareas!H191</f>
        <v>0</v>
      </c>
      <c r="G88" s="407">
        <f>+[2]Tareas!I191</f>
        <v>181154.98207620005</v>
      </c>
      <c r="H88" s="334">
        <f>F88+G88</f>
        <v>181154.98207620005</v>
      </c>
      <c r="I88" s="407">
        <f>+[2]Tareas!Q191</f>
        <v>0</v>
      </c>
      <c r="J88" s="407">
        <f>+[2]Tareas!R191</f>
        <v>1378156.6048314394</v>
      </c>
      <c r="K88" s="334">
        <f t="shared" ref="K88:K90" si="95">I88+J88</f>
        <v>1378156.6048314394</v>
      </c>
      <c r="L88" s="407">
        <f>(H88+K88)*0.015</f>
        <v>23389.673803614591</v>
      </c>
      <c r="M88" s="334">
        <f>H88+K88+L88</f>
        <v>1582701.2607112541</v>
      </c>
      <c r="N88" s="335">
        <f>F88*E88</f>
        <v>0</v>
      </c>
      <c r="O88" s="335">
        <f t="shared" ref="O88:O90" si="96">G88*E88</f>
        <v>181154.98207620005</v>
      </c>
      <c r="P88" s="335">
        <f t="shared" ref="P88:P90" si="97">I88*E88</f>
        <v>0</v>
      </c>
      <c r="Q88" s="335">
        <f t="shared" ref="Q88:Q90" si="98">J88*E88</f>
        <v>1378156.6048314394</v>
      </c>
      <c r="R88" s="335">
        <f t="shared" ref="R88:R90" si="99">+L88*E88</f>
        <v>23389.673803614591</v>
      </c>
      <c r="S88" s="336">
        <f>SUM(N88:R88)</f>
        <v>1582701.2607112541</v>
      </c>
      <c r="T88" s="287"/>
      <c r="U88" s="613">
        <f>+ROUNDUP(M88*$T$5,0)</f>
        <v>2109310</v>
      </c>
      <c r="V88" s="613">
        <f>+U88*E88</f>
        <v>2109310</v>
      </c>
      <c r="W88" s="568"/>
      <c r="X88" s="127"/>
    </row>
    <row r="89" spans="1:28" ht="13" outlineLevel="1" x14ac:dyDescent="0.3">
      <c r="A89" s="339">
        <v>9.02</v>
      </c>
      <c r="B89" s="350" t="s">
        <v>205</v>
      </c>
      <c r="C89" s="341" t="s">
        <v>307</v>
      </c>
      <c r="D89" s="418" t="s">
        <v>294</v>
      </c>
      <c r="E89" s="363">
        <f>+[2]Computo!C142</f>
        <v>81</v>
      </c>
      <c r="F89" s="343">
        <f>+[2]Tareas!H194</f>
        <v>2592.9773492500767</v>
      </c>
      <c r="G89" s="343">
        <f>+[2]Tareas!I194</f>
        <v>0</v>
      </c>
      <c r="H89" s="344">
        <f>F89+G89</f>
        <v>2592.9773492500767</v>
      </c>
      <c r="I89" s="343">
        <f>+[2]Tareas!Q194</f>
        <v>0</v>
      </c>
      <c r="J89" s="343">
        <f>+[2]Tareas!R194</f>
        <v>18121.93554730172</v>
      </c>
      <c r="K89" s="344">
        <f t="shared" si="95"/>
        <v>18121.93554730172</v>
      </c>
      <c r="L89" s="343">
        <f>(H89+K89)*0.015</f>
        <v>310.72369344827695</v>
      </c>
      <c r="M89" s="344">
        <f>H89+K89+L89</f>
        <v>21025.636590000071</v>
      </c>
      <c r="N89" s="345">
        <f>F89*E89</f>
        <v>210031.16528925623</v>
      </c>
      <c r="O89" s="345">
        <f t="shared" si="96"/>
        <v>0</v>
      </c>
      <c r="P89" s="345">
        <f t="shared" si="97"/>
        <v>0</v>
      </c>
      <c r="Q89" s="345">
        <f t="shared" si="98"/>
        <v>1467876.7793314394</v>
      </c>
      <c r="R89" s="345">
        <f t="shared" si="99"/>
        <v>25168.619169310434</v>
      </c>
      <c r="S89" s="346">
        <f>SUM(N89:R89)</f>
        <v>1703076.5637900061</v>
      </c>
      <c r="T89" s="287"/>
      <c r="U89" s="613">
        <f>+ROUNDUP(M89*$T$5,0)</f>
        <v>28022</v>
      </c>
      <c r="V89" s="613">
        <f>+U89*E89</f>
        <v>2269782</v>
      </c>
      <c r="W89" s="568"/>
      <c r="X89" s="186"/>
      <c r="Y89" s="130"/>
      <c r="Z89" s="130"/>
      <c r="AA89" s="130"/>
      <c r="AB89" s="370"/>
    </row>
    <row r="90" spans="1:28" ht="13" outlineLevel="1" x14ac:dyDescent="0.3">
      <c r="A90" s="351">
        <v>9.0299999999999994</v>
      </c>
      <c r="B90" s="352" t="s">
        <v>205</v>
      </c>
      <c r="C90" s="353" t="s">
        <v>308</v>
      </c>
      <c r="D90" s="428" t="s">
        <v>211</v>
      </c>
      <c r="E90" s="379">
        <f>+[2]Zocalos!K43</f>
        <v>46</v>
      </c>
      <c r="F90" s="358">
        <f>+[2]Tareas!H199</f>
        <v>0</v>
      </c>
      <c r="G90" s="358">
        <f>+[2]Tareas!I199</f>
        <v>609.94943460000002</v>
      </c>
      <c r="H90" s="356">
        <f>F90+G90</f>
        <v>609.94943460000002</v>
      </c>
      <c r="I90" s="358">
        <f>+[2]Tareas!Q199</f>
        <v>0</v>
      </c>
      <c r="J90" s="358">
        <f>+[2]Tareas!R199</f>
        <v>7003.3937018385614</v>
      </c>
      <c r="K90" s="356">
        <f t="shared" si="95"/>
        <v>7003.3937018385614</v>
      </c>
      <c r="L90" s="343">
        <f>(H90+K90)*0.015</f>
        <v>114.20014704657842</v>
      </c>
      <c r="M90" s="356">
        <f>H90+K90+L90</f>
        <v>7727.5432834851399</v>
      </c>
      <c r="N90" s="359">
        <f>F90*E90</f>
        <v>0</v>
      </c>
      <c r="O90" s="359">
        <f t="shared" si="96"/>
        <v>28057.673991600001</v>
      </c>
      <c r="P90" s="359">
        <f t="shared" si="97"/>
        <v>0</v>
      </c>
      <c r="Q90" s="359">
        <f t="shared" si="98"/>
        <v>322156.11028457381</v>
      </c>
      <c r="R90" s="359">
        <f t="shared" si="99"/>
        <v>5253.2067641426074</v>
      </c>
      <c r="S90" s="360">
        <f>SUM(N90:R90)</f>
        <v>355466.99104031641</v>
      </c>
      <c r="T90" s="287"/>
      <c r="U90" s="613">
        <f>+ROUNDUP(M90*$T$5,0)</f>
        <v>10299</v>
      </c>
      <c r="V90" s="613">
        <f>+U90*E90</f>
        <v>473754</v>
      </c>
      <c r="W90" s="568"/>
      <c r="X90" s="186"/>
      <c r="Y90" s="130"/>
      <c r="Z90" s="130"/>
      <c r="AA90" s="130"/>
      <c r="AB90" s="370"/>
    </row>
    <row r="91" spans="1:28" ht="13" x14ac:dyDescent="0.3">
      <c r="A91" s="325">
        <v>10</v>
      </c>
      <c r="B91" s="326"/>
      <c r="C91" s="276" t="s">
        <v>309</v>
      </c>
      <c r="D91" s="177"/>
      <c r="E91" s="327"/>
      <c r="F91" s="327"/>
      <c r="G91" s="327"/>
      <c r="H91" s="327"/>
      <c r="I91" s="327"/>
      <c r="J91" s="327"/>
      <c r="K91" s="327"/>
      <c r="L91" s="327"/>
      <c r="M91" s="328"/>
      <c r="N91" s="327"/>
      <c r="O91" s="327"/>
      <c r="P91" s="327"/>
      <c r="Q91" s="327"/>
      <c r="R91" s="327"/>
      <c r="S91" s="327"/>
      <c r="T91" s="329">
        <f>SUM(S92:S95)</f>
        <v>3139907.7155186473</v>
      </c>
      <c r="U91" s="465"/>
      <c r="V91" s="465"/>
      <c r="W91" s="608">
        <f>SUM(V92:V95)</f>
        <v>4184652</v>
      </c>
      <c r="X91" s="127">
        <f>+W91/$W$232</f>
        <v>3.1095246300805483E-3</v>
      </c>
    </row>
    <row r="92" spans="1:28" ht="13" outlineLevel="1" x14ac:dyDescent="0.3">
      <c r="A92" s="339">
        <v>10.01</v>
      </c>
      <c r="B92" s="340" t="s">
        <v>236</v>
      </c>
      <c r="C92" s="341" t="s">
        <v>310</v>
      </c>
      <c r="D92" s="191" t="s">
        <v>207</v>
      </c>
      <c r="E92" s="342">
        <v>1</v>
      </c>
      <c r="F92" s="343">
        <f>+[2]Tareas!H203</f>
        <v>200000</v>
      </c>
      <c r="G92" s="343">
        <f>+[2]Tareas!I203</f>
        <v>0</v>
      </c>
      <c r="H92" s="344">
        <f t="shared" ref="H92:H94" si="100">F92+G92</f>
        <v>200000</v>
      </c>
      <c r="I92" s="343">
        <f>+[2]Tareas!Q203</f>
        <v>0</v>
      </c>
      <c r="J92" s="343">
        <f>+[2]Tareas!R203</f>
        <v>1163573.8754485797</v>
      </c>
      <c r="K92" s="344">
        <f t="shared" ref="K92:K94" si="101">I92+J92</f>
        <v>1163573.8754485797</v>
      </c>
      <c r="L92" s="343">
        <f>(H92+K92)*0.015</f>
        <v>20453.608131728695</v>
      </c>
      <c r="M92" s="344">
        <f t="shared" ref="M92:M94" si="102">H92+K92+L92</f>
        <v>1384027.4835803083</v>
      </c>
      <c r="N92" s="345">
        <f t="shared" ref="N92:N94" si="103">F92*E92</f>
        <v>200000</v>
      </c>
      <c r="O92" s="345">
        <f t="shared" ref="O92:O95" si="104">G92*E92</f>
        <v>0</v>
      </c>
      <c r="P92" s="345">
        <f t="shared" ref="P92:P94" si="105">I92*E92</f>
        <v>0</v>
      </c>
      <c r="Q92" s="345">
        <f t="shared" ref="Q92:Q95" si="106">J92*E92</f>
        <v>1163573.8754485797</v>
      </c>
      <c r="R92" s="345">
        <f t="shared" ref="R92:R95" si="107">+L92*E92</f>
        <v>20453.608131728695</v>
      </c>
      <c r="S92" s="346">
        <f t="shared" ref="S92:S94" si="108">SUM(N92:R92)</f>
        <v>1384027.4835803083</v>
      </c>
      <c r="T92" s="347"/>
      <c r="U92" s="613">
        <f>+ROUNDUP(M92*$T$5,0)</f>
        <v>1844532</v>
      </c>
      <c r="V92" s="613">
        <f>+U92*E92</f>
        <v>1844532</v>
      </c>
      <c r="W92" s="643"/>
      <c r="X92" s="127"/>
    </row>
    <row r="93" spans="1:28" ht="13" outlineLevel="1" x14ac:dyDescent="0.3">
      <c r="A93" s="339">
        <v>10.02</v>
      </c>
      <c r="B93" s="340" t="s">
        <v>236</v>
      </c>
      <c r="C93" s="341" t="s">
        <v>311</v>
      </c>
      <c r="D93" s="191" t="s">
        <v>207</v>
      </c>
      <c r="E93" s="342">
        <v>1</v>
      </c>
      <c r="F93" s="343">
        <f>+[2]Tareas!H207</f>
        <v>200000</v>
      </c>
      <c r="G93" s="343">
        <f>+[2]Tareas!I207</f>
        <v>0</v>
      </c>
      <c r="H93" s="344">
        <f t="shared" si="100"/>
        <v>200000</v>
      </c>
      <c r="I93" s="343">
        <f>+[2]Tareas!Q207</f>
        <v>0</v>
      </c>
      <c r="J93" s="343">
        <f>+[2]Tareas!R207</f>
        <v>698144.32526914775</v>
      </c>
      <c r="K93" s="344">
        <f t="shared" si="101"/>
        <v>698144.32526914775</v>
      </c>
      <c r="L93" s="343">
        <f>(H93+K93)*0.015</f>
        <v>13472.164879037216</v>
      </c>
      <c r="M93" s="344">
        <f t="shared" si="102"/>
        <v>911616.49014818494</v>
      </c>
      <c r="N93" s="345">
        <f t="shared" si="103"/>
        <v>200000</v>
      </c>
      <c r="O93" s="345">
        <f t="shared" si="104"/>
        <v>0</v>
      </c>
      <c r="P93" s="345">
        <f t="shared" si="105"/>
        <v>0</v>
      </c>
      <c r="Q93" s="345">
        <f t="shared" si="106"/>
        <v>698144.32526914775</v>
      </c>
      <c r="R93" s="345">
        <f t="shared" si="107"/>
        <v>13472.164879037216</v>
      </c>
      <c r="S93" s="346">
        <f t="shared" si="108"/>
        <v>911616.49014818494</v>
      </c>
      <c r="T93" s="347"/>
      <c r="U93" s="613">
        <f>+ROUNDUP(M93*$T$5,0)</f>
        <v>1214937</v>
      </c>
      <c r="V93" s="613">
        <f>+U93*E93</f>
        <v>1214937</v>
      </c>
      <c r="X93" s="127"/>
    </row>
    <row r="94" spans="1:28" ht="13" outlineLevel="1" x14ac:dyDescent="0.3">
      <c r="A94" s="339">
        <v>10.029999999999999</v>
      </c>
      <c r="B94" s="340" t="s">
        <v>236</v>
      </c>
      <c r="C94" s="341" t="s">
        <v>312</v>
      </c>
      <c r="D94" s="191" t="s">
        <v>207</v>
      </c>
      <c r="E94" s="342">
        <v>1</v>
      </c>
      <c r="F94" s="343">
        <f>+[2]Tareas!H211</f>
        <v>50000</v>
      </c>
      <c r="G94" s="343">
        <f>+[2]Tareas!I211</f>
        <v>0</v>
      </c>
      <c r="H94" s="344">
        <f t="shared" si="100"/>
        <v>50000</v>
      </c>
      <c r="I94" s="343">
        <f>+[2]Tareas!Q211</f>
        <v>0</v>
      </c>
      <c r="J94" s="343">
        <f>+[2]Tareas!R211</f>
        <v>349072.16263457388</v>
      </c>
      <c r="K94" s="344">
        <f t="shared" si="101"/>
        <v>349072.16263457388</v>
      </c>
      <c r="L94" s="343">
        <f>(H94+K94)*0.015</f>
        <v>5986.0824395186082</v>
      </c>
      <c r="M94" s="344">
        <f t="shared" si="102"/>
        <v>405058.24507409247</v>
      </c>
      <c r="N94" s="345">
        <f t="shared" si="103"/>
        <v>50000</v>
      </c>
      <c r="O94" s="345">
        <f t="shared" si="104"/>
        <v>0</v>
      </c>
      <c r="P94" s="345">
        <f t="shared" si="105"/>
        <v>0</v>
      </c>
      <c r="Q94" s="345">
        <f t="shared" si="106"/>
        <v>349072.16263457388</v>
      </c>
      <c r="R94" s="345">
        <f t="shared" si="107"/>
        <v>5986.0824395186082</v>
      </c>
      <c r="S94" s="346">
        <f t="shared" si="108"/>
        <v>405058.24507409247</v>
      </c>
      <c r="T94" s="347"/>
      <c r="U94" s="613">
        <f>+ROUNDUP(M94*$T$5,0)</f>
        <v>539833</v>
      </c>
      <c r="V94" s="613">
        <f>+U94*E94</f>
        <v>539833</v>
      </c>
      <c r="X94" s="127"/>
    </row>
    <row r="95" spans="1:28" s="185" customFormat="1" ht="13" outlineLevel="1" x14ac:dyDescent="0.3">
      <c r="A95" s="339">
        <v>10.039999999999999</v>
      </c>
      <c r="B95" s="350" t="s">
        <v>236</v>
      </c>
      <c r="C95" s="341" t="s">
        <v>313</v>
      </c>
      <c r="D95" s="362" t="s">
        <v>243</v>
      </c>
      <c r="E95" s="363">
        <v>10</v>
      </c>
      <c r="F95" s="348">
        <f>+[2]Tareas!H215</f>
        <v>20000</v>
      </c>
      <c r="G95" s="348">
        <f>+[2]Tareas!I215</f>
        <v>0</v>
      </c>
      <c r="H95" s="344">
        <f>F95+G95</f>
        <v>20000</v>
      </c>
      <c r="I95" s="343">
        <f>+[2]Tareas!Q215</f>
        <v>0</v>
      </c>
      <c r="J95" s="343">
        <f>+[2]Tareas!R215</f>
        <v>23271.477508971591</v>
      </c>
      <c r="K95" s="344">
        <f>I95+J95</f>
        <v>23271.477508971591</v>
      </c>
      <c r="L95" s="343">
        <f>(H95+K95)*0.015</f>
        <v>649.07216263457383</v>
      </c>
      <c r="M95" s="344">
        <f>H95+K95+L95</f>
        <v>43920.549671606168</v>
      </c>
      <c r="N95" s="345">
        <f>F95*E95</f>
        <v>200000</v>
      </c>
      <c r="O95" s="345">
        <f t="shared" si="104"/>
        <v>0</v>
      </c>
      <c r="P95" s="345">
        <f>I95*E95</f>
        <v>0</v>
      </c>
      <c r="Q95" s="345">
        <f t="shared" si="106"/>
        <v>232714.7750897159</v>
      </c>
      <c r="R95" s="345">
        <f t="shared" si="107"/>
        <v>6490.7216263457385</v>
      </c>
      <c r="S95" s="346">
        <f>SUM(N95:R95)</f>
        <v>439205.49671606167</v>
      </c>
      <c r="T95" s="347"/>
      <c r="U95" s="613">
        <f>+ROUNDUP(M95*$T$5,0)</f>
        <v>58535</v>
      </c>
      <c r="V95" s="613">
        <f>+U95*E95</f>
        <v>585350</v>
      </c>
      <c r="W95" s="630"/>
      <c r="X95" s="127"/>
    </row>
    <row r="96" spans="1:28" s="185" customFormat="1" ht="13" x14ac:dyDescent="0.3">
      <c r="A96" s="325">
        <v>11</v>
      </c>
      <c r="B96" s="326"/>
      <c r="C96" s="607" t="s">
        <v>314</v>
      </c>
      <c r="D96" s="177"/>
      <c r="E96" s="327"/>
      <c r="F96" s="327"/>
      <c r="G96" s="327"/>
      <c r="H96" s="327"/>
      <c r="I96" s="327"/>
      <c r="J96" s="327"/>
      <c r="K96" s="327"/>
      <c r="L96" s="327"/>
      <c r="M96" s="328"/>
      <c r="N96" s="327"/>
      <c r="O96" s="327"/>
      <c r="P96" s="327"/>
      <c r="Q96" s="327"/>
      <c r="R96" s="327"/>
      <c r="S96" s="327"/>
      <c r="T96" s="329">
        <f>SUM(S97:S107)</f>
        <v>23388319.361736301</v>
      </c>
      <c r="U96" s="465"/>
      <c r="V96" s="465"/>
      <c r="W96" s="608">
        <f>SUM(V97:V107)</f>
        <v>31170783</v>
      </c>
      <c r="X96" s="1295">
        <f>+W96/$W$232</f>
        <v>2.3162336432610415E-2</v>
      </c>
    </row>
    <row r="97" spans="1:24" ht="13" outlineLevel="1" x14ac:dyDescent="0.3">
      <c r="A97" s="331">
        <v>11.01</v>
      </c>
      <c r="B97" s="380" t="s">
        <v>205</v>
      </c>
      <c r="C97" s="333" t="s">
        <v>315</v>
      </c>
      <c r="D97" s="412" t="s">
        <v>238</v>
      </c>
      <c r="E97" s="381">
        <f>+[2]Locales!BO121</f>
        <v>0</v>
      </c>
      <c r="F97" s="407"/>
      <c r="G97" s="407"/>
      <c r="H97" s="334">
        <f>F97+G97</f>
        <v>0</v>
      </c>
      <c r="I97" s="407"/>
      <c r="J97" s="407"/>
      <c r="K97" s="334">
        <f>I97+J97</f>
        <v>0</v>
      </c>
      <c r="L97" s="343"/>
      <c r="M97" s="334">
        <f t="shared" ref="M97:M107" si="109">H97+K97+L97</f>
        <v>0</v>
      </c>
      <c r="N97" s="335">
        <f t="shared" ref="N97:N107" si="110">F97*E97</f>
        <v>0</v>
      </c>
      <c r="O97" s="335">
        <f t="shared" ref="O97:O107" si="111">G97*E97</f>
        <v>0</v>
      </c>
      <c r="P97" s="335">
        <f t="shared" ref="P97:P107" si="112">I97*E97</f>
        <v>0</v>
      </c>
      <c r="Q97" s="335">
        <f t="shared" ref="Q97:Q107" si="113">J97*E97</f>
        <v>0</v>
      </c>
      <c r="R97" s="335">
        <f t="shared" ref="R97:R107" si="114">+L97*E97</f>
        <v>0</v>
      </c>
      <c r="S97" s="336">
        <f t="shared" ref="S97:S107" si="115">SUM(N97:R97)</f>
        <v>0</v>
      </c>
      <c r="T97" s="408"/>
      <c r="U97" s="613">
        <f t="shared" ref="U97:U107" si="116">+ROUNDUP(M97*$T$5,0)</f>
        <v>0</v>
      </c>
      <c r="V97" s="613">
        <f t="shared" ref="V97:V107" si="117">+U97*E97</f>
        <v>0</v>
      </c>
      <c r="W97" s="633"/>
      <c r="X97" s="186"/>
    </row>
    <row r="98" spans="1:24" ht="13" outlineLevel="1" x14ac:dyDescent="0.3">
      <c r="A98" s="339">
        <v>11.02</v>
      </c>
      <c r="B98" s="350" t="s">
        <v>205</v>
      </c>
      <c r="C98" s="341" t="s">
        <v>316</v>
      </c>
      <c r="D98" s="418" t="s">
        <v>238</v>
      </c>
      <c r="E98" s="363">
        <f>+[2]Locales!BP121</f>
        <v>39</v>
      </c>
      <c r="F98" s="343"/>
      <c r="G98" s="387">
        <f>+'[2]APU 12.24'!E29</f>
        <v>4066.3295640000006</v>
      </c>
      <c r="H98" s="344">
        <f>F98+G98</f>
        <v>4066.3295640000006</v>
      </c>
      <c r="I98" s="343"/>
      <c r="J98" s="387">
        <f>+'[2]APU 12.24'!H29</f>
        <v>10118.033699552867</v>
      </c>
      <c r="K98" s="344">
        <f>I98+J98</f>
        <v>10118.033699552867</v>
      </c>
      <c r="L98" s="387">
        <f>+'[2]APU 12.24'!K29</f>
        <v>282.12077749971758</v>
      </c>
      <c r="M98" s="344">
        <f t="shared" si="109"/>
        <v>14466.484041052585</v>
      </c>
      <c r="N98" s="345">
        <f t="shared" si="110"/>
        <v>0</v>
      </c>
      <c r="O98" s="345">
        <f t="shared" si="111"/>
        <v>158586.85299600003</v>
      </c>
      <c r="P98" s="345">
        <f t="shared" si="112"/>
        <v>0</v>
      </c>
      <c r="Q98" s="345">
        <f t="shared" si="113"/>
        <v>394603.31428256183</v>
      </c>
      <c r="R98" s="345">
        <f t="shared" si="114"/>
        <v>11002.710322488985</v>
      </c>
      <c r="S98" s="346">
        <f t="shared" si="115"/>
        <v>564192.87760105089</v>
      </c>
      <c r="T98" s="287"/>
      <c r="U98" s="613">
        <f t="shared" si="116"/>
        <v>19280</v>
      </c>
      <c r="V98" s="613">
        <f t="shared" si="117"/>
        <v>751920</v>
      </c>
      <c r="W98" s="568"/>
      <c r="X98" s="186"/>
    </row>
    <row r="99" spans="1:24" ht="13" outlineLevel="1" x14ac:dyDescent="0.3">
      <c r="A99" s="339">
        <v>11.03</v>
      </c>
      <c r="B99" s="350" t="s">
        <v>205</v>
      </c>
      <c r="C99" s="341" t="s">
        <v>317</v>
      </c>
      <c r="D99" s="418" t="s">
        <v>238</v>
      </c>
      <c r="E99" s="363">
        <f>+[2]Locales!BQ121</f>
        <v>48</v>
      </c>
      <c r="F99" s="343"/>
      <c r="G99" s="387">
        <f>+'[2]APU 12.24'!E36</f>
        <v>7156.2986004793383</v>
      </c>
      <c r="H99" s="344">
        <f t="shared" ref="H99:H107" si="118">F99+G99</f>
        <v>7156.2986004793383</v>
      </c>
      <c r="I99" s="343"/>
      <c r="J99" s="387">
        <f>+'[2]APU 12.24'!H36</f>
        <v>11647.705291780305</v>
      </c>
      <c r="K99" s="344">
        <f t="shared" ref="K99:K107" si="119">I99+J99</f>
        <v>11647.705291780305</v>
      </c>
      <c r="L99" s="387">
        <f>+'[2]APU 12.24'!K36</f>
        <v>225.81274523621107</v>
      </c>
      <c r="M99" s="344">
        <f t="shared" si="109"/>
        <v>19029.816637495853</v>
      </c>
      <c r="N99" s="345">
        <f t="shared" si="110"/>
        <v>0</v>
      </c>
      <c r="O99" s="345">
        <f t="shared" si="111"/>
        <v>343502.33282300824</v>
      </c>
      <c r="P99" s="345">
        <f t="shared" si="112"/>
        <v>0</v>
      </c>
      <c r="Q99" s="345">
        <f t="shared" si="113"/>
        <v>559089.85400545457</v>
      </c>
      <c r="R99" s="345">
        <f t="shared" si="114"/>
        <v>10839.011771338131</v>
      </c>
      <c r="S99" s="346">
        <f t="shared" si="115"/>
        <v>913431.19859980105</v>
      </c>
      <c r="T99" s="287"/>
      <c r="U99" s="613">
        <f t="shared" si="116"/>
        <v>25362</v>
      </c>
      <c r="V99" s="613">
        <f t="shared" si="117"/>
        <v>1217376</v>
      </c>
      <c r="W99" s="568"/>
      <c r="X99" s="186"/>
    </row>
    <row r="100" spans="1:24" s="185" customFormat="1" ht="26" outlineLevel="1" x14ac:dyDescent="0.3">
      <c r="A100" s="339">
        <v>11.04</v>
      </c>
      <c r="B100" s="350" t="s">
        <v>205</v>
      </c>
      <c r="C100" s="341" t="s">
        <v>318</v>
      </c>
      <c r="D100" s="362" t="s">
        <v>238</v>
      </c>
      <c r="E100" s="363">
        <f>+[2]Locales!BX121</f>
        <v>174</v>
      </c>
      <c r="F100" s="343">
        <f>+[2]Tareas!H230</f>
        <v>0</v>
      </c>
      <c r="G100" s="343">
        <f>+[2]Tareas!I230</f>
        <v>1303.4390229885059</v>
      </c>
      <c r="H100" s="344">
        <f t="shared" si="118"/>
        <v>1303.4390229885059</v>
      </c>
      <c r="I100" s="343">
        <f>+[2]Tareas!Q230</f>
        <v>1609.1954022988505</v>
      </c>
      <c r="J100" s="343">
        <f>+[2]Tareas!R230</f>
        <v>11254.144468231618</v>
      </c>
      <c r="K100" s="344">
        <f t="shared" si="119"/>
        <v>12863.339870530468</v>
      </c>
      <c r="L100" s="343">
        <f>(H100+K100)*0.015</f>
        <v>212.50168340278461</v>
      </c>
      <c r="M100" s="344">
        <f t="shared" si="109"/>
        <v>14379.280576921759</v>
      </c>
      <c r="N100" s="345">
        <f t="shared" si="110"/>
        <v>0</v>
      </c>
      <c r="O100" s="345">
        <f t="shared" si="111"/>
        <v>226798.39000000004</v>
      </c>
      <c r="P100" s="345">
        <f t="shared" si="112"/>
        <v>280000</v>
      </c>
      <c r="Q100" s="345">
        <f t="shared" si="113"/>
        <v>1958221.1374723015</v>
      </c>
      <c r="R100" s="345">
        <f t="shared" si="114"/>
        <v>36975.292912084522</v>
      </c>
      <c r="S100" s="346">
        <f t="shared" si="115"/>
        <v>2501994.820384386</v>
      </c>
      <c r="T100" s="287"/>
      <c r="U100" s="613">
        <f t="shared" si="116"/>
        <v>19164</v>
      </c>
      <c r="V100" s="613">
        <f t="shared" si="117"/>
        <v>3334536</v>
      </c>
      <c r="W100" s="630"/>
      <c r="X100" s="127"/>
    </row>
    <row r="101" spans="1:24" ht="26" outlineLevel="1" x14ac:dyDescent="0.3">
      <c r="A101" s="339">
        <v>11.05</v>
      </c>
      <c r="B101" s="350" t="s">
        <v>205</v>
      </c>
      <c r="C101" s="341" t="s">
        <v>319</v>
      </c>
      <c r="D101" s="418" t="s">
        <v>238</v>
      </c>
      <c r="E101" s="363">
        <f>+[2]Locales!BY121</f>
        <v>92</v>
      </c>
      <c r="F101" s="1300">
        <f>+F100</f>
        <v>0</v>
      </c>
      <c r="G101" s="1300">
        <f>+G100</f>
        <v>1303.4390229885059</v>
      </c>
      <c r="H101" s="344">
        <f t="shared" si="118"/>
        <v>1303.4390229885059</v>
      </c>
      <c r="I101" s="1300">
        <f>+I100</f>
        <v>1609.1954022988505</v>
      </c>
      <c r="J101" s="1300">
        <f>+J100</f>
        <v>11254.144468231618</v>
      </c>
      <c r="K101" s="344">
        <f t="shared" si="119"/>
        <v>12863.339870530468</v>
      </c>
      <c r="L101" s="1300">
        <f>+L100</f>
        <v>212.50168340278461</v>
      </c>
      <c r="M101" s="344">
        <f t="shared" si="109"/>
        <v>14379.280576921759</v>
      </c>
      <c r="N101" s="345">
        <f t="shared" si="110"/>
        <v>0</v>
      </c>
      <c r="O101" s="345">
        <f t="shared" si="111"/>
        <v>119916.39011494255</v>
      </c>
      <c r="P101" s="345">
        <f t="shared" si="112"/>
        <v>148045.97701149425</v>
      </c>
      <c r="Q101" s="345">
        <f t="shared" si="113"/>
        <v>1035381.2910773088</v>
      </c>
      <c r="R101" s="345">
        <f t="shared" si="114"/>
        <v>19550.154873056184</v>
      </c>
      <c r="S101" s="346">
        <f t="shared" si="115"/>
        <v>1322893.8130768018</v>
      </c>
      <c r="T101" s="287"/>
      <c r="U101" s="613">
        <f t="shared" si="116"/>
        <v>19164</v>
      </c>
      <c r="V101" s="613">
        <f t="shared" si="117"/>
        <v>1763088</v>
      </c>
      <c r="W101" s="633"/>
      <c r="X101" s="186"/>
    </row>
    <row r="102" spans="1:24" s="185" customFormat="1" ht="13" outlineLevel="1" x14ac:dyDescent="0.3">
      <c r="A102" s="339">
        <v>11.06</v>
      </c>
      <c r="B102" s="350" t="s">
        <v>205</v>
      </c>
      <c r="C102" s="341" t="s">
        <v>320</v>
      </c>
      <c r="D102" s="362" t="s">
        <v>238</v>
      </c>
      <c r="E102" s="363">
        <f>+[2]Locales!BW121</f>
        <v>8</v>
      </c>
      <c r="F102" s="343">
        <f>+[2]Tareas!H237</f>
        <v>0</v>
      </c>
      <c r="G102" s="343">
        <f>+[2]Tareas!I237</f>
        <v>2773.0080000000003</v>
      </c>
      <c r="H102" s="344">
        <f t="shared" si="118"/>
        <v>2773.0080000000003</v>
      </c>
      <c r="I102" s="343">
        <f>+[2]Tareas!Q237</f>
        <v>0</v>
      </c>
      <c r="J102" s="343">
        <f>+[2]Tareas!R237</f>
        <v>7607.5725970714957</v>
      </c>
      <c r="K102" s="344">
        <f t="shared" si="119"/>
        <v>7607.5725970714957</v>
      </c>
      <c r="L102" s="343">
        <f>(H102+K102)*0.015</f>
        <v>155.70870895607243</v>
      </c>
      <c r="M102" s="344">
        <f t="shared" si="109"/>
        <v>10536.289306027567</v>
      </c>
      <c r="N102" s="345">
        <f t="shared" si="110"/>
        <v>0</v>
      </c>
      <c r="O102" s="345">
        <f t="shared" si="111"/>
        <v>22184.064000000002</v>
      </c>
      <c r="P102" s="345">
        <f t="shared" si="112"/>
        <v>0</v>
      </c>
      <c r="Q102" s="345">
        <f t="shared" si="113"/>
        <v>60860.580776571966</v>
      </c>
      <c r="R102" s="345">
        <f t="shared" si="114"/>
        <v>1245.6696716485794</v>
      </c>
      <c r="S102" s="346">
        <f t="shared" si="115"/>
        <v>84290.314448220539</v>
      </c>
      <c r="T102" s="287"/>
      <c r="U102" s="613">
        <f t="shared" si="116"/>
        <v>14043</v>
      </c>
      <c r="V102" s="613">
        <f t="shared" si="117"/>
        <v>112344</v>
      </c>
      <c r="W102" s="630"/>
      <c r="X102" s="127"/>
    </row>
    <row r="103" spans="1:24" ht="13" outlineLevel="1" x14ac:dyDescent="0.3">
      <c r="A103" s="339">
        <v>11.07</v>
      </c>
      <c r="B103" s="350" t="s">
        <v>205</v>
      </c>
      <c r="C103" s="341" t="s">
        <v>321</v>
      </c>
      <c r="D103" s="418" t="s">
        <v>238</v>
      </c>
      <c r="E103" s="363">
        <f>+[2]Locales!BZ121</f>
        <v>46</v>
      </c>
      <c r="F103" s="343">
        <f>+[2]Tareas!H241</f>
        <v>0</v>
      </c>
      <c r="G103" s="343">
        <f>+[2]Tareas!I241</f>
        <v>7701.794891999999</v>
      </c>
      <c r="H103" s="344">
        <f t="shared" si="118"/>
        <v>7701.794891999999</v>
      </c>
      <c r="I103" s="343">
        <f>+[2]Tareas!Q241</f>
        <v>0</v>
      </c>
      <c r="J103" s="343">
        <f>+[2]Tareas!R241</f>
        <v>11983.970476795124</v>
      </c>
      <c r="K103" s="344">
        <f t="shared" si="119"/>
        <v>11983.970476795124</v>
      </c>
      <c r="L103" s="343">
        <f>(H103+K103)*0.015</f>
        <v>295.28648053192683</v>
      </c>
      <c r="M103" s="344">
        <f t="shared" si="109"/>
        <v>19981.05184932705</v>
      </c>
      <c r="N103" s="345">
        <f t="shared" si="110"/>
        <v>0</v>
      </c>
      <c r="O103" s="345">
        <f t="shared" si="111"/>
        <v>354282.56503199995</v>
      </c>
      <c r="P103" s="345">
        <f t="shared" si="112"/>
        <v>0</v>
      </c>
      <c r="Q103" s="345">
        <f t="shared" si="113"/>
        <v>551262.64193257573</v>
      </c>
      <c r="R103" s="345">
        <f t="shared" si="114"/>
        <v>13583.178104468634</v>
      </c>
      <c r="S103" s="346">
        <f t="shared" si="115"/>
        <v>919128.38506904431</v>
      </c>
      <c r="T103" s="287"/>
      <c r="U103" s="613">
        <f t="shared" si="116"/>
        <v>26630</v>
      </c>
      <c r="V103" s="613">
        <f t="shared" si="117"/>
        <v>1224980</v>
      </c>
      <c r="W103" s="568"/>
      <c r="X103" s="186"/>
    </row>
    <row r="104" spans="1:24" ht="13" outlineLevel="1" x14ac:dyDescent="0.3">
      <c r="A104" s="339">
        <v>11.08</v>
      </c>
      <c r="B104" s="350" t="s">
        <v>205</v>
      </c>
      <c r="C104" s="341" t="s">
        <v>322</v>
      </c>
      <c r="D104" s="418" t="s">
        <v>238</v>
      </c>
      <c r="E104" s="363">
        <f>+[2]Locales!BS121</f>
        <v>562</v>
      </c>
      <c r="F104" s="343"/>
      <c r="G104" s="387">
        <f>+'[2]APU 12.24'!E36</f>
        <v>7156.2986004793383</v>
      </c>
      <c r="H104" s="344">
        <f t="shared" si="118"/>
        <v>7156.2986004793383</v>
      </c>
      <c r="I104" s="343"/>
      <c r="J104" s="387">
        <f>+'[2]APU 12.24'!H36</f>
        <v>11647.705291780305</v>
      </c>
      <c r="K104" s="344">
        <f t="shared" si="119"/>
        <v>11647.705291780305</v>
      </c>
      <c r="L104" s="387">
        <f>+'[2]APU 12.24'!K36</f>
        <v>225.81274523621107</v>
      </c>
      <c r="M104" s="344">
        <f t="shared" si="109"/>
        <v>19029.816637495853</v>
      </c>
      <c r="N104" s="345">
        <f t="shared" si="110"/>
        <v>0</v>
      </c>
      <c r="O104" s="345">
        <f t="shared" si="111"/>
        <v>4021839.8134693881</v>
      </c>
      <c r="P104" s="345">
        <f t="shared" si="112"/>
        <v>0</v>
      </c>
      <c r="Q104" s="345">
        <f t="shared" si="113"/>
        <v>6546010.3739805315</v>
      </c>
      <c r="R104" s="345">
        <f t="shared" si="114"/>
        <v>126906.76282275062</v>
      </c>
      <c r="S104" s="346">
        <f t="shared" si="115"/>
        <v>10694756.95027267</v>
      </c>
      <c r="T104" s="287"/>
      <c r="U104" s="613">
        <f t="shared" si="116"/>
        <v>25362</v>
      </c>
      <c r="V104" s="613">
        <f t="shared" si="117"/>
        <v>14253444</v>
      </c>
      <c r="W104" s="568"/>
      <c r="X104" s="186"/>
    </row>
    <row r="105" spans="1:24" ht="13" outlineLevel="1" x14ac:dyDescent="0.3">
      <c r="A105" s="339">
        <v>11.09</v>
      </c>
      <c r="B105" s="375" t="s">
        <v>205</v>
      </c>
      <c r="C105" s="341" t="s">
        <v>323</v>
      </c>
      <c r="D105" s="1301" t="s">
        <v>238</v>
      </c>
      <c r="E105" s="378">
        <f>+[2]Locales!BT121</f>
        <v>73</v>
      </c>
      <c r="F105" s="395"/>
      <c r="G105" s="387">
        <f>+'[2]APU 12.24'!E37</f>
        <v>7156.2986004793383</v>
      </c>
      <c r="H105" s="344">
        <f t="shared" si="118"/>
        <v>7156.2986004793383</v>
      </c>
      <c r="I105" s="395"/>
      <c r="J105" s="387">
        <f>+'[2]APU 12.24'!H37</f>
        <v>15142.016879314397</v>
      </c>
      <c r="K105" s="344">
        <f t="shared" si="119"/>
        <v>15142.016879314397</v>
      </c>
      <c r="L105" s="387">
        <f>+'[2]APU 12.24'!K37</f>
        <v>293.55656880707437</v>
      </c>
      <c r="M105" s="344">
        <f t="shared" si="109"/>
        <v>22591.87204860081</v>
      </c>
      <c r="N105" s="345">
        <f t="shared" si="110"/>
        <v>0</v>
      </c>
      <c r="O105" s="345">
        <f t="shared" si="111"/>
        <v>522409.79783499171</v>
      </c>
      <c r="P105" s="345">
        <f t="shared" si="112"/>
        <v>0</v>
      </c>
      <c r="Q105" s="345">
        <f t="shared" si="113"/>
        <v>1105367.232189951</v>
      </c>
      <c r="R105" s="345">
        <f t="shared" si="114"/>
        <v>21429.629522916428</v>
      </c>
      <c r="S105" s="346">
        <f t="shared" si="115"/>
        <v>1649206.6595478591</v>
      </c>
      <c r="T105" s="287"/>
      <c r="U105" s="613">
        <f t="shared" si="116"/>
        <v>30109</v>
      </c>
      <c r="V105" s="613">
        <f t="shared" si="117"/>
        <v>2197957</v>
      </c>
      <c r="W105" s="568"/>
      <c r="X105" s="186"/>
    </row>
    <row r="106" spans="1:24" ht="13" outlineLevel="1" x14ac:dyDescent="0.3">
      <c r="A106" s="339">
        <v>11.1</v>
      </c>
      <c r="B106" s="375" t="s">
        <v>205</v>
      </c>
      <c r="C106" s="341" t="s">
        <v>324</v>
      </c>
      <c r="D106" s="1301" t="s">
        <v>238</v>
      </c>
      <c r="E106" s="378">
        <f>+[2]Locales!BU121</f>
        <v>143</v>
      </c>
      <c r="F106" s="395"/>
      <c r="G106" s="387">
        <f>+'[2]APU 12.24'!E36</f>
        <v>7156.2986004793383</v>
      </c>
      <c r="H106" s="344">
        <f t="shared" si="118"/>
        <v>7156.2986004793383</v>
      </c>
      <c r="I106" s="395"/>
      <c r="J106" s="387">
        <f>+'[2]APU 12.24'!H36</f>
        <v>11647.705291780305</v>
      </c>
      <c r="K106" s="344">
        <f t="shared" si="119"/>
        <v>11647.705291780305</v>
      </c>
      <c r="L106" s="387">
        <f>+'[2]APU 12.24'!K36</f>
        <v>225.81274523621107</v>
      </c>
      <c r="M106" s="344">
        <f t="shared" si="109"/>
        <v>19029.816637495853</v>
      </c>
      <c r="N106" s="345">
        <f t="shared" si="110"/>
        <v>0</v>
      </c>
      <c r="O106" s="345">
        <f t="shared" si="111"/>
        <v>1023350.6998685454</v>
      </c>
      <c r="P106" s="345">
        <f t="shared" si="112"/>
        <v>0</v>
      </c>
      <c r="Q106" s="345">
        <f t="shared" si="113"/>
        <v>1665621.8567245835</v>
      </c>
      <c r="R106" s="345">
        <f t="shared" si="114"/>
        <v>32291.222568778183</v>
      </c>
      <c r="S106" s="346">
        <f t="shared" si="115"/>
        <v>2721263.7791619073</v>
      </c>
      <c r="T106" s="287"/>
      <c r="U106" s="613">
        <f t="shared" si="116"/>
        <v>25362</v>
      </c>
      <c r="V106" s="613">
        <f t="shared" si="117"/>
        <v>3626766</v>
      </c>
      <c r="W106" s="568"/>
      <c r="X106" s="186"/>
    </row>
    <row r="107" spans="1:24" ht="13" outlineLevel="1" x14ac:dyDescent="0.3">
      <c r="A107" s="339">
        <v>11.11</v>
      </c>
      <c r="B107" s="352" t="s">
        <v>205</v>
      </c>
      <c r="C107" s="341" t="s">
        <v>325</v>
      </c>
      <c r="D107" s="428" t="s">
        <v>238</v>
      </c>
      <c r="E107" s="379">
        <f>+[2]Locales!BR121</f>
        <v>106</v>
      </c>
      <c r="F107" s="358"/>
      <c r="G107" s="387">
        <f>+'[2]APU 12.24'!E36</f>
        <v>7156.2986004793383</v>
      </c>
      <c r="H107" s="344">
        <f t="shared" si="118"/>
        <v>7156.2986004793383</v>
      </c>
      <c r="I107" s="358"/>
      <c r="J107" s="387">
        <f>+'[2]APU 12.24'!H36</f>
        <v>11647.705291780305</v>
      </c>
      <c r="K107" s="344">
        <f t="shared" si="119"/>
        <v>11647.705291780305</v>
      </c>
      <c r="L107" s="387">
        <f>+'[2]APU 12.24'!K36</f>
        <v>225.81274523621107</v>
      </c>
      <c r="M107" s="344">
        <f t="shared" si="109"/>
        <v>19029.816637495853</v>
      </c>
      <c r="N107" s="345">
        <f t="shared" si="110"/>
        <v>0</v>
      </c>
      <c r="O107" s="345">
        <f t="shared" si="111"/>
        <v>758567.65165080992</v>
      </c>
      <c r="P107" s="345">
        <f t="shared" si="112"/>
        <v>0</v>
      </c>
      <c r="Q107" s="345">
        <f t="shared" si="113"/>
        <v>1234656.7609287123</v>
      </c>
      <c r="R107" s="345">
        <f t="shared" si="114"/>
        <v>23936.150995038373</v>
      </c>
      <c r="S107" s="346">
        <f t="shared" si="115"/>
        <v>2017160.5635745607</v>
      </c>
      <c r="T107" s="287"/>
      <c r="U107" s="613">
        <f t="shared" si="116"/>
        <v>25362</v>
      </c>
      <c r="V107" s="613">
        <f t="shared" si="117"/>
        <v>2688372</v>
      </c>
      <c r="W107" s="568"/>
      <c r="X107" s="186"/>
    </row>
    <row r="108" spans="1:24" s="185" customFormat="1" ht="13" x14ac:dyDescent="0.3">
      <c r="A108" s="325">
        <v>12</v>
      </c>
      <c r="B108" s="326"/>
      <c r="C108" s="607" t="s">
        <v>326</v>
      </c>
      <c r="D108" s="177"/>
      <c r="E108" s="327"/>
      <c r="F108" s="327"/>
      <c r="G108" s="327"/>
      <c r="H108" s="327"/>
      <c r="I108" s="327"/>
      <c r="J108" s="327"/>
      <c r="K108" s="327"/>
      <c r="L108" s="327"/>
      <c r="M108" s="328"/>
      <c r="N108" s="327"/>
      <c r="O108" s="327"/>
      <c r="P108" s="327"/>
      <c r="Q108" s="327"/>
      <c r="R108" s="327"/>
      <c r="S108" s="327"/>
      <c r="T108" s="329">
        <f>SUM(S109:S111)</f>
        <v>6744966.8311920445</v>
      </c>
      <c r="U108" s="465"/>
      <c r="V108" s="465"/>
      <c r="W108" s="608">
        <f>SUM(V109:V111)</f>
        <v>8990052</v>
      </c>
      <c r="X108" s="1295">
        <f>+W108/$W$232</f>
        <v>6.6803137082139434E-3</v>
      </c>
    </row>
    <row r="109" spans="1:24" ht="13" outlineLevel="1" x14ac:dyDescent="0.3">
      <c r="A109" s="331">
        <f>+A108+0.01</f>
        <v>12.01</v>
      </c>
      <c r="B109" s="380" t="s">
        <v>205</v>
      </c>
      <c r="C109" s="333" t="s">
        <v>327</v>
      </c>
      <c r="D109" s="412" t="s">
        <v>211</v>
      </c>
      <c r="E109" s="381">
        <f>+[2]Zocalos!J43</f>
        <v>19</v>
      </c>
      <c r="F109" s="407"/>
      <c r="G109" s="382">
        <f>+'[2]APU 12.24'!E21</f>
        <v>809.61503400000015</v>
      </c>
      <c r="H109" s="334">
        <f>F109+G109</f>
        <v>809.61503400000015</v>
      </c>
      <c r="I109" s="407"/>
      <c r="J109" s="382">
        <f>+'[2]APU 12.24'!H21</f>
        <v>3938.2617666857413</v>
      </c>
      <c r="K109" s="334">
        <f>I109+J109</f>
        <v>3938.2617666857413</v>
      </c>
      <c r="L109" s="382">
        <f>+'[2]APU 12.24'!K21</f>
        <v>126.07066738346904</v>
      </c>
      <c r="M109" s="334">
        <f>H109+K109+L109</f>
        <v>4873.947468069211</v>
      </c>
      <c r="N109" s="335">
        <f>F109*E109</f>
        <v>0</v>
      </c>
      <c r="O109" s="335">
        <f>G109*E109</f>
        <v>15382.685646000004</v>
      </c>
      <c r="P109" s="335">
        <f>I109*E109</f>
        <v>0</v>
      </c>
      <c r="Q109" s="335">
        <f>J109*E109</f>
        <v>74826.973567029083</v>
      </c>
      <c r="R109" s="335">
        <f>+L109*E109</f>
        <v>2395.3426802859117</v>
      </c>
      <c r="S109" s="336">
        <f>SUM(N109:R109)</f>
        <v>92605.001893314999</v>
      </c>
      <c r="T109" s="347"/>
      <c r="U109" s="613">
        <f>+ROUNDUP(M109*$T$5,0)</f>
        <v>6496</v>
      </c>
      <c r="V109" s="613">
        <f>+U109*E109</f>
        <v>123424</v>
      </c>
      <c r="X109" s="127"/>
    </row>
    <row r="110" spans="1:24" ht="13" outlineLevel="1" x14ac:dyDescent="0.3">
      <c r="A110" s="413">
        <v>12.02</v>
      </c>
      <c r="B110" s="414" t="s">
        <v>205</v>
      </c>
      <c r="C110" s="341" t="s">
        <v>328</v>
      </c>
      <c r="D110" s="416" t="s">
        <v>211</v>
      </c>
      <c r="E110" s="363">
        <f>+[2]Zocalos!L43</f>
        <v>626</v>
      </c>
      <c r="F110" s="343">
        <f>+[2]Tareas!H251</f>
        <v>3500</v>
      </c>
      <c r="G110" s="343">
        <f>+[2]Tareas!I251</f>
        <v>0</v>
      </c>
      <c r="H110" s="344">
        <f>F110+G110</f>
        <v>3500</v>
      </c>
      <c r="I110" s="343">
        <f>+[2]Tareas!Q251</f>
        <v>0</v>
      </c>
      <c r="J110" s="343">
        <f>+[2]Tareas!R251</f>
        <v>3196.2173680045858</v>
      </c>
      <c r="K110" s="344">
        <f>I110+J110</f>
        <v>3196.2173680045858</v>
      </c>
      <c r="L110" s="343">
        <f>(H110+K110)*0.015</f>
        <v>100.44326052006878</v>
      </c>
      <c r="M110" s="344">
        <f>H110+K110+L110</f>
        <v>6796.6606285246544</v>
      </c>
      <c r="N110" s="345">
        <f>F110*E110</f>
        <v>2191000</v>
      </c>
      <c r="O110" s="345">
        <f>G110*E110</f>
        <v>0</v>
      </c>
      <c r="P110" s="345">
        <f>I110*E110</f>
        <v>0</v>
      </c>
      <c r="Q110" s="345">
        <f>J110*E110</f>
        <v>2000832.0723708707</v>
      </c>
      <c r="R110" s="345">
        <f>+L110*E110</f>
        <v>62877.481085563057</v>
      </c>
      <c r="S110" s="346">
        <f>SUM(N110:R110)</f>
        <v>4254709.553456434</v>
      </c>
      <c r="T110" s="347"/>
      <c r="U110" s="613">
        <f>+ROUNDUP(M110*$T$5,0)</f>
        <v>9059</v>
      </c>
      <c r="V110" s="613">
        <f>+U110*E110</f>
        <v>5670934</v>
      </c>
      <c r="X110" s="127"/>
    </row>
    <row r="111" spans="1:24" ht="13" outlineLevel="1" x14ac:dyDescent="0.3">
      <c r="A111" s="413">
        <v>12.03</v>
      </c>
      <c r="B111" s="414" t="s">
        <v>205</v>
      </c>
      <c r="C111" s="415" t="s">
        <v>329</v>
      </c>
      <c r="D111" s="416" t="s">
        <v>211</v>
      </c>
      <c r="E111" s="379">
        <f>+[2]Zocalos!M43</f>
        <v>386</v>
      </c>
      <c r="F111" s="358"/>
      <c r="G111" s="399">
        <f>+'[2]APU 12.24'!E38</f>
        <v>1066.3432439999999</v>
      </c>
      <c r="H111" s="356">
        <f>F111+G111</f>
        <v>1066.3432439999999</v>
      </c>
      <c r="I111" s="358"/>
      <c r="J111" s="399">
        <f>+'[2]APU 12.24'!H38</f>
        <v>5047.3389597714659</v>
      </c>
      <c r="K111" s="356">
        <f>I111+J111</f>
        <v>5047.3389597714659</v>
      </c>
      <c r="L111" s="399">
        <f>+'[2]APU 12.24'!K38</f>
        <v>97.852189602358123</v>
      </c>
      <c r="M111" s="356">
        <f>H111+K111+L111</f>
        <v>6211.5343933738241</v>
      </c>
      <c r="N111" s="359">
        <f>F111*E111</f>
        <v>0</v>
      </c>
      <c r="O111" s="359">
        <f>G111*E111</f>
        <v>411608.49218399997</v>
      </c>
      <c r="P111" s="359">
        <f>I111*E111</f>
        <v>0</v>
      </c>
      <c r="Q111" s="359">
        <f>J111*E111</f>
        <v>1948272.8384717859</v>
      </c>
      <c r="R111" s="359">
        <f>+L111*E111</f>
        <v>37770.945186510238</v>
      </c>
      <c r="S111" s="360">
        <f>SUM(N111:R111)</f>
        <v>2397652.275842296</v>
      </c>
      <c r="T111" s="347"/>
      <c r="U111" s="613">
        <f>+ROUNDUP(M111*$T$5,0)</f>
        <v>8279</v>
      </c>
      <c r="V111" s="613">
        <f>+U111*E111</f>
        <v>3195694</v>
      </c>
      <c r="X111" s="127"/>
    </row>
    <row r="112" spans="1:24" s="185" customFormat="1" ht="13" x14ac:dyDescent="0.3">
      <c r="A112" s="325">
        <v>13</v>
      </c>
      <c r="B112" s="326"/>
      <c r="C112" s="607" t="s">
        <v>330</v>
      </c>
      <c r="D112" s="177"/>
      <c r="E112" s="327"/>
      <c r="F112" s="327"/>
      <c r="G112" s="327"/>
      <c r="H112" s="327"/>
      <c r="I112" s="327"/>
      <c r="J112" s="327"/>
      <c r="K112" s="327"/>
      <c r="L112" s="327"/>
      <c r="M112" s="328"/>
      <c r="N112" s="327"/>
      <c r="O112" s="327"/>
      <c r="P112" s="327"/>
      <c r="Q112" s="327"/>
      <c r="R112" s="327"/>
      <c r="S112" s="327"/>
      <c r="T112" s="329">
        <f>SUM(S113:S116)</f>
        <v>11132192.165624633</v>
      </c>
      <c r="U112" s="465"/>
      <c r="V112" s="465"/>
      <c r="W112" s="608">
        <f>SUM(V113:V116)</f>
        <v>14836279</v>
      </c>
      <c r="X112" s="1295">
        <f>+W112/$W$232</f>
        <v>1.1024518877375421E-2</v>
      </c>
    </row>
    <row r="113" spans="1:24" ht="13" outlineLevel="1" x14ac:dyDescent="0.3">
      <c r="A113" s="380">
        <v>13.01</v>
      </c>
      <c r="B113" s="380" t="s">
        <v>205</v>
      </c>
      <c r="C113" s="646" t="s">
        <v>331</v>
      </c>
      <c r="D113" s="423" t="s">
        <v>238</v>
      </c>
      <c r="E113" s="332">
        <f>+[2]Locales!CG121</f>
        <v>413</v>
      </c>
      <c r="F113" s="382"/>
      <c r="G113" s="382">
        <f>+'[2]APU 12.24'!E37</f>
        <v>7156.2986004793383</v>
      </c>
      <c r="H113" s="334">
        <f t="shared" ref="H113:H116" si="120">F113+G113</f>
        <v>7156.2986004793383</v>
      </c>
      <c r="I113" s="382"/>
      <c r="J113" s="382">
        <f>+'[2]APU 12.24'!H37</f>
        <v>15142.016879314397</v>
      </c>
      <c r="K113" s="334">
        <f>I113+J113</f>
        <v>15142.016879314397</v>
      </c>
      <c r="L113" s="382">
        <f>+'[2]APU 12.24'!K37</f>
        <v>293.55656880707437</v>
      </c>
      <c r="M113" s="334">
        <f t="shared" ref="M113:M114" si="121">H113+K113+L113</f>
        <v>22591.87204860081</v>
      </c>
      <c r="N113" s="335">
        <f t="shared" ref="N113:N114" si="122">F113*E113</f>
        <v>0</v>
      </c>
      <c r="O113" s="335">
        <f t="shared" ref="O113:O114" si="123">G113*E113</f>
        <v>2955551.3219979666</v>
      </c>
      <c r="P113" s="335">
        <f t="shared" ref="P113:P114" si="124">I113*E113</f>
        <v>0</v>
      </c>
      <c r="Q113" s="335">
        <f t="shared" ref="Q113:Q114" si="125">J113*E113</f>
        <v>6253652.9711568458</v>
      </c>
      <c r="R113" s="335">
        <f t="shared" ref="R113:R114" si="126">+L113*E113</f>
        <v>121238.86291732172</v>
      </c>
      <c r="S113" s="336">
        <f t="shared" ref="S113:S114" si="127">SUM(N113:R113)</f>
        <v>9330443.1560721342</v>
      </c>
      <c r="T113" s="287"/>
      <c r="U113" s="613">
        <f>+ROUNDUP(M113*$T$5,0)</f>
        <v>30109</v>
      </c>
      <c r="V113" s="613">
        <f>+U113*E113</f>
        <v>12435017</v>
      </c>
      <c r="X113" s="127"/>
    </row>
    <row r="114" spans="1:24" ht="13" outlineLevel="1" x14ac:dyDescent="0.3">
      <c r="A114" s="414">
        <v>13.02</v>
      </c>
      <c r="B114" s="414" t="s">
        <v>205</v>
      </c>
      <c r="C114" s="430" t="s">
        <v>332</v>
      </c>
      <c r="D114" s="483" t="s">
        <v>238</v>
      </c>
      <c r="E114" s="484">
        <f>+[2]Locales!CH121</f>
        <v>18</v>
      </c>
      <c r="F114" s="387"/>
      <c r="G114" s="387">
        <f>+'[2]APU 12.24'!E37</f>
        <v>7156.2986004793383</v>
      </c>
      <c r="H114" s="344">
        <f t="shared" si="120"/>
        <v>7156.2986004793383</v>
      </c>
      <c r="I114" s="387"/>
      <c r="J114" s="387">
        <f>+'[2]APU 12.24'!H37</f>
        <v>15142.016879314397</v>
      </c>
      <c r="K114" s="344">
        <f t="shared" ref="K114:K116" si="128">I114+J114</f>
        <v>15142.016879314397</v>
      </c>
      <c r="L114" s="387">
        <f>+'[2]APU 12.24'!K37</f>
        <v>293.55656880707437</v>
      </c>
      <c r="M114" s="344">
        <f t="shared" si="121"/>
        <v>22591.87204860081</v>
      </c>
      <c r="N114" s="345">
        <f t="shared" si="122"/>
        <v>0</v>
      </c>
      <c r="O114" s="345">
        <f t="shared" si="123"/>
        <v>128813.37480862808</v>
      </c>
      <c r="P114" s="345">
        <f t="shared" si="124"/>
        <v>0</v>
      </c>
      <c r="Q114" s="345">
        <f t="shared" si="125"/>
        <v>272556.30382765911</v>
      </c>
      <c r="R114" s="345">
        <f t="shared" si="126"/>
        <v>5284.0182385273383</v>
      </c>
      <c r="S114" s="346">
        <f t="shared" si="127"/>
        <v>406653.69687481457</v>
      </c>
      <c r="T114" s="287"/>
      <c r="U114" s="613">
        <f t="shared" ref="U114:U116" si="129">+ROUNDUP(M114*$T$5,0)</f>
        <v>30109</v>
      </c>
      <c r="V114" s="613">
        <f t="shared" ref="V114:V116" si="130">+U114*E114</f>
        <v>541962</v>
      </c>
      <c r="X114" s="127"/>
    </row>
    <row r="115" spans="1:24" ht="13" outlineLevel="1" x14ac:dyDescent="0.3">
      <c r="A115" s="350">
        <v>13.03</v>
      </c>
      <c r="B115" s="350" t="s">
        <v>205</v>
      </c>
      <c r="C115" s="430" t="s">
        <v>333</v>
      </c>
      <c r="D115" s="418" t="s">
        <v>238</v>
      </c>
      <c r="E115" s="363">
        <f>+[2]Computo!G362</f>
        <v>20</v>
      </c>
      <c r="F115" s="343">
        <f>+[2]Tareas!H256</f>
        <v>3318.9360000000001</v>
      </c>
      <c r="G115" s="343">
        <f>+[2]Tareas!I256</f>
        <v>33189.360000000001</v>
      </c>
      <c r="H115" s="344">
        <f t="shared" si="120"/>
        <v>36508.296000000002</v>
      </c>
      <c r="I115" s="343">
        <f>+[2]Tareas!Q256</f>
        <v>0</v>
      </c>
      <c r="J115" s="343">
        <f>+[2]Tareas!R256</f>
        <v>32215.611028457381</v>
      </c>
      <c r="K115" s="344">
        <f t="shared" si="128"/>
        <v>32215.611028457381</v>
      </c>
      <c r="L115" s="343">
        <f>(H115+K115)*0.015</f>
        <v>1030.8586054268608</v>
      </c>
      <c r="M115" s="344">
        <f>H115+K115+L115</f>
        <v>69754.76563388425</v>
      </c>
      <c r="N115" s="345">
        <f>F115*E115</f>
        <v>66378.720000000001</v>
      </c>
      <c r="O115" s="345">
        <f>G115*E115</f>
        <v>663787.19999999995</v>
      </c>
      <c r="P115" s="345">
        <f>I115*E115</f>
        <v>0</v>
      </c>
      <c r="Q115" s="345">
        <f>J115*E115</f>
        <v>644312.22056914761</v>
      </c>
      <c r="R115" s="345">
        <f>+L115*E115</f>
        <v>20617.172108537216</v>
      </c>
      <c r="S115" s="346">
        <f>SUM(N115:R115)</f>
        <v>1395095.3126776849</v>
      </c>
      <c r="T115" s="287"/>
      <c r="U115" s="613">
        <f t="shared" si="129"/>
        <v>92965</v>
      </c>
      <c r="V115" s="613">
        <f t="shared" si="130"/>
        <v>1859300</v>
      </c>
      <c r="W115" s="568"/>
      <c r="X115" s="186"/>
    </row>
    <row r="116" spans="1:24" ht="13" outlineLevel="1" x14ac:dyDescent="0.3">
      <c r="A116" s="350">
        <v>13.04</v>
      </c>
      <c r="B116" s="350" t="s">
        <v>205</v>
      </c>
      <c r="C116" s="341" t="s">
        <v>334</v>
      </c>
      <c r="D116" s="418" t="s">
        <v>238</v>
      </c>
      <c r="E116" s="363">
        <v>0</v>
      </c>
      <c r="F116" s="343"/>
      <c r="G116" s="387"/>
      <c r="H116" s="344">
        <f t="shared" si="120"/>
        <v>0</v>
      </c>
      <c r="I116" s="343"/>
      <c r="J116" s="387"/>
      <c r="K116" s="344">
        <f t="shared" si="128"/>
        <v>0</v>
      </c>
      <c r="L116" s="387"/>
      <c r="M116" s="344">
        <f t="shared" ref="M116" si="131">H116+K116+L116</f>
        <v>0</v>
      </c>
      <c r="N116" s="345">
        <f t="shared" ref="N116" si="132">F116*E116</f>
        <v>0</v>
      </c>
      <c r="O116" s="345">
        <f t="shared" ref="O116" si="133">G116*E116</f>
        <v>0</v>
      </c>
      <c r="P116" s="345">
        <f t="shared" ref="P116" si="134">I116*E116</f>
        <v>0</v>
      </c>
      <c r="Q116" s="345">
        <f t="shared" ref="Q116" si="135">J116*E116</f>
        <v>0</v>
      </c>
      <c r="R116" s="345">
        <f t="shared" ref="R116" si="136">+L116*E116</f>
        <v>0</v>
      </c>
      <c r="S116" s="346">
        <f t="shared" ref="S116" si="137">SUM(N116:R116)</f>
        <v>0</v>
      </c>
      <c r="T116" s="287"/>
      <c r="U116" s="613">
        <f t="shared" si="129"/>
        <v>0</v>
      </c>
      <c r="V116" s="613">
        <f t="shared" si="130"/>
        <v>0</v>
      </c>
      <c r="W116" s="568"/>
      <c r="X116" s="186"/>
    </row>
    <row r="117" spans="1:24" s="185" customFormat="1" ht="13" x14ac:dyDescent="0.3">
      <c r="A117" s="325">
        <v>14</v>
      </c>
      <c r="B117" s="326"/>
      <c r="C117" s="607" t="s">
        <v>335</v>
      </c>
      <c r="D117" s="177"/>
      <c r="E117" s="327"/>
      <c r="F117" s="327"/>
      <c r="G117" s="327"/>
      <c r="H117" s="327"/>
      <c r="I117" s="327"/>
      <c r="J117" s="327"/>
      <c r="K117" s="327"/>
      <c r="L117" s="327"/>
      <c r="M117" s="328"/>
      <c r="N117" s="327"/>
      <c r="O117" s="327"/>
      <c r="P117" s="327"/>
      <c r="Q117" s="327"/>
      <c r="R117" s="327"/>
      <c r="S117" s="327"/>
      <c r="T117" s="329">
        <f>SUM(S118:S124)</f>
        <v>25370890.720440209</v>
      </c>
      <c r="U117" s="465"/>
      <c r="V117" s="465"/>
      <c r="W117" s="608">
        <f>SUM(V118:V124)</f>
        <v>33813897</v>
      </c>
      <c r="X117" s="1295">
        <f>+W117/$W$232</f>
        <v>2.5126377428877422E-2</v>
      </c>
    </row>
    <row r="118" spans="1:24" ht="13" outlineLevel="1" x14ac:dyDescent="0.3">
      <c r="A118" s="331">
        <f>+A117+0.01</f>
        <v>14.01</v>
      </c>
      <c r="B118" s="380" t="s">
        <v>205</v>
      </c>
      <c r="C118" s="333" t="s">
        <v>336</v>
      </c>
      <c r="D118" s="423" t="s">
        <v>238</v>
      </c>
      <c r="E118" s="332">
        <f>+[2]Cielorraso!M75</f>
        <v>460</v>
      </c>
      <c r="F118" s="407">
        <f>+[2]Tareas!H261</f>
        <v>0</v>
      </c>
      <c r="G118" s="407">
        <f>+[2]Tareas!I261</f>
        <v>5812.2328695652177</v>
      </c>
      <c r="H118" s="334">
        <f t="shared" ref="H118:H124" si="138">F118+G118</f>
        <v>5812.2328695652177</v>
      </c>
      <c r="I118" s="407">
        <f>+[2]Tareas!Q261</f>
        <v>11651.218312085946</v>
      </c>
      <c r="J118" s="407">
        <f>+[2]Tareas!R261</f>
        <v>0</v>
      </c>
      <c r="K118" s="334">
        <f t="shared" ref="K118:K124" si="139">I118+J118</f>
        <v>11651.218312085946</v>
      </c>
      <c r="L118" s="407">
        <f>(H118+K118)*0.015</f>
        <v>261.95176772476748</v>
      </c>
      <c r="M118" s="334">
        <f t="shared" ref="M118:M124" si="140">H118+K118+L118</f>
        <v>17725.402949375934</v>
      </c>
      <c r="N118" s="335">
        <f t="shared" ref="N118:N119" si="141">F118*E118</f>
        <v>0</v>
      </c>
      <c r="O118" s="335">
        <f t="shared" ref="O118:O119" si="142">G118*E118</f>
        <v>2673627.12</v>
      </c>
      <c r="P118" s="335">
        <f t="shared" ref="P118:P119" si="143">I118*E118</f>
        <v>5359560.4235595353</v>
      </c>
      <c r="Q118" s="335">
        <f t="shared" ref="Q118:Q119" si="144">J118*E118</f>
        <v>0</v>
      </c>
      <c r="R118" s="335">
        <f t="shared" ref="R118:R119" si="145">+L118*E118</f>
        <v>120497.81315339304</v>
      </c>
      <c r="S118" s="336">
        <f t="shared" ref="S118:S124" si="146">SUM(N118:R118)</f>
        <v>8153685.356712928</v>
      </c>
      <c r="T118" s="347"/>
      <c r="U118" s="613">
        <f t="shared" ref="U118:U124" si="147">+ROUNDUP(M118*$T$5,0)</f>
        <v>23624</v>
      </c>
      <c r="V118" s="613">
        <f t="shared" ref="V118:V124" si="148">+U118*E118</f>
        <v>10867040</v>
      </c>
      <c r="X118" s="127"/>
    </row>
    <row r="119" spans="1:24" ht="13" outlineLevel="1" x14ac:dyDescent="0.3">
      <c r="A119" s="413">
        <v>14.02</v>
      </c>
      <c r="B119" s="414" t="s">
        <v>205</v>
      </c>
      <c r="C119" s="415" t="s">
        <v>337</v>
      </c>
      <c r="D119" s="483" t="s">
        <v>211</v>
      </c>
      <c r="E119" s="484">
        <f>+[2]Cielorraso!N75</f>
        <v>434</v>
      </c>
      <c r="F119" s="387"/>
      <c r="G119" s="387"/>
      <c r="H119" s="344">
        <f t="shared" si="138"/>
        <v>0</v>
      </c>
      <c r="I119" s="349">
        <f>+[2]SUBCONTRATOS!D30</f>
        <v>12499.473157106691</v>
      </c>
      <c r="J119" s="387"/>
      <c r="K119" s="344">
        <f t="shared" si="139"/>
        <v>12499.473157106691</v>
      </c>
      <c r="L119" s="387"/>
      <c r="M119" s="344">
        <f t="shared" si="140"/>
        <v>12499.473157106691</v>
      </c>
      <c r="N119" s="345">
        <f t="shared" si="141"/>
        <v>0</v>
      </c>
      <c r="O119" s="345">
        <f t="shared" si="142"/>
        <v>0</v>
      </c>
      <c r="P119" s="345">
        <f t="shared" si="143"/>
        <v>5424771.3501843037</v>
      </c>
      <c r="Q119" s="345">
        <f t="shared" si="144"/>
        <v>0</v>
      </c>
      <c r="R119" s="345">
        <f t="shared" si="145"/>
        <v>0</v>
      </c>
      <c r="S119" s="346">
        <f t="shared" si="146"/>
        <v>5424771.3501843037</v>
      </c>
      <c r="T119" s="347"/>
      <c r="U119" s="613">
        <f t="shared" si="147"/>
        <v>16659</v>
      </c>
      <c r="V119" s="613">
        <f t="shared" si="148"/>
        <v>7230006</v>
      </c>
      <c r="X119" s="127"/>
    </row>
    <row r="120" spans="1:24" ht="13" outlineLevel="1" x14ac:dyDescent="0.3">
      <c r="A120" s="339">
        <v>14.03</v>
      </c>
      <c r="B120" s="350" t="s">
        <v>205</v>
      </c>
      <c r="C120" s="341" t="s">
        <v>338</v>
      </c>
      <c r="D120" s="191" t="s">
        <v>238</v>
      </c>
      <c r="E120" s="342">
        <f>+[2]Cielorraso!O75</f>
        <v>115</v>
      </c>
      <c r="F120" s="387">
        <f>+'[2]APU 12.24'!E40</f>
        <v>10671.936802390735</v>
      </c>
      <c r="G120" s="387"/>
      <c r="H120" s="344">
        <f t="shared" si="138"/>
        <v>10671.936802390735</v>
      </c>
      <c r="I120" s="387">
        <f>+'[2]APU 12.24'!H40</f>
        <v>15938.965136120418</v>
      </c>
      <c r="J120" s="387"/>
      <c r="K120" s="344">
        <f t="shared" si="139"/>
        <v>15938.965136120418</v>
      </c>
      <c r="L120" s="387">
        <f>+'[2]APU 12.24'!K40</f>
        <v>263.73013064992216</v>
      </c>
      <c r="M120" s="344">
        <f t="shared" si="140"/>
        <v>26874.632069161074</v>
      </c>
      <c r="N120" s="345">
        <f>F120*E120</f>
        <v>1227272.7322749346</v>
      </c>
      <c r="O120" s="345">
        <f>G120*E120</f>
        <v>0</v>
      </c>
      <c r="P120" s="345">
        <f>I120*E120</f>
        <v>1832980.990653848</v>
      </c>
      <c r="Q120" s="345">
        <f>J120*E120</f>
        <v>0</v>
      </c>
      <c r="R120" s="345">
        <f>+L120*E120</f>
        <v>30328.96502474105</v>
      </c>
      <c r="S120" s="346">
        <f t="shared" si="146"/>
        <v>3090582.6879535238</v>
      </c>
      <c r="T120" s="347"/>
      <c r="U120" s="613">
        <f t="shared" si="147"/>
        <v>35817</v>
      </c>
      <c r="V120" s="613">
        <f t="shared" si="148"/>
        <v>4118955</v>
      </c>
      <c r="X120" s="127"/>
    </row>
    <row r="121" spans="1:24" ht="13" outlineLevel="1" x14ac:dyDescent="0.3">
      <c r="A121" s="413">
        <v>14.04</v>
      </c>
      <c r="B121" s="350" t="s">
        <v>205</v>
      </c>
      <c r="C121" s="341" t="s">
        <v>339</v>
      </c>
      <c r="D121" s="191" t="s">
        <v>238</v>
      </c>
      <c r="E121" s="342">
        <f>+[2]Cielorraso!P75</f>
        <v>89</v>
      </c>
      <c r="F121" s="387">
        <f>+'[2]APU 12.24'!E41</f>
        <v>14660.054765467659</v>
      </c>
      <c r="G121" s="387"/>
      <c r="H121" s="344">
        <f t="shared" si="138"/>
        <v>14660.054765467659</v>
      </c>
      <c r="I121" s="387">
        <f>+'[2]APU 12.24'!H41</f>
        <v>15938.965136120418</v>
      </c>
      <c r="J121" s="387"/>
      <c r="K121" s="344">
        <f t="shared" si="139"/>
        <v>15938.965136120418</v>
      </c>
      <c r="L121" s="387">
        <f>+'[2]APU 12.24'!K41</f>
        <v>263.73013064992216</v>
      </c>
      <c r="M121" s="344">
        <f t="shared" si="140"/>
        <v>30862.750032238</v>
      </c>
      <c r="N121" s="345">
        <f t="shared" ref="N121:N124" si="149">F121*E121</f>
        <v>1304744.8741266218</v>
      </c>
      <c r="O121" s="345">
        <f t="shared" ref="O121:O124" si="150">G121*E121</f>
        <v>0</v>
      </c>
      <c r="P121" s="345">
        <f t="shared" ref="P121:P124" si="151">I121*E121</f>
        <v>1418567.8971147172</v>
      </c>
      <c r="Q121" s="345">
        <f t="shared" ref="Q121:Q124" si="152">J121*E121</f>
        <v>0</v>
      </c>
      <c r="R121" s="345">
        <f t="shared" ref="R121:R124" si="153">+L121*E121</f>
        <v>23471.981627843074</v>
      </c>
      <c r="S121" s="346">
        <f t="shared" si="146"/>
        <v>2746784.7528691818</v>
      </c>
      <c r="T121" s="347"/>
      <c r="U121" s="613">
        <f t="shared" si="147"/>
        <v>41132</v>
      </c>
      <c r="V121" s="613">
        <f t="shared" si="148"/>
        <v>3660748</v>
      </c>
      <c r="X121" s="127"/>
    </row>
    <row r="122" spans="1:24" ht="13" outlineLevel="1" x14ac:dyDescent="0.3">
      <c r="A122" s="339">
        <v>14.05</v>
      </c>
      <c r="B122" s="350" t="s">
        <v>205</v>
      </c>
      <c r="C122" s="341" t="s">
        <v>340</v>
      </c>
      <c r="D122" s="191" t="s">
        <v>211</v>
      </c>
      <c r="E122" s="342">
        <f>+[2]Cielorraso!Q75</f>
        <v>530</v>
      </c>
      <c r="F122" s="387">
        <f>+'[2]APU 12.24'!E60</f>
        <v>1062.8718108264463</v>
      </c>
      <c r="G122" s="387"/>
      <c r="H122" s="344">
        <f t="shared" si="138"/>
        <v>1062.8718108264463</v>
      </c>
      <c r="I122" s="387">
        <f>+'[2]APU 12.24'!H60</f>
        <v>5728.4731437714654</v>
      </c>
      <c r="J122" s="387"/>
      <c r="K122" s="344">
        <f t="shared" si="139"/>
        <v>5728.4731437714654</v>
      </c>
      <c r="L122" s="387">
        <f>+'[2]APU 12.24'!K60</f>
        <v>167.0290827449507</v>
      </c>
      <c r="M122" s="344">
        <f t="shared" si="140"/>
        <v>6958.3740373428627</v>
      </c>
      <c r="N122" s="345">
        <f t="shared" si="149"/>
        <v>563322.05973801657</v>
      </c>
      <c r="O122" s="345">
        <f t="shared" si="150"/>
        <v>0</v>
      </c>
      <c r="P122" s="345">
        <f t="shared" si="151"/>
        <v>3036090.7661988768</v>
      </c>
      <c r="Q122" s="345">
        <f t="shared" si="152"/>
        <v>0</v>
      </c>
      <c r="R122" s="345">
        <f t="shared" si="153"/>
        <v>88525.41385482387</v>
      </c>
      <c r="S122" s="346">
        <f t="shared" si="146"/>
        <v>3687938.2397917174</v>
      </c>
      <c r="T122" s="347"/>
      <c r="U122" s="613">
        <f t="shared" si="147"/>
        <v>9274</v>
      </c>
      <c r="V122" s="613">
        <f t="shared" si="148"/>
        <v>4915220</v>
      </c>
      <c r="X122" s="127"/>
    </row>
    <row r="123" spans="1:24" ht="13" outlineLevel="1" x14ac:dyDescent="0.3">
      <c r="A123" s="413">
        <v>14.06</v>
      </c>
      <c r="B123" s="350" t="s">
        <v>205</v>
      </c>
      <c r="C123" s="341" t="s">
        <v>341</v>
      </c>
      <c r="D123" s="191" t="s">
        <v>211</v>
      </c>
      <c r="E123" s="342">
        <f>+[2]Cielorraso!R75</f>
        <v>56</v>
      </c>
      <c r="F123" s="387">
        <f>+'[2]APU 12.24'!E60</f>
        <v>1062.8718108264463</v>
      </c>
      <c r="G123" s="387"/>
      <c r="H123" s="344">
        <f t="shared" si="138"/>
        <v>1062.8718108264463</v>
      </c>
      <c r="I123" s="387">
        <f>+'[2]APU 12.24'!H60</f>
        <v>5728.4731437714654</v>
      </c>
      <c r="J123" s="387"/>
      <c r="K123" s="344">
        <f t="shared" si="139"/>
        <v>5728.4731437714654</v>
      </c>
      <c r="L123" s="387">
        <f>+'[2]APU 12.24'!K60</f>
        <v>167.0290827449507</v>
      </c>
      <c r="M123" s="344">
        <f t="shared" si="140"/>
        <v>6958.3740373428627</v>
      </c>
      <c r="N123" s="345">
        <f t="shared" si="149"/>
        <v>59520.821406280993</v>
      </c>
      <c r="O123" s="345">
        <f t="shared" si="150"/>
        <v>0</v>
      </c>
      <c r="P123" s="345">
        <f t="shared" si="151"/>
        <v>320794.49605120206</v>
      </c>
      <c r="Q123" s="345">
        <f t="shared" si="152"/>
        <v>0</v>
      </c>
      <c r="R123" s="345">
        <f t="shared" si="153"/>
        <v>9353.6286337172387</v>
      </c>
      <c r="S123" s="346">
        <f t="shared" si="146"/>
        <v>389668.94609120028</v>
      </c>
      <c r="T123" s="347"/>
      <c r="U123" s="613">
        <f t="shared" si="147"/>
        <v>9274</v>
      </c>
      <c r="V123" s="613">
        <f t="shared" si="148"/>
        <v>519344</v>
      </c>
      <c r="X123" s="127"/>
    </row>
    <row r="124" spans="1:24" ht="13" outlineLevel="1" x14ac:dyDescent="0.3">
      <c r="A124" s="339">
        <v>14.07</v>
      </c>
      <c r="B124" s="350" t="s">
        <v>205</v>
      </c>
      <c r="C124" s="341" t="s">
        <v>342</v>
      </c>
      <c r="D124" s="191" t="s">
        <v>238</v>
      </c>
      <c r="E124" s="342">
        <f>+[2]Cielorraso!S75</f>
        <v>469</v>
      </c>
      <c r="F124" s="358">
        <f>+[2]Tareas!H265</f>
        <v>533.04904051172707</v>
      </c>
      <c r="G124" s="358">
        <f>+[2]Tareas!I265</f>
        <v>533.04904051172707</v>
      </c>
      <c r="H124" s="356">
        <f t="shared" si="138"/>
        <v>1066.0980810234541</v>
      </c>
      <c r="I124" s="358">
        <f>+[2]Tareas!Q265</f>
        <v>0</v>
      </c>
      <c r="J124" s="358">
        <f>+[2]Tareas!R265</f>
        <v>2877.8543317977683</v>
      </c>
      <c r="K124" s="356">
        <f t="shared" si="139"/>
        <v>2877.8543317977683</v>
      </c>
      <c r="L124" s="358">
        <f>(H124+K124)*0.015</f>
        <v>59.159286192318334</v>
      </c>
      <c r="M124" s="356">
        <f t="shared" si="140"/>
        <v>4003.1116990135406</v>
      </c>
      <c r="N124" s="359">
        <f t="shared" si="149"/>
        <v>250000</v>
      </c>
      <c r="O124" s="359">
        <f t="shared" si="150"/>
        <v>250000</v>
      </c>
      <c r="P124" s="359">
        <f t="shared" si="151"/>
        <v>0</v>
      </c>
      <c r="Q124" s="359">
        <f t="shared" si="152"/>
        <v>1349713.6816131533</v>
      </c>
      <c r="R124" s="359">
        <f t="shared" si="153"/>
        <v>27745.7052241973</v>
      </c>
      <c r="S124" s="360">
        <f t="shared" si="146"/>
        <v>1877459.3868373507</v>
      </c>
      <c r="T124" s="347"/>
      <c r="U124" s="613">
        <f t="shared" si="147"/>
        <v>5336</v>
      </c>
      <c r="V124" s="613">
        <f t="shared" si="148"/>
        <v>2502584</v>
      </c>
      <c r="X124" s="127"/>
    </row>
    <row r="125" spans="1:24" s="185" customFormat="1" ht="13" x14ac:dyDescent="0.3">
      <c r="A125" s="325">
        <v>15</v>
      </c>
      <c r="B125" s="326"/>
      <c r="C125" s="607" t="s">
        <v>343</v>
      </c>
      <c r="D125" s="177"/>
      <c r="E125" s="327"/>
      <c r="F125" s="327"/>
      <c r="G125" s="327"/>
      <c r="H125" s="327"/>
      <c r="I125" s="327"/>
      <c r="J125" s="327"/>
      <c r="K125" s="327"/>
      <c r="L125" s="327"/>
      <c r="M125" s="328"/>
      <c r="N125" s="327"/>
      <c r="O125" s="327"/>
      <c r="P125" s="327"/>
      <c r="Q125" s="327"/>
      <c r="R125" s="327"/>
      <c r="S125" s="327"/>
      <c r="T125" s="329">
        <f>SUM(S126:S137)</f>
        <v>61281924.124620147</v>
      </c>
      <c r="U125" s="465"/>
      <c r="V125" s="465"/>
      <c r="W125" s="608">
        <f>SUM(V126:V137)</f>
        <v>81675029</v>
      </c>
      <c r="X125" s="1295">
        <f>+W125/$W$232</f>
        <v>6.0690952159950948E-2</v>
      </c>
    </row>
    <row r="126" spans="1:24" s="185" customFormat="1" ht="13" outlineLevel="1" x14ac:dyDescent="0.3">
      <c r="A126" s="380">
        <v>15.01</v>
      </c>
      <c r="B126" s="380" t="s">
        <v>205</v>
      </c>
      <c r="C126" s="646" t="s">
        <v>344</v>
      </c>
      <c r="D126" s="183" t="s">
        <v>238</v>
      </c>
      <c r="E126" s="131">
        <f>+[2]Pintura!P173</f>
        <v>739</v>
      </c>
      <c r="F126" s="387">
        <f>+'[2]APU 12.24'!E33</f>
        <v>1824.9262730000003</v>
      </c>
      <c r="G126" s="131"/>
      <c r="H126" s="334">
        <f t="shared" ref="H126:H137" si="154">F126+G126</f>
        <v>1824.9262730000003</v>
      </c>
      <c r="I126" s="387">
        <f>+'[2]APU 12.24'!H33</f>
        <v>14504.129532884901</v>
      </c>
      <c r="J126" s="131"/>
      <c r="K126" s="334">
        <f t="shared" ref="K126:K137" si="155">I126+J126</f>
        <v>14504.129532884901</v>
      </c>
      <c r="L126" s="387">
        <f>+'[2]APU 12.24'!K33</f>
        <v>234.44230749381219</v>
      </c>
      <c r="M126" s="334">
        <f t="shared" ref="M126:M137" si="156">H126+K126+L126</f>
        <v>16563.498113378715</v>
      </c>
      <c r="N126" s="335">
        <f t="shared" ref="N126:N137" si="157">F126*E126</f>
        <v>1348620.5157470002</v>
      </c>
      <c r="O126" s="335">
        <f t="shared" ref="O126:O137" si="158">G126*E126</f>
        <v>0</v>
      </c>
      <c r="P126" s="335">
        <f t="shared" ref="P126:P137" si="159">I126*E126</f>
        <v>10718551.724801943</v>
      </c>
      <c r="Q126" s="335">
        <f t="shared" ref="Q126:Q137" si="160">J126*E126</f>
        <v>0</v>
      </c>
      <c r="R126" s="335">
        <f t="shared" ref="R126:R137" si="161">+L126*E126</f>
        <v>173252.86523792721</v>
      </c>
      <c r="S126" s="336">
        <f t="shared" ref="S126:S137" si="162">SUM(N126:R126)</f>
        <v>12240425.105786869</v>
      </c>
      <c r="T126" s="337"/>
      <c r="U126" s="613">
        <f t="shared" ref="U126:U137" si="163">+ROUNDUP(M126*$T$5,0)</f>
        <v>22075</v>
      </c>
      <c r="V126" s="613">
        <f t="shared" ref="V126:V137" si="164">+U126*E126</f>
        <v>16313425</v>
      </c>
      <c r="W126" s="568"/>
      <c r="X126" s="1295"/>
    </row>
    <row r="127" spans="1:24" s="185" customFormat="1" ht="13" outlineLevel="1" x14ac:dyDescent="0.3">
      <c r="A127" s="350">
        <v>15.02</v>
      </c>
      <c r="B127" s="350" t="s">
        <v>205</v>
      </c>
      <c r="C127" s="341" t="s">
        <v>345</v>
      </c>
      <c r="D127" s="418" t="s">
        <v>238</v>
      </c>
      <c r="E127" s="125">
        <f>+[2]Revoques!M244</f>
        <v>1439</v>
      </c>
      <c r="F127" s="387">
        <f>+'[2]APU 12.24'!E80</f>
        <v>2272.0787045000002</v>
      </c>
      <c r="G127" s="125"/>
      <c r="H127" s="344">
        <f t="shared" si="154"/>
        <v>2272.0787045000002</v>
      </c>
      <c r="I127" s="387">
        <f>+'[2]APU 12.24'!H80</f>
        <v>4296.3548578285991</v>
      </c>
      <c r="J127" s="125"/>
      <c r="K127" s="344">
        <f t="shared" si="155"/>
        <v>4296.3548578285991</v>
      </c>
      <c r="L127" s="387">
        <f>+'[2]APU 12.24'!K80</f>
        <v>96.19395195097286</v>
      </c>
      <c r="M127" s="344">
        <f t="shared" si="156"/>
        <v>6664.6275142795712</v>
      </c>
      <c r="N127" s="345">
        <f t="shared" si="157"/>
        <v>3269521.2557755001</v>
      </c>
      <c r="O127" s="345">
        <f t="shared" si="158"/>
        <v>0</v>
      </c>
      <c r="P127" s="345">
        <f t="shared" si="159"/>
        <v>6182454.6404153537</v>
      </c>
      <c r="Q127" s="345">
        <f t="shared" si="160"/>
        <v>0</v>
      </c>
      <c r="R127" s="345">
        <f t="shared" si="161"/>
        <v>138423.09685744994</v>
      </c>
      <c r="S127" s="346">
        <f t="shared" si="162"/>
        <v>9590398.9930483028</v>
      </c>
      <c r="T127" s="347"/>
      <c r="U127" s="613">
        <f t="shared" si="163"/>
        <v>8883</v>
      </c>
      <c r="V127" s="613">
        <f t="shared" si="164"/>
        <v>12782637</v>
      </c>
      <c r="W127" s="568"/>
      <c r="X127" s="1295"/>
    </row>
    <row r="128" spans="1:24" s="185" customFormat="1" ht="13" outlineLevel="1" x14ac:dyDescent="0.3">
      <c r="A128" s="350">
        <v>15.03</v>
      </c>
      <c r="B128" s="350" t="s">
        <v>205</v>
      </c>
      <c r="C128" s="341" t="s">
        <v>346</v>
      </c>
      <c r="D128" s="418" t="s">
        <v>238</v>
      </c>
      <c r="E128" s="125">
        <f>+[2]Mampostería!V303</f>
        <v>462</v>
      </c>
      <c r="F128" s="387">
        <f>+'[2]APU 12.24'!E30</f>
        <v>2923.7665455000006</v>
      </c>
      <c r="G128" s="125"/>
      <c r="H128" s="344">
        <f t="shared" si="154"/>
        <v>2923.7665455000006</v>
      </c>
      <c r="I128" s="387">
        <f>+'[2]APU 12.24'!H30</f>
        <v>7626.9743955584972</v>
      </c>
      <c r="J128" s="125"/>
      <c r="K128" s="344">
        <f t="shared" si="155"/>
        <v>7626.9743955584972</v>
      </c>
      <c r="L128" s="387">
        <f>+'[2]APU 12.24'!K30</f>
        <v>174.89809445631428</v>
      </c>
      <c r="M128" s="344">
        <f t="shared" si="156"/>
        <v>10725.639035514812</v>
      </c>
      <c r="N128" s="345">
        <f t="shared" si="157"/>
        <v>1350780.1440210002</v>
      </c>
      <c r="O128" s="345">
        <f t="shared" si="158"/>
        <v>0</v>
      </c>
      <c r="P128" s="345">
        <f t="shared" si="159"/>
        <v>3523662.1707480256</v>
      </c>
      <c r="Q128" s="345">
        <f t="shared" si="160"/>
        <v>0</v>
      </c>
      <c r="R128" s="345">
        <f t="shared" si="161"/>
        <v>80802.919638817199</v>
      </c>
      <c r="S128" s="346">
        <f t="shared" si="162"/>
        <v>4955245.2344078431</v>
      </c>
      <c r="T128" s="347"/>
      <c r="U128" s="613">
        <f t="shared" si="163"/>
        <v>14295</v>
      </c>
      <c r="V128" s="613">
        <f t="shared" si="164"/>
        <v>6604290</v>
      </c>
      <c r="W128" s="568"/>
      <c r="X128" s="1295"/>
    </row>
    <row r="129" spans="1:24" s="185" customFormat="1" ht="13" outlineLevel="1" x14ac:dyDescent="0.3">
      <c r="A129" s="350">
        <v>15.04</v>
      </c>
      <c r="B129" s="350" t="s">
        <v>205</v>
      </c>
      <c r="C129" s="341" t="s">
        <v>347</v>
      </c>
      <c r="D129" s="418" t="s">
        <v>238</v>
      </c>
      <c r="E129" s="125">
        <f>+[2]Cielorraso!M79</f>
        <v>144</v>
      </c>
      <c r="F129" s="387">
        <f>+'[2]APU 12.24'!E89</f>
        <v>2141.6929605000005</v>
      </c>
      <c r="G129" s="125"/>
      <c r="H129" s="344">
        <f t="shared" si="154"/>
        <v>2141.6929605000005</v>
      </c>
      <c r="I129" s="387">
        <f>+'[2]APU 12.24'!H89</f>
        <v>3437.0838862628793</v>
      </c>
      <c r="J129" s="125"/>
      <c r="K129" s="344">
        <f t="shared" si="155"/>
        <v>3437.0838862628793</v>
      </c>
      <c r="L129" s="387">
        <f>+'[2]APU 12.24'!K89</f>
        <v>76.955161560778294</v>
      </c>
      <c r="M129" s="344">
        <f t="shared" si="156"/>
        <v>5655.7320083236573</v>
      </c>
      <c r="N129" s="345">
        <f t="shared" si="157"/>
        <v>308403.78631200007</v>
      </c>
      <c r="O129" s="345">
        <f t="shared" si="158"/>
        <v>0</v>
      </c>
      <c r="P129" s="345">
        <f t="shared" si="159"/>
        <v>494940.07962185465</v>
      </c>
      <c r="Q129" s="345">
        <f t="shared" si="160"/>
        <v>0</v>
      </c>
      <c r="R129" s="345">
        <f t="shared" si="161"/>
        <v>11081.543264752074</v>
      </c>
      <c r="S129" s="346">
        <f t="shared" si="162"/>
        <v>814425.40919860674</v>
      </c>
      <c r="T129" s="347"/>
      <c r="U129" s="613">
        <f t="shared" si="163"/>
        <v>7538</v>
      </c>
      <c r="V129" s="613">
        <f t="shared" si="164"/>
        <v>1085472</v>
      </c>
      <c r="W129" s="568"/>
      <c r="X129" s="1295"/>
    </row>
    <row r="130" spans="1:24" s="185" customFormat="1" ht="13" outlineLevel="1" x14ac:dyDescent="0.3">
      <c r="A130" s="350">
        <v>15.05</v>
      </c>
      <c r="B130" s="350" t="s">
        <v>205</v>
      </c>
      <c r="C130" s="341" t="s">
        <v>348</v>
      </c>
      <c r="D130" s="418" t="s">
        <v>238</v>
      </c>
      <c r="E130" s="125">
        <f>+[2]Cielorraso!M78</f>
        <v>460</v>
      </c>
      <c r="F130" s="387">
        <f>+'[2]APU 12.24'!E80</f>
        <v>2272.0787045000002</v>
      </c>
      <c r="G130" s="125"/>
      <c r="H130" s="344">
        <f t="shared" si="154"/>
        <v>2272.0787045000002</v>
      </c>
      <c r="I130" s="387">
        <f>+'[2]APU 12.24'!H80</f>
        <v>4296.3548578285991</v>
      </c>
      <c r="J130" s="125"/>
      <c r="K130" s="344">
        <f t="shared" si="155"/>
        <v>4296.3548578285991</v>
      </c>
      <c r="L130" s="387">
        <f>+'[2]APU 12.24'!K80</f>
        <v>96.19395195097286</v>
      </c>
      <c r="M130" s="344">
        <f t="shared" si="156"/>
        <v>6664.6275142795712</v>
      </c>
      <c r="N130" s="345">
        <f t="shared" si="157"/>
        <v>1045156.2040700001</v>
      </c>
      <c r="O130" s="345">
        <f t="shared" si="158"/>
        <v>0</v>
      </c>
      <c r="P130" s="345">
        <f t="shared" si="159"/>
        <v>1976323.2346011556</v>
      </c>
      <c r="Q130" s="345">
        <f t="shared" si="160"/>
        <v>0</v>
      </c>
      <c r="R130" s="345">
        <f t="shared" si="161"/>
        <v>44249.217897447517</v>
      </c>
      <c r="S130" s="346">
        <f t="shared" si="162"/>
        <v>3065728.6565686031</v>
      </c>
      <c r="T130" s="347"/>
      <c r="U130" s="613">
        <f t="shared" si="163"/>
        <v>8883</v>
      </c>
      <c r="V130" s="613">
        <f t="shared" si="164"/>
        <v>4086180</v>
      </c>
      <c r="W130" s="568"/>
      <c r="X130" s="1295"/>
    </row>
    <row r="131" spans="1:24" s="185" customFormat="1" ht="13" outlineLevel="1" x14ac:dyDescent="0.3">
      <c r="A131" s="350">
        <v>15.06</v>
      </c>
      <c r="B131" s="350" t="s">
        <v>205</v>
      </c>
      <c r="C131" s="341" t="s">
        <v>349</v>
      </c>
      <c r="D131" s="418" t="s">
        <v>238</v>
      </c>
      <c r="E131" s="125">
        <f>+[2]Cielorraso!M77</f>
        <v>204</v>
      </c>
      <c r="F131" s="387">
        <f>+'[2]APU 12.24'!E31</f>
        <v>2923.7665455000006</v>
      </c>
      <c r="G131" s="125"/>
      <c r="H131" s="344">
        <f t="shared" si="154"/>
        <v>2923.7665455000006</v>
      </c>
      <c r="I131" s="387">
        <f>+'[2]APU 12.24'!H31</f>
        <v>8652.5810738939417</v>
      </c>
      <c r="J131" s="125"/>
      <c r="K131" s="344">
        <f t="shared" si="155"/>
        <v>8652.5810738939417</v>
      </c>
      <c r="L131" s="387">
        <f>+'[2]APU 12.24'!K31</f>
        <v>241.06768511742465</v>
      </c>
      <c r="M131" s="344">
        <f t="shared" si="156"/>
        <v>11817.415304511367</v>
      </c>
      <c r="N131" s="345">
        <f t="shared" si="157"/>
        <v>596448.37528200017</v>
      </c>
      <c r="O131" s="345">
        <f t="shared" si="158"/>
        <v>0</v>
      </c>
      <c r="P131" s="345">
        <f t="shared" si="159"/>
        <v>1765126.5390743641</v>
      </c>
      <c r="Q131" s="345">
        <f t="shared" si="160"/>
        <v>0</v>
      </c>
      <c r="R131" s="345">
        <f t="shared" si="161"/>
        <v>49177.807763954625</v>
      </c>
      <c r="S131" s="346">
        <f t="shared" si="162"/>
        <v>2410752.722120319</v>
      </c>
      <c r="T131" s="347"/>
      <c r="U131" s="613">
        <f t="shared" si="163"/>
        <v>15750</v>
      </c>
      <c r="V131" s="613">
        <f t="shared" si="164"/>
        <v>3213000</v>
      </c>
      <c r="W131" s="568"/>
      <c r="X131" s="1295"/>
    </row>
    <row r="132" spans="1:24" ht="13" outlineLevel="1" x14ac:dyDescent="0.3">
      <c r="A132" s="350">
        <v>15.07</v>
      </c>
      <c r="B132" s="350" t="s">
        <v>236</v>
      </c>
      <c r="C132" s="341" t="s">
        <v>350</v>
      </c>
      <c r="D132" s="180" t="s">
        <v>238</v>
      </c>
      <c r="E132" s="125">
        <f>+[2]Computo!H353</f>
        <v>262</v>
      </c>
      <c r="F132" s="343">
        <f>+[2]Tareas!H270</f>
        <v>7633.5877862595416</v>
      </c>
      <c r="G132" s="343">
        <f>+[2]Tareas!I270</f>
        <v>0</v>
      </c>
      <c r="H132" s="344">
        <f t="shared" si="154"/>
        <v>7633.5877862595416</v>
      </c>
      <c r="I132" s="343">
        <f>+[2]Tareas!Q270</f>
        <v>5047.3389597714659</v>
      </c>
      <c r="J132" s="343">
        <f>+[2]Tareas!R270</f>
        <v>0</v>
      </c>
      <c r="K132" s="344">
        <f t="shared" si="155"/>
        <v>5047.3389597714659</v>
      </c>
      <c r="L132" s="343">
        <f t="shared" ref="L132:L137" si="165">(H132+K132)*0.015</f>
        <v>190.21390119046509</v>
      </c>
      <c r="M132" s="344">
        <f t="shared" si="156"/>
        <v>12871.140647221473</v>
      </c>
      <c r="N132" s="345">
        <f t="shared" si="157"/>
        <v>2000000</v>
      </c>
      <c r="O132" s="345">
        <f t="shared" si="158"/>
        <v>0</v>
      </c>
      <c r="P132" s="345">
        <f t="shared" si="159"/>
        <v>1322402.8074601241</v>
      </c>
      <c r="Q132" s="345">
        <f t="shared" si="160"/>
        <v>0</v>
      </c>
      <c r="R132" s="345">
        <f t="shared" si="161"/>
        <v>49836.042111901857</v>
      </c>
      <c r="S132" s="346">
        <f t="shared" si="162"/>
        <v>3372238.8495720262</v>
      </c>
      <c r="T132" s="347"/>
      <c r="U132" s="613">
        <f t="shared" si="163"/>
        <v>17154</v>
      </c>
      <c r="V132" s="613">
        <f t="shared" si="164"/>
        <v>4494348</v>
      </c>
      <c r="W132" s="568"/>
      <c r="X132" s="127"/>
    </row>
    <row r="133" spans="1:24" ht="13" outlineLevel="1" x14ac:dyDescent="0.3">
      <c r="A133" s="350">
        <v>15.08</v>
      </c>
      <c r="B133" s="350" t="s">
        <v>236</v>
      </c>
      <c r="C133" s="341" t="s">
        <v>351</v>
      </c>
      <c r="D133" s="418" t="s">
        <v>238</v>
      </c>
      <c r="E133" s="363">
        <f>+[2]Pintura!L173</f>
        <v>756</v>
      </c>
      <c r="F133" s="411">
        <v>10000</v>
      </c>
      <c r="G133" s="387"/>
      <c r="H133" s="344">
        <f t="shared" si="154"/>
        <v>10000</v>
      </c>
      <c r="I133" s="349">
        <f>+[2]SUBCONTRATOS!D35</f>
        <v>9614.9793516205318</v>
      </c>
      <c r="J133" s="387"/>
      <c r="K133" s="344">
        <f t="shared" si="155"/>
        <v>9614.9793516205318</v>
      </c>
      <c r="L133" s="343">
        <f t="shared" si="165"/>
        <v>294.22469027430799</v>
      </c>
      <c r="M133" s="344">
        <f t="shared" si="156"/>
        <v>19909.204041894838</v>
      </c>
      <c r="N133" s="345">
        <f t="shared" si="157"/>
        <v>7560000</v>
      </c>
      <c r="O133" s="345">
        <f t="shared" si="158"/>
        <v>0</v>
      </c>
      <c r="P133" s="345">
        <f t="shared" si="159"/>
        <v>7268924.3898251224</v>
      </c>
      <c r="Q133" s="345">
        <f t="shared" si="160"/>
        <v>0</v>
      </c>
      <c r="R133" s="345">
        <f t="shared" si="161"/>
        <v>222433.86584737684</v>
      </c>
      <c r="S133" s="346">
        <f t="shared" si="162"/>
        <v>15051358.2556725</v>
      </c>
      <c r="T133" s="287"/>
      <c r="U133" s="613">
        <f t="shared" si="163"/>
        <v>26534</v>
      </c>
      <c r="V133" s="613">
        <f t="shared" si="164"/>
        <v>20059704</v>
      </c>
      <c r="W133" s="568"/>
      <c r="X133" s="186"/>
    </row>
    <row r="134" spans="1:24" ht="13" outlineLevel="1" x14ac:dyDescent="0.3">
      <c r="A134" s="350">
        <v>15.09</v>
      </c>
      <c r="B134" s="350" t="s">
        <v>236</v>
      </c>
      <c r="C134" s="341" t="s">
        <v>352</v>
      </c>
      <c r="D134" s="418" t="s">
        <v>238</v>
      </c>
      <c r="E134" s="363">
        <f>+[2]Pintura!M173</f>
        <v>56</v>
      </c>
      <c r="F134" s="411">
        <v>10000</v>
      </c>
      <c r="G134" s="387"/>
      <c r="H134" s="344">
        <f t="shared" si="154"/>
        <v>10000</v>
      </c>
      <c r="I134" s="349">
        <f>+[2]SUBCONTRATOS!D36</f>
        <v>13460.971092268743</v>
      </c>
      <c r="J134" s="387"/>
      <c r="K134" s="344">
        <f t="shared" si="155"/>
        <v>13460.971092268743</v>
      </c>
      <c r="L134" s="343">
        <f t="shared" si="165"/>
        <v>351.91456638403116</v>
      </c>
      <c r="M134" s="344">
        <f t="shared" si="156"/>
        <v>23812.885658652776</v>
      </c>
      <c r="N134" s="345">
        <f t="shared" si="157"/>
        <v>560000</v>
      </c>
      <c r="O134" s="345">
        <f t="shared" si="158"/>
        <v>0</v>
      </c>
      <c r="P134" s="345">
        <f t="shared" si="159"/>
        <v>753814.38116704964</v>
      </c>
      <c r="Q134" s="345">
        <f t="shared" si="160"/>
        <v>0</v>
      </c>
      <c r="R134" s="345">
        <f t="shared" si="161"/>
        <v>19707.215717505744</v>
      </c>
      <c r="S134" s="346">
        <f t="shared" si="162"/>
        <v>1333521.5968845552</v>
      </c>
      <c r="T134" s="287"/>
      <c r="U134" s="613">
        <f t="shared" si="163"/>
        <v>31737</v>
      </c>
      <c r="V134" s="613">
        <f t="shared" si="164"/>
        <v>1777272</v>
      </c>
      <c r="W134" s="568"/>
      <c r="X134" s="186"/>
    </row>
    <row r="135" spans="1:24" ht="13" outlineLevel="1" x14ac:dyDescent="0.3">
      <c r="A135" s="350">
        <v>15.1</v>
      </c>
      <c r="B135" s="350" t="s">
        <v>236</v>
      </c>
      <c r="C135" s="341" t="s">
        <v>353</v>
      </c>
      <c r="D135" s="418" t="s">
        <v>207</v>
      </c>
      <c r="E135" s="363">
        <v>1</v>
      </c>
      <c r="F135" s="343">
        <f>+[2]Tareas!H273</f>
        <v>200000</v>
      </c>
      <c r="G135" s="343">
        <f>+[2]Tareas!I273</f>
        <v>0</v>
      </c>
      <c r="H135" s="344">
        <f t="shared" si="154"/>
        <v>200000</v>
      </c>
      <c r="I135" s="343">
        <f>+[2]Tareas!Q273</f>
        <v>0</v>
      </c>
      <c r="J135" s="343">
        <f>+[2]Tareas!R273</f>
        <v>454260.50637943193</v>
      </c>
      <c r="K135" s="344">
        <f t="shared" si="155"/>
        <v>454260.50637943193</v>
      </c>
      <c r="L135" s="343">
        <f t="shared" si="165"/>
        <v>9813.9075956914785</v>
      </c>
      <c r="M135" s="344">
        <f t="shared" si="156"/>
        <v>664074.41397512343</v>
      </c>
      <c r="N135" s="345">
        <f t="shared" si="157"/>
        <v>200000</v>
      </c>
      <c r="O135" s="345">
        <f t="shared" si="158"/>
        <v>0</v>
      </c>
      <c r="P135" s="345">
        <f t="shared" si="159"/>
        <v>0</v>
      </c>
      <c r="Q135" s="345">
        <f t="shared" si="160"/>
        <v>454260.50637943193</v>
      </c>
      <c r="R135" s="345">
        <f t="shared" si="161"/>
        <v>9813.9075956914785</v>
      </c>
      <c r="S135" s="346">
        <f t="shared" si="162"/>
        <v>664074.41397512343</v>
      </c>
      <c r="T135" s="347"/>
      <c r="U135" s="613">
        <f t="shared" si="163"/>
        <v>885031</v>
      </c>
      <c r="V135" s="613">
        <f t="shared" si="164"/>
        <v>885031</v>
      </c>
      <c r="X135" s="127"/>
    </row>
    <row r="136" spans="1:24" ht="13" outlineLevel="1" x14ac:dyDescent="0.3">
      <c r="A136" s="350">
        <v>15.11</v>
      </c>
      <c r="B136" s="350" t="s">
        <v>205</v>
      </c>
      <c r="C136" s="341" t="s">
        <v>354</v>
      </c>
      <c r="D136" s="418" t="s">
        <v>294</v>
      </c>
      <c r="E136" s="363">
        <f>+[2]Computo!C44</f>
        <v>73</v>
      </c>
      <c r="F136" s="343">
        <f>+[2]Tareas!H278</f>
        <v>11746.023927199829</v>
      </c>
      <c r="G136" s="343">
        <f>+[2]Tareas!I278</f>
        <v>0</v>
      </c>
      <c r="H136" s="344">
        <f t="shared" si="154"/>
        <v>11746.023927199829</v>
      </c>
      <c r="I136" s="343">
        <f>+[2]Tareas!Q278</f>
        <v>49896.797173282022</v>
      </c>
      <c r="J136" s="343">
        <f>+[2]Tareas!R278</f>
        <v>0</v>
      </c>
      <c r="K136" s="344">
        <f t="shared" si="155"/>
        <v>49896.797173282022</v>
      </c>
      <c r="L136" s="343">
        <f t="shared" si="165"/>
        <v>924.64231650722775</v>
      </c>
      <c r="M136" s="344">
        <f t="shared" si="156"/>
        <v>62567.463416989078</v>
      </c>
      <c r="N136" s="345">
        <f t="shared" si="157"/>
        <v>857459.74668558757</v>
      </c>
      <c r="O136" s="345">
        <f t="shared" si="158"/>
        <v>0</v>
      </c>
      <c r="P136" s="345">
        <f t="shared" si="159"/>
        <v>3642466.1936495877</v>
      </c>
      <c r="Q136" s="345">
        <f t="shared" si="160"/>
        <v>0</v>
      </c>
      <c r="R136" s="345">
        <f t="shared" si="161"/>
        <v>67498.889105027629</v>
      </c>
      <c r="S136" s="346">
        <f t="shared" si="162"/>
        <v>4567424.8294402026</v>
      </c>
      <c r="T136" s="347"/>
      <c r="U136" s="613">
        <f t="shared" si="163"/>
        <v>83386</v>
      </c>
      <c r="V136" s="613">
        <f t="shared" si="164"/>
        <v>6087178</v>
      </c>
      <c r="X136" s="127"/>
    </row>
    <row r="137" spans="1:24" ht="13" outlineLevel="1" x14ac:dyDescent="0.3">
      <c r="A137" s="350">
        <v>15.12</v>
      </c>
      <c r="B137" s="352" t="s">
        <v>205</v>
      </c>
      <c r="C137" s="434" t="s">
        <v>355</v>
      </c>
      <c r="D137" s="428" t="s">
        <v>207</v>
      </c>
      <c r="E137" s="379">
        <v>1</v>
      </c>
      <c r="F137" s="358">
        <f>+[2]Tareas!H280</f>
        <v>392180.13300765597</v>
      </c>
      <c r="G137" s="358">
        <f>+[2]Tareas!I280</f>
        <v>0</v>
      </c>
      <c r="H137" s="356">
        <f t="shared" si="154"/>
        <v>392180.13300765597</v>
      </c>
      <c r="I137" s="358">
        <f>+[2]Tareas!Q280</f>
        <v>2776617.953637863</v>
      </c>
      <c r="J137" s="358">
        <f>+[2]Tareas!R280</f>
        <v>0</v>
      </c>
      <c r="K137" s="356">
        <f t="shared" si="155"/>
        <v>2776617.953637863</v>
      </c>
      <c r="L137" s="358">
        <f t="shared" si="165"/>
        <v>47531.97129968278</v>
      </c>
      <c r="M137" s="356">
        <f t="shared" si="156"/>
        <v>3216330.0579452016</v>
      </c>
      <c r="N137" s="359">
        <f t="shared" si="157"/>
        <v>392180.13300765597</v>
      </c>
      <c r="O137" s="359">
        <f t="shared" si="158"/>
        <v>0</v>
      </c>
      <c r="P137" s="359">
        <f t="shared" si="159"/>
        <v>2776617.953637863</v>
      </c>
      <c r="Q137" s="359">
        <f t="shared" si="160"/>
        <v>0</v>
      </c>
      <c r="R137" s="359">
        <f t="shared" si="161"/>
        <v>47531.97129968278</v>
      </c>
      <c r="S137" s="360">
        <f t="shared" si="162"/>
        <v>3216330.0579452016</v>
      </c>
      <c r="T137" s="347"/>
      <c r="U137" s="613">
        <f t="shared" si="163"/>
        <v>4286492</v>
      </c>
      <c r="V137" s="613">
        <f t="shared" si="164"/>
        <v>4286492</v>
      </c>
      <c r="X137" s="127"/>
    </row>
    <row r="138" spans="1:24" ht="13" x14ac:dyDescent="0.3">
      <c r="A138" s="325">
        <v>16</v>
      </c>
      <c r="B138" s="326"/>
      <c r="C138" s="436" t="s">
        <v>356</v>
      </c>
      <c r="D138" s="177"/>
      <c r="E138" s="327"/>
      <c r="F138" s="327"/>
      <c r="G138" s="327"/>
      <c r="H138" s="327"/>
      <c r="I138" s="327"/>
      <c r="J138" s="327"/>
      <c r="K138" s="327"/>
      <c r="L138" s="327"/>
      <c r="M138" s="328"/>
      <c r="N138" s="327"/>
      <c r="O138" s="327"/>
      <c r="P138" s="327"/>
      <c r="Q138" s="327"/>
      <c r="R138" s="327"/>
      <c r="S138" s="327"/>
      <c r="T138" s="329">
        <f>SUM(S139:S139)</f>
        <v>0</v>
      </c>
      <c r="U138" s="465"/>
      <c r="V138" s="465"/>
      <c r="W138" s="608">
        <f>SUM(V139:V139)</f>
        <v>0</v>
      </c>
      <c r="X138" s="127">
        <f>+W138/$W$232</f>
        <v>0</v>
      </c>
    </row>
    <row r="139" spans="1:24" s="185" customFormat="1" ht="13" outlineLevel="1" x14ac:dyDescent="0.3">
      <c r="A139" s="331"/>
      <c r="B139" s="380"/>
      <c r="C139" s="333"/>
      <c r="D139" s="182"/>
      <c r="E139" s="381"/>
      <c r="F139" s="407"/>
      <c r="G139" s="407"/>
      <c r="H139" s="334">
        <f>F139+G139</f>
        <v>0</v>
      </c>
      <c r="I139" s="407"/>
      <c r="J139" s="407"/>
      <c r="K139" s="334">
        <f t="shared" ref="K139" si="166">I139+J139</f>
        <v>0</v>
      </c>
      <c r="L139" s="382"/>
      <c r="M139" s="334">
        <f>H139+K139+L139</f>
        <v>0</v>
      </c>
      <c r="N139" s="335">
        <f t="shared" ref="N139" si="167">F139*E139</f>
        <v>0</v>
      </c>
      <c r="O139" s="335">
        <f t="shared" ref="O139" si="168">G139*E139</f>
        <v>0</v>
      </c>
      <c r="P139" s="335">
        <f t="shared" ref="P139" si="169">I139*E139</f>
        <v>0</v>
      </c>
      <c r="Q139" s="335">
        <f t="shared" ref="Q139" si="170">J139*E139</f>
        <v>0</v>
      </c>
      <c r="R139" s="335">
        <f t="shared" ref="R139" si="171">+L139*E139</f>
        <v>0</v>
      </c>
      <c r="S139" s="336">
        <f t="shared" ref="S139" si="172">SUM(N139:R139)</f>
        <v>0</v>
      </c>
      <c r="T139" s="347"/>
      <c r="U139" s="617">
        <f>+ROUNDUP(M139*$T$5,0)</f>
        <v>0</v>
      </c>
      <c r="V139" s="618">
        <f>+U139*E139</f>
        <v>0</v>
      </c>
      <c r="W139" s="633"/>
      <c r="X139" s="186"/>
    </row>
    <row r="140" spans="1:24" s="185" customFormat="1" ht="13" x14ac:dyDescent="0.3">
      <c r="A140" s="325">
        <v>17</v>
      </c>
      <c r="B140" s="326"/>
      <c r="C140" s="607" t="s">
        <v>357</v>
      </c>
      <c r="D140" s="177"/>
      <c r="E140" s="327"/>
      <c r="F140" s="327"/>
      <c r="G140" s="327"/>
      <c r="H140" s="327"/>
      <c r="I140" s="327"/>
      <c r="J140" s="327"/>
      <c r="K140" s="327"/>
      <c r="L140" s="327"/>
      <c r="M140" s="328"/>
      <c r="N140" s="327"/>
      <c r="O140" s="327"/>
      <c r="P140" s="327"/>
      <c r="Q140" s="327"/>
      <c r="R140" s="327"/>
      <c r="S140" s="327"/>
      <c r="T140" s="329">
        <f>SUM(S141:S144)</f>
        <v>7064607.2342659682</v>
      </c>
      <c r="U140" s="465"/>
      <c r="V140" s="465"/>
      <c r="W140" s="608">
        <f>SUM(V141:V144)</f>
        <v>9415299</v>
      </c>
      <c r="X140" s="1295">
        <f>+W140/$W$232</f>
        <v>6.9963055805053222E-3</v>
      </c>
    </row>
    <row r="141" spans="1:24" s="185" customFormat="1" ht="13" outlineLevel="1" x14ac:dyDescent="0.3">
      <c r="A141" s="331">
        <f>+A140+0.01</f>
        <v>17.010000000000002</v>
      </c>
      <c r="B141" s="380" t="s">
        <v>205</v>
      </c>
      <c r="C141" s="437" t="s">
        <v>358</v>
      </c>
      <c r="D141" s="1302" t="s">
        <v>243</v>
      </c>
      <c r="E141" s="381">
        <f>+[2]Aberturas!H69</f>
        <v>57</v>
      </c>
      <c r="F141" s="382"/>
      <c r="G141" s="382">
        <f>+'[2]APU 12.24'!E18</f>
        <v>4066.3295639999997</v>
      </c>
      <c r="H141" s="334">
        <f>F141+G141</f>
        <v>4066.3295639999997</v>
      </c>
      <c r="I141" s="439"/>
      <c r="J141" s="382">
        <f>+'[2]APU 12.24'!H18</f>
        <v>55045.379224928984</v>
      </c>
      <c r="K141" s="334">
        <f>I141+J141</f>
        <v>55045.379224928984</v>
      </c>
      <c r="L141" s="382">
        <f>+'[2]APU 12.24'!K18</f>
        <v>405.54861765584405</v>
      </c>
      <c r="M141" s="334">
        <f>H141+K141+L141</f>
        <v>59517.257406584824</v>
      </c>
      <c r="N141" s="335">
        <f>F141*E141</f>
        <v>0</v>
      </c>
      <c r="O141" s="335">
        <f>G141*E141</f>
        <v>231780.785148</v>
      </c>
      <c r="P141" s="335">
        <f>I141*E141</f>
        <v>0</v>
      </c>
      <c r="Q141" s="335">
        <f>J141*E141</f>
        <v>3137586.6158209522</v>
      </c>
      <c r="R141" s="335">
        <f>+L141*E141</f>
        <v>23116.27120638311</v>
      </c>
      <c r="S141" s="336">
        <f>SUM(N141:R141)</f>
        <v>3392483.6721753352</v>
      </c>
      <c r="T141" s="393"/>
      <c r="U141" s="611">
        <f>+ROUNDUP(M141*$T$5,0)</f>
        <v>79321</v>
      </c>
      <c r="V141" s="611">
        <f>+U141*E141</f>
        <v>4521297</v>
      </c>
      <c r="W141" s="630"/>
      <c r="X141" s="127"/>
    </row>
    <row r="142" spans="1:24" s="185" customFormat="1" ht="13" outlineLevel="1" x14ac:dyDescent="0.3">
      <c r="A142" s="339">
        <v>17.02</v>
      </c>
      <c r="B142" s="350" t="s">
        <v>205</v>
      </c>
      <c r="C142" s="440" t="s">
        <v>359</v>
      </c>
      <c r="D142" s="1303" t="s">
        <v>243</v>
      </c>
      <c r="E142" s="363">
        <f>+[2]Aberturas!E69</f>
        <v>11</v>
      </c>
      <c r="F142" s="387"/>
      <c r="G142" s="387">
        <f>+'[2]APU 12.24'!E18</f>
        <v>4066.3295639999997</v>
      </c>
      <c r="H142" s="344">
        <f>F142+G142</f>
        <v>4066.3295639999997</v>
      </c>
      <c r="I142" s="442"/>
      <c r="J142" s="387">
        <f>+'[2]APU 12.24'!H18</f>
        <v>55045.379224928984</v>
      </c>
      <c r="K142" s="344">
        <f>I142+J142</f>
        <v>55045.379224928984</v>
      </c>
      <c r="L142" s="387">
        <f>+'[2]APU 12.24'!K18</f>
        <v>405.54861765584405</v>
      </c>
      <c r="M142" s="344">
        <f>H142+K142+L142</f>
        <v>59517.257406584824</v>
      </c>
      <c r="N142" s="345">
        <f>F142*E142</f>
        <v>0</v>
      </c>
      <c r="O142" s="345">
        <f>G142*E142</f>
        <v>44729.625203999996</v>
      </c>
      <c r="P142" s="345">
        <f>I142*E142</f>
        <v>0</v>
      </c>
      <c r="Q142" s="345">
        <f>J142*E142</f>
        <v>605499.17147421883</v>
      </c>
      <c r="R142" s="345">
        <f>+L142*E142</f>
        <v>4461.0347942142844</v>
      </c>
      <c r="S142" s="346">
        <f>SUM(N142:R142)</f>
        <v>654689.83147243317</v>
      </c>
      <c r="T142" s="393"/>
      <c r="U142" s="613">
        <f>+ROUNDUP(M142*$T$5,0)</f>
        <v>79321</v>
      </c>
      <c r="V142" s="613">
        <f>+U142*E142</f>
        <v>872531</v>
      </c>
      <c r="W142" s="630"/>
      <c r="X142" s="127"/>
    </row>
    <row r="143" spans="1:24" s="185" customFormat="1" ht="13" outlineLevel="1" x14ac:dyDescent="0.3">
      <c r="A143" s="339">
        <v>17.03</v>
      </c>
      <c r="B143" s="350" t="s">
        <v>205</v>
      </c>
      <c r="C143" s="440" t="s">
        <v>360</v>
      </c>
      <c r="D143" s="1303" t="s">
        <v>243</v>
      </c>
      <c r="E143" s="363">
        <f>+[2]Aberturas!AD69</f>
        <v>65</v>
      </c>
      <c r="F143" s="387"/>
      <c r="G143" s="387">
        <f>+'[2]APU 12.24'!E19</f>
        <v>1487.9069540999999</v>
      </c>
      <c r="H143" s="344">
        <f>F143+G143</f>
        <v>1487.9069540999999</v>
      </c>
      <c r="I143" s="387"/>
      <c r="J143" s="387">
        <f>+'[2]APU 12.24'!H19</f>
        <v>36696.919483285987</v>
      </c>
      <c r="K143" s="344">
        <f t="shared" ref="K143:K144" si="173">I143+J143</f>
        <v>36696.919483285987</v>
      </c>
      <c r="L143" s="387">
        <f>+'[2]APU 12.24'!K19</f>
        <v>202.77430882792203</v>
      </c>
      <c r="M143" s="344">
        <f>H143+K143+L143</f>
        <v>38387.60074621391</v>
      </c>
      <c r="N143" s="345">
        <f>F143*E143</f>
        <v>0</v>
      </c>
      <c r="O143" s="345">
        <f>G143*E143</f>
        <v>96713.952016499999</v>
      </c>
      <c r="P143" s="345">
        <f>I143*E143</f>
        <v>0</v>
      </c>
      <c r="Q143" s="345">
        <f>J143*E143</f>
        <v>2385299.766413589</v>
      </c>
      <c r="R143" s="345">
        <f>+L143*E143</f>
        <v>13180.330073814932</v>
      </c>
      <c r="S143" s="346">
        <f>SUM(N143:R143)</f>
        <v>2495194.0485039037</v>
      </c>
      <c r="T143" s="393"/>
      <c r="U143" s="613">
        <f>+ROUNDUP(M143*$T$5,0)</f>
        <v>51161</v>
      </c>
      <c r="V143" s="613">
        <f>+U143*E143</f>
        <v>3325465</v>
      </c>
      <c r="W143" s="630"/>
      <c r="X143" s="127"/>
    </row>
    <row r="144" spans="1:24" s="185" customFormat="1" ht="13" outlineLevel="1" x14ac:dyDescent="0.3">
      <c r="A144" s="352">
        <v>17.04</v>
      </c>
      <c r="B144" s="352" t="s">
        <v>205</v>
      </c>
      <c r="C144" s="353" t="s">
        <v>361</v>
      </c>
      <c r="D144" s="405" t="s">
        <v>243</v>
      </c>
      <c r="E144" s="379">
        <f>+[2]Aberturas!Q67</f>
        <v>6</v>
      </c>
      <c r="F144" s="399"/>
      <c r="G144" s="399">
        <f>+'[2]APU 12.24'!E18</f>
        <v>4066.3295639999997</v>
      </c>
      <c r="H144" s="356">
        <f>F144+G144</f>
        <v>4066.3295639999997</v>
      </c>
      <c r="I144" s="443">
        <f>+J144*0.5</f>
        <v>27522.689612464492</v>
      </c>
      <c r="J144" s="399">
        <f>+'[2]APU 12.24'!H18</f>
        <v>55045.379224928984</v>
      </c>
      <c r="K144" s="356">
        <f t="shared" si="173"/>
        <v>82568.068837393483</v>
      </c>
      <c r="L144" s="399">
        <f>+'[2]APU 12.24'!K18</f>
        <v>405.54861765584405</v>
      </c>
      <c r="M144" s="356">
        <f>H144+K144+L144</f>
        <v>87039.94701904933</v>
      </c>
      <c r="N144" s="359">
        <f>F144*E144</f>
        <v>0</v>
      </c>
      <c r="O144" s="359">
        <f>G144*E144</f>
        <v>24397.977383999998</v>
      </c>
      <c r="P144" s="359">
        <f>I144*E144</f>
        <v>165136.13767478697</v>
      </c>
      <c r="Q144" s="359">
        <f>J144*E144</f>
        <v>330272.27534957393</v>
      </c>
      <c r="R144" s="359">
        <f>+L144*E144</f>
        <v>2433.2917059350643</v>
      </c>
      <c r="S144" s="360">
        <f>SUM(N144:R144)</f>
        <v>522239.68211429595</v>
      </c>
      <c r="T144" s="393"/>
      <c r="U144" s="616">
        <f>+ROUNDUP(M144*$T$5,0)</f>
        <v>116001</v>
      </c>
      <c r="V144" s="616">
        <f>+U144*E144</f>
        <v>696006</v>
      </c>
      <c r="W144" s="630"/>
      <c r="X144" s="127"/>
    </row>
    <row r="145" spans="1:26" ht="13" x14ac:dyDescent="0.3">
      <c r="A145" s="325">
        <v>18</v>
      </c>
      <c r="B145" s="326"/>
      <c r="C145" s="276" t="s">
        <v>367</v>
      </c>
      <c r="D145" s="177"/>
      <c r="E145" s="327"/>
      <c r="F145" s="327"/>
      <c r="G145" s="327"/>
      <c r="H145" s="327"/>
      <c r="I145" s="327"/>
      <c r="J145" s="327"/>
      <c r="K145" s="327"/>
      <c r="L145" s="327"/>
      <c r="M145" s="328"/>
      <c r="N145" s="327"/>
      <c r="O145" s="327"/>
      <c r="P145" s="327"/>
      <c r="Q145" s="327"/>
      <c r="R145" s="327"/>
      <c r="S145" s="327"/>
      <c r="T145" s="329">
        <f>SUM(S146:S178)</f>
        <v>65736704.220106177</v>
      </c>
      <c r="U145" s="465"/>
      <c r="V145" s="465"/>
      <c r="W145" s="608">
        <f>SUM(V146:V178)</f>
        <v>87609553</v>
      </c>
      <c r="X145" s="127">
        <f>+W145/$W$232</f>
        <v>6.5100768925073618E-2</v>
      </c>
      <c r="Z145" s="129"/>
    </row>
    <row r="146" spans="1:26" ht="13" outlineLevel="1" x14ac:dyDescent="0.3">
      <c r="A146" s="380">
        <f>+A145+0.01</f>
        <v>18.010000000000002</v>
      </c>
      <c r="B146" s="380" t="s">
        <v>205</v>
      </c>
      <c r="C146" s="445" t="s">
        <v>368</v>
      </c>
      <c r="D146" s="187" t="s">
        <v>243</v>
      </c>
      <c r="E146" s="381">
        <f>+[2]Locales!CU121</f>
        <v>260</v>
      </c>
      <c r="F146" s="382">
        <f>+'[2]APU 12.24'!E90</f>
        <v>20340.180885000002</v>
      </c>
      <c r="G146" s="447"/>
      <c r="H146" s="334">
        <f>F146+G146</f>
        <v>20340.180885000002</v>
      </c>
      <c r="I146" s="448">
        <f>+[2]SUBCONTRATOS!$D$44</f>
        <v>35416.5</v>
      </c>
      <c r="J146" s="447"/>
      <c r="K146" s="334">
        <f>I146+J146</f>
        <v>35416.5</v>
      </c>
      <c r="L146" s="382">
        <f>+'[2]APU 12.24'!K90</f>
        <v>1667.3180256186997</v>
      </c>
      <c r="M146" s="334">
        <f>H146+K146+L146</f>
        <v>57423.998910618699</v>
      </c>
      <c r="N146" s="335">
        <f t="shared" ref="N146:N178" si="174">F146*E146</f>
        <v>5288447.0301000001</v>
      </c>
      <c r="O146" s="335">
        <f t="shared" ref="O146:O178" si="175">G146*E146</f>
        <v>0</v>
      </c>
      <c r="P146" s="335">
        <f t="shared" ref="P146:P178" si="176">I146*E146</f>
        <v>9208290</v>
      </c>
      <c r="Q146" s="335">
        <f t="shared" ref="Q146:Q178" si="177">J146*E146</f>
        <v>0</v>
      </c>
      <c r="R146" s="335">
        <f t="shared" ref="R146:R178" si="178">+L146*E146</f>
        <v>433502.68666086195</v>
      </c>
      <c r="S146" s="336">
        <f t="shared" si="11"/>
        <v>14930239.716760861</v>
      </c>
      <c r="T146" s="337"/>
      <c r="U146" s="611">
        <f t="shared" ref="U146:U178" si="179">+ROUNDUP(M146*$T$5,0)</f>
        <v>76531</v>
      </c>
      <c r="V146" s="611">
        <f t="shared" ref="V146:V178" si="180">+U146*E146</f>
        <v>19898060</v>
      </c>
      <c r="X146" s="127"/>
      <c r="Z146" s="129"/>
    </row>
    <row r="147" spans="1:26" ht="13" outlineLevel="1" x14ac:dyDescent="0.3">
      <c r="A147" s="350">
        <v>18.02</v>
      </c>
      <c r="B147" s="350" t="s">
        <v>205</v>
      </c>
      <c r="C147" s="450" t="s">
        <v>369</v>
      </c>
      <c r="D147" s="188" t="s">
        <v>243</v>
      </c>
      <c r="E147" s="363">
        <f>+[2]Locales!CV121</f>
        <v>62</v>
      </c>
      <c r="F147" s="387">
        <f>+'[2]APU 12.24'!E63</f>
        <v>17867.355495</v>
      </c>
      <c r="G147" s="452"/>
      <c r="H147" s="344">
        <f t="shared" ref="H147:H178" si="181">F147+G147</f>
        <v>17867.355495</v>
      </c>
      <c r="I147" s="448">
        <f>+[2]SUBCONTRATOS!$D$44</f>
        <v>35416.5</v>
      </c>
      <c r="J147" s="452"/>
      <c r="K147" s="344">
        <f t="shared" ref="K147:K178" si="182">I147+J147</f>
        <v>35416.5</v>
      </c>
      <c r="L147" s="387">
        <f>+'[2]APU 12.24'!K63</f>
        <v>1667.3180256186997</v>
      </c>
      <c r="M147" s="344">
        <f t="shared" ref="M147:M178" si="183">H147+K147+L147</f>
        <v>54951.173520618693</v>
      </c>
      <c r="N147" s="345">
        <f t="shared" si="174"/>
        <v>1107776.0406899999</v>
      </c>
      <c r="O147" s="345">
        <f t="shared" si="175"/>
        <v>0</v>
      </c>
      <c r="P147" s="345">
        <f t="shared" si="176"/>
        <v>2195823</v>
      </c>
      <c r="Q147" s="345">
        <f t="shared" si="177"/>
        <v>0</v>
      </c>
      <c r="R147" s="345">
        <f t="shared" si="178"/>
        <v>103373.71758835939</v>
      </c>
      <c r="S147" s="346">
        <f t="shared" ref="S147:S178" si="184">SUM(N147:R147)</f>
        <v>3406972.7582783597</v>
      </c>
      <c r="T147" s="347"/>
      <c r="U147" s="613">
        <f t="shared" si="179"/>
        <v>73235</v>
      </c>
      <c r="V147" s="613">
        <f t="shared" si="180"/>
        <v>4540570</v>
      </c>
      <c r="X147" s="127"/>
    </row>
    <row r="148" spans="1:26" ht="13" outlineLevel="1" x14ac:dyDescent="0.3">
      <c r="A148" s="350">
        <v>18.03</v>
      </c>
      <c r="B148" s="350" t="s">
        <v>205</v>
      </c>
      <c r="C148" s="450" t="s">
        <v>370</v>
      </c>
      <c r="D148" s="188" t="s">
        <v>243</v>
      </c>
      <c r="E148" s="363">
        <f>+[2]Locales!CT121</f>
        <v>12</v>
      </c>
      <c r="F148" s="387">
        <f>+'[2]APU 12.24'!E63</f>
        <v>17867.355495</v>
      </c>
      <c r="G148" s="452"/>
      <c r="H148" s="344">
        <f t="shared" si="181"/>
        <v>17867.355495</v>
      </c>
      <c r="I148" s="448">
        <f>+[2]SUBCONTRATOS!$D$44</f>
        <v>35416.5</v>
      </c>
      <c r="J148" s="452"/>
      <c r="K148" s="344">
        <f t="shared" si="182"/>
        <v>35416.5</v>
      </c>
      <c r="L148" s="387">
        <f>+'[2]APU 12.24'!K63</f>
        <v>1667.3180256186997</v>
      </c>
      <c r="M148" s="344">
        <f t="shared" si="183"/>
        <v>54951.173520618693</v>
      </c>
      <c r="N148" s="345">
        <f t="shared" si="174"/>
        <v>214408.26594000001</v>
      </c>
      <c r="O148" s="345">
        <f t="shared" si="175"/>
        <v>0</v>
      </c>
      <c r="P148" s="345">
        <f t="shared" si="176"/>
        <v>424998</v>
      </c>
      <c r="Q148" s="345">
        <f t="shared" si="177"/>
        <v>0</v>
      </c>
      <c r="R148" s="345">
        <f t="shared" si="178"/>
        <v>20007.816307424397</v>
      </c>
      <c r="S148" s="346">
        <f t="shared" si="184"/>
        <v>659414.08224742452</v>
      </c>
      <c r="T148" s="347"/>
      <c r="U148" s="613">
        <f t="shared" si="179"/>
        <v>73235</v>
      </c>
      <c r="V148" s="613">
        <f t="shared" si="180"/>
        <v>878820</v>
      </c>
      <c r="X148" s="127"/>
    </row>
    <row r="149" spans="1:26" ht="13" outlineLevel="1" x14ac:dyDescent="0.3">
      <c r="A149" s="350">
        <v>18.04</v>
      </c>
      <c r="B149" s="350" t="s">
        <v>205</v>
      </c>
      <c r="C149" s="450" t="s">
        <v>371</v>
      </c>
      <c r="D149" s="188" t="s">
        <v>243</v>
      </c>
      <c r="E149" s="363">
        <f>+[2]Locales!CS121</f>
        <v>16</v>
      </c>
      <c r="F149" s="387">
        <f>+'[2]APU 12.24'!E63</f>
        <v>17867.355495</v>
      </c>
      <c r="G149" s="452"/>
      <c r="H149" s="344">
        <f t="shared" si="181"/>
        <v>17867.355495</v>
      </c>
      <c r="I149" s="448">
        <f>+[2]SUBCONTRATOS!$D$44</f>
        <v>35416.5</v>
      </c>
      <c r="J149" s="452"/>
      <c r="K149" s="344">
        <f t="shared" si="182"/>
        <v>35416.5</v>
      </c>
      <c r="L149" s="387">
        <f>+'[2]APU 12.24'!K63</f>
        <v>1667.3180256186997</v>
      </c>
      <c r="M149" s="344">
        <f t="shared" si="183"/>
        <v>54951.173520618693</v>
      </c>
      <c r="N149" s="345">
        <f t="shared" si="174"/>
        <v>285877.68792</v>
      </c>
      <c r="O149" s="345">
        <f t="shared" si="175"/>
        <v>0</v>
      </c>
      <c r="P149" s="345">
        <f t="shared" si="176"/>
        <v>566664</v>
      </c>
      <c r="Q149" s="345">
        <f t="shared" si="177"/>
        <v>0</v>
      </c>
      <c r="R149" s="345">
        <f t="shared" si="178"/>
        <v>26677.088409899196</v>
      </c>
      <c r="S149" s="346">
        <f t="shared" si="184"/>
        <v>879218.77632989909</v>
      </c>
      <c r="T149" s="347"/>
      <c r="U149" s="613">
        <f t="shared" si="179"/>
        <v>73235</v>
      </c>
      <c r="V149" s="613">
        <f t="shared" si="180"/>
        <v>1171760</v>
      </c>
      <c r="X149" s="127"/>
    </row>
    <row r="150" spans="1:26" ht="13" outlineLevel="1" x14ac:dyDescent="0.3">
      <c r="A150" s="350">
        <v>18.05</v>
      </c>
      <c r="B150" s="350" t="s">
        <v>205</v>
      </c>
      <c r="C150" s="450" t="s">
        <v>372</v>
      </c>
      <c r="D150" s="188" t="s">
        <v>243</v>
      </c>
      <c r="E150" s="363">
        <f>+[2]Locales!DM121</f>
        <v>1</v>
      </c>
      <c r="F150" s="387">
        <f>+'[2]APU 12.24'!E63</f>
        <v>17867.355495</v>
      </c>
      <c r="G150" s="452"/>
      <c r="H150" s="344">
        <f t="shared" si="181"/>
        <v>17867.355495</v>
      </c>
      <c r="I150" s="448">
        <f>+[2]SUBCONTRATOS!$D$44</f>
        <v>35416.5</v>
      </c>
      <c r="J150" s="452"/>
      <c r="K150" s="344">
        <f t="shared" si="182"/>
        <v>35416.5</v>
      </c>
      <c r="L150" s="387">
        <f>+'[2]APU 12.24'!K63</f>
        <v>1667.3180256186997</v>
      </c>
      <c r="M150" s="344">
        <f t="shared" si="183"/>
        <v>54951.173520618693</v>
      </c>
      <c r="N150" s="345">
        <f t="shared" si="174"/>
        <v>17867.355495</v>
      </c>
      <c r="O150" s="345">
        <f t="shared" si="175"/>
        <v>0</v>
      </c>
      <c r="P150" s="345">
        <f t="shared" si="176"/>
        <v>35416.5</v>
      </c>
      <c r="Q150" s="345">
        <f t="shared" si="177"/>
        <v>0</v>
      </c>
      <c r="R150" s="345">
        <f t="shared" si="178"/>
        <v>1667.3180256186997</v>
      </c>
      <c r="S150" s="346">
        <f t="shared" si="184"/>
        <v>54951.173520618693</v>
      </c>
      <c r="T150" s="347"/>
      <c r="U150" s="613">
        <f t="shared" si="179"/>
        <v>73235</v>
      </c>
      <c r="V150" s="613">
        <f t="shared" si="180"/>
        <v>73235</v>
      </c>
      <c r="X150" s="127"/>
    </row>
    <row r="151" spans="1:26" ht="13" outlineLevel="1" x14ac:dyDescent="0.3">
      <c r="A151" s="350">
        <v>18.059999999999999</v>
      </c>
      <c r="B151" s="350" t="s">
        <v>205</v>
      </c>
      <c r="C151" s="450" t="s">
        <v>373</v>
      </c>
      <c r="D151" s="188" t="s">
        <v>243</v>
      </c>
      <c r="E151" s="363">
        <f>+[2]Locales!CQ121</f>
        <v>24</v>
      </c>
      <c r="F151" s="387">
        <f>+'[2]APU 12.24'!E63</f>
        <v>17867.355495</v>
      </c>
      <c r="G151" s="452"/>
      <c r="H151" s="344">
        <f t="shared" si="181"/>
        <v>17867.355495</v>
      </c>
      <c r="I151" s="448">
        <f>+[2]SUBCONTRATOS!$D$44</f>
        <v>35416.5</v>
      </c>
      <c r="J151" s="452"/>
      <c r="K151" s="344">
        <f t="shared" si="182"/>
        <v>35416.5</v>
      </c>
      <c r="L151" s="387">
        <f>+'[2]APU 12.24'!K63</f>
        <v>1667.3180256186997</v>
      </c>
      <c r="M151" s="344">
        <f t="shared" si="183"/>
        <v>54951.173520618693</v>
      </c>
      <c r="N151" s="345">
        <f t="shared" si="174"/>
        <v>428816.53188000002</v>
      </c>
      <c r="O151" s="345">
        <f t="shared" si="175"/>
        <v>0</v>
      </c>
      <c r="P151" s="345">
        <f t="shared" si="176"/>
        <v>849996</v>
      </c>
      <c r="Q151" s="345">
        <f t="shared" si="177"/>
        <v>0</v>
      </c>
      <c r="R151" s="345">
        <f t="shared" si="178"/>
        <v>40015.632614848793</v>
      </c>
      <c r="S151" s="346">
        <f t="shared" si="184"/>
        <v>1318828.164494849</v>
      </c>
      <c r="T151" s="347"/>
      <c r="U151" s="613">
        <f t="shared" si="179"/>
        <v>73235</v>
      </c>
      <c r="V151" s="613">
        <f t="shared" si="180"/>
        <v>1757640</v>
      </c>
      <c r="X151" s="127"/>
    </row>
    <row r="152" spans="1:26" ht="13" outlineLevel="1" x14ac:dyDescent="0.3">
      <c r="A152" s="350">
        <v>18.07</v>
      </c>
      <c r="B152" s="350" t="s">
        <v>205</v>
      </c>
      <c r="C152" s="450" t="s">
        <v>374</v>
      </c>
      <c r="D152" s="188" t="s">
        <v>243</v>
      </c>
      <c r="E152" s="363">
        <f>+[2]Locales!DB123</f>
        <v>226</v>
      </c>
      <c r="F152" s="387">
        <f>+'[2]APU 12.24'!E64</f>
        <v>14804.6642249</v>
      </c>
      <c r="G152" s="452"/>
      <c r="H152" s="344">
        <f t="shared" si="181"/>
        <v>14804.6642249</v>
      </c>
      <c r="I152" s="448">
        <f>+[2]SUBCONTRATOS!$D$44</f>
        <v>35416.5</v>
      </c>
      <c r="J152" s="452"/>
      <c r="K152" s="344">
        <f t="shared" si="182"/>
        <v>35416.5</v>
      </c>
      <c r="L152" s="387">
        <f>+'[2]APU 12.24'!K64</f>
        <v>1667.3180256186997</v>
      </c>
      <c r="M152" s="344">
        <f t="shared" si="183"/>
        <v>51888.482250518697</v>
      </c>
      <c r="N152" s="345">
        <f t="shared" si="174"/>
        <v>3345854.1148274001</v>
      </c>
      <c r="O152" s="345">
        <f t="shared" si="175"/>
        <v>0</v>
      </c>
      <c r="P152" s="345">
        <f t="shared" si="176"/>
        <v>8004129</v>
      </c>
      <c r="Q152" s="345">
        <f t="shared" si="177"/>
        <v>0</v>
      </c>
      <c r="R152" s="345">
        <f t="shared" si="178"/>
        <v>376813.87378982612</v>
      </c>
      <c r="S152" s="346">
        <f t="shared" si="184"/>
        <v>11726796.988617226</v>
      </c>
      <c r="T152" s="347"/>
      <c r="U152" s="613">
        <f t="shared" si="179"/>
        <v>69154</v>
      </c>
      <c r="V152" s="613">
        <f t="shared" si="180"/>
        <v>15628804</v>
      </c>
      <c r="X152" s="127"/>
    </row>
    <row r="153" spans="1:26" ht="13" outlineLevel="1" x14ac:dyDescent="0.3">
      <c r="A153" s="350">
        <v>18.079999999999998</v>
      </c>
      <c r="B153" s="350" t="s">
        <v>205</v>
      </c>
      <c r="C153" s="450" t="s">
        <v>375</v>
      </c>
      <c r="D153" s="188" t="s">
        <v>243</v>
      </c>
      <c r="E153" s="363">
        <f>+[2]Locales!DC121</f>
        <v>32</v>
      </c>
      <c r="F153" s="387">
        <f>+'[2]APU 12.24'!E91</f>
        <v>34429.494880000006</v>
      </c>
      <c r="G153" s="387"/>
      <c r="H153" s="344">
        <f t="shared" si="181"/>
        <v>34429.494880000006</v>
      </c>
      <c r="I153" s="448">
        <f>+[2]SUBCONTRATOS!$D$44</f>
        <v>35416.5</v>
      </c>
      <c r="J153" s="452"/>
      <c r="K153" s="344">
        <f t="shared" si="182"/>
        <v>35416.5</v>
      </c>
      <c r="L153" s="387">
        <f>+'[2]APU 12.24'!K91</f>
        <v>1667.3180256186997</v>
      </c>
      <c r="M153" s="344">
        <f t="shared" si="183"/>
        <v>71513.312905618717</v>
      </c>
      <c r="N153" s="345">
        <f t="shared" si="174"/>
        <v>1101743.8361600002</v>
      </c>
      <c r="O153" s="345">
        <f t="shared" si="175"/>
        <v>0</v>
      </c>
      <c r="P153" s="345">
        <f t="shared" si="176"/>
        <v>1133328</v>
      </c>
      <c r="Q153" s="345">
        <f t="shared" si="177"/>
        <v>0</v>
      </c>
      <c r="R153" s="345">
        <f t="shared" si="178"/>
        <v>53354.176819798391</v>
      </c>
      <c r="S153" s="346">
        <f t="shared" si="184"/>
        <v>2288426.012979799</v>
      </c>
      <c r="T153" s="347"/>
      <c r="U153" s="613">
        <f t="shared" si="179"/>
        <v>95308</v>
      </c>
      <c r="V153" s="613">
        <f t="shared" si="180"/>
        <v>3049856</v>
      </c>
      <c r="X153" s="127"/>
    </row>
    <row r="154" spans="1:26" ht="13" outlineLevel="1" x14ac:dyDescent="0.3">
      <c r="A154" s="350">
        <v>18.09</v>
      </c>
      <c r="B154" s="350" t="s">
        <v>205</v>
      </c>
      <c r="C154" s="450" t="s">
        <v>376</v>
      </c>
      <c r="D154" s="188" t="s">
        <v>243</v>
      </c>
      <c r="E154" s="363">
        <f>+[2]Locales!DN121</f>
        <v>8</v>
      </c>
      <c r="F154" s="387">
        <f>+'[2]APU 12.24'!E64</f>
        <v>14804.6642249</v>
      </c>
      <c r="G154" s="452"/>
      <c r="H154" s="344">
        <f t="shared" si="181"/>
        <v>14804.6642249</v>
      </c>
      <c r="I154" s="448">
        <f>+[2]SUBCONTRATOS!$D$44</f>
        <v>35416.5</v>
      </c>
      <c r="J154" s="452"/>
      <c r="K154" s="344">
        <f t="shared" si="182"/>
        <v>35416.5</v>
      </c>
      <c r="L154" s="387">
        <f>+'[2]APU 12.24'!K64</f>
        <v>1667.3180256186997</v>
      </c>
      <c r="M154" s="344">
        <f t="shared" si="183"/>
        <v>51888.482250518697</v>
      </c>
      <c r="N154" s="345">
        <f t="shared" si="174"/>
        <v>118437.3137992</v>
      </c>
      <c r="O154" s="345">
        <f t="shared" si="175"/>
        <v>0</v>
      </c>
      <c r="P154" s="345">
        <f t="shared" si="176"/>
        <v>283332</v>
      </c>
      <c r="Q154" s="345">
        <f t="shared" si="177"/>
        <v>0</v>
      </c>
      <c r="R154" s="345">
        <f t="shared" si="178"/>
        <v>13338.544204949598</v>
      </c>
      <c r="S154" s="346">
        <f t="shared" si="184"/>
        <v>415107.85800414957</v>
      </c>
      <c r="T154" s="347"/>
      <c r="U154" s="613">
        <f t="shared" si="179"/>
        <v>69154</v>
      </c>
      <c r="V154" s="613">
        <f t="shared" si="180"/>
        <v>553232</v>
      </c>
      <c r="X154" s="127"/>
    </row>
    <row r="155" spans="1:26" ht="13" outlineLevel="1" x14ac:dyDescent="0.3">
      <c r="A155" s="350">
        <v>18.100000000000001</v>
      </c>
      <c r="B155" s="350" t="s">
        <v>205</v>
      </c>
      <c r="C155" s="450" t="s">
        <v>377</v>
      </c>
      <c r="D155" s="188" t="s">
        <v>243</v>
      </c>
      <c r="E155" s="363">
        <f>+[2]Locales!DS121</f>
        <v>8</v>
      </c>
      <c r="F155" s="387">
        <f>+'[2]APU 12.24'!E64</f>
        <v>14804.6642249</v>
      </c>
      <c r="G155" s="452"/>
      <c r="H155" s="344">
        <f t="shared" si="181"/>
        <v>14804.6642249</v>
      </c>
      <c r="I155" s="448">
        <f>+[2]SUBCONTRATOS!$D$44</f>
        <v>35416.5</v>
      </c>
      <c r="J155" s="452"/>
      <c r="K155" s="344">
        <f t="shared" si="182"/>
        <v>35416.5</v>
      </c>
      <c r="L155" s="387">
        <f>+'[2]APU 12.24'!K64</f>
        <v>1667.3180256186997</v>
      </c>
      <c r="M155" s="344">
        <f t="shared" si="183"/>
        <v>51888.482250518697</v>
      </c>
      <c r="N155" s="345">
        <f t="shared" si="174"/>
        <v>118437.3137992</v>
      </c>
      <c r="O155" s="345">
        <f t="shared" si="175"/>
        <v>0</v>
      </c>
      <c r="P155" s="345">
        <f t="shared" si="176"/>
        <v>283332</v>
      </c>
      <c r="Q155" s="345">
        <f t="shared" si="177"/>
        <v>0</v>
      </c>
      <c r="R155" s="345">
        <f t="shared" si="178"/>
        <v>13338.544204949598</v>
      </c>
      <c r="S155" s="346">
        <f t="shared" si="184"/>
        <v>415107.85800414957</v>
      </c>
      <c r="T155" s="347"/>
      <c r="U155" s="613">
        <f t="shared" si="179"/>
        <v>69154</v>
      </c>
      <c r="V155" s="613">
        <f t="shared" si="180"/>
        <v>553232</v>
      </c>
      <c r="X155" s="127"/>
    </row>
    <row r="156" spans="1:26" ht="13" outlineLevel="1" x14ac:dyDescent="0.3">
      <c r="A156" s="350">
        <v>18.11</v>
      </c>
      <c r="B156" s="350" t="s">
        <v>205</v>
      </c>
      <c r="C156" s="450" t="s">
        <v>378</v>
      </c>
      <c r="D156" s="188" t="s">
        <v>243</v>
      </c>
      <c r="E156" s="363">
        <f>+[2]Locales!DQ121</f>
        <v>26</v>
      </c>
      <c r="F156" s="387">
        <f>+'[2]APU 12.24'!E92</f>
        <v>12087.90438625</v>
      </c>
      <c r="G156" s="452"/>
      <c r="H156" s="344">
        <f t="shared" si="181"/>
        <v>12087.90438625</v>
      </c>
      <c r="I156" s="448">
        <f>+[2]SUBCONTRATOS!$D$42</f>
        <v>24807.3</v>
      </c>
      <c r="J156" s="452"/>
      <c r="K156" s="344">
        <f t="shared" si="182"/>
        <v>24807.3</v>
      </c>
      <c r="L156" s="387">
        <f>+'[2]APU 12.24'!K92</f>
        <v>1083.7567166521549</v>
      </c>
      <c r="M156" s="344">
        <f t="shared" si="183"/>
        <v>37978.961102902154</v>
      </c>
      <c r="N156" s="345">
        <f t="shared" si="174"/>
        <v>314285.5140425</v>
      </c>
      <c r="O156" s="345">
        <f t="shared" si="175"/>
        <v>0</v>
      </c>
      <c r="P156" s="345">
        <f t="shared" si="176"/>
        <v>644989.79999999993</v>
      </c>
      <c r="Q156" s="345">
        <f t="shared" si="177"/>
        <v>0</v>
      </c>
      <c r="R156" s="345">
        <f t="shared" si="178"/>
        <v>28177.674632956026</v>
      </c>
      <c r="S156" s="346">
        <f t="shared" si="184"/>
        <v>987452.98867545603</v>
      </c>
      <c r="T156" s="347"/>
      <c r="U156" s="613">
        <f t="shared" si="179"/>
        <v>50616</v>
      </c>
      <c r="V156" s="613">
        <f t="shared" si="180"/>
        <v>1316016</v>
      </c>
      <c r="X156" s="127"/>
    </row>
    <row r="157" spans="1:26" ht="13" outlineLevel="1" x14ac:dyDescent="0.3">
      <c r="A157" s="350">
        <v>18.12</v>
      </c>
      <c r="B157" s="350" t="s">
        <v>205</v>
      </c>
      <c r="C157" s="450" t="s">
        <v>379</v>
      </c>
      <c r="D157" s="188" t="s">
        <v>243</v>
      </c>
      <c r="E157" s="363">
        <f>+[2]Locales!DP121</f>
        <v>27</v>
      </c>
      <c r="F157" s="387">
        <f>+'[2]APU 12.24'!E92</f>
        <v>12087.90438625</v>
      </c>
      <c r="G157" s="452"/>
      <c r="H157" s="344">
        <f t="shared" si="181"/>
        <v>12087.90438625</v>
      </c>
      <c r="I157" s="448">
        <f>+[2]SUBCONTRATOS!$D$42</f>
        <v>24807.3</v>
      </c>
      <c r="J157" s="452"/>
      <c r="K157" s="344">
        <f t="shared" si="182"/>
        <v>24807.3</v>
      </c>
      <c r="L157" s="387">
        <f>+'[2]APU 12.24'!K92</f>
        <v>1083.7567166521549</v>
      </c>
      <c r="M157" s="344">
        <f t="shared" si="183"/>
        <v>37978.961102902154</v>
      </c>
      <c r="N157" s="345">
        <f t="shared" si="174"/>
        <v>326373.41842875001</v>
      </c>
      <c r="O157" s="345">
        <f t="shared" si="175"/>
        <v>0</v>
      </c>
      <c r="P157" s="345">
        <f t="shared" si="176"/>
        <v>669797.1</v>
      </c>
      <c r="Q157" s="345">
        <f t="shared" si="177"/>
        <v>0</v>
      </c>
      <c r="R157" s="345">
        <f t="shared" si="178"/>
        <v>29261.431349608181</v>
      </c>
      <c r="S157" s="346">
        <f t="shared" si="184"/>
        <v>1025431.9497783582</v>
      </c>
      <c r="T157" s="347"/>
      <c r="U157" s="613">
        <f t="shared" si="179"/>
        <v>50616</v>
      </c>
      <c r="V157" s="613">
        <f t="shared" si="180"/>
        <v>1366632</v>
      </c>
      <c r="X157" s="127"/>
    </row>
    <row r="158" spans="1:26" ht="13" outlineLevel="1" x14ac:dyDescent="0.3">
      <c r="A158" s="350">
        <v>18.13</v>
      </c>
      <c r="B158" s="350" t="s">
        <v>205</v>
      </c>
      <c r="C158" s="450" t="s">
        <v>380</v>
      </c>
      <c r="D158" s="188" t="s">
        <v>243</v>
      </c>
      <c r="E158" s="363">
        <f>+[2]Locales!DO121</f>
        <v>9</v>
      </c>
      <c r="F158" s="387">
        <f>+'[2]APU 12.24'!E92</f>
        <v>12087.90438625</v>
      </c>
      <c r="G158" s="452"/>
      <c r="H158" s="344">
        <f t="shared" si="181"/>
        <v>12087.90438625</v>
      </c>
      <c r="I158" s="448">
        <f>+[2]SUBCONTRATOS!$D$42</f>
        <v>24807.3</v>
      </c>
      <c r="J158" s="452"/>
      <c r="K158" s="344">
        <f t="shared" si="182"/>
        <v>24807.3</v>
      </c>
      <c r="L158" s="387">
        <f>+'[2]APU 12.24'!K92</f>
        <v>1083.7567166521549</v>
      </c>
      <c r="M158" s="344">
        <f t="shared" si="183"/>
        <v>37978.961102902154</v>
      </c>
      <c r="N158" s="345">
        <f t="shared" si="174"/>
        <v>108791.13947625</v>
      </c>
      <c r="O158" s="345">
        <f t="shared" si="175"/>
        <v>0</v>
      </c>
      <c r="P158" s="345">
        <f t="shared" si="176"/>
        <v>223265.69999999998</v>
      </c>
      <c r="Q158" s="345">
        <f t="shared" si="177"/>
        <v>0</v>
      </c>
      <c r="R158" s="345">
        <f t="shared" si="178"/>
        <v>9753.8104498693938</v>
      </c>
      <c r="S158" s="346">
        <f t="shared" si="184"/>
        <v>341810.64992611937</v>
      </c>
      <c r="T158" s="347"/>
      <c r="U158" s="613">
        <f t="shared" si="179"/>
        <v>50616</v>
      </c>
      <c r="V158" s="613">
        <f t="shared" si="180"/>
        <v>455544</v>
      </c>
      <c r="X158" s="127"/>
    </row>
    <row r="159" spans="1:26" ht="13" outlineLevel="1" x14ac:dyDescent="0.3">
      <c r="A159" s="350">
        <v>18.14</v>
      </c>
      <c r="B159" s="350" t="s">
        <v>205</v>
      </c>
      <c r="C159" s="450" t="s">
        <v>381</v>
      </c>
      <c r="D159" s="188" t="s">
        <v>243</v>
      </c>
      <c r="E159" s="363">
        <f>+[2]Locales!DR121</f>
        <v>29</v>
      </c>
      <c r="F159" s="387">
        <f>+'[2]APU 12.24'!E92</f>
        <v>12087.90438625</v>
      </c>
      <c r="G159" s="452"/>
      <c r="H159" s="344">
        <f t="shared" si="181"/>
        <v>12087.90438625</v>
      </c>
      <c r="I159" s="448">
        <f>+[2]SUBCONTRATOS!$D$42</f>
        <v>24807.3</v>
      </c>
      <c r="J159" s="452"/>
      <c r="K159" s="344">
        <f t="shared" si="182"/>
        <v>24807.3</v>
      </c>
      <c r="L159" s="387">
        <f>+'[2]APU 12.24'!K92</f>
        <v>1083.7567166521549</v>
      </c>
      <c r="M159" s="344">
        <f t="shared" si="183"/>
        <v>37978.961102902154</v>
      </c>
      <c r="N159" s="345">
        <f t="shared" si="174"/>
        <v>350549.22720125003</v>
      </c>
      <c r="O159" s="345">
        <f t="shared" si="175"/>
        <v>0</v>
      </c>
      <c r="P159" s="345">
        <f t="shared" si="176"/>
        <v>719411.7</v>
      </c>
      <c r="Q159" s="345">
        <f t="shared" si="177"/>
        <v>0</v>
      </c>
      <c r="R159" s="345">
        <f t="shared" si="178"/>
        <v>31428.944782912491</v>
      </c>
      <c r="S159" s="346">
        <f t="shared" si="184"/>
        <v>1101389.8719841626</v>
      </c>
      <c r="T159" s="347"/>
      <c r="U159" s="613">
        <f t="shared" si="179"/>
        <v>50616</v>
      </c>
      <c r="V159" s="613">
        <f t="shared" si="180"/>
        <v>1467864</v>
      </c>
      <c r="X159" s="127"/>
    </row>
    <row r="160" spans="1:26" ht="13" outlineLevel="1" x14ac:dyDescent="0.3">
      <c r="A160" s="350">
        <v>18.149999999999999</v>
      </c>
      <c r="B160" s="350" t="s">
        <v>205</v>
      </c>
      <c r="C160" s="450" t="s">
        <v>382</v>
      </c>
      <c r="D160" s="188" t="s">
        <v>243</v>
      </c>
      <c r="E160" s="363">
        <f>+[2]Locales!DT121</f>
        <v>3</v>
      </c>
      <c r="F160" s="387">
        <f>+'[2]APU 12.24'!E92</f>
        <v>12087.90438625</v>
      </c>
      <c r="G160" s="452"/>
      <c r="H160" s="344">
        <f t="shared" si="181"/>
        <v>12087.90438625</v>
      </c>
      <c r="I160" s="448">
        <f>+[2]SUBCONTRATOS!$D$42</f>
        <v>24807.3</v>
      </c>
      <c r="J160" s="452"/>
      <c r="K160" s="344">
        <f t="shared" si="182"/>
        <v>24807.3</v>
      </c>
      <c r="L160" s="387">
        <f>+'[2]APU 12.24'!K92</f>
        <v>1083.7567166521549</v>
      </c>
      <c r="M160" s="344">
        <f t="shared" si="183"/>
        <v>37978.961102902154</v>
      </c>
      <c r="N160" s="345">
        <f t="shared" si="174"/>
        <v>36263.713158750004</v>
      </c>
      <c r="O160" s="345">
        <f t="shared" si="175"/>
        <v>0</v>
      </c>
      <c r="P160" s="345">
        <f t="shared" si="176"/>
        <v>74421.899999999994</v>
      </c>
      <c r="Q160" s="345">
        <f t="shared" si="177"/>
        <v>0</v>
      </c>
      <c r="R160" s="345">
        <f t="shared" si="178"/>
        <v>3251.2701499564646</v>
      </c>
      <c r="S160" s="346">
        <f t="shared" si="184"/>
        <v>113936.88330870646</v>
      </c>
      <c r="T160" s="347"/>
      <c r="U160" s="613">
        <f t="shared" si="179"/>
        <v>50616</v>
      </c>
      <c r="V160" s="613">
        <f t="shared" si="180"/>
        <v>151848</v>
      </c>
      <c r="X160" s="127"/>
    </row>
    <row r="161" spans="1:24" ht="13" outlineLevel="1" x14ac:dyDescent="0.3">
      <c r="A161" s="350">
        <v>18.16</v>
      </c>
      <c r="B161" s="350" t="s">
        <v>205</v>
      </c>
      <c r="C161" s="450" t="s">
        <v>383</v>
      </c>
      <c r="D161" s="188" t="s">
        <v>243</v>
      </c>
      <c r="E161" s="363">
        <v>1</v>
      </c>
      <c r="F161" s="448">
        <f>+[2]ELECT!H5</f>
        <v>1310987.0203636363</v>
      </c>
      <c r="G161" s="454"/>
      <c r="H161" s="344">
        <f t="shared" si="181"/>
        <v>1310987.0203636363</v>
      </c>
      <c r="I161" s="448">
        <f>+[2]SUBCONTRATOS!D52</f>
        <v>349202.7</v>
      </c>
      <c r="J161" s="454"/>
      <c r="K161" s="344">
        <f t="shared" si="182"/>
        <v>349202.7</v>
      </c>
      <c r="L161" s="343">
        <f>(H161+K161)*0.015</f>
        <v>24902.845805454544</v>
      </c>
      <c r="M161" s="344">
        <f t="shared" si="183"/>
        <v>1685092.5661690908</v>
      </c>
      <c r="N161" s="345">
        <f t="shared" si="174"/>
        <v>1310987.0203636363</v>
      </c>
      <c r="O161" s="345">
        <f t="shared" si="175"/>
        <v>0</v>
      </c>
      <c r="P161" s="345">
        <f t="shared" si="176"/>
        <v>349202.7</v>
      </c>
      <c r="Q161" s="345">
        <f t="shared" si="177"/>
        <v>0</v>
      </c>
      <c r="R161" s="345">
        <f t="shared" si="178"/>
        <v>24902.845805454544</v>
      </c>
      <c r="S161" s="346">
        <f t="shared" si="184"/>
        <v>1685092.5661690908</v>
      </c>
      <c r="T161" s="347"/>
      <c r="U161" s="613">
        <f t="shared" si="179"/>
        <v>2245770</v>
      </c>
      <c r="V161" s="613">
        <f t="shared" si="180"/>
        <v>2245770</v>
      </c>
      <c r="X161" s="127"/>
    </row>
    <row r="162" spans="1:24" ht="13" outlineLevel="1" x14ac:dyDescent="0.3">
      <c r="A162" s="350">
        <v>18.170000000000002</v>
      </c>
      <c r="B162" s="350" t="s">
        <v>205</v>
      </c>
      <c r="C162" s="450" t="s">
        <v>384</v>
      </c>
      <c r="D162" s="188" t="s">
        <v>243</v>
      </c>
      <c r="E162" s="363">
        <v>1</v>
      </c>
      <c r="F162" s="448">
        <f>+[2]ELECT!H24</f>
        <v>592217.14204958675</v>
      </c>
      <c r="G162" s="452"/>
      <c r="H162" s="344">
        <f t="shared" si="181"/>
        <v>592217.14204958675</v>
      </c>
      <c r="I162" s="448">
        <f>+[2]SUBCONTRATOS!$D$51</f>
        <v>232812.45</v>
      </c>
      <c r="J162" s="452"/>
      <c r="K162" s="344">
        <f t="shared" si="182"/>
        <v>232812.45</v>
      </c>
      <c r="L162" s="343">
        <f t="shared" ref="L162:L177" si="185">(H162+K162)*0.015</f>
        <v>12375.443880743802</v>
      </c>
      <c r="M162" s="344">
        <f t="shared" si="183"/>
        <v>837405.03593033063</v>
      </c>
      <c r="N162" s="345">
        <f t="shared" si="174"/>
        <v>592217.14204958675</v>
      </c>
      <c r="O162" s="345">
        <f t="shared" si="175"/>
        <v>0</v>
      </c>
      <c r="P162" s="345">
        <f t="shared" si="176"/>
        <v>232812.45</v>
      </c>
      <c r="Q162" s="345">
        <f t="shared" si="177"/>
        <v>0</v>
      </c>
      <c r="R162" s="345">
        <f t="shared" si="178"/>
        <v>12375.443880743802</v>
      </c>
      <c r="S162" s="346">
        <f t="shared" si="184"/>
        <v>837405.03593033063</v>
      </c>
      <c r="T162" s="347"/>
      <c r="U162" s="613">
        <f t="shared" si="179"/>
        <v>1116033</v>
      </c>
      <c r="V162" s="613">
        <f t="shared" si="180"/>
        <v>1116033</v>
      </c>
      <c r="X162" s="127"/>
    </row>
    <row r="163" spans="1:24" ht="13" outlineLevel="1" x14ac:dyDescent="0.3">
      <c r="A163" s="350">
        <v>18.18</v>
      </c>
      <c r="B163" s="350" t="s">
        <v>205</v>
      </c>
      <c r="C163" s="450" t="s">
        <v>385</v>
      </c>
      <c r="D163" s="188" t="s">
        <v>243</v>
      </c>
      <c r="E163" s="363">
        <v>2</v>
      </c>
      <c r="F163" s="349">
        <f>+[2]ELECT!H41</f>
        <v>159726.77404958676</v>
      </c>
      <c r="G163" s="1304"/>
      <c r="H163" s="344">
        <f t="shared" si="181"/>
        <v>159726.77404958676</v>
      </c>
      <c r="I163" s="448">
        <f>+[2]SUBCONTRATOS!$D$51</f>
        <v>232812.45</v>
      </c>
      <c r="J163" s="452"/>
      <c r="K163" s="344">
        <f t="shared" si="182"/>
        <v>232812.45</v>
      </c>
      <c r="L163" s="343">
        <f t="shared" si="185"/>
        <v>5888.0883607438018</v>
      </c>
      <c r="M163" s="344">
        <f t="shared" si="183"/>
        <v>398427.31241033063</v>
      </c>
      <c r="N163" s="345">
        <f t="shared" si="174"/>
        <v>319453.54809917352</v>
      </c>
      <c r="O163" s="345">
        <f t="shared" si="175"/>
        <v>0</v>
      </c>
      <c r="P163" s="345">
        <f t="shared" si="176"/>
        <v>465624.9</v>
      </c>
      <c r="Q163" s="345">
        <f t="shared" si="177"/>
        <v>0</v>
      </c>
      <c r="R163" s="345">
        <f t="shared" si="178"/>
        <v>11776.176721487604</v>
      </c>
      <c r="S163" s="346">
        <f t="shared" si="184"/>
        <v>796854.62482066127</v>
      </c>
      <c r="T163" s="347"/>
      <c r="U163" s="613">
        <f t="shared" si="179"/>
        <v>530996</v>
      </c>
      <c r="V163" s="613">
        <f t="shared" si="180"/>
        <v>1061992</v>
      </c>
      <c r="X163" s="127"/>
    </row>
    <row r="164" spans="1:24" ht="13" outlineLevel="1" x14ac:dyDescent="0.3">
      <c r="A164" s="350">
        <v>18.190000000000001</v>
      </c>
      <c r="B164" s="350" t="s">
        <v>205</v>
      </c>
      <c r="C164" s="450" t="s">
        <v>386</v>
      </c>
      <c r="D164" s="188" t="s">
        <v>243</v>
      </c>
      <c r="E164" s="363">
        <f>+[2]Locales!DD121</f>
        <v>9</v>
      </c>
      <c r="F164" s="448">
        <f>+[2]ELECT!H51</f>
        <v>207344.83200000002</v>
      </c>
      <c r="G164" s="452"/>
      <c r="H164" s="344">
        <f t="shared" si="181"/>
        <v>207344.83200000002</v>
      </c>
      <c r="I164" s="448">
        <f>+[2]SUBCONTRATOS!$D$51</f>
        <v>232812.45</v>
      </c>
      <c r="J164" s="452"/>
      <c r="K164" s="344">
        <f t="shared" si="182"/>
        <v>232812.45</v>
      </c>
      <c r="L164" s="343">
        <f t="shared" si="185"/>
        <v>6602.35923</v>
      </c>
      <c r="M164" s="344">
        <f t="shared" si="183"/>
        <v>446759.64123000001</v>
      </c>
      <c r="N164" s="345">
        <f t="shared" si="174"/>
        <v>1866103.4880000001</v>
      </c>
      <c r="O164" s="345">
        <f t="shared" si="175"/>
        <v>0</v>
      </c>
      <c r="P164" s="345">
        <f t="shared" si="176"/>
        <v>2095312.05</v>
      </c>
      <c r="Q164" s="345">
        <f t="shared" si="177"/>
        <v>0</v>
      </c>
      <c r="R164" s="345">
        <f t="shared" si="178"/>
        <v>59421.233070000002</v>
      </c>
      <c r="S164" s="346">
        <f t="shared" si="184"/>
        <v>4020836.7710700002</v>
      </c>
      <c r="T164" s="347"/>
      <c r="U164" s="613">
        <f t="shared" si="179"/>
        <v>595409</v>
      </c>
      <c r="V164" s="613">
        <f t="shared" si="180"/>
        <v>5358681</v>
      </c>
      <c r="X164" s="127"/>
    </row>
    <row r="165" spans="1:24" ht="13" outlineLevel="1" x14ac:dyDescent="0.3">
      <c r="A165" s="350">
        <v>18.2</v>
      </c>
      <c r="B165" s="350" t="s">
        <v>205</v>
      </c>
      <c r="C165" s="450" t="s">
        <v>387</v>
      </c>
      <c r="D165" s="188" t="s">
        <v>207</v>
      </c>
      <c r="E165" s="363">
        <v>1</v>
      </c>
      <c r="F165" s="454">
        <f>+[2]Tareas!H283</f>
        <v>3200954.2587479339</v>
      </c>
      <c r="G165" s="454">
        <f>+[2]Tareas!I283</f>
        <v>0</v>
      </c>
      <c r="H165" s="344">
        <f t="shared" si="181"/>
        <v>3200954.2587479339</v>
      </c>
      <c r="I165" s="454">
        <f>+[2]Tareas!Q283</f>
        <v>0</v>
      </c>
      <c r="J165" s="454">
        <f>+[2]Tareas!R283</f>
        <v>1514201.6879314398</v>
      </c>
      <c r="K165" s="344">
        <f t="shared" si="182"/>
        <v>1514201.6879314398</v>
      </c>
      <c r="L165" s="343">
        <f t="shared" si="185"/>
        <v>70727.339200190618</v>
      </c>
      <c r="M165" s="344">
        <f t="shared" si="183"/>
        <v>4785883.2858795645</v>
      </c>
      <c r="N165" s="345">
        <f t="shared" si="174"/>
        <v>3200954.2587479339</v>
      </c>
      <c r="O165" s="345">
        <f t="shared" si="175"/>
        <v>0</v>
      </c>
      <c r="P165" s="345">
        <f t="shared" si="176"/>
        <v>0</v>
      </c>
      <c r="Q165" s="345">
        <f t="shared" si="177"/>
        <v>1514201.6879314398</v>
      </c>
      <c r="R165" s="345">
        <f t="shared" si="178"/>
        <v>70727.339200190618</v>
      </c>
      <c r="S165" s="346">
        <f t="shared" si="184"/>
        <v>4785883.2858795645</v>
      </c>
      <c r="T165" s="347"/>
      <c r="U165" s="613">
        <f t="shared" si="179"/>
        <v>6378278</v>
      </c>
      <c r="V165" s="613">
        <f t="shared" si="180"/>
        <v>6378278</v>
      </c>
      <c r="X165" s="127"/>
    </row>
    <row r="166" spans="1:24" ht="13" outlineLevel="1" x14ac:dyDescent="0.3">
      <c r="A166" s="350">
        <v>18.21</v>
      </c>
      <c r="B166" s="350" t="s">
        <v>205</v>
      </c>
      <c r="C166" s="450" t="s">
        <v>388</v>
      </c>
      <c r="D166" s="188" t="s">
        <v>207</v>
      </c>
      <c r="E166" s="363">
        <v>1</v>
      </c>
      <c r="F166" s="454">
        <f>+[2]Tareas!H287</f>
        <v>496467.83559999999</v>
      </c>
      <c r="G166" s="454">
        <f>+[2]Tareas!I287</f>
        <v>0</v>
      </c>
      <c r="H166" s="344">
        <f t="shared" si="181"/>
        <v>496467.83559999999</v>
      </c>
      <c r="I166" s="454">
        <f>+[2]Tareas!Q287</f>
        <v>0</v>
      </c>
      <c r="J166" s="454">
        <f>+[2]Tareas!R287</f>
        <v>757100.8439657198</v>
      </c>
      <c r="K166" s="344">
        <f t="shared" si="182"/>
        <v>757100.8439657198</v>
      </c>
      <c r="L166" s="343">
        <f t="shared" si="185"/>
        <v>18803.530193485796</v>
      </c>
      <c r="M166" s="344">
        <f t="shared" si="183"/>
        <v>1272372.2097592056</v>
      </c>
      <c r="N166" s="345">
        <f t="shared" si="174"/>
        <v>496467.83559999999</v>
      </c>
      <c r="O166" s="345">
        <f t="shared" si="175"/>
        <v>0</v>
      </c>
      <c r="P166" s="345">
        <f t="shared" si="176"/>
        <v>0</v>
      </c>
      <c r="Q166" s="345">
        <f t="shared" si="177"/>
        <v>757100.8439657198</v>
      </c>
      <c r="R166" s="345">
        <f t="shared" si="178"/>
        <v>18803.530193485796</v>
      </c>
      <c r="S166" s="346">
        <f t="shared" si="184"/>
        <v>1272372.2097592056</v>
      </c>
      <c r="T166" s="347"/>
      <c r="U166" s="613">
        <f t="shared" si="179"/>
        <v>1695726</v>
      </c>
      <c r="V166" s="613">
        <f t="shared" si="180"/>
        <v>1695726</v>
      </c>
      <c r="X166" s="127"/>
    </row>
    <row r="167" spans="1:24" ht="13" outlineLevel="1" x14ac:dyDescent="0.3">
      <c r="A167" s="350">
        <v>18.22</v>
      </c>
      <c r="B167" s="350" t="s">
        <v>205</v>
      </c>
      <c r="C167" s="450" t="s">
        <v>389</v>
      </c>
      <c r="D167" s="188" t="s">
        <v>207</v>
      </c>
      <c r="E167" s="363">
        <v>1</v>
      </c>
      <c r="F167" s="454">
        <f>+[2]Tareas!H291</f>
        <v>496467.83559999999</v>
      </c>
      <c r="G167" s="454">
        <f>+[2]Tareas!I291</f>
        <v>0</v>
      </c>
      <c r="H167" s="344">
        <f t="shared" si="181"/>
        <v>496467.83559999999</v>
      </c>
      <c r="I167" s="454">
        <f>+[2]Tareas!Q291</f>
        <v>0</v>
      </c>
      <c r="J167" s="454">
        <f>+[2]Tareas!R291</f>
        <v>757100.8439657198</v>
      </c>
      <c r="K167" s="344">
        <f t="shared" si="182"/>
        <v>757100.8439657198</v>
      </c>
      <c r="L167" s="343">
        <f t="shared" si="185"/>
        <v>18803.530193485796</v>
      </c>
      <c r="M167" s="344">
        <f t="shared" si="183"/>
        <v>1272372.2097592056</v>
      </c>
      <c r="N167" s="345">
        <f t="shared" si="174"/>
        <v>496467.83559999999</v>
      </c>
      <c r="O167" s="345">
        <f t="shared" si="175"/>
        <v>0</v>
      </c>
      <c r="P167" s="345">
        <f t="shared" si="176"/>
        <v>0</v>
      </c>
      <c r="Q167" s="345">
        <f t="shared" si="177"/>
        <v>757100.8439657198</v>
      </c>
      <c r="R167" s="345">
        <f t="shared" si="178"/>
        <v>18803.530193485796</v>
      </c>
      <c r="S167" s="346">
        <f t="shared" si="184"/>
        <v>1272372.2097592056</v>
      </c>
      <c r="T167" s="347"/>
      <c r="U167" s="613">
        <f t="shared" si="179"/>
        <v>1695726</v>
      </c>
      <c r="V167" s="613">
        <f t="shared" si="180"/>
        <v>1695726</v>
      </c>
      <c r="X167" s="127"/>
    </row>
    <row r="168" spans="1:24" ht="13" outlineLevel="1" x14ac:dyDescent="0.3">
      <c r="A168" s="350">
        <v>18.23</v>
      </c>
      <c r="B168" s="350" t="s">
        <v>205</v>
      </c>
      <c r="C168" s="450" t="s">
        <v>390</v>
      </c>
      <c r="D168" s="188" t="s">
        <v>243</v>
      </c>
      <c r="E168" s="363">
        <f>+[2]Locales!CS121</f>
        <v>16</v>
      </c>
      <c r="F168" s="448"/>
      <c r="G168" s="452"/>
      <c r="H168" s="344">
        <f t="shared" si="181"/>
        <v>0</v>
      </c>
      <c r="I168" s="448">
        <f>+[2]SUBCONTRATOS!D47</f>
        <v>11816</v>
      </c>
      <c r="J168" s="452"/>
      <c r="K168" s="344">
        <f t="shared" si="182"/>
        <v>11816</v>
      </c>
      <c r="L168" s="343">
        <f t="shared" si="185"/>
        <v>177.23999999999998</v>
      </c>
      <c r="M168" s="344">
        <f t="shared" si="183"/>
        <v>11993.24</v>
      </c>
      <c r="N168" s="345">
        <f t="shared" si="174"/>
        <v>0</v>
      </c>
      <c r="O168" s="345">
        <f t="shared" si="175"/>
        <v>0</v>
      </c>
      <c r="P168" s="345">
        <f t="shared" si="176"/>
        <v>189056</v>
      </c>
      <c r="Q168" s="345">
        <f t="shared" si="177"/>
        <v>0</v>
      </c>
      <c r="R168" s="345">
        <f t="shared" si="178"/>
        <v>2835.8399999999997</v>
      </c>
      <c r="S168" s="346">
        <f t="shared" si="184"/>
        <v>191891.84</v>
      </c>
      <c r="T168" s="347"/>
      <c r="U168" s="613">
        <f t="shared" si="179"/>
        <v>15984</v>
      </c>
      <c r="V168" s="613">
        <f t="shared" si="180"/>
        <v>255744</v>
      </c>
      <c r="X168" s="127"/>
    </row>
    <row r="169" spans="1:24" ht="13" outlineLevel="1" x14ac:dyDescent="0.3">
      <c r="A169" s="350">
        <v>18.239999999999998</v>
      </c>
      <c r="B169" s="350" t="s">
        <v>205</v>
      </c>
      <c r="C169" s="450" t="s">
        <v>391</v>
      </c>
      <c r="D169" s="188" t="s">
        <v>243</v>
      </c>
      <c r="E169" s="363">
        <f>+[2]Locales!CY123</f>
        <v>140</v>
      </c>
      <c r="F169" s="454"/>
      <c r="G169" s="454"/>
      <c r="H169" s="344">
        <f t="shared" si="181"/>
        <v>0</v>
      </c>
      <c r="I169" s="448">
        <f>+[2]SUBCONTRATOS!$D$46</f>
        <v>7699.9999999999991</v>
      </c>
      <c r="J169" s="454"/>
      <c r="K169" s="344">
        <f t="shared" si="182"/>
        <v>7699.9999999999991</v>
      </c>
      <c r="L169" s="343">
        <f t="shared" si="185"/>
        <v>115.49999999999999</v>
      </c>
      <c r="M169" s="344">
        <f t="shared" si="183"/>
        <v>7815.4999999999991</v>
      </c>
      <c r="N169" s="345">
        <f t="shared" si="174"/>
        <v>0</v>
      </c>
      <c r="O169" s="345">
        <f t="shared" si="175"/>
        <v>0</v>
      </c>
      <c r="P169" s="345">
        <f t="shared" si="176"/>
        <v>1077999.9999999998</v>
      </c>
      <c r="Q169" s="345">
        <f t="shared" si="177"/>
        <v>0</v>
      </c>
      <c r="R169" s="345">
        <f t="shared" si="178"/>
        <v>16169.999999999998</v>
      </c>
      <c r="S169" s="346">
        <f t="shared" si="184"/>
        <v>1094169.9999999998</v>
      </c>
      <c r="T169" s="347"/>
      <c r="U169" s="613">
        <f t="shared" si="179"/>
        <v>10416</v>
      </c>
      <c r="V169" s="613">
        <f t="shared" si="180"/>
        <v>1458240</v>
      </c>
      <c r="X169" s="127"/>
    </row>
    <row r="170" spans="1:24" ht="13" outlineLevel="1" x14ac:dyDescent="0.3">
      <c r="A170" s="350">
        <v>18.25</v>
      </c>
      <c r="B170" s="350" t="s">
        <v>205</v>
      </c>
      <c r="C170" s="450" t="s">
        <v>392</v>
      </c>
      <c r="D170" s="188" t="s">
        <v>243</v>
      </c>
      <c r="E170" s="363">
        <f>+[2]Locales!DB123</f>
        <v>226</v>
      </c>
      <c r="F170" s="454"/>
      <c r="G170" s="454"/>
      <c r="H170" s="344">
        <f t="shared" si="181"/>
        <v>0</v>
      </c>
      <c r="I170" s="448">
        <f>+[2]SUBCONTRATOS!$D$46</f>
        <v>7699.9999999999991</v>
      </c>
      <c r="J170" s="454"/>
      <c r="K170" s="344">
        <f t="shared" si="182"/>
        <v>7699.9999999999991</v>
      </c>
      <c r="L170" s="343">
        <f t="shared" si="185"/>
        <v>115.49999999999999</v>
      </c>
      <c r="M170" s="344">
        <f t="shared" si="183"/>
        <v>7815.4999999999991</v>
      </c>
      <c r="N170" s="345">
        <f t="shared" si="174"/>
        <v>0</v>
      </c>
      <c r="O170" s="345">
        <f t="shared" si="175"/>
        <v>0</v>
      </c>
      <c r="P170" s="345">
        <f t="shared" si="176"/>
        <v>1740199.9999999998</v>
      </c>
      <c r="Q170" s="345">
        <f t="shared" si="177"/>
        <v>0</v>
      </c>
      <c r="R170" s="345">
        <f t="shared" si="178"/>
        <v>26102.999999999996</v>
      </c>
      <c r="S170" s="346">
        <f t="shared" si="184"/>
        <v>1766302.9999999998</v>
      </c>
      <c r="T170" s="347"/>
      <c r="U170" s="613">
        <f t="shared" si="179"/>
        <v>10416</v>
      </c>
      <c r="V170" s="613">
        <f t="shared" si="180"/>
        <v>2354016</v>
      </c>
      <c r="X170" s="127"/>
    </row>
    <row r="171" spans="1:24" ht="13" outlineLevel="1" x14ac:dyDescent="0.3">
      <c r="A171" s="350">
        <v>18.260000000000002</v>
      </c>
      <c r="B171" s="350" t="s">
        <v>205</v>
      </c>
      <c r="C171" s="450" t="s">
        <v>393</v>
      </c>
      <c r="D171" s="188" t="s">
        <v>243</v>
      </c>
      <c r="E171" s="363">
        <f>+[2]Locales!DN121</f>
        <v>8</v>
      </c>
      <c r="F171" s="454"/>
      <c r="G171" s="454"/>
      <c r="H171" s="344">
        <f t="shared" si="181"/>
        <v>0</v>
      </c>
      <c r="I171" s="448">
        <f>+[2]SUBCONTRATOS!D50</f>
        <v>18760</v>
      </c>
      <c r="J171" s="454"/>
      <c r="K171" s="344">
        <f t="shared" si="182"/>
        <v>18760</v>
      </c>
      <c r="L171" s="343">
        <f t="shared" si="185"/>
        <v>281.39999999999998</v>
      </c>
      <c r="M171" s="344">
        <f t="shared" si="183"/>
        <v>19041.400000000001</v>
      </c>
      <c r="N171" s="345">
        <f t="shared" si="174"/>
        <v>0</v>
      </c>
      <c r="O171" s="345">
        <f t="shared" si="175"/>
        <v>0</v>
      </c>
      <c r="P171" s="345">
        <f t="shared" si="176"/>
        <v>150080</v>
      </c>
      <c r="Q171" s="345">
        <f t="shared" si="177"/>
        <v>0</v>
      </c>
      <c r="R171" s="345">
        <f t="shared" si="178"/>
        <v>2251.1999999999998</v>
      </c>
      <c r="S171" s="346">
        <f t="shared" si="184"/>
        <v>152331.20000000001</v>
      </c>
      <c r="T171" s="347"/>
      <c r="U171" s="613">
        <f t="shared" si="179"/>
        <v>25377</v>
      </c>
      <c r="V171" s="613">
        <f t="shared" si="180"/>
        <v>203016</v>
      </c>
      <c r="X171" s="127"/>
    </row>
    <row r="172" spans="1:24" ht="13" outlineLevel="1" x14ac:dyDescent="0.3">
      <c r="A172" s="350">
        <v>18.27</v>
      </c>
      <c r="B172" s="350" t="s">
        <v>205</v>
      </c>
      <c r="C172" s="450" t="s">
        <v>394</v>
      </c>
      <c r="D172" s="188" t="s">
        <v>243</v>
      </c>
      <c r="E172" s="363">
        <f>+[2]Locales!CQ121</f>
        <v>24</v>
      </c>
      <c r="F172" s="454"/>
      <c r="G172" s="454"/>
      <c r="H172" s="344">
        <f t="shared" si="181"/>
        <v>0</v>
      </c>
      <c r="I172" s="448">
        <f>+[2]SUBCONTRATOS!D48</f>
        <v>68810</v>
      </c>
      <c r="J172" s="454"/>
      <c r="K172" s="344">
        <f t="shared" si="182"/>
        <v>68810</v>
      </c>
      <c r="L172" s="343">
        <f t="shared" si="185"/>
        <v>1032.1499999999999</v>
      </c>
      <c r="M172" s="344">
        <f t="shared" si="183"/>
        <v>69842.149999999994</v>
      </c>
      <c r="N172" s="345">
        <f t="shared" si="174"/>
        <v>0</v>
      </c>
      <c r="O172" s="345">
        <f t="shared" si="175"/>
        <v>0</v>
      </c>
      <c r="P172" s="345">
        <f t="shared" si="176"/>
        <v>1651440</v>
      </c>
      <c r="Q172" s="345">
        <f t="shared" si="177"/>
        <v>0</v>
      </c>
      <c r="R172" s="345">
        <f t="shared" si="178"/>
        <v>24771.599999999999</v>
      </c>
      <c r="S172" s="346">
        <f t="shared" si="184"/>
        <v>1676211.6</v>
      </c>
      <c r="T172" s="347"/>
      <c r="U172" s="613">
        <f t="shared" si="179"/>
        <v>93081</v>
      </c>
      <c r="V172" s="613">
        <f t="shared" si="180"/>
        <v>2233944</v>
      </c>
      <c r="X172" s="127"/>
    </row>
    <row r="173" spans="1:24" ht="13" outlineLevel="1" x14ac:dyDescent="0.3">
      <c r="A173" s="350">
        <v>18.28</v>
      </c>
      <c r="B173" s="350" t="s">
        <v>205</v>
      </c>
      <c r="C173" s="450" t="s">
        <v>395</v>
      </c>
      <c r="D173" s="188" t="s">
        <v>243</v>
      </c>
      <c r="E173" s="363">
        <f>+[2]Locales!CT121</f>
        <v>12</v>
      </c>
      <c r="F173" s="456"/>
      <c r="G173" s="452"/>
      <c r="H173" s="344">
        <f t="shared" si="181"/>
        <v>0</v>
      </c>
      <c r="I173" s="448">
        <f>+[2]SUBCONTRATOS!D50</f>
        <v>18760</v>
      </c>
      <c r="J173" s="452"/>
      <c r="K173" s="344">
        <f t="shared" si="182"/>
        <v>18760</v>
      </c>
      <c r="L173" s="343">
        <f t="shared" si="185"/>
        <v>281.39999999999998</v>
      </c>
      <c r="M173" s="344">
        <f t="shared" si="183"/>
        <v>19041.400000000001</v>
      </c>
      <c r="N173" s="345">
        <f t="shared" si="174"/>
        <v>0</v>
      </c>
      <c r="O173" s="345">
        <f t="shared" si="175"/>
        <v>0</v>
      </c>
      <c r="P173" s="345">
        <f t="shared" si="176"/>
        <v>225120</v>
      </c>
      <c r="Q173" s="345">
        <f t="shared" si="177"/>
        <v>0</v>
      </c>
      <c r="R173" s="345">
        <f t="shared" si="178"/>
        <v>3376.7999999999997</v>
      </c>
      <c r="S173" s="346">
        <f t="shared" si="184"/>
        <v>228496.8</v>
      </c>
      <c r="T173" s="347"/>
      <c r="U173" s="613">
        <f t="shared" si="179"/>
        <v>25377</v>
      </c>
      <c r="V173" s="613">
        <f t="shared" si="180"/>
        <v>304524</v>
      </c>
      <c r="X173" s="127"/>
    </row>
    <row r="174" spans="1:24" ht="13" outlineLevel="1" x14ac:dyDescent="0.3">
      <c r="A174" s="350">
        <v>18.2899999999999</v>
      </c>
      <c r="B174" s="350" t="s">
        <v>205</v>
      </c>
      <c r="C174" s="450" t="s">
        <v>396</v>
      </c>
      <c r="D174" s="188" t="s">
        <v>243</v>
      </c>
      <c r="E174" s="363">
        <v>1</v>
      </c>
      <c r="F174" s="456"/>
      <c r="G174" s="452"/>
      <c r="H174" s="344">
        <f t="shared" si="181"/>
        <v>0</v>
      </c>
      <c r="I174" s="448">
        <f>+[2]SUBCONTRATOS!D50</f>
        <v>18760</v>
      </c>
      <c r="J174" s="452"/>
      <c r="K174" s="344">
        <f t="shared" si="182"/>
        <v>18760</v>
      </c>
      <c r="L174" s="343">
        <f t="shared" si="185"/>
        <v>281.39999999999998</v>
      </c>
      <c r="M174" s="344">
        <f t="shared" si="183"/>
        <v>19041.400000000001</v>
      </c>
      <c r="N174" s="345">
        <f t="shared" si="174"/>
        <v>0</v>
      </c>
      <c r="O174" s="345">
        <f t="shared" si="175"/>
        <v>0</v>
      </c>
      <c r="P174" s="345">
        <f t="shared" si="176"/>
        <v>18760</v>
      </c>
      <c r="Q174" s="345">
        <f t="shared" si="177"/>
        <v>0</v>
      </c>
      <c r="R174" s="345">
        <f t="shared" si="178"/>
        <v>281.39999999999998</v>
      </c>
      <c r="S174" s="346">
        <f t="shared" si="184"/>
        <v>19041.400000000001</v>
      </c>
      <c r="T174" s="347"/>
      <c r="U174" s="613">
        <f t="shared" si="179"/>
        <v>25377</v>
      </c>
      <c r="V174" s="613">
        <f t="shared" si="180"/>
        <v>25377</v>
      </c>
      <c r="X174" s="127"/>
    </row>
    <row r="175" spans="1:24" ht="26" outlineLevel="1" x14ac:dyDescent="0.3">
      <c r="A175" s="350">
        <v>18.299999999999901</v>
      </c>
      <c r="B175" s="350" t="s">
        <v>205</v>
      </c>
      <c r="C175" s="450" t="s">
        <v>397</v>
      </c>
      <c r="D175" s="188" t="s">
        <v>243</v>
      </c>
      <c r="E175" s="363">
        <f>+[2]Locales!CR121</f>
        <v>109</v>
      </c>
      <c r="F175" s="456"/>
      <c r="G175" s="452"/>
      <c r="H175" s="344">
        <f t="shared" si="181"/>
        <v>0</v>
      </c>
      <c r="I175" s="457">
        <f>+[2]SUBCONTRATOS!D47</f>
        <v>11816</v>
      </c>
      <c r="J175" s="452"/>
      <c r="K175" s="344">
        <f t="shared" si="182"/>
        <v>11816</v>
      </c>
      <c r="L175" s="343">
        <f t="shared" si="185"/>
        <v>177.23999999999998</v>
      </c>
      <c r="M175" s="344">
        <f t="shared" si="183"/>
        <v>11993.24</v>
      </c>
      <c r="N175" s="345">
        <f t="shared" si="174"/>
        <v>0</v>
      </c>
      <c r="O175" s="345">
        <f t="shared" si="175"/>
        <v>0</v>
      </c>
      <c r="P175" s="345">
        <f t="shared" si="176"/>
        <v>1287944</v>
      </c>
      <c r="Q175" s="345">
        <f t="shared" si="177"/>
        <v>0</v>
      </c>
      <c r="R175" s="345">
        <f t="shared" si="178"/>
        <v>19319.159999999996</v>
      </c>
      <c r="S175" s="346">
        <f t="shared" si="184"/>
        <v>1307263.1599999999</v>
      </c>
      <c r="T175" s="347"/>
      <c r="U175" s="613">
        <f t="shared" si="179"/>
        <v>15984</v>
      </c>
      <c r="V175" s="613">
        <f t="shared" si="180"/>
        <v>1742256</v>
      </c>
      <c r="X175" s="127"/>
    </row>
    <row r="176" spans="1:24" ht="13" outlineLevel="1" x14ac:dyDescent="0.3">
      <c r="A176" s="350">
        <v>18.309999999999899</v>
      </c>
      <c r="B176" s="350" t="s">
        <v>205</v>
      </c>
      <c r="C176" s="450" t="s">
        <v>398</v>
      </c>
      <c r="D176" s="188" t="s">
        <v>207</v>
      </c>
      <c r="E176" s="363">
        <v>1</v>
      </c>
      <c r="F176" s="454">
        <f>+[2]Tareas!H295</f>
        <v>3075822.2460000007</v>
      </c>
      <c r="G176" s="454">
        <f>+[2]Tareas!I295</f>
        <v>0</v>
      </c>
      <c r="H176" s="344">
        <f t="shared" si="181"/>
        <v>3075822.2460000007</v>
      </c>
      <c r="I176" s="454">
        <f>+[2]Tareas!Q295</f>
        <v>1002579.2</v>
      </c>
      <c r="J176" s="454">
        <f>+[2]Tareas!R295</f>
        <v>0</v>
      </c>
      <c r="K176" s="344">
        <f t="shared" si="182"/>
        <v>1002579.2</v>
      </c>
      <c r="L176" s="343">
        <f t="shared" si="185"/>
        <v>61176.021690000001</v>
      </c>
      <c r="M176" s="344">
        <f t="shared" si="183"/>
        <v>4139577.4676900003</v>
      </c>
      <c r="N176" s="345">
        <f t="shared" si="174"/>
        <v>3075822.2460000007</v>
      </c>
      <c r="O176" s="345">
        <f t="shared" si="175"/>
        <v>0</v>
      </c>
      <c r="P176" s="345">
        <f t="shared" si="176"/>
        <v>1002579.2</v>
      </c>
      <c r="Q176" s="345">
        <f t="shared" si="177"/>
        <v>0</v>
      </c>
      <c r="R176" s="345">
        <f t="shared" si="178"/>
        <v>61176.021690000001</v>
      </c>
      <c r="S176" s="346">
        <f t="shared" si="184"/>
        <v>4139577.4676900003</v>
      </c>
      <c r="T176" s="347"/>
      <c r="U176" s="613">
        <f t="shared" si="179"/>
        <v>5516929</v>
      </c>
      <c r="V176" s="613">
        <f t="shared" si="180"/>
        <v>5516929</v>
      </c>
      <c r="X176" s="127"/>
    </row>
    <row r="177" spans="1:31" ht="13" outlineLevel="1" x14ac:dyDescent="0.3">
      <c r="A177" s="350">
        <v>18.319999999999901</v>
      </c>
      <c r="B177" s="350" t="s">
        <v>205</v>
      </c>
      <c r="C177" s="450" t="s">
        <v>399</v>
      </c>
      <c r="D177" s="188" t="s">
        <v>207</v>
      </c>
      <c r="E177" s="363">
        <v>1</v>
      </c>
      <c r="F177" s="454">
        <f>+[2]Tareas!H301</f>
        <v>570057.95256198349</v>
      </c>
      <c r="G177" s="454">
        <f>+[2]Tareas!I301</f>
        <v>0</v>
      </c>
      <c r="H177" s="344">
        <f t="shared" si="181"/>
        <v>570057.95256198349</v>
      </c>
      <c r="I177" s="343">
        <f>+[2]Tareas!Q305</f>
        <v>0</v>
      </c>
      <c r="J177" s="343">
        <f>+[2]Tareas!R305</f>
        <v>137815.66048314393</v>
      </c>
      <c r="K177" s="344">
        <f t="shared" si="182"/>
        <v>137815.66048314393</v>
      </c>
      <c r="L177" s="343">
        <f t="shared" si="185"/>
        <v>10618.10419567691</v>
      </c>
      <c r="M177" s="344">
        <f t="shared" si="183"/>
        <v>718491.71724080422</v>
      </c>
      <c r="N177" s="345">
        <f t="shared" si="174"/>
        <v>570057.95256198349</v>
      </c>
      <c r="O177" s="345">
        <f t="shared" si="175"/>
        <v>0</v>
      </c>
      <c r="P177" s="345">
        <f t="shared" si="176"/>
        <v>0</v>
      </c>
      <c r="Q177" s="345">
        <f t="shared" si="177"/>
        <v>137815.66048314393</v>
      </c>
      <c r="R177" s="345">
        <f t="shared" si="178"/>
        <v>10618.10419567691</v>
      </c>
      <c r="S177" s="346">
        <f t="shared" si="184"/>
        <v>718491.71724080422</v>
      </c>
      <c r="T177" s="347"/>
      <c r="U177" s="613">
        <f t="shared" si="179"/>
        <v>957554</v>
      </c>
      <c r="V177" s="613">
        <f t="shared" si="180"/>
        <v>957554</v>
      </c>
      <c r="X177" s="127"/>
      <c r="AA177" s="128">
        <v>4046.5</v>
      </c>
      <c r="AB177" s="1305">
        <v>45200</v>
      </c>
    </row>
    <row r="178" spans="1:31" ht="13" outlineLevel="1" x14ac:dyDescent="0.3">
      <c r="A178" s="350">
        <v>18.329999999999899</v>
      </c>
      <c r="B178" s="352" t="s">
        <v>205</v>
      </c>
      <c r="C178" s="458" t="s">
        <v>400</v>
      </c>
      <c r="D178" s="189" t="s">
        <v>207</v>
      </c>
      <c r="E178" s="379">
        <v>1</v>
      </c>
      <c r="F178" s="460"/>
      <c r="G178" s="461"/>
      <c r="H178" s="344">
        <f t="shared" si="181"/>
        <v>0</v>
      </c>
      <c r="I178" s="357">
        <f>+[2]SUBCONTRATOS!D15</f>
        <v>107023.5988771658</v>
      </c>
      <c r="J178" s="461"/>
      <c r="K178" s="344">
        <f t="shared" si="182"/>
        <v>107023.5988771658</v>
      </c>
      <c r="L178" s="343"/>
      <c r="M178" s="344">
        <f t="shared" si="183"/>
        <v>107023.5988771658</v>
      </c>
      <c r="N178" s="345">
        <f t="shared" si="174"/>
        <v>0</v>
      </c>
      <c r="O178" s="345">
        <f t="shared" si="175"/>
        <v>0</v>
      </c>
      <c r="P178" s="345">
        <f t="shared" si="176"/>
        <v>107023.5988771658</v>
      </c>
      <c r="Q178" s="345">
        <f t="shared" si="177"/>
        <v>0</v>
      </c>
      <c r="R178" s="345">
        <f t="shared" si="178"/>
        <v>0</v>
      </c>
      <c r="S178" s="346">
        <f t="shared" si="184"/>
        <v>107023.5988771658</v>
      </c>
      <c r="T178" s="435"/>
      <c r="U178" s="613">
        <f t="shared" si="179"/>
        <v>142634</v>
      </c>
      <c r="V178" s="613">
        <f t="shared" si="180"/>
        <v>142634</v>
      </c>
      <c r="X178" s="127"/>
      <c r="AA178" s="128">
        <v>12089.7</v>
      </c>
      <c r="AB178" s="1305">
        <v>45627</v>
      </c>
    </row>
    <row r="179" spans="1:31" ht="13" x14ac:dyDescent="0.3">
      <c r="A179" s="325">
        <v>19</v>
      </c>
      <c r="B179" s="326"/>
      <c r="C179" s="276" t="s">
        <v>401</v>
      </c>
      <c r="D179" s="177"/>
      <c r="E179" s="327"/>
      <c r="F179" s="327"/>
      <c r="G179" s="327"/>
      <c r="H179" s="327"/>
      <c r="I179" s="327"/>
      <c r="J179" s="327"/>
      <c r="K179" s="327"/>
      <c r="L179" s="327"/>
      <c r="M179" s="328"/>
      <c r="N179" s="327"/>
      <c r="O179" s="327"/>
      <c r="P179" s="327"/>
      <c r="Q179" s="327"/>
      <c r="R179" s="327"/>
      <c r="S179" s="327"/>
      <c r="T179" s="462"/>
      <c r="U179" s="657"/>
      <c r="V179" s="657"/>
      <c r="W179" s="658"/>
      <c r="Y179" s="127"/>
      <c r="AA179" s="129">
        <f>+AA178/AA177+0.04</f>
        <v>3.0276930680835292</v>
      </c>
      <c r="AB179" s="129"/>
    </row>
    <row r="180" spans="1:31" ht="13" outlineLevel="1" x14ac:dyDescent="0.3">
      <c r="A180" s="325"/>
      <c r="B180" s="326"/>
      <c r="C180" s="276" t="s">
        <v>402</v>
      </c>
      <c r="D180" s="177"/>
      <c r="E180" s="327"/>
      <c r="F180" s="327"/>
      <c r="G180" s="465"/>
      <c r="H180" s="465"/>
      <c r="I180" s="327"/>
      <c r="J180" s="327"/>
      <c r="K180" s="327"/>
      <c r="L180" s="327"/>
      <c r="M180" s="328"/>
      <c r="N180" s="327"/>
      <c r="O180" s="327"/>
      <c r="P180" s="327"/>
      <c r="Q180" s="327"/>
      <c r="R180" s="327"/>
      <c r="S180" s="327"/>
      <c r="T180" s="329">
        <f>SUM(S181:S183)</f>
        <v>15928209.179775041</v>
      </c>
      <c r="U180" s="465"/>
      <c r="V180" s="465"/>
      <c r="W180" s="651">
        <f>SUM(V181:V183)</f>
        <v>21227962</v>
      </c>
      <c r="X180" s="127">
        <f>+W180/$W$232</f>
        <v>1.5774040633585288E-2</v>
      </c>
      <c r="Y180" s="281"/>
      <c r="Z180" s="281" t="s">
        <v>574</v>
      </c>
      <c r="AA180" s="281" t="s">
        <v>575</v>
      </c>
      <c r="AB180" s="281"/>
      <c r="AC180" s="281" t="s">
        <v>576</v>
      </c>
      <c r="AD180" s="1306" t="s">
        <v>403</v>
      </c>
    </row>
    <row r="181" spans="1:31" ht="13" outlineLevel="1" x14ac:dyDescent="0.3">
      <c r="A181" s="331">
        <v>19.010000000000002</v>
      </c>
      <c r="B181" s="380" t="s">
        <v>205</v>
      </c>
      <c r="C181" s="466" t="s">
        <v>404</v>
      </c>
      <c r="D181" s="183" t="s">
        <v>207</v>
      </c>
      <c r="E181" s="131">
        <v>1</v>
      </c>
      <c r="F181" s="424">
        <f>+[2]CLOACAL!X8</f>
        <v>2201631.50655</v>
      </c>
      <c r="G181" s="131"/>
      <c r="H181" s="334">
        <f>F181+G181</f>
        <v>2201631.50655</v>
      </c>
      <c r="I181" s="424">
        <f>+[2]CLOACAL!AA8</f>
        <v>2820732.3578660213</v>
      </c>
      <c r="J181" s="131"/>
      <c r="K181" s="334">
        <f t="shared" ref="K181:K195" si="186">I181+J181</f>
        <v>2820732.3578660213</v>
      </c>
      <c r="L181" s="407">
        <f>(H181+K181)*0.015</f>
        <v>75335.457966240327</v>
      </c>
      <c r="M181" s="334">
        <f>H181+K181+L181</f>
        <v>5097699.322382262</v>
      </c>
      <c r="N181" s="335">
        <f>F181*E181</f>
        <v>2201631.50655</v>
      </c>
      <c r="O181" s="335">
        <f t="shared" ref="O181:O195" si="187">G181*E181</f>
        <v>0</v>
      </c>
      <c r="P181" s="335">
        <f t="shared" ref="P181:P193" si="188">I181*E181</f>
        <v>2820732.3578660213</v>
      </c>
      <c r="Q181" s="335">
        <f t="shared" ref="Q181:Q195" si="189">J181*E181</f>
        <v>0</v>
      </c>
      <c r="R181" s="335">
        <f t="shared" ref="R181:R193" si="190">+L181*E181</f>
        <v>75335.457966240327</v>
      </c>
      <c r="S181" s="336">
        <f>SUM(N181:R181)</f>
        <v>5097699.322382262</v>
      </c>
      <c r="T181" s="347"/>
      <c r="U181" s="618">
        <f t="shared" ref="U181:U183" si="191">+ROUNDUP(M181*$T$5,0)</f>
        <v>6793844</v>
      </c>
      <c r="V181" s="618">
        <f t="shared" ref="V181:V183" si="192">+U181*E181</f>
        <v>6793844</v>
      </c>
      <c r="X181" s="127"/>
      <c r="Y181" s="128" t="s">
        <v>799</v>
      </c>
      <c r="Z181" s="283">
        <f>4600000+2400000</f>
        <v>7000000</v>
      </c>
      <c r="AA181" s="283">
        <f>+Z181*$AA$179</f>
        <v>21193851.476584703</v>
      </c>
      <c r="AB181" s="370">
        <v>0.7</v>
      </c>
      <c r="AC181" s="283">
        <f>+AA181*AB181</f>
        <v>14835696.033609292</v>
      </c>
      <c r="AD181" s="283">
        <f>+SUM(I180:J187,I194:J195)</f>
        <v>14036588.257182317</v>
      </c>
    </row>
    <row r="182" spans="1:31" ht="13" outlineLevel="1" x14ac:dyDescent="0.3">
      <c r="A182" s="339">
        <v>19.02</v>
      </c>
      <c r="B182" s="350" t="s">
        <v>205</v>
      </c>
      <c r="C182" s="367" t="s">
        <v>405</v>
      </c>
      <c r="D182" s="180" t="s">
        <v>207</v>
      </c>
      <c r="E182" s="125">
        <v>1</v>
      </c>
      <c r="F182" s="349">
        <f>+[2]CLOACAL!X9</f>
        <v>2830669.0798500003</v>
      </c>
      <c r="G182" s="125"/>
      <c r="H182" s="344">
        <f>F182+G182</f>
        <v>2830669.0798500003</v>
      </c>
      <c r="I182" s="349">
        <f>+[2]CLOACAL!AA9</f>
        <v>4231098.5367990322</v>
      </c>
      <c r="J182" s="125"/>
      <c r="K182" s="344">
        <f t="shared" si="186"/>
        <v>4231098.5367990322</v>
      </c>
      <c r="L182" s="343">
        <f>(H182+K182)*0.015</f>
        <v>105926.51424973548</v>
      </c>
      <c r="M182" s="344">
        <f>H182+K182+L182</f>
        <v>7167694.1308987681</v>
      </c>
      <c r="N182" s="345">
        <f>F182*E182</f>
        <v>2830669.0798500003</v>
      </c>
      <c r="O182" s="345">
        <f t="shared" si="187"/>
        <v>0</v>
      </c>
      <c r="P182" s="345">
        <f t="shared" si="188"/>
        <v>4231098.5367990322</v>
      </c>
      <c r="Q182" s="345">
        <f t="shared" si="189"/>
        <v>0</v>
      </c>
      <c r="R182" s="345">
        <f t="shared" si="190"/>
        <v>105926.51424973548</v>
      </c>
      <c r="S182" s="346">
        <f>SUM(N182:R182)</f>
        <v>7167694.1308987681</v>
      </c>
      <c r="T182" s="347"/>
      <c r="U182" s="613">
        <f t="shared" si="191"/>
        <v>9552583</v>
      </c>
      <c r="V182" s="613">
        <f t="shared" si="192"/>
        <v>9552583</v>
      </c>
      <c r="X182" s="127"/>
      <c r="Y182" s="128" t="s">
        <v>581</v>
      </c>
      <c r="Z182" s="283">
        <f>8900000+500000</f>
        <v>9400000</v>
      </c>
      <c r="AA182" s="283">
        <f>+Z182*$AA$179</f>
        <v>28460314.839985173</v>
      </c>
      <c r="AB182" s="370">
        <v>0.7</v>
      </c>
      <c r="AC182" s="283">
        <f t="shared" ref="AC182:AC184" si="193">+AA182*AB182</f>
        <v>19922220.387989622</v>
      </c>
      <c r="AD182" s="283">
        <f>+SUM(I189:I193)</f>
        <v>17771824.648070071</v>
      </c>
    </row>
    <row r="183" spans="1:31" ht="13" outlineLevel="1" x14ac:dyDescent="0.3">
      <c r="A183" s="351">
        <v>19.03</v>
      </c>
      <c r="B183" s="352" t="s">
        <v>205</v>
      </c>
      <c r="C183" s="467" t="s">
        <v>406</v>
      </c>
      <c r="D183" s="190" t="s">
        <v>207</v>
      </c>
      <c r="E183" s="132">
        <v>1</v>
      </c>
      <c r="F183" s="357">
        <f>+[2]CLOACAL!X10</f>
        <v>1258075.1466000003</v>
      </c>
      <c r="G183" s="132"/>
      <c r="H183" s="356">
        <f>F183+G183</f>
        <v>1258075.1466000003</v>
      </c>
      <c r="I183" s="357">
        <f>+[2]CLOACAL!AA10</f>
        <v>2350610.2982216845</v>
      </c>
      <c r="J183" s="132"/>
      <c r="K183" s="356">
        <f t="shared" si="186"/>
        <v>2350610.2982216845</v>
      </c>
      <c r="L183" s="358">
        <f>(H183+K183)*0.015</f>
        <v>54130.281672325269</v>
      </c>
      <c r="M183" s="356">
        <f>H183+K183+L183</f>
        <v>3662815.7264940101</v>
      </c>
      <c r="N183" s="359">
        <f>F183*E183</f>
        <v>1258075.1466000003</v>
      </c>
      <c r="O183" s="359">
        <f t="shared" si="187"/>
        <v>0</v>
      </c>
      <c r="P183" s="359">
        <f t="shared" si="188"/>
        <v>2350610.2982216845</v>
      </c>
      <c r="Q183" s="359">
        <f t="shared" si="189"/>
        <v>0</v>
      </c>
      <c r="R183" s="359">
        <f t="shared" si="190"/>
        <v>54130.281672325269</v>
      </c>
      <c r="S183" s="360">
        <f>SUM(N183:R183)</f>
        <v>3662815.7264940101</v>
      </c>
      <c r="T183" s="347"/>
      <c r="U183" s="613">
        <f t="shared" si="191"/>
        <v>4881535</v>
      </c>
      <c r="V183" s="613">
        <f t="shared" si="192"/>
        <v>4881535</v>
      </c>
      <c r="X183" s="127"/>
      <c r="Y183" s="128" t="s">
        <v>582</v>
      </c>
      <c r="Z183" s="283">
        <v>1200000</v>
      </c>
      <c r="AA183" s="283">
        <f>+Z183*$AA$179</f>
        <v>3633231.6817002352</v>
      </c>
      <c r="AB183" s="370">
        <v>0.5</v>
      </c>
      <c r="AC183" s="283">
        <f t="shared" si="193"/>
        <v>1816615.8408501176</v>
      </c>
      <c r="AD183" s="283">
        <f>+I200</f>
        <v>1816615.8408501176</v>
      </c>
    </row>
    <row r="184" spans="1:31" ht="13" outlineLevel="1" x14ac:dyDescent="0.3">
      <c r="A184" s="468"/>
      <c r="B184" s="469"/>
      <c r="C184" s="470" t="s">
        <v>407</v>
      </c>
      <c r="D184" s="175"/>
      <c r="E184" s="312"/>
      <c r="F184" s="312"/>
      <c r="G184" s="312"/>
      <c r="H184" s="312"/>
      <c r="I184" s="312"/>
      <c r="J184" s="312"/>
      <c r="K184" s="312"/>
      <c r="L184" s="471"/>
      <c r="M184" s="312"/>
      <c r="N184" s="312"/>
      <c r="O184" s="312"/>
      <c r="P184" s="312"/>
      <c r="Q184" s="312"/>
      <c r="R184" s="312"/>
      <c r="S184" s="312"/>
      <c r="T184" s="329">
        <f>SUM(S185:S187)</f>
        <v>5309403.0599250123</v>
      </c>
      <c r="U184" s="465"/>
      <c r="V184" s="465"/>
      <c r="W184" s="651">
        <f>SUM(V185:V187)</f>
        <v>7075989</v>
      </c>
      <c r="X184" s="127">
        <f>+W184/$W$232</f>
        <v>5.2580147829924756E-3</v>
      </c>
      <c r="Y184" s="128" t="s">
        <v>800</v>
      </c>
      <c r="Z184" s="283">
        <v>2300000</v>
      </c>
      <c r="AA184" s="283">
        <f>+Z184*$AA$179</f>
        <v>6963694.0565921171</v>
      </c>
      <c r="AB184" s="370">
        <v>3</v>
      </c>
      <c r="AC184" s="283">
        <f t="shared" si="193"/>
        <v>20891082.16977635</v>
      </c>
      <c r="AD184" s="283">
        <f>+SUM(I202:I205)</f>
        <v>19200475.374326639</v>
      </c>
    </row>
    <row r="185" spans="1:31" ht="13" outlineLevel="1" x14ac:dyDescent="0.3">
      <c r="A185" s="331">
        <v>19.04</v>
      </c>
      <c r="B185" s="380" t="s">
        <v>205</v>
      </c>
      <c r="C185" s="466" t="s">
        <v>408</v>
      </c>
      <c r="D185" s="183" t="s">
        <v>207</v>
      </c>
      <c r="E185" s="131">
        <v>1</v>
      </c>
      <c r="F185" s="424">
        <f>+[2]CLOACAL!X12</f>
        <v>733877.16885000002</v>
      </c>
      <c r="G185" s="131"/>
      <c r="H185" s="334">
        <f>F185+G185</f>
        <v>733877.16885000002</v>
      </c>
      <c r="I185" s="424">
        <f>+[2]CLOACAL!AA12</f>
        <v>1096951.4725034526</v>
      </c>
      <c r="J185" s="131"/>
      <c r="K185" s="334">
        <f t="shared" si="186"/>
        <v>1096951.4725034526</v>
      </c>
      <c r="L185" s="407">
        <f>(H185+K185)*0.015</f>
        <v>27462.429620301788</v>
      </c>
      <c r="M185" s="334">
        <f>H185+K185+L185</f>
        <v>1858291.0709737544</v>
      </c>
      <c r="N185" s="335">
        <f>F185*E185</f>
        <v>733877.16885000002</v>
      </c>
      <c r="O185" s="335">
        <f t="shared" si="187"/>
        <v>0</v>
      </c>
      <c r="P185" s="335">
        <f t="shared" si="188"/>
        <v>1096951.4725034526</v>
      </c>
      <c r="Q185" s="335">
        <f t="shared" si="189"/>
        <v>0</v>
      </c>
      <c r="R185" s="335">
        <f t="shared" si="190"/>
        <v>27462.429620301788</v>
      </c>
      <c r="S185" s="336">
        <f>SUM(N185:R185)</f>
        <v>1858291.0709737544</v>
      </c>
      <c r="T185" s="287"/>
      <c r="U185" s="613">
        <f>+ROUNDUP(M185*$T$5,0)</f>
        <v>2476596</v>
      </c>
      <c r="V185" s="613">
        <f>+U185*E185</f>
        <v>2476596</v>
      </c>
      <c r="X185" s="127"/>
      <c r="Z185" s="283">
        <f>SUM(Z181:Z184)</f>
        <v>19900000</v>
      </c>
      <c r="AA185" s="283">
        <f>SUM(AA181:AA184)</f>
        <v>60251092.054862231</v>
      </c>
      <c r="AB185" s="129"/>
      <c r="AC185" s="283">
        <f>+SUM(AC181:AC184)</f>
        <v>57465614.432225376</v>
      </c>
      <c r="AD185" s="283">
        <f>+SUM(AD181:AD184)</f>
        <v>52825504.120429143</v>
      </c>
      <c r="AE185" s="370">
        <f>+AD185/AC185</f>
        <v>0.91925414253999227</v>
      </c>
    </row>
    <row r="186" spans="1:31" ht="13" outlineLevel="1" x14ac:dyDescent="0.3">
      <c r="A186" s="339">
        <v>19.05</v>
      </c>
      <c r="B186" s="350" t="s">
        <v>205</v>
      </c>
      <c r="C186" s="367" t="s">
        <v>409</v>
      </c>
      <c r="D186" s="180" t="s">
        <v>207</v>
      </c>
      <c r="E186" s="125">
        <v>1</v>
      </c>
      <c r="F186" s="349">
        <f>+[2]CLOACAL!X13</f>
        <v>1048395.9555000002</v>
      </c>
      <c r="G186" s="125"/>
      <c r="H186" s="344">
        <f>F186+G186</f>
        <v>1048395.9555000002</v>
      </c>
      <c r="I186" s="349">
        <f>+[2]CLOACAL!AA13</f>
        <v>1567073.5321477896</v>
      </c>
      <c r="J186" s="125"/>
      <c r="K186" s="344">
        <f t="shared" si="186"/>
        <v>1567073.5321477896</v>
      </c>
      <c r="L186" s="343">
        <f>(H186+K186)*0.015</f>
        <v>39232.04231471684</v>
      </c>
      <c r="M186" s="344">
        <f>H186+K186+L186</f>
        <v>2654701.5299625061</v>
      </c>
      <c r="N186" s="345">
        <f>F186*E186</f>
        <v>1048395.9555000002</v>
      </c>
      <c r="O186" s="345">
        <f t="shared" si="187"/>
        <v>0</v>
      </c>
      <c r="P186" s="345">
        <f t="shared" si="188"/>
        <v>1567073.5321477896</v>
      </c>
      <c r="Q186" s="345">
        <f t="shared" si="189"/>
        <v>0</v>
      </c>
      <c r="R186" s="345">
        <f t="shared" si="190"/>
        <v>39232.04231471684</v>
      </c>
      <c r="S186" s="346">
        <f>SUM(N186:R186)</f>
        <v>2654701.5299625061</v>
      </c>
      <c r="T186" s="287"/>
      <c r="U186" s="613">
        <f>+ROUNDUP(M186*$T$5,0)</f>
        <v>3537994</v>
      </c>
      <c r="V186" s="613">
        <f>+U186*E186</f>
        <v>3537994</v>
      </c>
      <c r="X186" s="127"/>
    </row>
    <row r="187" spans="1:31" ht="13" outlineLevel="1" x14ac:dyDescent="0.3">
      <c r="A187" s="351">
        <v>19.059999999999999</v>
      </c>
      <c r="B187" s="350" t="s">
        <v>205</v>
      </c>
      <c r="C187" s="467" t="s">
        <v>410</v>
      </c>
      <c r="D187" s="190" t="s">
        <v>207</v>
      </c>
      <c r="E187" s="132">
        <v>1</v>
      </c>
      <c r="F187" s="357">
        <f>+[2]CLOACAL!X14</f>
        <v>314518.78665000002</v>
      </c>
      <c r="G187" s="132"/>
      <c r="H187" s="356">
        <f>F187+G187</f>
        <v>314518.78665000002</v>
      </c>
      <c r="I187" s="357">
        <f>+[2]CLOACAL!AA14</f>
        <v>470122.05964433687</v>
      </c>
      <c r="J187" s="132"/>
      <c r="K187" s="356">
        <f t="shared" si="186"/>
        <v>470122.05964433687</v>
      </c>
      <c r="L187" s="358">
        <f>(H187+K187)*0.015</f>
        <v>11769.612694415055</v>
      </c>
      <c r="M187" s="356">
        <f>H187+K187+L187</f>
        <v>796410.45898875198</v>
      </c>
      <c r="N187" s="359">
        <f>F187*E187</f>
        <v>314518.78665000002</v>
      </c>
      <c r="O187" s="359">
        <f t="shared" si="187"/>
        <v>0</v>
      </c>
      <c r="P187" s="359">
        <f t="shared" si="188"/>
        <v>470122.05964433687</v>
      </c>
      <c r="Q187" s="359">
        <f t="shared" si="189"/>
        <v>0</v>
      </c>
      <c r="R187" s="359">
        <f t="shared" si="190"/>
        <v>11769.612694415055</v>
      </c>
      <c r="S187" s="360">
        <f>SUM(N187:R187)</f>
        <v>796410.45898875198</v>
      </c>
      <c r="T187" s="287"/>
      <c r="U187" s="613">
        <f>+ROUNDUP(M187*$T$5,0)</f>
        <v>1061399</v>
      </c>
      <c r="V187" s="613">
        <f>+U187*E187</f>
        <v>1061399</v>
      </c>
      <c r="X187" s="127"/>
    </row>
    <row r="188" spans="1:31" ht="13" outlineLevel="1" x14ac:dyDescent="0.3">
      <c r="A188" s="325"/>
      <c r="B188" s="326"/>
      <c r="C188" s="276" t="s">
        <v>411</v>
      </c>
      <c r="D188" s="177"/>
      <c r="E188" s="327"/>
      <c r="F188" s="327"/>
      <c r="G188" s="327"/>
      <c r="H188" s="327"/>
      <c r="I188" s="327"/>
      <c r="J188" s="327"/>
      <c r="K188" s="327"/>
      <c r="L188" s="327"/>
      <c r="M188" s="328"/>
      <c r="N188" s="327"/>
      <c r="O188" s="327"/>
      <c r="P188" s="327"/>
      <c r="Q188" s="327"/>
      <c r="R188" s="327"/>
      <c r="S188" s="327"/>
      <c r="T188" s="329">
        <f>SUM(S189:S193)</f>
        <v>26134089.788157117</v>
      </c>
      <c r="U188" s="465"/>
      <c r="V188" s="465"/>
      <c r="W188" s="651">
        <f>SUM(V189:V193)</f>
        <v>34829620</v>
      </c>
      <c r="X188" s="127">
        <f>+W188/$W$232</f>
        <v>2.5881139279047831E-2</v>
      </c>
    </row>
    <row r="189" spans="1:31" ht="13" outlineLevel="1" x14ac:dyDescent="0.3">
      <c r="A189" s="380">
        <v>19.07</v>
      </c>
      <c r="B189" s="380" t="s">
        <v>205</v>
      </c>
      <c r="C189" s="473" t="s">
        <v>412</v>
      </c>
      <c r="D189" s="183" t="s">
        <v>207</v>
      </c>
      <c r="E189" s="131">
        <v>1</v>
      </c>
      <c r="F189" s="424">
        <f>+[2]AF.AC!X6</f>
        <v>892886.95565999974</v>
      </c>
      <c r="G189" s="131"/>
      <c r="H189" s="334">
        <f t="shared" ref="H189:H193" si="194">F189+G189</f>
        <v>892886.95565999974</v>
      </c>
      <c r="I189" s="424">
        <f>+[2]AF.AC!AA6</f>
        <v>1519457.5765793482</v>
      </c>
      <c r="J189" s="131"/>
      <c r="K189" s="334">
        <f t="shared" si="186"/>
        <v>1519457.5765793482</v>
      </c>
      <c r="L189" s="407">
        <f>(H189+K189)*0.015</f>
        <v>36185.16798359021</v>
      </c>
      <c r="M189" s="334">
        <f t="shared" ref="M189:M193" si="195">H189+K189+L189</f>
        <v>2448529.7002229379</v>
      </c>
      <c r="N189" s="335">
        <f t="shared" ref="N189:N193" si="196">F189*E189</f>
        <v>892886.95565999974</v>
      </c>
      <c r="O189" s="335">
        <f t="shared" si="187"/>
        <v>0</v>
      </c>
      <c r="P189" s="335">
        <f t="shared" si="188"/>
        <v>1519457.5765793482</v>
      </c>
      <c r="Q189" s="335">
        <f t="shared" si="189"/>
        <v>0</v>
      </c>
      <c r="R189" s="335">
        <f t="shared" si="190"/>
        <v>36185.16798359021</v>
      </c>
      <c r="S189" s="336">
        <f t="shared" ref="S189:S193" si="197">SUM(N189:R189)</f>
        <v>2448529.7002229379</v>
      </c>
      <c r="T189" s="337"/>
      <c r="U189" s="611">
        <f t="shared" ref="U189:U193" si="198">+ROUNDUP(M189*$T$5,0)</f>
        <v>3263223</v>
      </c>
      <c r="V189" s="611">
        <f t="shared" ref="V189:V193" si="199">+U189*E189</f>
        <v>3263223</v>
      </c>
      <c r="X189" s="127"/>
    </row>
    <row r="190" spans="1:31" ht="13" outlineLevel="1" x14ac:dyDescent="0.3">
      <c r="A190" s="350">
        <v>19.079999999999998</v>
      </c>
      <c r="B190" s="350" t="s">
        <v>205</v>
      </c>
      <c r="C190" s="474" t="s">
        <v>413</v>
      </c>
      <c r="D190" s="180" t="s">
        <v>207</v>
      </c>
      <c r="E190" s="125">
        <v>1</v>
      </c>
      <c r="F190" s="349">
        <f>+[2]AF.AC!X7</f>
        <v>1190515.9408799997</v>
      </c>
      <c r="G190" s="125"/>
      <c r="H190" s="344">
        <f t="shared" si="194"/>
        <v>1190515.9408799997</v>
      </c>
      <c r="I190" s="349">
        <f>+[2]AF.AC!AA7</f>
        <v>1519457.5765793482</v>
      </c>
      <c r="J190" s="125"/>
      <c r="K190" s="344">
        <f t="shared" si="186"/>
        <v>1519457.5765793482</v>
      </c>
      <c r="L190" s="343">
        <f>(H190+K190)*0.015</f>
        <v>40649.602761890215</v>
      </c>
      <c r="M190" s="344">
        <f t="shared" si="195"/>
        <v>2750623.1202212381</v>
      </c>
      <c r="N190" s="345">
        <f t="shared" si="196"/>
        <v>1190515.9408799997</v>
      </c>
      <c r="O190" s="345">
        <f t="shared" si="187"/>
        <v>0</v>
      </c>
      <c r="P190" s="345">
        <f t="shared" si="188"/>
        <v>1519457.5765793482</v>
      </c>
      <c r="Q190" s="345">
        <f t="shared" si="189"/>
        <v>0</v>
      </c>
      <c r="R190" s="345">
        <f t="shared" si="190"/>
        <v>40649.602761890215</v>
      </c>
      <c r="S190" s="346">
        <f t="shared" si="197"/>
        <v>2750623.1202212381</v>
      </c>
      <c r="T190" s="347"/>
      <c r="U190" s="613">
        <f t="shared" si="198"/>
        <v>3665831</v>
      </c>
      <c r="V190" s="613">
        <f t="shared" si="199"/>
        <v>3665831</v>
      </c>
      <c r="X190" s="127"/>
    </row>
    <row r="191" spans="1:31" ht="13" outlineLevel="1" x14ac:dyDescent="0.3">
      <c r="A191" s="350">
        <v>19.09</v>
      </c>
      <c r="B191" s="350" t="s">
        <v>205</v>
      </c>
      <c r="C191" s="475" t="s">
        <v>414</v>
      </c>
      <c r="D191" s="180" t="s">
        <v>207</v>
      </c>
      <c r="E191" s="125">
        <v>1</v>
      </c>
      <c r="F191" s="349">
        <f>+[2]AF.AC!X8</f>
        <v>892886.95565999974</v>
      </c>
      <c r="G191" s="125"/>
      <c r="H191" s="344">
        <f t="shared" si="194"/>
        <v>892886.95565999974</v>
      </c>
      <c r="I191" s="349">
        <f>+[2]AF.AC!AA8</f>
        <v>1519457.5765793482</v>
      </c>
      <c r="J191" s="125"/>
      <c r="K191" s="344">
        <f t="shared" si="186"/>
        <v>1519457.5765793482</v>
      </c>
      <c r="L191" s="343">
        <f>(H191+K191)*0.015</f>
        <v>36185.16798359021</v>
      </c>
      <c r="M191" s="344">
        <f t="shared" si="195"/>
        <v>2448529.7002229379</v>
      </c>
      <c r="N191" s="345">
        <f t="shared" si="196"/>
        <v>892886.95565999974</v>
      </c>
      <c r="O191" s="345">
        <f t="shared" si="187"/>
        <v>0</v>
      </c>
      <c r="P191" s="345">
        <f t="shared" si="188"/>
        <v>1519457.5765793482</v>
      </c>
      <c r="Q191" s="345">
        <f t="shared" si="189"/>
        <v>0</v>
      </c>
      <c r="R191" s="345">
        <f t="shared" si="190"/>
        <v>36185.16798359021</v>
      </c>
      <c r="S191" s="346">
        <f t="shared" ref="S191:S192" si="200">SUM(N191:R191)</f>
        <v>2448529.7002229379</v>
      </c>
      <c r="T191" s="347"/>
      <c r="U191" s="613">
        <f t="shared" si="198"/>
        <v>3263223</v>
      </c>
      <c r="V191" s="613">
        <f t="shared" si="199"/>
        <v>3263223</v>
      </c>
      <c r="X191" s="127"/>
    </row>
    <row r="192" spans="1:31" ht="13" outlineLevel="1" x14ac:dyDescent="0.3">
      <c r="A192" s="350">
        <v>19.100000000000001</v>
      </c>
      <c r="B192" s="350" t="s">
        <v>205</v>
      </c>
      <c r="C192" s="474" t="s">
        <v>415</v>
      </c>
      <c r="D192" s="180" t="s">
        <v>207</v>
      </c>
      <c r="E192" s="125">
        <v>1</v>
      </c>
      <c r="F192" s="349">
        <f>+[2]AF.AC!X9</f>
        <v>2976289.8521999991</v>
      </c>
      <c r="G192" s="125"/>
      <c r="H192" s="344">
        <f t="shared" si="194"/>
        <v>2976289.8521999991</v>
      </c>
      <c r="I192" s="349">
        <f>+[2]AF.AC!AA9</f>
        <v>10636203.036055434</v>
      </c>
      <c r="J192" s="340"/>
      <c r="K192" s="344">
        <f t="shared" si="186"/>
        <v>10636203.036055434</v>
      </c>
      <c r="L192" s="343">
        <f>(H192+K192)*0.015</f>
        <v>204187.39332383149</v>
      </c>
      <c r="M192" s="344">
        <f t="shared" si="195"/>
        <v>13816680.281579265</v>
      </c>
      <c r="N192" s="345">
        <f t="shared" si="196"/>
        <v>2976289.8521999991</v>
      </c>
      <c r="O192" s="345">
        <f t="shared" si="187"/>
        <v>0</v>
      </c>
      <c r="P192" s="345">
        <f t="shared" si="188"/>
        <v>10636203.036055434</v>
      </c>
      <c r="Q192" s="345">
        <f t="shared" si="189"/>
        <v>0</v>
      </c>
      <c r="R192" s="345">
        <f t="shared" si="190"/>
        <v>204187.39332383149</v>
      </c>
      <c r="S192" s="346">
        <f t="shared" si="200"/>
        <v>13816680.281579265</v>
      </c>
      <c r="T192" s="347"/>
      <c r="U192" s="613">
        <f t="shared" si="198"/>
        <v>18413869</v>
      </c>
      <c r="V192" s="613">
        <f t="shared" si="199"/>
        <v>18413869</v>
      </c>
      <c r="X192" s="127"/>
    </row>
    <row r="193" spans="1:30" ht="13" outlineLevel="1" x14ac:dyDescent="0.3">
      <c r="A193" s="350">
        <v>19.11</v>
      </c>
      <c r="B193" s="352" t="s">
        <v>205</v>
      </c>
      <c r="C193" s="476" t="s">
        <v>416</v>
      </c>
      <c r="D193" s="190" t="s">
        <v>207</v>
      </c>
      <c r="E193" s="132">
        <v>1</v>
      </c>
      <c r="F193" s="357">
        <f>+[2]AF.AC!X10</f>
        <v>2023467.3600000003</v>
      </c>
      <c r="G193" s="132"/>
      <c r="H193" s="356">
        <f t="shared" si="194"/>
        <v>2023467.3600000003</v>
      </c>
      <c r="I193" s="357">
        <f>+[2]AF.AC!AA10</f>
        <v>2577248.8822765904</v>
      </c>
      <c r="J193" s="132"/>
      <c r="K193" s="356">
        <f t="shared" si="186"/>
        <v>2577248.8822765904</v>
      </c>
      <c r="L193" s="358">
        <f>(H193+K193)*0.015</f>
        <v>69010.74363414885</v>
      </c>
      <c r="M193" s="356">
        <f t="shared" si="195"/>
        <v>4669726.9859107388</v>
      </c>
      <c r="N193" s="359">
        <f t="shared" si="196"/>
        <v>2023467.3600000003</v>
      </c>
      <c r="O193" s="359">
        <f t="shared" si="187"/>
        <v>0</v>
      </c>
      <c r="P193" s="359">
        <f t="shared" si="188"/>
        <v>2577248.8822765904</v>
      </c>
      <c r="Q193" s="359">
        <f t="shared" si="189"/>
        <v>0</v>
      </c>
      <c r="R193" s="359">
        <f t="shared" si="190"/>
        <v>69010.74363414885</v>
      </c>
      <c r="S193" s="360">
        <f t="shared" si="197"/>
        <v>4669726.9859107388</v>
      </c>
      <c r="T193" s="435"/>
      <c r="U193" s="616">
        <f t="shared" si="198"/>
        <v>6223474</v>
      </c>
      <c r="V193" s="616">
        <f t="shared" si="199"/>
        <v>6223474</v>
      </c>
      <c r="X193" s="127"/>
    </row>
    <row r="194" spans="1:30" ht="13" outlineLevel="1" x14ac:dyDescent="0.3">
      <c r="A194" s="325"/>
      <c r="B194" s="326"/>
      <c r="C194" s="276" t="s">
        <v>417</v>
      </c>
      <c r="D194" s="177"/>
      <c r="E194" s="327"/>
      <c r="F194" s="327"/>
      <c r="G194" s="327"/>
      <c r="H194" s="327"/>
      <c r="I194" s="327"/>
      <c r="J194" s="327"/>
      <c r="K194" s="327"/>
      <c r="L194" s="327"/>
      <c r="M194" s="328"/>
      <c r="N194" s="327"/>
      <c r="O194" s="327">
        <f t="shared" si="187"/>
        <v>0</v>
      </c>
      <c r="P194" s="327"/>
      <c r="Q194" s="327">
        <f t="shared" si="189"/>
        <v>0</v>
      </c>
      <c r="R194" s="327"/>
      <c r="S194" s="327"/>
      <c r="T194" s="329">
        <f>SUM(S195)</f>
        <v>1979250</v>
      </c>
      <c r="U194" s="465"/>
      <c r="V194" s="465"/>
      <c r="W194" s="651">
        <f>SUM(V195)</f>
        <v>2637801</v>
      </c>
      <c r="X194" s="127">
        <f>+W194/$W$232</f>
        <v>1.960093020578796E-3</v>
      </c>
    </row>
    <row r="195" spans="1:30" ht="13" outlineLevel="1" x14ac:dyDescent="0.3">
      <c r="A195" s="339">
        <v>19.12</v>
      </c>
      <c r="B195" s="350" t="s">
        <v>205</v>
      </c>
      <c r="C195" s="367" t="s">
        <v>418</v>
      </c>
      <c r="D195" s="180" t="s">
        <v>207</v>
      </c>
      <c r="E195" s="125">
        <v>1</v>
      </c>
      <c r="F195" s="349">
        <f>+I195*0.3</f>
        <v>450000</v>
      </c>
      <c r="G195" s="125"/>
      <c r="H195" s="344">
        <f>F195+G195</f>
        <v>450000</v>
      </c>
      <c r="I195" s="357">
        <v>1500000</v>
      </c>
      <c r="J195" s="125"/>
      <c r="K195" s="344">
        <f t="shared" si="186"/>
        <v>1500000</v>
      </c>
      <c r="L195" s="407">
        <f>(H195+K195)*0.015</f>
        <v>29250</v>
      </c>
      <c r="M195" s="344">
        <f>H195+K195+L195</f>
        <v>1979250</v>
      </c>
      <c r="N195" s="345">
        <f>F195*E195</f>
        <v>450000</v>
      </c>
      <c r="O195" s="345">
        <f t="shared" si="187"/>
        <v>0</v>
      </c>
      <c r="P195" s="345">
        <f t="shared" ref="P195" si="201">I195*E195</f>
        <v>1500000</v>
      </c>
      <c r="Q195" s="345">
        <f t="shared" si="189"/>
        <v>0</v>
      </c>
      <c r="R195" s="345">
        <f t="shared" ref="R195" si="202">+L195*E195</f>
        <v>29250</v>
      </c>
      <c r="S195" s="346">
        <f>SUM(N195:R195)</f>
        <v>1979250</v>
      </c>
      <c r="T195" s="347"/>
      <c r="U195" s="613">
        <f>+ROUNDUP(M195*$T$5,0)</f>
        <v>2637801</v>
      </c>
      <c r="V195" s="613">
        <f>+U195*E195</f>
        <v>2637801</v>
      </c>
      <c r="X195" s="127"/>
      <c r="AD195" s="184"/>
    </row>
    <row r="196" spans="1:30" ht="13" outlineLevel="1" x14ac:dyDescent="0.3">
      <c r="A196" s="325"/>
      <c r="B196" s="326"/>
      <c r="C196" s="276" t="s">
        <v>419</v>
      </c>
      <c r="D196" s="177"/>
      <c r="E196" s="327"/>
      <c r="F196" s="327"/>
      <c r="G196" s="327"/>
      <c r="H196" s="327"/>
      <c r="I196" s="327"/>
      <c r="J196" s="327"/>
      <c r="K196" s="327"/>
      <c r="L196" s="327"/>
      <c r="M196" s="328"/>
      <c r="N196" s="327"/>
      <c r="O196" s="327"/>
      <c r="P196" s="327"/>
      <c r="Q196" s="327"/>
      <c r="R196" s="327"/>
      <c r="S196" s="327"/>
      <c r="T196" s="329">
        <f>SUM(S197:S198)</f>
        <v>29851985.93750082</v>
      </c>
      <c r="U196" s="465"/>
      <c r="V196" s="465"/>
      <c r="W196" s="651">
        <f>SUM(V197:V198)</f>
        <v>39784561</v>
      </c>
      <c r="X196" s="127">
        <f>+W196/$W$232</f>
        <v>2.9563049048389689E-2</v>
      </c>
      <c r="AD196" s="184"/>
    </row>
    <row r="197" spans="1:30" ht="13" outlineLevel="1" x14ac:dyDescent="0.3">
      <c r="A197" s="331">
        <v>19.13</v>
      </c>
      <c r="B197" s="380" t="s">
        <v>205</v>
      </c>
      <c r="C197" s="466" t="s">
        <v>420</v>
      </c>
      <c r="D197" s="183" t="s">
        <v>207</v>
      </c>
      <c r="E197" s="131">
        <v>1</v>
      </c>
      <c r="F197" s="424">
        <f>+[2]CALEFA!G11</f>
        <v>6864779.654000001</v>
      </c>
      <c r="G197" s="131"/>
      <c r="H197" s="334">
        <f>F197+G197</f>
        <v>6864779.654000001</v>
      </c>
      <c r="I197" s="424">
        <f>+[2]SUBCONTRATOS!D63</f>
        <v>19750412.024770182</v>
      </c>
      <c r="J197" s="131"/>
      <c r="K197" s="334">
        <f t="shared" ref="K197:K198" si="203">I197+J197</f>
        <v>19750412.024770182</v>
      </c>
      <c r="L197" s="407">
        <f>(H197+K197)*0.015</f>
        <v>399227.87518155278</v>
      </c>
      <c r="M197" s="334">
        <f>H197+K197+L197</f>
        <v>27014419.553951737</v>
      </c>
      <c r="N197" s="335">
        <f>F197*E197</f>
        <v>6864779.654000001</v>
      </c>
      <c r="O197" s="335">
        <f t="shared" ref="O197:O198" si="204">G197*E197</f>
        <v>0</v>
      </c>
      <c r="P197" s="335">
        <f t="shared" ref="P197:P198" si="205">I197*E197</f>
        <v>19750412.024770182</v>
      </c>
      <c r="Q197" s="335">
        <f t="shared" ref="Q197:Q198" si="206">J197*E197</f>
        <v>0</v>
      </c>
      <c r="R197" s="335">
        <f t="shared" ref="R197:R198" si="207">+L197*E197</f>
        <v>399227.87518155278</v>
      </c>
      <c r="S197" s="336">
        <f>SUM(N197:R197)</f>
        <v>27014419.553951737</v>
      </c>
      <c r="T197" s="287"/>
      <c r="U197" s="613">
        <f>+ROUNDUP(M197*$T$5,0)</f>
        <v>36002858</v>
      </c>
      <c r="V197" s="613">
        <f>+U197*E197</f>
        <v>36002858</v>
      </c>
      <c r="X197" s="127"/>
      <c r="AD197" s="184"/>
    </row>
    <row r="198" spans="1:30" ht="13" outlineLevel="1" x14ac:dyDescent="0.3">
      <c r="A198" s="351">
        <v>19.14</v>
      </c>
      <c r="B198" s="352" t="s">
        <v>205</v>
      </c>
      <c r="C198" s="467" t="s">
        <v>421</v>
      </c>
      <c r="D198" s="190" t="s">
        <v>207</v>
      </c>
      <c r="E198" s="132">
        <v>1</v>
      </c>
      <c r="F198" s="357">
        <f>+[2]CALEFA!F26</f>
        <v>601141.68000000005</v>
      </c>
      <c r="G198" s="132"/>
      <c r="H198" s="356">
        <f>F198+G198</f>
        <v>601141.68000000005</v>
      </c>
      <c r="I198" s="357">
        <f>+[2]SUBCONTRATOS!D64</f>
        <v>2194490.2249744646</v>
      </c>
      <c r="J198" s="132"/>
      <c r="K198" s="356">
        <f t="shared" si="203"/>
        <v>2194490.2249744646</v>
      </c>
      <c r="L198" s="358">
        <f>(H198+K198)*0.015</f>
        <v>41934.478574616973</v>
      </c>
      <c r="M198" s="356">
        <f>H198+K198+L198</f>
        <v>2837566.3835490816</v>
      </c>
      <c r="N198" s="359">
        <f>F198*E198</f>
        <v>601141.68000000005</v>
      </c>
      <c r="O198" s="359">
        <f t="shared" si="204"/>
        <v>0</v>
      </c>
      <c r="P198" s="359">
        <f t="shared" si="205"/>
        <v>2194490.2249744646</v>
      </c>
      <c r="Q198" s="359">
        <f t="shared" si="206"/>
        <v>0</v>
      </c>
      <c r="R198" s="359">
        <f t="shared" si="207"/>
        <v>41934.478574616973</v>
      </c>
      <c r="S198" s="360">
        <f>SUM(N198:R198)</f>
        <v>2837566.3835490816</v>
      </c>
      <c r="T198" s="287"/>
      <c r="U198" s="613">
        <f>+ROUNDUP(M198*$T$5,0)</f>
        <v>3781703</v>
      </c>
      <c r="V198" s="613">
        <f>+U198*E198</f>
        <v>3781703</v>
      </c>
      <c r="X198" s="127"/>
      <c r="AD198" s="184"/>
    </row>
    <row r="199" spans="1:30" ht="13" outlineLevel="1" x14ac:dyDescent="0.3">
      <c r="A199" s="325"/>
      <c r="B199" s="326"/>
      <c r="C199" s="276" t="s">
        <v>422</v>
      </c>
      <c r="D199" s="177"/>
      <c r="E199" s="327"/>
      <c r="F199" s="327"/>
      <c r="G199" s="327"/>
      <c r="H199" s="327"/>
      <c r="I199" s="327"/>
      <c r="J199" s="327"/>
      <c r="K199" s="327"/>
      <c r="L199" s="327"/>
      <c r="M199" s="477"/>
      <c r="N199" s="327"/>
      <c r="O199" s="327"/>
      <c r="P199" s="327"/>
      <c r="Q199" s="327"/>
      <c r="R199" s="327"/>
      <c r="S199" s="327"/>
      <c r="T199" s="329">
        <f>SUM(S200)</f>
        <v>4831450.3611028688</v>
      </c>
      <c r="U199" s="465"/>
      <c r="V199" s="465"/>
      <c r="W199" s="651">
        <f>SUM(V200)</f>
        <v>6439007</v>
      </c>
      <c r="X199" s="127">
        <f>+W199/$W$232</f>
        <v>4.7846871997387266E-3</v>
      </c>
    </row>
    <row r="200" spans="1:30" ht="13" outlineLevel="1" x14ac:dyDescent="0.3">
      <c r="A200" s="339">
        <v>19.149999999999999</v>
      </c>
      <c r="B200" s="350" t="s">
        <v>205</v>
      </c>
      <c r="C200" s="450" t="s">
        <v>423</v>
      </c>
      <c r="D200" s="180" t="s">
        <v>207</v>
      </c>
      <c r="E200" s="125">
        <v>1</v>
      </c>
      <c r="F200" s="357">
        <f>+[2]INCEND!H5</f>
        <v>2943433.7760000001</v>
      </c>
      <c r="G200" s="452"/>
      <c r="H200" s="344">
        <f>F200+G200</f>
        <v>2943433.7760000001</v>
      </c>
      <c r="I200" s="349">
        <f>+AC183</f>
        <v>1816615.8408501176</v>
      </c>
      <c r="J200" s="349"/>
      <c r="K200" s="344">
        <f t="shared" ref="K200" si="208">I200+J200</f>
        <v>1816615.8408501176</v>
      </c>
      <c r="L200" s="407">
        <f>(H200+K200)*0.015</f>
        <v>71400.744252751756</v>
      </c>
      <c r="M200" s="344">
        <f>H200+K200+L200</f>
        <v>4831450.3611028688</v>
      </c>
      <c r="N200" s="345">
        <f>F200*E200</f>
        <v>2943433.7760000001</v>
      </c>
      <c r="O200" s="345">
        <f t="shared" ref="O200" si="209">G200*E200</f>
        <v>0</v>
      </c>
      <c r="P200" s="345">
        <f t="shared" ref="P200" si="210">I200*E200</f>
        <v>1816615.8408501176</v>
      </c>
      <c r="Q200" s="345">
        <f t="shared" ref="Q200" si="211">J200*E200</f>
        <v>0</v>
      </c>
      <c r="R200" s="345">
        <f t="shared" ref="R200" si="212">+L200*E200</f>
        <v>71400.744252751756</v>
      </c>
      <c r="S200" s="346">
        <f>SUM(N200:R200)</f>
        <v>4831450.3611028688</v>
      </c>
      <c r="T200" s="347"/>
      <c r="U200" s="613">
        <f>+ROUNDUP(M200*$T$5,0)</f>
        <v>6439007</v>
      </c>
      <c r="V200" s="613">
        <f>+U200*E200</f>
        <v>6439007</v>
      </c>
      <c r="X200" s="127"/>
    </row>
    <row r="201" spans="1:30" ht="13" outlineLevel="1" x14ac:dyDescent="0.3">
      <c r="A201" s="325"/>
      <c r="B201" s="326"/>
      <c r="C201" s="276" t="s">
        <v>424</v>
      </c>
      <c r="D201" s="177"/>
      <c r="E201" s="327"/>
      <c r="F201" s="327"/>
      <c r="G201" s="327"/>
      <c r="H201" s="327"/>
      <c r="I201" s="327"/>
      <c r="J201" s="327"/>
      <c r="K201" s="327"/>
      <c r="L201" s="327"/>
      <c r="M201" s="328"/>
      <c r="N201" s="327"/>
      <c r="O201" s="327"/>
      <c r="P201" s="327"/>
      <c r="Q201" s="327"/>
      <c r="R201" s="327"/>
      <c r="S201" s="327"/>
      <c r="T201" s="329">
        <f>SUM(S202:S205)</f>
        <v>24890892.298613142</v>
      </c>
      <c r="U201" s="465"/>
      <c r="V201" s="465"/>
      <c r="W201" s="651">
        <f>SUM(V202:V205)</f>
        <v>33172785</v>
      </c>
      <c r="X201" s="127">
        <f>+W201/$W$232</f>
        <v>2.4649980931715842E-2</v>
      </c>
    </row>
    <row r="202" spans="1:30" ht="13" outlineLevel="1" x14ac:dyDescent="0.3">
      <c r="A202" s="339">
        <v>19.16</v>
      </c>
      <c r="B202" s="350" t="s">
        <v>236</v>
      </c>
      <c r="C202" s="474" t="s">
        <v>425</v>
      </c>
      <c r="D202" s="180" t="s">
        <v>207</v>
      </c>
      <c r="E202" s="125">
        <v>1</v>
      </c>
      <c r="F202" s="349">
        <f>+[2]GAS!G29</f>
        <v>5213745.5347999996</v>
      </c>
      <c r="G202" s="125"/>
      <c r="H202" s="344">
        <f t="shared" ref="H202:H205" si="213">F202+G202</f>
        <v>5213745.5347999996</v>
      </c>
      <c r="I202" s="411">
        <f>+F202*3</f>
        <v>15641236.604399998</v>
      </c>
      <c r="J202" s="125"/>
      <c r="K202" s="344">
        <f t="shared" ref="K202:K205" si="214">I202+J202</f>
        <v>15641236.604399998</v>
      </c>
      <c r="L202" s="407"/>
      <c r="M202" s="344">
        <f t="shared" ref="M202:M205" si="215">H202+K202+L202</f>
        <v>20854982.139199998</v>
      </c>
      <c r="N202" s="345">
        <f t="shared" ref="N202:N205" si="216">F202*E202</f>
        <v>5213745.5347999996</v>
      </c>
      <c r="O202" s="345">
        <f t="shared" ref="O202:O205" si="217">G202*E202</f>
        <v>0</v>
      </c>
      <c r="P202" s="345">
        <f t="shared" ref="P202:P205" si="218">I202*E202</f>
        <v>15641236.604399998</v>
      </c>
      <c r="Q202" s="345">
        <f t="shared" ref="Q202:Q205" si="219">J202*E202</f>
        <v>0</v>
      </c>
      <c r="R202" s="345">
        <f t="shared" ref="R202:R205" si="220">+L202*E202</f>
        <v>0</v>
      </c>
      <c r="S202" s="346">
        <f t="shared" ref="S202:S205" si="221">SUM(N202:R202)</f>
        <v>20854982.139199998</v>
      </c>
      <c r="T202" s="347"/>
      <c r="U202" s="613">
        <f t="shared" ref="U202:U204" si="222">+ROUNDUP(M202*$T$5,0)</f>
        <v>27794007</v>
      </c>
      <c r="V202" s="613">
        <f t="shared" ref="V202:V204" si="223">+U202*E202</f>
        <v>27794007</v>
      </c>
      <c r="X202" s="127"/>
    </row>
    <row r="203" spans="1:30" ht="13" outlineLevel="1" x14ac:dyDescent="0.3">
      <c r="A203" s="339">
        <v>19.170000000000002</v>
      </c>
      <c r="B203" s="375" t="s">
        <v>236</v>
      </c>
      <c r="C203" s="659" t="s">
        <v>426</v>
      </c>
      <c r="D203" s="660" t="s">
        <v>243</v>
      </c>
      <c r="E203" s="661">
        <v>8</v>
      </c>
      <c r="F203" s="1297">
        <v>15000</v>
      </c>
      <c r="G203" s="661"/>
      <c r="H203" s="1307">
        <f t="shared" si="213"/>
        <v>15000</v>
      </c>
      <c r="I203" s="396">
        <v>30000</v>
      </c>
      <c r="J203" s="661"/>
      <c r="K203" s="1307">
        <f t="shared" si="214"/>
        <v>30000</v>
      </c>
      <c r="L203" s="1308"/>
      <c r="M203" s="1307">
        <f t="shared" si="215"/>
        <v>45000</v>
      </c>
      <c r="N203" s="710">
        <f t="shared" si="216"/>
        <v>120000</v>
      </c>
      <c r="O203" s="710">
        <f t="shared" si="217"/>
        <v>0</v>
      </c>
      <c r="P203" s="710">
        <f t="shared" si="218"/>
        <v>240000</v>
      </c>
      <c r="Q203" s="710">
        <f t="shared" si="219"/>
        <v>0</v>
      </c>
      <c r="R203" s="710">
        <f t="shared" si="220"/>
        <v>0</v>
      </c>
      <c r="S203" s="711">
        <f t="shared" si="221"/>
        <v>360000</v>
      </c>
      <c r="T203" s="347"/>
      <c r="U203" s="613">
        <f t="shared" si="222"/>
        <v>59973</v>
      </c>
      <c r="V203" s="613">
        <f t="shared" si="223"/>
        <v>479784</v>
      </c>
      <c r="X203" s="127"/>
    </row>
    <row r="204" spans="1:30" ht="13" outlineLevel="1" x14ac:dyDescent="0.3">
      <c r="A204" s="339">
        <v>19.18</v>
      </c>
      <c r="B204" s="375" t="s">
        <v>236</v>
      </c>
      <c r="C204" s="659" t="s">
        <v>427</v>
      </c>
      <c r="D204" s="660" t="s">
        <v>207</v>
      </c>
      <c r="E204" s="661">
        <v>8</v>
      </c>
      <c r="F204" s="1297">
        <v>1500</v>
      </c>
      <c r="G204" s="661"/>
      <c r="H204" s="1307">
        <f t="shared" si="213"/>
        <v>1500</v>
      </c>
      <c r="I204" s="1297">
        <f>+'[2]P.MO 12.24'!B5*2/E204</f>
        <v>19238.769926642988</v>
      </c>
      <c r="J204" s="661"/>
      <c r="K204" s="1307">
        <f t="shared" si="214"/>
        <v>19238.769926642988</v>
      </c>
      <c r="L204" s="1308"/>
      <c r="M204" s="1307">
        <f t="shared" si="215"/>
        <v>20738.769926642988</v>
      </c>
      <c r="N204" s="710">
        <f t="shared" si="216"/>
        <v>12000</v>
      </c>
      <c r="O204" s="710">
        <f t="shared" si="217"/>
        <v>0</v>
      </c>
      <c r="P204" s="710">
        <f t="shared" si="218"/>
        <v>153910.15941314391</v>
      </c>
      <c r="Q204" s="710">
        <f t="shared" si="219"/>
        <v>0</v>
      </c>
      <c r="R204" s="710">
        <f t="shared" si="220"/>
        <v>0</v>
      </c>
      <c r="S204" s="711">
        <f t="shared" si="221"/>
        <v>165910.15941314391</v>
      </c>
      <c r="T204" s="347"/>
      <c r="U204" s="613">
        <f t="shared" si="222"/>
        <v>27640</v>
      </c>
      <c r="V204" s="613">
        <f t="shared" si="223"/>
        <v>221120</v>
      </c>
      <c r="X204" s="127"/>
    </row>
    <row r="205" spans="1:30" ht="13" outlineLevel="1" x14ac:dyDescent="0.3">
      <c r="A205" s="350">
        <v>19.190000000000001</v>
      </c>
      <c r="B205" s="352" t="s">
        <v>428</v>
      </c>
      <c r="C205" s="476" t="s">
        <v>429</v>
      </c>
      <c r="D205" s="190" t="s">
        <v>207</v>
      </c>
      <c r="E205" s="132">
        <v>1</v>
      </c>
      <c r="F205" s="132"/>
      <c r="G205" s="132"/>
      <c r="H205" s="356">
        <f t="shared" si="213"/>
        <v>0</v>
      </c>
      <c r="I205" s="480">
        <f>3000*W2</f>
        <v>3510000</v>
      </c>
      <c r="J205" s="132"/>
      <c r="K205" s="356">
        <f t="shared" si="214"/>
        <v>3510000</v>
      </c>
      <c r="L205" s="481"/>
      <c r="M205" s="356">
        <f t="shared" si="215"/>
        <v>3510000</v>
      </c>
      <c r="N205" s="359">
        <f t="shared" si="216"/>
        <v>0</v>
      </c>
      <c r="O205" s="359">
        <f t="shared" si="217"/>
        <v>0</v>
      </c>
      <c r="P205" s="359">
        <f t="shared" si="218"/>
        <v>3510000</v>
      </c>
      <c r="Q205" s="359">
        <f t="shared" si="219"/>
        <v>0</v>
      </c>
      <c r="R205" s="359">
        <f t="shared" si="220"/>
        <v>0</v>
      </c>
      <c r="S205" s="360">
        <f t="shared" si="221"/>
        <v>3510000</v>
      </c>
      <c r="T205" s="347"/>
      <c r="U205" s="613">
        <f>+ROUNDUP(M205*$T$5,0)</f>
        <v>4677874</v>
      </c>
      <c r="V205" s="613">
        <f>+U205*E205</f>
        <v>4677874</v>
      </c>
      <c r="X205" s="127"/>
    </row>
    <row r="206" spans="1:30" ht="13" x14ac:dyDescent="0.3">
      <c r="A206" s="325">
        <v>20</v>
      </c>
      <c r="B206" s="326"/>
      <c r="C206" s="276" t="s">
        <v>430</v>
      </c>
      <c r="D206" s="177"/>
      <c r="E206" s="327"/>
      <c r="F206" s="327"/>
      <c r="G206" s="327"/>
      <c r="H206" s="327"/>
      <c r="I206" s="327"/>
      <c r="J206" s="327"/>
      <c r="K206" s="327"/>
      <c r="L206" s="327"/>
      <c r="M206" s="328"/>
      <c r="N206" s="327"/>
      <c r="O206" s="327"/>
      <c r="P206" s="327"/>
      <c r="Q206" s="327"/>
      <c r="R206" s="327"/>
      <c r="S206" s="327"/>
      <c r="T206" s="329">
        <f>SUM(S207:S208)</f>
        <v>0</v>
      </c>
      <c r="U206" s="465"/>
      <c r="V206" s="465"/>
      <c r="W206" s="651">
        <f>SUM(V207:V208)</f>
        <v>0</v>
      </c>
      <c r="X206" s="127">
        <f>+W206/$W$232</f>
        <v>0</v>
      </c>
    </row>
    <row r="207" spans="1:30" ht="13" outlineLevel="1" x14ac:dyDescent="0.3">
      <c r="A207" s="413">
        <v>20.010000000000002</v>
      </c>
      <c r="B207" s="482" t="s">
        <v>205</v>
      </c>
      <c r="C207" s="415" t="s">
        <v>431</v>
      </c>
      <c r="D207" s="483" t="s">
        <v>243</v>
      </c>
      <c r="E207" s="484">
        <v>0</v>
      </c>
      <c r="F207" s="485"/>
      <c r="G207" s="485"/>
      <c r="H207" s="486">
        <f>F207+G207</f>
        <v>0</v>
      </c>
      <c r="I207" s="485"/>
      <c r="J207" s="485"/>
      <c r="K207" s="486">
        <f>I207+J207</f>
        <v>0</v>
      </c>
      <c r="L207" s="487"/>
      <c r="M207" s="486">
        <f>H207+K207+L207</f>
        <v>0</v>
      </c>
      <c r="N207" s="488">
        <f>F207*E207</f>
        <v>0</v>
      </c>
      <c r="O207" s="488">
        <f>G207*E207</f>
        <v>0</v>
      </c>
      <c r="P207" s="488">
        <f>I207*E207</f>
        <v>0</v>
      </c>
      <c r="Q207" s="488">
        <f>J207*E207</f>
        <v>0</v>
      </c>
      <c r="R207" s="488">
        <f>+L207*E207</f>
        <v>0</v>
      </c>
      <c r="S207" s="489">
        <f>SUM(N207:R207)</f>
        <v>0</v>
      </c>
      <c r="T207" s="347"/>
      <c r="U207" s="618">
        <f>+ROUNDUP(M207*$T$5,0)</f>
        <v>0</v>
      </c>
      <c r="V207" s="618">
        <f>+U207*E207</f>
        <v>0</v>
      </c>
      <c r="X207" s="127"/>
    </row>
    <row r="208" spans="1:30" ht="13" outlineLevel="1" x14ac:dyDescent="0.3">
      <c r="A208" s="339">
        <v>20.02</v>
      </c>
      <c r="B208" s="340" t="s">
        <v>205</v>
      </c>
      <c r="C208" s="341" t="s">
        <v>432</v>
      </c>
      <c r="D208" s="191" t="s">
        <v>243</v>
      </c>
      <c r="E208" s="342">
        <v>0</v>
      </c>
      <c r="F208" s="349"/>
      <c r="G208" s="349"/>
      <c r="H208" s="344">
        <f>F208+G208</f>
        <v>0</v>
      </c>
      <c r="I208" s="349"/>
      <c r="J208" s="349"/>
      <c r="K208" s="344">
        <f>I208+J208</f>
        <v>0</v>
      </c>
      <c r="L208" s="365"/>
      <c r="M208" s="344">
        <f>H208+K208+L208</f>
        <v>0</v>
      </c>
      <c r="N208" s="345">
        <f>F208*E208</f>
        <v>0</v>
      </c>
      <c r="O208" s="345">
        <f>G208*E208</f>
        <v>0</v>
      </c>
      <c r="P208" s="345">
        <f>I208*E208</f>
        <v>0</v>
      </c>
      <c r="Q208" s="345">
        <f>J208*E208</f>
        <v>0</v>
      </c>
      <c r="R208" s="345">
        <f>+L208*E208</f>
        <v>0</v>
      </c>
      <c r="S208" s="346">
        <f>SUM(N208:R208)</f>
        <v>0</v>
      </c>
      <c r="T208" s="347"/>
      <c r="U208" s="613">
        <f>+ROUNDUP(M208*$T$5,0)</f>
        <v>0</v>
      </c>
      <c r="V208" s="613">
        <f>+U208*E208</f>
        <v>0</v>
      </c>
      <c r="X208" s="127"/>
    </row>
    <row r="209" spans="1:28" ht="13" x14ac:dyDescent="0.3">
      <c r="A209" s="325">
        <v>21</v>
      </c>
      <c r="B209" s="326"/>
      <c r="C209" s="276" t="s">
        <v>433</v>
      </c>
      <c r="D209" s="177"/>
      <c r="E209" s="327"/>
      <c r="F209" s="327"/>
      <c r="G209" s="327"/>
      <c r="H209" s="327"/>
      <c r="I209" s="327"/>
      <c r="J209" s="327"/>
      <c r="K209" s="327"/>
      <c r="L209" s="327"/>
      <c r="M209" s="328"/>
      <c r="N209" s="327"/>
      <c r="O209" s="327"/>
      <c r="P209" s="327"/>
      <c r="Q209" s="327"/>
      <c r="R209" s="327"/>
      <c r="S209" s="327"/>
      <c r="T209" s="329">
        <f>SUM(S210)</f>
        <v>0</v>
      </c>
      <c r="U209" s="465"/>
      <c r="V209" s="465"/>
      <c r="W209" s="651">
        <f>SUM(V210)</f>
        <v>0</v>
      </c>
      <c r="X209" s="127">
        <f>+W209/$W$232</f>
        <v>0</v>
      </c>
    </row>
    <row r="210" spans="1:28" s="185" customFormat="1" ht="13" outlineLevel="1" x14ac:dyDescent="0.3">
      <c r="A210" s="490">
        <v>21.01</v>
      </c>
      <c r="B210" s="490" t="s">
        <v>205</v>
      </c>
      <c r="C210" s="491" t="s">
        <v>434</v>
      </c>
      <c r="D210" s="492" t="s">
        <v>207</v>
      </c>
      <c r="E210" s="493">
        <v>1</v>
      </c>
      <c r="F210" s="494"/>
      <c r="G210" s="494"/>
      <c r="H210" s="495">
        <f t="shared" ref="H210" si="224">F210+G210</f>
        <v>0</v>
      </c>
      <c r="I210" s="494"/>
      <c r="J210" s="494"/>
      <c r="K210" s="495">
        <f t="shared" ref="K210" si="225">I210+J210</f>
        <v>0</v>
      </c>
      <c r="L210" s="494"/>
      <c r="M210" s="495">
        <f t="shared" ref="M210" si="226">H210+K210+L210</f>
        <v>0</v>
      </c>
      <c r="N210" s="496">
        <f>F210*E210</f>
        <v>0</v>
      </c>
      <c r="O210" s="496">
        <f>G210*E210</f>
        <v>0</v>
      </c>
      <c r="P210" s="496">
        <f>I210*E210</f>
        <v>0</v>
      </c>
      <c r="Q210" s="496">
        <f>J210*E210</f>
        <v>0</v>
      </c>
      <c r="R210" s="496">
        <f>+L210*E210</f>
        <v>0</v>
      </c>
      <c r="S210" s="497">
        <f>SUM(N210:R210)</f>
        <v>0</v>
      </c>
      <c r="T210" s="347"/>
      <c r="U210" s="617">
        <f>+ROUNDUP(M210*$T$5,0)</f>
        <v>0</v>
      </c>
      <c r="V210" s="613">
        <f>+U210*E210</f>
        <v>0</v>
      </c>
      <c r="W210" s="630"/>
      <c r="X210" s="127"/>
    </row>
    <row r="211" spans="1:28" s="185" customFormat="1" ht="13" x14ac:dyDescent="0.3">
      <c r="A211" s="325">
        <v>22</v>
      </c>
      <c r="B211" s="326"/>
      <c r="C211" s="276" t="s">
        <v>435</v>
      </c>
      <c r="D211" s="177"/>
      <c r="E211" s="327"/>
      <c r="F211" s="327"/>
      <c r="G211" s="327"/>
      <c r="H211" s="327"/>
      <c r="I211" s="327"/>
      <c r="J211" s="327"/>
      <c r="K211" s="327"/>
      <c r="L211" s="327"/>
      <c r="M211" s="328"/>
      <c r="N211" s="327"/>
      <c r="O211" s="327"/>
      <c r="P211" s="327"/>
      <c r="Q211" s="327"/>
      <c r="R211" s="327"/>
      <c r="S211" s="327"/>
      <c r="T211" s="329">
        <f>SUM(S212:S213)</f>
        <v>2201920</v>
      </c>
      <c r="U211" s="465"/>
      <c r="V211" s="465"/>
      <c r="W211" s="651">
        <f>SUM(V212:V213)</f>
        <v>2934560</v>
      </c>
      <c r="X211" s="127">
        <f>+W211/$W$232</f>
        <v>2.1806082318073699E-3</v>
      </c>
    </row>
    <row r="212" spans="1:28" ht="13" outlineLevel="1" x14ac:dyDescent="0.3">
      <c r="A212" s="380">
        <v>22.01</v>
      </c>
      <c r="B212" s="380" t="s">
        <v>205</v>
      </c>
      <c r="C212" s="445" t="s">
        <v>436</v>
      </c>
      <c r="D212" s="187" t="s">
        <v>243</v>
      </c>
      <c r="E212" s="662">
        <v>8</v>
      </c>
      <c r="F212" s="349"/>
      <c r="G212" s="498"/>
      <c r="H212" s="344">
        <f t="shared" ref="H212:H213" si="227">F212+G212</f>
        <v>0</v>
      </c>
      <c r="I212" s="349">
        <f>+[2]SUBCONTRATOS!D48</f>
        <v>68810</v>
      </c>
      <c r="J212" s="498"/>
      <c r="K212" s="344">
        <f t="shared" ref="K212:K213" si="228">I212+J212</f>
        <v>68810</v>
      </c>
      <c r="L212" s="425"/>
      <c r="M212" s="334">
        <f t="shared" ref="M212:M213" si="229">H212+K212+L212</f>
        <v>68810</v>
      </c>
      <c r="N212" s="345">
        <f t="shared" ref="N212:N213" si="230">F212*E212</f>
        <v>0</v>
      </c>
      <c r="O212" s="345">
        <f t="shared" ref="O212:O213" si="231">G212*E212</f>
        <v>0</v>
      </c>
      <c r="P212" s="345">
        <f t="shared" ref="P212:P213" si="232">I212*E212</f>
        <v>550480</v>
      </c>
      <c r="Q212" s="345">
        <f t="shared" ref="Q212:Q213" si="233">J212*E212</f>
        <v>0</v>
      </c>
      <c r="R212" s="345">
        <f t="shared" ref="R212:R213" si="234">+L212*E212</f>
        <v>0</v>
      </c>
      <c r="S212" s="346">
        <f t="shared" ref="S212:S213" si="235">SUM(N212:R212)</f>
        <v>550480</v>
      </c>
      <c r="T212" s="347"/>
      <c r="U212" s="617">
        <f>+ROUNDUP(M212*$T$5,0)</f>
        <v>91705</v>
      </c>
      <c r="V212" s="618">
        <f>+U212*E212</f>
        <v>733640</v>
      </c>
      <c r="X212" s="127"/>
    </row>
    <row r="213" spans="1:28" ht="13" outlineLevel="1" x14ac:dyDescent="0.3">
      <c r="A213" s="350">
        <v>22.02</v>
      </c>
      <c r="B213" s="350" t="s">
        <v>205</v>
      </c>
      <c r="C213" s="450" t="s">
        <v>437</v>
      </c>
      <c r="D213" s="188" t="s">
        <v>243</v>
      </c>
      <c r="E213" s="662">
        <f>+[2]Locales!CQ121</f>
        <v>24</v>
      </c>
      <c r="F213" s="420"/>
      <c r="G213" s="420"/>
      <c r="H213" s="344">
        <f t="shared" si="227"/>
        <v>0</v>
      </c>
      <c r="I213" s="349">
        <f>+[2]SUBCONTRATOS!D48</f>
        <v>68810</v>
      </c>
      <c r="J213" s="420"/>
      <c r="K213" s="344">
        <f t="shared" si="228"/>
        <v>68810</v>
      </c>
      <c r="L213" s="387"/>
      <c r="M213" s="344">
        <f t="shared" si="229"/>
        <v>68810</v>
      </c>
      <c r="N213" s="345">
        <f t="shared" si="230"/>
        <v>0</v>
      </c>
      <c r="O213" s="345">
        <f t="shared" si="231"/>
        <v>0</v>
      </c>
      <c r="P213" s="345">
        <f t="shared" si="232"/>
        <v>1651440</v>
      </c>
      <c r="Q213" s="345">
        <f t="shared" si="233"/>
        <v>0</v>
      </c>
      <c r="R213" s="345">
        <f t="shared" si="234"/>
        <v>0</v>
      </c>
      <c r="S213" s="346">
        <f t="shared" si="235"/>
        <v>1651440</v>
      </c>
      <c r="T213" s="347"/>
      <c r="U213" s="617">
        <f>+ROUNDUP(M213*$T$5,0)</f>
        <v>91705</v>
      </c>
      <c r="V213" s="618">
        <f>+U213*E213</f>
        <v>2200920</v>
      </c>
      <c r="X213" s="127"/>
    </row>
    <row r="214" spans="1:28" ht="13" x14ac:dyDescent="0.3">
      <c r="A214" s="325">
        <v>23</v>
      </c>
      <c r="B214" s="326"/>
      <c r="C214" s="276" t="s">
        <v>362</v>
      </c>
      <c r="D214" s="177"/>
      <c r="E214" s="327"/>
      <c r="F214" s="327"/>
      <c r="G214" s="327"/>
      <c r="H214" s="327"/>
      <c r="I214" s="327"/>
      <c r="J214" s="327"/>
      <c r="K214" s="327"/>
      <c r="L214" s="327"/>
      <c r="M214" s="328"/>
      <c r="N214" s="327"/>
      <c r="O214" s="327"/>
      <c r="P214" s="327"/>
      <c r="Q214" s="327"/>
      <c r="R214" s="327"/>
      <c r="S214" s="327"/>
      <c r="T214" s="329">
        <f>+SUM(S215:S218)</f>
        <v>14294221.982910296</v>
      </c>
      <c r="U214" s="465"/>
      <c r="V214" s="465"/>
      <c r="W214" s="651">
        <f>SUM(V215:V218)</f>
        <v>19050437</v>
      </c>
      <c r="X214" s="127">
        <f>+W214/$W$232</f>
        <v>1.41559687795539E-2</v>
      </c>
    </row>
    <row r="215" spans="1:28" s="185" customFormat="1" ht="13" outlineLevel="1" x14ac:dyDescent="0.3">
      <c r="A215" s="380">
        <v>23.01</v>
      </c>
      <c r="B215" s="380" t="s">
        <v>236</v>
      </c>
      <c r="C215" s="333" t="s">
        <v>363</v>
      </c>
      <c r="D215" s="182" t="s">
        <v>207</v>
      </c>
      <c r="E215" s="381">
        <v>6</v>
      </c>
      <c r="F215" s="499">
        <f>+[2]Tareas!H305</f>
        <v>28696.806510416664</v>
      </c>
      <c r="G215" s="499">
        <f>+[2]Tareas!I305</f>
        <v>25000</v>
      </c>
      <c r="H215" s="334">
        <f>F215+G215</f>
        <v>53696.80651041666</v>
      </c>
      <c r="I215" s="407">
        <f>+[2]Tareas!Q305</f>
        <v>0</v>
      </c>
      <c r="J215" s="407">
        <f>+[2]Tareas!R305</f>
        <v>137815.66048314393</v>
      </c>
      <c r="K215" s="334">
        <f>I215+J215</f>
        <v>137815.66048314393</v>
      </c>
      <c r="L215" s="343">
        <f>(H215+K215)*0.015</f>
        <v>2872.6870049034092</v>
      </c>
      <c r="M215" s="334">
        <f>H215+K215+L215</f>
        <v>194385.15399846403</v>
      </c>
      <c r="N215" s="335">
        <f>F215*E215</f>
        <v>172180.83906249999</v>
      </c>
      <c r="O215" s="335">
        <f t="shared" ref="O215:O217" si="236">G215*E215</f>
        <v>150000</v>
      </c>
      <c r="P215" s="335">
        <f t="shared" ref="P215:P217" si="237">I215*E215</f>
        <v>0</v>
      </c>
      <c r="Q215" s="335">
        <f t="shared" ref="Q215:Q217" si="238">J215*E215</f>
        <v>826893.9628988636</v>
      </c>
      <c r="R215" s="335">
        <f t="shared" ref="R215:R217" si="239">+L215*E215</f>
        <v>17236.122029420454</v>
      </c>
      <c r="S215" s="336">
        <f>SUM(N215:R215)</f>
        <v>1166310.923990784</v>
      </c>
      <c r="T215" s="287"/>
      <c r="U215" s="611">
        <f>+ROUNDUP(M215*$T$5,0)</f>
        <v>259063</v>
      </c>
      <c r="V215" s="611">
        <f>+U215*E215</f>
        <v>1554378</v>
      </c>
      <c r="W215" s="630"/>
      <c r="X215" s="127"/>
    </row>
    <row r="216" spans="1:28" ht="13" outlineLevel="1" x14ac:dyDescent="0.3">
      <c r="A216" s="350">
        <v>23.02</v>
      </c>
      <c r="B216" s="350" t="s">
        <v>205</v>
      </c>
      <c r="C216" s="341" t="s">
        <v>364</v>
      </c>
      <c r="D216" s="362" t="s">
        <v>207</v>
      </c>
      <c r="E216" s="363">
        <v>1</v>
      </c>
      <c r="F216" s="348">
        <f>+[2]Tareas!H313</f>
        <v>0</v>
      </c>
      <c r="G216" s="348">
        <f>+[2]Tareas!I313</f>
        <v>50000</v>
      </c>
      <c r="H216" s="344">
        <f>F216+G216</f>
        <v>50000</v>
      </c>
      <c r="I216" s="343">
        <f>+[2]Tareas!Q313</f>
        <v>0</v>
      </c>
      <c r="J216" s="343">
        <f>+[2]Tareas!R313</f>
        <v>536926.85047428962</v>
      </c>
      <c r="K216" s="344">
        <f>I216+J216</f>
        <v>536926.85047428962</v>
      </c>
      <c r="L216" s="343">
        <f>(H216+K216)*0.015</f>
        <v>8803.9027571143433</v>
      </c>
      <c r="M216" s="344">
        <f>H216+K216+L216</f>
        <v>595730.753231404</v>
      </c>
      <c r="N216" s="345">
        <f>F216*E216</f>
        <v>0</v>
      </c>
      <c r="O216" s="345">
        <f t="shared" si="236"/>
        <v>50000</v>
      </c>
      <c r="P216" s="345">
        <f t="shared" si="237"/>
        <v>0</v>
      </c>
      <c r="Q216" s="345">
        <f t="shared" si="238"/>
        <v>536926.85047428962</v>
      </c>
      <c r="R216" s="345">
        <f t="shared" si="239"/>
        <v>8803.9027571143433</v>
      </c>
      <c r="S216" s="346">
        <f>SUM(N216:R216)</f>
        <v>595730.753231404</v>
      </c>
      <c r="T216" s="287"/>
      <c r="U216" s="613">
        <f>+ROUNDUP(M216*$T$5,0)</f>
        <v>793947</v>
      </c>
      <c r="V216" s="613">
        <f>+U216*E216</f>
        <v>793947</v>
      </c>
      <c r="X216" s="127"/>
    </row>
    <row r="217" spans="1:28" ht="13" outlineLevel="1" x14ac:dyDescent="0.3">
      <c r="A217" s="350">
        <v>23.03</v>
      </c>
      <c r="B217" s="350" t="s">
        <v>236</v>
      </c>
      <c r="C217" s="341" t="s">
        <v>365</v>
      </c>
      <c r="D217" s="362" t="s">
        <v>238</v>
      </c>
      <c r="E217" s="363">
        <v>26</v>
      </c>
      <c r="F217" s="348">
        <f>+[2]Tareas!H318</f>
        <v>7692.3076923076924</v>
      </c>
      <c r="G217" s="348">
        <f>+[2]Tareas!I318</f>
        <v>0</v>
      </c>
      <c r="H217" s="344">
        <f>F217+G217</f>
        <v>7692.3076923076924</v>
      </c>
      <c r="I217" s="343">
        <f>+[2]Tareas!Q318</f>
        <v>0</v>
      </c>
      <c r="J217" s="343">
        <f>+[2]Tareas!R318</f>
        <v>12322.977031263839</v>
      </c>
      <c r="K217" s="344">
        <f>I217+J217</f>
        <v>12322.977031263839</v>
      </c>
      <c r="L217" s="343">
        <f>(H217+K217)*0.015</f>
        <v>300.22927085357293</v>
      </c>
      <c r="M217" s="344">
        <f>H217+K217+L217</f>
        <v>20315.513994425102</v>
      </c>
      <c r="N217" s="345">
        <f>F217*E217</f>
        <v>200000</v>
      </c>
      <c r="O217" s="345">
        <f t="shared" si="236"/>
        <v>0</v>
      </c>
      <c r="P217" s="345">
        <f t="shared" si="237"/>
        <v>0</v>
      </c>
      <c r="Q217" s="345">
        <f t="shared" si="238"/>
        <v>320397.4028128598</v>
      </c>
      <c r="R217" s="345">
        <f t="shared" si="239"/>
        <v>7805.9610421928965</v>
      </c>
      <c r="S217" s="346">
        <f>SUM(N217:R217)</f>
        <v>528203.36385505274</v>
      </c>
      <c r="T217" s="287"/>
      <c r="U217" s="613">
        <f>+ROUNDUP(M217*$T$5,0)</f>
        <v>27076</v>
      </c>
      <c r="V217" s="613">
        <f>+U217*E217</f>
        <v>703976</v>
      </c>
      <c r="X217" s="127"/>
    </row>
    <row r="218" spans="1:28" ht="13" outlineLevel="1" x14ac:dyDescent="0.3">
      <c r="A218" s="352">
        <v>23.04</v>
      </c>
      <c r="B218" s="352" t="s">
        <v>205</v>
      </c>
      <c r="C218" s="652" t="s">
        <v>366</v>
      </c>
      <c r="D218" s="431" t="s">
        <v>238</v>
      </c>
      <c r="E218" s="354">
        <f>+[2]Mampostería!V301</f>
        <v>231</v>
      </c>
      <c r="F218" s="399">
        <f>+'[2]APU 12.24'!E45</f>
        <v>16385.364651327334</v>
      </c>
      <c r="G218" s="443">
        <f>+F218*0.5</f>
        <v>8192.6823256636671</v>
      </c>
      <c r="H218" s="356">
        <f>F218+G218</f>
        <v>24578.046976991001</v>
      </c>
      <c r="I218" s="399">
        <f>+'[2]APU 12.24'!H45</f>
        <v>21631.452684734853</v>
      </c>
      <c r="J218" s="443">
        <f>+I218*0.25</f>
        <v>5407.8631711837133</v>
      </c>
      <c r="K218" s="356">
        <f>I218+J218</f>
        <v>27039.315855918569</v>
      </c>
      <c r="L218" s="399">
        <f>+'[2]APU 12.24'!K45</f>
        <v>347.9053135538723</v>
      </c>
      <c r="M218" s="356">
        <f>H218+K218+L218</f>
        <v>51965.268146463437</v>
      </c>
      <c r="N218" s="359">
        <f>F218*E218</f>
        <v>3785019.2344566141</v>
      </c>
      <c r="O218" s="359">
        <f>G218*E218</f>
        <v>1892509.6172283071</v>
      </c>
      <c r="P218" s="359">
        <f>I218*E218</f>
        <v>4996865.5701737516</v>
      </c>
      <c r="Q218" s="359">
        <f>J218*E218</f>
        <v>1249216.3925434379</v>
      </c>
      <c r="R218" s="359">
        <f>+L218*E218</f>
        <v>80366.1274309445</v>
      </c>
      <c r="S218" s="360">
        <f>SUM(N218:R218)</f>
        <v>12003976.941833055</v>
      </c>
      <c r="T218" s="287"/>
      <c r="U218" s="616">
        <f>+ROUNDUP(M218*$T$5,0)</f>
        <v>69256</v>
      </c>
      <c r="V218" s="616">
        <f>+U218*E218</f>
        <v>15998136</v>
      </c>
      <c r="X218" s="127"/>
    </row>
    <row r="219" spans="1:28" ht="13" x14ac:dyDescent="0.3">
      <c r="A219" s="325">
        <v>24</v>
      </c>
      <c r="B219" s="326"/>
      <c r="C219" s="276" t="s">
        <v>218</v>
      </c>
      <c r="D219" s="177"/>
      <c r="E219" s="327"/>
      <c r="F219" s="327"/>
      <c r="G219" s="327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  <c r="S219" s="327"/>
      <c r="T219" s="329">
        <f>SUM(S220:S228)</f>
        <v>57704099.789512567</v>
      </c>
      <c r="U219" s="465"/>
      <c r="V219" s="465"/>
      <c r="W219" s="614">
        <f>SUM(V220:V228)</f>
        <v>76903896</v>
      </c>
      <c r="X219" s="127">
        <f>+W219/$W$232</f>
        <v>5.7145626150311414E-2</v>
      </c>
      <c r="Z219" s="129">
        <f>+W219*0.7</f>
        <v>53832727.199999996</v>
      </c>
      <c r="AA219" s="129">
        <f>+W219-Z219</f>
        <v>23071168.800000004</v>
      </c>
      <c r="AB219" s="370">
        <f>+Z219/W232</f>
        <v>4.0001938305217984E-2</v>
      </c>
    </row>
    <row r="220" spans="1:28" ht="13" outlineLevel="1" x14ac:dyDescent="0.3">
      <c r="A220" s="331">
        <v>24.01</v>
      </c>
      <c r="B220" s="422" t="s">
        <v>205</v>
      </c>
      <c r="C220" s="502" t="s">
        <v>219</v>
      </c>
      <c r="D220" s="178" t="s">
        <v>214</v>
      </c>
      <c r="E220" s="381">
        <f>+[2]GGBB!$F$4</f>
        <v>17</v>
      </c>
      <c r="F220" s="131"/>
      <c r="G220" s="498"/>
      <c r="H220" s="334">
        <f t="shared" ref="H220:H221" si="240">F220+G220</f>
        <v>0</v>
      </c>
      <c r="I220" s="503">
        <f>+[2]GGBB!J30</f>
        <v>730326.96931886359</v>
      </c>
      <c r="J220" s="131"/>
      <c r="K220" s="344">
        <f t="shared" ref="K220:K221" si="241">I220+J220</f>
        <v>730326.96931886359</v>
      </c>
      <c r="L220" s="125"/>
      <c r="M220" s="344">
        <f t="shared" ref="M220:M221" si="242">H220+K220+L220</f>
        <v>730326.96931886359</v>
      </c>
      <c r="N220" s="345">
        <f t="shared" ref="N220:N228" si="243">F220*E220</f>
        <v>0</v>
      </c>
      <c r="O220" s="345">
        <f t="shared" ref="O220:O228" si="244">G220*E220</f>
        <v>0</v>
      </c>
      <c r="P220" s="345">
        <f t="shared" ref="P220:P228" si="245">I220*E220</f>
        <v>12415558.47842068</v>
      </c>
      <c r="Q220" s="345">
        <f t="shared" ref="Q220:Q228" si="246">J220*E220</f>
        <v>0</v>
      </c>
      <c r="R220" s="345">
        <f t="shared" ref="R220:R228" si="247">+L220*E220</f>
        <v>0</v>
      </c>
      <c r="S220" s="346">
        <f t="shared" ref="S220:S228" si="248">SUM(N220:R220)</f>
        <v>12415558.47842068</v>
      </c>
      <c r="T220" s="347"/>
      <c r="U220" s="613">
        <f t="shared" ref="U220:U228" si="249">+ROUNDUP(M220*$T$5,0)</f>
        <v>973327</v>
      </c>
      <c r="V220" s="613">
        <f t="shared" ref="V220:V228" si="250">+U220*E220</f>
        <v>16546559</v>
      </c>
      <c r="Z220" s="129"/>
      <c r="AA220" s="129"/>
    </row>
    <row r="221" spans="1:28" ht="13" outlineLevel="1" x14ac:dyDescent="0.3">
      <c r="A221" s="339">
        <v>24.02</v>
      </c>
      <c r="B221" s="340" t="s">
        <v>205</v>
      </c>
      <c r="C221" s="562" t="s">
        <v>220</v>
      </c>
      <c r="D221" s="179" t="s">
        <v>214</v>
      </c>
      <c r="E221" s="363">
        <f>+[2]GGBB!Q5</f>
        <v>4</v>
      </c>
      <c r="F221" s="125"/>
      <c r="G221" s="420"/>
      <c r="H221" s="344">
        <f t="shared" si="240"/>
        <v>0</v>
      </c>
      <c r="I221" s="371">
        <f>+[2]GGBB!J12</f>
        <v>1504670.291</v>
      </c>
      <c r="J221" s="506"/>
      <c r="K221" s="344">
        <f t="shared" si="241"/>
        <v>1504670.291</v>
      </c>
      <c r="L221" s="125"/>
      <c r="M221" s="344">
        <f t="shared" si="242"/>
        <v>1504670.291</v>
      </c>
      <c r="N221" s="345">
        <f t="shared" si="243"/>
        <v>0</v>
      </c>
      <c r="O221" s="345">
        <f t="shared" si="244"/>
        <v>0</v>
      </c>
      <c r="P221" s="345">
        <f t="shared" si="245"/>
        <v>6018681.1639999999</v>
      </c>
      <c r="Q221" s="345">
        <f t="shared" si="246"/>
        <v>0</v>
      </c>
      <c r="R221" s="345">
        <f t="shared" si="247"/>
        <v>0</v>
      </c>
      <c r="S221" s="346">
        <f t="shared" si="248"/>
        <v>6018681.1639999999</v>
      </c>
      <c r="T221" s="347"/>
      <c r="U221" s="613">
        <f t="shared" si="249"/>
        <v>2005316</v>
      </c>
      <c r="V221" s="613">
        <f t="shared" si="250"/>
        <v>8021264</v>
      </c>
      <c r="Z221" s="129"/>
      <c r="AA221" s="129"/>
    </row>
    <row r="222" spans="1:28" ht="13" outlineLevel="1" x14ac:dyDescent="0.3">
      <c r="A222" s="339">
        <v>24.03</v>
      </c>
      <c r="B222" s="340" t="s">
        <v>205</v>
      </c>
      <c r="C222" s="509" t="s">
        <v>221</v>
      </c>
      <c r="D222" s="179" t="s">
        <v>214</v>
      </c>
      <c r="E222" s="363">
        <f>+[2]GGBB!$F$4</f>
        <v>17</v>
      </c>
      <c r="F222" s="125"/>
      <c r="G222" s="420"/>
      <c r="H222" s="344">
        <f>F222+G222</f>
        <v>0</v>
      </c>
      <c r="I222" s="427">
        <f>+[2]GGBB!J13</f>
        <v>150000</v>
      </c>
      <c r="J222" s="125"/>
      <c r="K222" s="344">
        <f>I222+J222</f>
        <v>150000</v>
      </c>
      <c r="L222" s="125"/>
      <c r="M222" s="344">
        <f>H222+K222+L222</f>
        <v>150000</v>
      </c>
      <c r="N222" s="345">
        <f t="shared" si="243"/>
        <v>0</v>
      </c>
      <c r="O222" s="345">
        <f t="shared" si="244"/>
        <v>0</v>
      </c>
      <c r="P222" s="345">
        <f t="shared" si="245"/>
        <v>2550000</v>
      </c>
      <c r="Q222" s="345">
        <f t="shared" si="246"/>
        <v>0</v>
      </c>
      <c r="R222" s="345">
        <f t="shared" si="247"/>
        <v>0</v>
      </c>
      <c r="S222" s="346">
        <f t="shared" si="248"/>
        <v>2550000</v>
      </c>
      <c r="T222" s="347"/>
      <c r="U222" s="613">
        <f t="shared" si="249"/>
        <v>199910</v>
      </c>
      <c r="V222" s="613">
        <f t="shared" si="250"/>
        <v>3398470</v>
      </c>
      <c r="Z222" s="129"/>
      <c r="AA222" s="129"/>
    </row>
    <row r="223" spans="1:28" ht="13" outlineLevel="1" x14ac:dyDescent="0.3">
      <c r="A223" s="339">
        <v>24.04</v>
      </c>
      <c r="B223" s="340" t="s">
        <v>205</v>
      </c>
      <c r="C223" s="509" t="s">
        <v>222</v>
      </c>
      <c r="D223" s="179" t="s">
        <v>207</v>
      </c>
      <c r="E223" s="342">
        <v>1</v>
      </c>
      <c r="F223" s="343">
        <f>+[2]Tareas!H324</f>
        <v>2304593.0853333334</v>
      </c>
      <c r="G223" s="343">
        <f>+[2]Tareas!I324</f>
        <v>0</v>
      </c>
      <c r="H223" s="344">
        <f>F223+G223</f>
        <v>2304593.0853333334</v>
      </c>
      <c r="I223" s="343">
        <f>+[2]Tareas!Q324</f>
        <v>0</v>
      </c>
      <c r="J223" s="343">
        <f>+[2]Tareas!R324</f>
        <v>2341204.7030503028</v>
      </c>
      <c r="K223" s="344">
        <f t="shared" ref="K223" si="251">I223+J223</f>
        <v>2341204.7030503028</v>
      </c>
      <c r="L223" s="343">
        <f>(H223+K223)*0.015</f>
        <v>69686.966825754542</v>
      </c>
      <c r="M223" s="344">
        <f>H223+K223+L223</f>
        <v>4715484.755209391</v>
      </c>
      <c r="N223" s="345">
        <f>F223*E223</f>
        <v>2304593.0853333334</v>
      </c>
      <c r="O223" s="345">
        <f t="shared" si="244"/>
        <v>0</v>
      </c>
      <c r="P223" s="345">
        <f t="shared" si="245"/>
        <v>0</v>
      </c>
      <c r="Q223" s="345">
        <f t="shared" si="246"/>
        <v>2341204.7030503028</v>
      </c>
      <c r="R223" s="345">
        <f t="shared" si="247"/>
        <v>69686.966825754542</v>
      </c>
      <c r="S223" s="346">
        <f t="shared" si="248"/>
        <v>4715484.755209391</v>
      </c>
      <c r="T223" s="347"/>
      <c r="U223" s="613">
        <f t="shared" si="249"/>
        <v>6284456</v>
      </c>
      <c r="V223" s="613">
        <f t="shared" si="250"/>
        <v>6284456</v>
      </c>
      <c r="Z223" s="129"/>
      <c r="AA223" s="129"/>
    </row>
    <row r="224" spans="1:28" s="394" customFormat="1" ht="13" outlineLevel="1" x14ac:dyDescent="0.3">
      <c r="A224" s="339">
        <v>24.05</v>
      </c>
      <c r="B224" s="340" t="s">
        <v>205</v>
      </c>
      <c r="C224" s="509" t="s">
        <v>223</v>
      </c>
      <c r="D224" s="510" t="s">
        <v>214</v>
      </c>
      <c r="E224" s="363">
        <f>+[2]GGBB!$F$4</f>
        <v>17</v>
      </c>
      <c r="F224" s="348">
        <f>+[2]Tareas!H331</f>
        <v>0</v>
      </c>
      <c r="G224" s="348">
        <f>+[2]Tareas!I331</f>
        <v>50000</v>
      </c>
      <c r="H224" s="344">
        <f>F224+G224</f>
        <v>50000</v>
      </c>
      <c r="I224" s="343">
        <f>+[2]Tareas!Q331</f>
        <v>0</v>
      </c>
      <c r="J224" s="343">
        <f>+[2]Tareas!R331</f>
        <v>596028.72377914772</v>
      </c>
      <c r="K224" s="344">
        <f>I224+J224</f>
        <v>596028.72377914772</v>
      </c>
      <c r="L224" s="343">
        <f>(H224+K224)*0.015</f>
        <v>9690.4308566872151</v>
      </c>
      <c r="M224" s="344">
        <f t="shared" ref="M224" si="252">H224+K224+L224</f>
        <v>655719.15463583497</v>
      </c>
      <c r="N224" s="345">
        <f t="shared" ref="N224" si="253">F224*E224</f>
        <v>0</v>
      </c>
      <c r="O224" s="345">
        <f t="shared" si="244"/>
        <v>850000</v>
      </c>
      <c r="P224" s="345">
        <f t="shared" si="245"/>
        <v>0</v>
      </c>
      <c r="Q224" s="345">
        <f t="shared" si="246"/>
        <v>10132488.304245511</v>
      </c>
      <c r="R224" s="345">
        <f t="shared" si="247"/>
        <v>164737.32456368266</v>
      </c>
      <c r="S224" s="346">
        <f t="shared" si="248"/>
        <v>11147225.628809193</v>
      </c>
      <c r="T224" s="347"/>
      <c r="U224" s="613">
        <f t="shared" si="249"/>
        <v>873895</v>
      </c>
      <c r="V224" s="613">
        <f t="shared" si="250"/>
        <v>14856215</v>
      </c>
      <c r="W224" s="615"/>
      <c r="X224" s="127"/>
      <c r="Z224" s="1309"/>
      <c r="AA224" s="1309"/>
    </row>
    <row r="225" spans="1:28" s="394" customFormat="1" ht="13" outlineLevel="1" x14ac:dyDescent="0.3">
      <c r="A225" s="339">
        <v>24.06</v>
      </c>
      <c r="B225" s="340" t="s">
        <v>205</v>
      </c>
      <c r="C225" s="509" t="s">
        <v>224</v>
      </c>
      <c r="D225" s="510" t="s">
        <v>214</v>
      </c>
      <c r="E225" s="363">
        <f>+[2]GGBB!$F$4</f>
        <v>17</v>
      </c>
      <c r="F225" s="348">
        <f>+[2]Tareas!H335</f>
        <v>0</v>
      </c>
      <c r="G225" s="348">
        <f>+[2]Tareas!I335</f>
        <v>25000</v>
      </c>
      <c r="H225" s="344">
        <f>F225+G225</f>
        <v>25000</v>
      </c>
      <c r="I225" s="343">
        <f>+[2]Tareas!Q335</f>
        <v>0</v>
      </c>
      <c r="J225" s="343">
        <f>+[2]Tareas!R335</f>
        <v>401679.83312537492</v>
      </c>
      <c r="K225" s="344">
        <f>I225+J225</f>
        <v>401679.83312537492</v>
      </c>
      <c r="L225" s="343">
        <f>(H225+K225)*0.015</f>
        <v>6400.1974968806235</v>
      </c>
      <c r="M225" s="344">
        <f>H225+K225+L225</f>
        <v>433080.03062225552</v>
      </c>
      <c r="N225" s="345">
        <f t="shared" si="243"/>
        <v>0</v>
      </c>
      <c r="O225" s="345">
        <f t="shared" si="244"/>
        <v>425000</v>
      </c>
      <c r="P225" s="345">
        <f t="shared" si="245"/>
        <v>0</v>
      </c>
      <c r="Q225" s="345">
        <f t="shared" si="246"/>
        <v>6828557.1631313739</v>
      </c>
      <c r="R225" s="345">
        <f t="shared" si="247"/>
        <v>108803.35744697059</v>
      </c>
      <c r="S225" s="346">
        <f t="shared" si="248"/>
        <v>7362360.5205783444</v>
      </c>
      <c r="T225" s="347"/>
      <c r="U225" s="613">
        <f t="shared" si="249"/>
        <v>577178</v>
      </c>
      <c r="V225" s="613">
        <f t="shared" si="250"/>
        <v>9812026</v>
      </c>
      <c r="W225" s="615"/>
      <c r="X225" s="127"/>
      <c r="Z225" s="1309"/>
      <c r="AA225" s="1309"/>
    </row>
    <row r="226" spans="1:28" s="394" customFormat="1" ht="13" outlineLevel="1" x14ac:dyDescent="0.3">
      <c r="A226" s="339">
        <v>24.07</v>
      </c>
      <c r="B226" s="340" t="s">
        <v>205</v>
      </c>
      <c r="C226" s="509" t="s">
        <v>225</v>
      </c>
      <c r="D226" s="510" t="s">
        <v>207</v>
      </c>
      <c r="E226" s="342">
        <v>1</v>
      </c>
      <c r="F226" s="348">
        <f>+[2]Tareas!H338</f>
        <v>250000</v>
      </c>
      <c r="G226" s="348">
        <f>+[2]Tareas!I338</f>
        <v>0</v>
      </c>
      <c r="H226" s="344">
        <f t="shared" ref="H226:H228" si="254">F226+G226</f>
        <v>250000</v>
      </c>
      <c r="I226" s="343">
        <f>+[2]Tareas!Q338</f>
        <v>0</v>
      </c>
      <c r="J226" s="343">
        <f>+[2]Tareas!R338</f>
        <v>3651634.8465943178</v>
      </c>
      <c r="K226" s="344">
        <f t="shared" ref="K226:K228" si="255">I226+J226</f>
        <v>3651634.8465943178</v>
      </c>
      <c r="L226" s="343">
        <f>(H226+K226)*0.015</f>
        <v>58524.522698914763</v>
      </c>
      <c r="M226" s="344">
        <f t="shared" ref="M226:M228" si="256">H226+K226+L226</f>
        <v>3960159.3692932324</v>
      </c>
      <c r="N226" s="345">
        <f t="shared" si="243"/>
        <v>250000</v>
      </c>
      <c r="O226" s="345">
        <f t="shared" si="244"/>
        <v>0</v>
      </c>
      <c r="P226" s="345">
        <f t="shared" si="245"/>
        <v>0</v>
      </c>
      <c r="Q226" s="345">
        <f t="shared" si="246"/>
        <v>3651634.8465943178</v>
      </c>
      <c r="R226" s="345">
        <f t="shared" si="247"/>
        <v>58524.522698914763</v>
      </c>
      <c r="S226" s="346">
        <f t="shared" si="248"/>
        <v>3960159.3692932324</v>
      </c>
      <c r="T226" s="347"/>
      <c r="U226" s="613">
        <f t="shared" si="249"/>
        <v>5277814</v>
      </c>
      <c r="V226" s="613">
        <f t="shared" si="250"/>
        <v>5277814</v>
      </c>
      <c r="W226" s="615"/>
      <c r="X226" s="127"/>
      <c r="Z226" s="1309"/>
      <c r="AA226" s="1309"/>
    </row>
    <row r="227" spans="1:28" s="394" customFormat="1" ht="13" outlineLevel="1" x14ac:dyDescent="0.3">
      <c r="A227" s="339">
        <v>24.08</v>
      </c>
      <c r="B227" s="340" t="s">
        <v>205</v>
      </c>
      <c r="C227" s="509" t="s">
        <v>226</v>
      </c>
      <c r="D227" s="510" t="s">
        <v>214</v>
      </c>
      <c r="E227" s="363">
        <f>+[2]GGBB!$F$4</f>
        <v>17</v>
      </c>
      <c r="F227" s="125"/>
      <c r="G227" s="125"/>
      <c r="H227" s="344">
        <f t="shared" si="254"/>
        <v>0</v>
      </c>
      <c r="I227" s="512">
        <v>300000</v>
      </c>
      <c r="J227" s="125"/>
      <c r="K227" s="344">
        <f t="shared" si="255"/>
        <v>300000</v>
      </c>
      <c r="L227" s="365"/>
      <c r="M227" s="344">
        <f t="shared" si="256"/>
        <v>300000</v>
      </c>
      <c r="N227" s="345">
        <f t="shared" si="243"/>
        <v>0</v>
      </c>
      <c r="O227" s="345">
        <f t="shared" si="244"/>
        <v>0</v>
      </c>
      <c r="P227" s="345">
        <f t="shared" si="245"/>
        <v>5100000</v>
      </c>
      <c r="Q227" s="345">
        <f t="shared" si="246"/>
        <v>0</v>
      </c>
      <c r="R227" s="345">
        <f t="shared" si="247"/>
        <v>0</v>
      </c>
      <c r="S227" s="346">
        <f t="shared" si="248"/>
        <v>5100000</v>
      </c>
      <c r="T227" s="347"/>
      <c r="U227" s="613">
        <f t="shared" si="249"/>
        <v>399819</v>
      </c>
      <c r="V227" s="613">
        <f t="shared" si="250"/>
        <v>6796923</v>
      </c>
      <c r="W227" s="615"/>
      <c r="X227" s="127"/>
      <c r="Z227" s="1309"/>
      <c r="AA227" s="1309"/>
    </row>
    <row r="228" spans="1:28" s="513" customFormat="1" ht="13" outlineLevel="1" x14ac:dyDescent="0.3">
      <c r="A228" s="339">
        <v>24.09</v>
      </c>
      <c r="B228" s="404" t="s">
        <v>205</v>
      </c>
      <c r="C228" s="514" t="s">
        <v>227</v>
      </c>
      <c r="D228" s="515" t="s">
        <v>214</v>
      </c>
      <c r="E228" s="363">
        <f>+[2]GGBB!$F$4</f>
        <v>17</v>
      </c>
      <c r="F228" s="1310">
        <f>100000*2</f>
        <v>200000</v>
      </c>
      <c r="G228" s="358"/>
      <c r="H228" s="356">
        <f t="shared" si="254"/>
        <v>200000</v>
      </c>
      <c r="I228" s="358"/>
      <c r="J228" s="349">
        <f>+'[2]P.MO 12.24'!B7</f>
        <v>60860.580776571966</v>
      </c>
      <c r="K228" s="356">
        <f t="shared" si="255"/>
        <v>60860.580776571966</v>
      </c>
      <c r="L228" s="481"/>
      <c r="M228" s="356">
        <f t="shared" si="256"/>
        <v>260860.58077657197</v>
      </c>
      <c r="N228" s="359">
        <f t="shared" si="243"/>
        <v>3400000</v>
      </c>
      <c r="O228" s="359">
        <f t="shared" si="244"/>
        <v>0</v>
      </c>
      <c r="P228" s="359">
        <f t="shared" si="245"/>
        <v>0</v>
      </c>
      <c r="Q228" s="359">
        <f t="shared" si="246"/>
        <v>1034629.8732017234</v>
      </c>
      <c r="R228" s="359">
        <f t="shared" si="247"/>
        <v>0</v>
      </c>
      <c r="S228" s="346">
        <f t="shared" si="248"/>
        <v>4434629.8732017232</v>
      </c>
      <c r="T228" s="347"/>
      <c r="U228" s="616">
        <f t="shared" si="249"/>
        <v>347657</v>
      </c>
      <c r="V228" s="616">
        <f t="shared" si="250"/>
        <v>5910169</v>
      </c>
      <c r="W228" s="615"/>
      <c r="X228" s="127"/>
      <c r="Z228" s="129"/>
      <c r="AA228" s="129"/>
    </row>
    <row r="229" spans="1:28" ht="13" x14ac:dyDescent="0.3">
      <c r="A229" s="325">
        <v>25</v>
      </c>
      <c r="B229" s="326"/>
      <c r="C229" s="276" t="s">
        <v>228</v>
      </c>
      <c r="D229" s="177"/>
      <c r="E229" s="327"/>
      <c r="F229" s="327"/>
      <c r="G229" s="327"/>
      <c r="H229" s="327"/>
      <c r="I229" s="327"/>
      <c r="J229" s="327"/>
      <c r="K229" s="327"/>
      <c r="L229" s="327"/>
      <c r="M229" s="328"/>
      <c r="N229" s="327"/>
      <c r="O229" s="327"/>
      <c r="P229" s="327"/>
      <c r="Q229" s="327"/>
      <c r="R229" s="327"/>
      <c r="S229" s="327"/>
      <c r="T229" s="329">
        <f>SUM(S230:S231)</f>
        <v>82827579.894000009</v>
      </c>
      <c r="U229" s="465"/>
      <c r="V229" s="465"/>
      <c r="W229" s="614">
        <f>SUM(V230:V231)</f>
        <v>110386593</v>
      </c>
      <c r="X229" s="127">
        <f>+W229/$W$232</f>
        <v>8.2025896003819918E-2</v>
      </c>
      <c r="Z229" s="129">
        <f>+W229*0.5</f>
        <v>55193296.5</v>
      </c>
      <c r="AA229" s="129">
        <f>+W229-Z229</f>
        <v>55193296.5</v>
      </c>
      <c r="AB229" s="370">
        <f>+Z229/W232</f>
        <v>4.1012948001909959E-2</v>
      </c>
    </row>
    <row r="230" spans="1:28" s="185" customFormat="1" ht="13" outlineLevel="1" x14ac:dyDescent="0.3">
      <c r="A230" s="331">
        <v>25.01</v>
      </c>
      <c r="B230" s="380" t="s">
        <v>205</v>
      </c>
      <c r="C230" s="333" t="s">
        <v>229</v>
      </c>
      <c r="D230" s="182" t="s">
        <v>214</v>
      </c>
      <c r="E230" s="381">
        <f>+[2]GGBB!$F$4</f>
        <v>17</v>
      </c>
      <c r="F230" s="382"/>
      <c r="G230" s="382"/>
      <c r="H230" s="334">
        <f>F230+G230</f>
        <v>0</v>
      </c>
      <c r="I230" s="424">
        <f>+[2]GGBB!J22</f>
        <v>4372210.5820000004</v>
      </c>
      <c r="J230" s="382"/>
      <c r="K230" s="334">
        <f t="shared" ref="K230:K231" si="257">I230+J230</f>
        <v>4372210.5820000004</v>
      </c>
      <c r="L230" s="382"/>
      <c r="M230" s="334">
        <f>H230+K230+L230</f>
        <v>4372210.5820000004</v>
      </c>
      <c r="N230" s="335">
        <f t="shared" ref="N230:N231" si="258">F230*E230</f>
        <v>0</v>
      </c>
      <c r="O230" s="335">
        <f t="shared" ref="O230:O231" si="259">G230*E230</f>
        <v>0</v>
      </c>
      <c r="P230" s="335">
        <f t="shared" ref="P230:P231" si="260">I230*E230</f>
        <v>74327579.894000009</v>
      </c>
      <c r="Q230" s="335">
        <f t="shared" ref="Q230:Q231" si="261">J230*E230</f>
        <v>0</v>
      </c>
      <c r="R230" s="335">
        <f t="shared" ref="R230:R231" si="262">+L230*E230</f>
        <v>0</v>
      </c>
      <c r="S230" s="336">
        <f t="shared" ref="S230:S231" si="263">SUM(N230:R230)</f>
        <v>74327579.894000009</v>
      </c>
      <c r="T230" s="347"/>
      <c r="U230" s="617">
        <f>+ROUNDUP(M230*$T$5,0)</f>
        <v>5826965</v>
      </c>
      <c r="V230" s="618">
        <f>+U230*E230</f>
        <v>99058405</v>
      </c>
      <c r="W230" s="619"/>
    </row>
    <row r="231" spans="1:28" s="185" customFormat="1" ht="13" outlineLevel="1" x14ac:dyDescent="0.3">
      <c r="A231" s="351">
        <v>25.02</v>
      </c>
      <c r="B231" s="352" t="s">
        <v>205</v>
      </c>
      <c r="C231" s="353" t="s">
        <v>230</v>
      </c>
      <c r="D231" s="405" t="s">
        <v>214</v>
      </c>
      <c r="E231" s="379">
        <f>+[2]GGBB!$F$4</f>
        <v>17</v>
      </c>
      <c r="F231" s="399"/>
      <c r="G231" s="399"/>
      <c r="H231" s="356">
        <f>F231+G231</f>
        <v>0</v>
      </c>
      <c r="I231" s="357">
        <f>[2]GGBB!J28</f>
        <v>500000</v>
      </c>
      <c r="J231" s="399"/>
      <c r="K231" s="356">
        <f t="shared" si="257"/>
        <v>500000</v>
      </c>
      <c r="L231" s="399"/>
      <c r="M231" s="356">
        <f>H231+K231+L231</f>
        <v>500000</v>
      </c>
      <c r="N231" s="359">
        <f t="shared" si="258"/>
        <v>0</v>
      </c>
      <c r="O231" s="359">
        <f t="shared" si="259"/>
        <v>0</v>
      </c>
      <c r="P231" s="359">
        <f t="shared" si="260"/>
        <v>8500000</v>
      </c>
      <c r="Q231" s="359">
        <f t="shared" si="261"/>
        <v>0</v>
      </c>
      <c r="R231" s="359">
        <f t="shared" si="262"/>
        <v>0</v>
      </c>
      <c r="S231" s="360">
        <f t="shared" si="263"/>
        <v>8500000</v>
      </c>
      <c r="T231" s="347"/>
      <c r="U231" s="617">
        <f>+ROUNDUP(M231*$T$5,0)</f>
        <v>666364</v>
      </c>
      <c r="V231" s="613">
        <f>+U231*E231</f>
        <v>11328188</v>
      </c>
      <c r="W231" s="620"/>
    </row>
    <row r="232" spans="1:28" s="394" customFormat="1" ht="13" x14ac:dyDescent="0.3">
      <c r="A232" s="325"/>
      <c r="B232" s="326"/>
      <c r="C232" s="276" t="s">
        <v>452</v>
      </c>
      <c r="D232" s="177"/>
      <c r="E232" s="327"/>
      <c r="F232" s="327"/>
      <c r="G232" s="327"/>
      <c r="H232" s="327"/>
      <c r="I232" s="327"/>
      <c r="J232" s="327"/>
      <c r="K232" s="327"/>
      <c r="L232" s="327"/>
      <c r="M232" s="328"/>
      <c r="N232" s="329">
        <f t="shared" ref="N232:T232" si="264">SUM(N8:N231)</f>
        <v>294935283.35845184</v>
      </c>
      <c r="O232" s="329">
        <f t="shared" si="264"/>
        <v>64860920.319356509</v>
      </c>
      <c r="P232" s="329">
        <f t="shared" si="264"/>
        <v>460479039.26572198</v>
      </c>
      <c r="Q232" s="329">
        <f t="shared" si="264"/>
        <v>167995368.33061409</v>
      </c>
      <c r="R232" s="329">
        <f t="shared" si="264"/>
        <v>21494482.933074653</v>
      </c>
      <c r="S232" s="329">
        <f t="shared" si="264"/>
        <v>1009765094.207219</v>
      </c>
      <c r="T232" s="329">
        <f t="shared" si="264"/>
        <v>1009765094.2072188</v>
      </c>
      <c r="U232" s="465"/>
      <c r="V232" s="316">
        <f>SUM(V8:V231)</f>
        <v>1345752968</v>
      </c>
      <c r="W232" s="651">
        <f>SUM(W8:W231)</f>
        <v>1345752968</v>
      </c>
      <c r="X232" s="127">
        <f>+W232/$W$232</f>
        <v>1</v>
      </c>
      <c r="AA232" s="651">
        <f>+AA24+AA219+AA229</f>
        <v>126826439.29999995</v>
      </c>
    </row>
    <row r="233" spans="1:28" s="394" customFormat="1" ht="13" x14ac:dyDescent="0.3">
      <c r="A233" s="663"/>
      <c r="B233" s="516"/>
      <c r="C233" s="664"/>
      <c r="D233" s="518"/>
      <c r="E233" s="520"/>
      <c r="F233" s="520"/>
      <c r="G233" s="520"/>
      <c r="H233" s="520"/>
      <c r="I233" s="520"/>
      <c r="J233" s="520"/>
      <c r="K233" s="520"/>
      <c r="L233" s="521"/>
      <c r="M233" s="521"/>
      <c r="N233" s="522" t="s">
        <v>60</v>
      </c>
      <c r="O233" s="522"/>
      <c r="P233" s="522" t="s">
        <v>801</v>
      </c>
      <c r="Q233" s="522" t="s">
        <v>451</v>
      </c>
      <c r="R233" s="521"/>
      <c r="S233" s="521"/>
      <c r="T233" s="522"/>
      <c r="U233" s="665"/>
      <c r="V233" s="665"/>
      <c r="W233" s="516"/>
      <c r="X233" s="127"/>
    </row>
    <row r="234" spans="1:28" ht="12.75" customHeight="1" x14ac:dyDescent="0.3">
      <c r="A234" s="469"/>
      <c r="B234" s="469"/>
      <c r="C234" s="524"/>
      <c r="D234" s="525"/>
      <c r="E234" s="526"/>
      <c r="F234" s="312"/>
      <c r="G234" s="312"/>
      <c r="H234" s="312"/>
      <c r="I234" s="312"/>
      <c r="J234" s="312"/>
      <c r="K234" s="312"/>
      <c r="L234" s="471"/>
      <c r="M234" s="312"/>
      <c r="N234" s="1311">
        <f>+N235/T232</f>
        <v>0.35631673717171769</v>
      </c>
      <c r="O234" s="715"/>
      <c r="P234" s="1311">
        <f>+P235/T232</f>
        <v>0.62239664571665598</v>
      </c>
      <c r="Q234" s="1311">
        <f>+Q235/T232</f>
        <v>2.1286617111626625E-2</v>
      </c>
      <c r="R234" s="312"/>
      <c r="S234" s="312"/>
      <c r="T234" s="527"/>
      <c r="U234" s="667"/>
      <c r="V234" s="667"/>
      <c r="W234" s="668"/>
    </row>
    <row r="235" spans="1:28" ht="12.75" customHeight="1" x14ac:dyDescent="0.3">
      <c r="A235" s="325"/>
      <c r="B235" s="316"/>
      <c r="C235" s="530" t="s">
        <v>439</v>
      </c>
      <c r="D235" s="531" t="s">
        <v>238</v>
      </c>
      <c r="E235" s="572">
        <f>+[2]INFO.!C6</f>
        <v>1150.8790000000001</v>
      </c>
      <c r="F235" s="462"/>
      <c r="G235" s="462"/>
      <c r="H235" s="462"/>
      <c r="I235" s="533"/>
      <c r="J235" s="533"/>
      <c r="K235" s="462"/>
      <c r="L235" s="192"/>
      <c r="M235" s="462"/>
      <c r="N235" s="126">
        <f>+SUM(N232:O232)</f>
        <v>359796203.67780834</v>
      </c>
      <c r="O235" s="1312"/>
      <c r="P235" s="126">
        <f>+SUM(P232:Q232)</f>
        <v>628474407.59633613</v>
      </c>
      <c r="Q235" s="126">
        <f>+R232</f>
        <v>21494482.933074653</v>
      </c>
      <c r="R235" s="534" t="s">
        <v>440</v>
      </c>
      <c r="S235" s="535">
        <f>+T235/E235</f>
        <v>749.90254324390207</v>
      </c>
      <c r="T235" s="126">
        <f>+T232/[2]GGBB!H4</f>
        <v>863047.08906599891</v>
      </c>
      <c r="U235" s="670" t="s">
        <v>440</v>
      </c>
      <c r="V235" s="536">
        <f>+W235/E235</f>
        <v>999.42410276476653</v>
      </c>
      <c r="W235" s="671">
        <f>W232/W2</f>
        <v>1150216.2119658119</v>
      </c>
      <c r="X235" s="127"/>
      <c r="Z235" s="129"/>
    </row>
    <row r="236" spans="1:28" ht="12.75" customHeight="1" x14ac:dyDescent="0.3">
      <c r="A236" s="663"/>
      <c r="B236" s="538"/>
      <c r="C236" s="539"/>
      <c r="E236" s="540"/>
      <c r="F236" s="541"/>
      <c r="G236" s="541"/>
      <c r="H236" s="541"/>
      <c r="I236" s="542"/>
      <c r="J236" s="542"/>
      <c r="K236" s="541"/>
      <c r="L236" s="543"/>
      <c r="M236" s="541"/>
      <c r="N236" s="541"/>
      <c r="O236" s="541"/>
      <c r="P236" s="541"/>
      <c r="Q236" s="541"/>
      <c r="R236" s="545"/>
      <c r="S236" s="546"/>
      <c r="T236" s="1313"/>
      <c r="U236" s="672"/>
      <c r="V236" s="673"/>
      <c r="W236" s="674">
        <f>W235*X236</f>
        <v>120772.70225641025</v>
      </c>
      <c r="X236" s="127">
        <v>0.105</v>
      </c>
      <c r="Z236" s="129"/>
    </row>
    <row r="237" spans="1:28" ht="12.75" customHeight="1" x14ac:dyDescent="0.3">
      <c r="W237" s="606">
        <f>+W236+W235</f>
        <v>1270988.9142222221</v>
      </c>
    </row>
    <row r="238" spans="1:28" ht="12.75" customHeight="1" x14ac:dyDescent="0.3">
      <c r="G238" s="128"/>
      <c r="AA238" s="606">
        <f>+W232-AA232</f>
        <v>1218926528.7</v>
      </c>
    </row>
    <row r="239" spans="1:28" ht="12.75" customHeight="1" x14ac:dyDescent="0.3">
      <c r="G239" s="128"/>
      <c r="AA239" s="606">
        <f>+AA238/W2</f>
        <v>1041817.545897436</v>
      </c>
    </row>
    <row r="240" spans="1:28" ht="12.75" customHeight="1" x14ac:dyDescent="0.3">
      <c r="AA240" s="606">
        <f>+AA239/E235</f>
        <v>905.23638531716699</v>
      </c>
    </row>
    <row r="245" spans="21:26" ht="12.75" customHeight="1" x14ac:dyDescent="0.3">
      <c r="U245" s="596" t="s">
        <v>802</v>
      </c>
      <c r="V245" s="596">
        <v>1450000000</v>
      </c>
      <c r="Y245" s="1314">
        <v>45536</v>
      </c>
      <c r="Z245" s="129">
        <v>14366.9</v>
      </c>
    </row>
    <row r="246" spans="21:26" ht="12.75" customHeight="1" x14ac:dyDescent="0.3">
      <c r="V246" s="596">
        <f>+V245*$Z$247</f>
        <v>1549866707.5012703</v>
      </c>
      <c r="W246" s="606" t="s">
        <v>803</v>
      </c>
      <c r="Y246" s="1314">
        <v>45627</v>
      </c>
      <c r="Z246" s="129">
        <v>15356.4</v>
      </c>
    </row>
    <row r="247" spans="21:26" ht="12.75" customHeight="1" x14ac:dyDescent="0.3">
      <c r="V247" s="596">
        <f>+V246/W2</f>
        <v>1324672.3995737352</v>
      </c>
      <c r="W247" s="606" t="s">
        <v>804</v>
      </c>
      <c r="Y247" s="129"/>
      <c r="Z247" s="129">
        <f>+Z246/Z245</f>
        <v>1.0688735913801863</v>
      </c>
    </row>
    <row r="248" spans="21:26" ht="12.75" customHeight="1" x14ac:dyDescent="0.3">
      <c r="V248" s="596">
        <v>1619</v>
      </c>
      <c r="W248" s="606" t="s">
        <v>238</v>
      </c>
    </row>
    <row r="249" spans="21:26" ht="12.75" customHeight="1" x14ac:dyDescent="0.3">
      <c r="V249" s="596">
        <f>+V247/V248</f>
        <v>818.204076327199</v>
      </c>
      <c r="W249" s="606" t="s">
        <v>64</v>
      </c>
      <c r="X249" s="370">
        <v>1.08</v>
      </c>
    </row>
    <row r="250" spans="21:26" ht="12.75" customHeight="1" x14ac:dyDescent="0.3">
      <c r="V250" s="596">
        <f>+X249*$V$249</f>
        <v>883.660402433375</v>
      </c>
    </row>
  </sheetData>
  <mergeCells count="4">
    <mergeCell ref="F5:H5"/>
    <mergeCell ref="I5:K5"/>
    <mergeCell ref="N5:O5"/>
    <mergeCell ref="P5:Q5"/>
  </mergeCells>
  <conditionalFormatting sqref="B1:B1048576">
    <cfRule type="cellIs" dxfId="22" priority="19" operator="equal">
      <formula>"C"</formula>
    </cfRule>
    <cfRule type="cellIs" dxfId="21" priority="20" operator="equal">
      <formula>"R"</formula>
    </cfRule>
    <cfRule type="cellIs" dxfId="20" priority="21" operator="equal">
      <formula>"IN"</formula>
    </cfRule>
    <cfRule type="cellIs" dxfId="19" priority="22" operator="equal">
      <formula>"OK"</formula>
    </cfRule>
    <cfRule type="cellIs" dxfId="18" priority="23" operator="equal">
      <formula>"SR"</formula>
    </cfRule>
  </conditionalFormatting>
  <conditionalFormatting sqref="D3:D11 D18:D32 D67:D76 D87:D91 D108:D112 D115:D117 D179:D209">
    <cfRule type="cellIs" dxfId="17" priority="2" operator="equal">
      <formula>"x"</formula>
    </cfRule>
  </conditionalFormatting>
  <conditionalFormatting sqref="D46">
    <cfRule type="cellIs" dxfId="16" priority="3" operator="equal">
      <formula>"x"</formula>
    </cfRule>
  </conditionalFormatting>
  <conditionalFormatting sqref="D61:D62">
    <cfRule type="cellIs" dxfId="15" priority="8" operator="equal">
      <formula>"x"</formula>
    </cfRule>
  </conditionalFormatting>
  <conditionalFormatting sqref="D78:D80">
    <cfRule type="cellIs" dxfId="14" priority="4" operator="equal">
      <formula>"x"</formula>
    </cfRule>
  </conditionalFormatting>
  <conditionalFormatting sqref="D96:D101">
    <cfRule type="cellIs" dxfId="13" priority="5" operator="equal">
      <formula>"x"</formula>
    </cfRule>
  </conditionalFormatting>
  <conditionalFormatting sqref="D125:D126">
    <cfRule type="cellIs" dxfId="12" priority="6" operator="equal">
      <formula>"x"</formula>
    </cfRule>
  </conditionalFormatting>
  <conditionalFormatting sqref="D132:D134">
    <cfRule type="cellIs" dxfId="11" priority="1" operator="equal">
      <formula>"x"</formula>
    </cfRule>
  </conditionalFormatting>
  <conditionalFormatting sqref="D138">
    <cfRule type="cellIs" dxfId="10" priority="9" operator="equal">
      <formula>"x"</formula>
    </cfRule>
  </conditionalFormatting>
  <conditionalFormatting sqref="D140">
    <cfRule type="cellIs" dxfId="9" priority="10" operator="equal">
      <formula>"x"</formula>
    </cfRule>
  </conditionalFormatting>
  <conditionalFormatting sqref="D145">
    <cfRule type="cellIs" dxfId="8" priority="11" operator="equal">
      <formula>"x"</formula>
    </cfRule>
  </conditionalFormatting>
  <conditionalFormatting sqref="D211 D219:D229">
    <cfRule type="cellIs" dxfId="7" priority="7" operator="equal">
      <formula>"x"</formula>
    </cfRule>
  </conditionalFormatting>
  <conditionalFormatting sqref="D214">
    <cfRule type="cellIs" dxfId="6" priority="13" operator="equal">
      <formula>"x"</formula>
    </cfRule>
  </conditionalFormatting>
  <conditionalFormatting sqref="D232:D233">
    <cfRule type="cellIs" dxfId="5" priority="12" operator="equal">
      <formula>"x"</formula>
    </cfRule>
  </conditionalFormatting>
  <conditionalFormatting sqref="F1:F4">
    <cfRule type="cellIs" dxfId="4" priority="15" operator="equal">
      <formula>"R"</formula>
    </cfRule>
    <cfRule type="cellIs" dxfId="3" priority="16" operator="equal">
      <formula>"IN"</formula>
    </cfRule>
    <cfRule type="cellIs" dxfId="2" priority="17" operator="equal">
      <formula>"OK"</formula>
    </cfRule>
    <cfRule type="cellIs" dxfId="1" priority="18" operator="equal">
      <formula>"SR"</formula>
    </cfRule>
  </conditionalFormatting>
  <conditionalFormatting sqref="F2:F4">
    <cfRule type="cellIs" dxfId="0" priority="14" operator="equal">
      <formula>"C"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45" max="22" man="1"/>
    <brk id="144" max="22" man="1"/>
  </rowBreak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DC6A-532A-4919-BB26-817E9E845CB1}">
  <dimension ref="A1:M71"/>
  <sheetViews>
    <sheetView workbookViewId="0">
      <selection activeCell="B12" sqref="B12"/>
    </sheetView>
  </sheetViews>
  <sheetFormatPr defaultColWidth="11.453125" defaultRowHeight="14.5" x14ac:dyDescent="0.35"/>
  <cols>
    <col min="1" max="1" width="9.1796875" style="1210" customWidth="1"/>
    <col min="2" max="2" width="14.81640625" style="1210" customWidth="1"/>
    <col min="3" max="3" width="40.453125" style="1210" bestFit="1" customWidth="1"/>
    <col min="4" max="4" width="15.81640625" style="1210" bestFit="1" customWidth="1"/>
    <col min="5" max="6" width="15.7265625" style="1210" bestFit="1" customWidth="1"/>
    <col min="7" max="7" width="15.1796875" style="1210" customWidth="1"/>
    <col min="8" max="8" width="3.453125" style="1210" customWidth="1"/>
    <col min="9" max="9" width="15.1796875" style="1210" bestFit="1" customWidth="1"/>
    <col min="10" max="10" width="13.1796875" style="1210" bestFit="1" customWidth="1"/>
    <col min="11" max="11" width="15.1796875" style="1210" bestFit="1" customWidth="1"/>
    <col min="12" max="12" width="11.453125" style="1210"/>
    <col min="13" max="13" width="13.1796875" style="1210" bestFit="1" customWidth="1"/>
    <col min="14" max="16384" width="11.453125" style="1210"/>
  </cols>
  <sheetData>
    <row r="1" spans="1:13" ht="18.5" x14ac:dyDescent="0.35">
      <c r="A1" s="1209" t="s">
        <v>80</v>
      </c>
    </row>
    <row r="2" spans="1:13" ht="18.5" x14ac:dyDescent="0.35">
      <c r="A2" s="1209"/>
      <c r="B2" s="1214" t="s">
        <v>88</v>
      </c>
      <c r="C2" s="1214" t="s">
        <v>89</v>
      </c>
      <c r="D2" s="1214" t="s">
        <v>85</v>
      </c>
      <c r="E2" s="1214" t="s">
        <v>90</v>
      </c>
      <c r="F2" s="1214" t="s">
        <v>87</v>
      </c>
    </row>
    <row r="3" spans="1:13" ht="18.5" x14ac:dyDescent="0.35">
      <c r="A3" s="1209"/>
      <c r="B3" s="1221" t="s">
        <v>93</v>
      </c>
      <c r="C3" s="1222" t="s">
        <v>94</v>
      </c>
      <c r="D3" s="1223">
        <f>500907720*40%</f>
        <v>200363088</v>
      </c>
      <c r="E3" s="1224">
        <f>+D3*0.105</f>
        <v>21038124.239999998</v>
      </c>
      <c r="F3" s="1224">
        <f t="shared" ref="F3:F7" si="0">D3+E3</f>
        <v>221401212.24000001</v>
      </c>
    </row>
    <row r="4" spans="1:13" ht="18.5" x14ac:dyDescent="0.35">
      <c r="A4" s="1209"/>
      <c r="B4" s="1229" t="s">
        <v>96</v>
      </c>
      <c r="C4" s="1230" t="s">
        <v>94</v>
      </c>
      <c r="D4" s="1231">
        <f>500907720*60%</f>
        <v>300544632</v>
      </c>
      <c r="E4" s="1232">
        <v>0</v>
      </c>
      <c r="F4" s="1232">
        <f t="shared" si="0"/>
        <v>300544632</v>
      </c>
    </row>
    <row r="5" spans="1:13" ht="18.5" x14ac:dyDescent="0.35">
      <c r="A5" s="1209"/>
      <c r="B5" s="1229" t="s">
        <v>98</v>
      </c>
      <c r="C5" s="1230" t="s">
        <v>99</v>
      </c>
      <c r="D5" s="1233">
        <f>844845248*40%</f>
        <v>337938099.20000005</v>
      </c>
      <c r="E5" s="1232">
        <f>+D5*0.105</f>
        <v>35483500.416000001</v>
      </c>
      <c r="F5" s="1232">
        <f t="shared" si="0"/>
        <v>373421599.61600006</v>
      </c>
    </row>
    <row r="6" spans="1:13" ht="18.5" x14ac:dyDescent="0.35">
      <c r="A6" s="1209"/>
      <c r="B6" s="1229" t="s">
        <v>101</v>
      </c>
      <c r="C6" s="1230" t="s">
        <v>99</v>
      </c>
      <c r="D6" s="1233">
        <f>844845248*60%</f>
        <v>506907148.79999995</v>
      </c>
      <c r="E6" s="1232">
        <v>0</v>
      </c>
      <c r="F6" s="1232">
        <f t="shared" si="0"/>
        <v>506907148.79999995</v>
      </c>
    </row>
    <row r="7" spans="1:13" ht="18.5" x14ac:dyDescent="0.35">
      <c r="A7" s="1209"/>
      <c r="B7" s="1235"/>
      <c r="C7" s="1236"/>
      <c r="D7" s="1237"/>
      <c r="E7" s="1238">
        <f t="shared" ref="E7" si="1">+D7*0.105</f>
        <v>0</v>
      </c>
      <c r="F7" s="1239">
        <f t="shared" si="0"/>
        <v>0</v>
      </c>
    </row>
    <row r="8" spans="1:13" ht="18.5" x14ac:dyDescent="0.35">
      <c r="A8" s="1209"/>
      <c r="B8" s="1241"/>
      <c r="C8" s="1242" t="s">
        <v>104</v>
      </c>
      <c r="D8" s="1243">
        <f>SUM(D3:D7)</f>
        <v>1345752968</v>
      </c>
      <c r="E8" s="1243">
        <f>SUM(E3:E7)</f>
        <v>56521624.656000003</v>
      </c>
      <c r="F8" s="1243">
        <f>SUM(F3:F7)</f>
        <v>1402274592.6560001</v>
      </c>
    </row>
    <row r="9" spans="1:13" ht="18.5" x14ac:dyDescent="0.35">
      <c r="A9" s="1209"/>
      <c r="C9" s="196"/>
      <c r="D9" s="1327"/>
      <c r="E9" s="1328"/>
      <c r="F9" s="1328"/>
      <c r="G9" s="1328"/>
    </row>
    <row r="10" spans="1:13" x14ac:dyDescent="0.35">
      <c r="A10" s="1213"/>
      <c r="D10" s="1444" t="s">
        <v>815</v>
      </c>
      <c r="E10" s="1445"/>
      <c r="F10" s="1445"/>
      <c r="G10" s="1446"/>
      <c r="H10" s="594"/>
      <c r="I10" s="1444" t="s">
        <v>816</v>
      </c>
      <c r="J10" s="1445"/>
      <c r="K10" s="1445"/>
      <c r="L10" s="1445"/>
      <c r="M10" s="1446"/>
    </row>
    <row r="11" spans="1:13" x14ac:dyDescent="0.35">
      <c r="A11" s="1214" t="s">
        <v>83</v>
      </c>
      <c r="B11" s="1214" t="s">
        <v>814</v>
      </c>
      <c r="C11" s="1214" t="s">
        <v>89</v>
      </c>
      <c r="D11" s="1214" t="s">
        <v>85</v>
      </c>
      <c r="E11" s="1214" t="s">
        <v>86</v>
      </c>
      <c r="F11" s="1214" t="s">
        <v>90</v>
      </c>
      <c r="G11" s="1214" t="s">
        <v>87</v>
      </c>
      <c r="I11" s="1214" t="s">
        <v>85</v>
      </c>
      <c r="J11" s="1214" t="s">
        <v>86</v>
      </c>
      <c r="K11" s="1214" t="s">
        <v>87</v>
      </c>
      <c r="L11" s="1214" t="s">
        <v>817</v>
      </c>
      <c r="M11" s="1214" t="s">
        <v>804</v>
      </c>
    </row>
    <row r="12" spans="1:13" x14ac:dyDescent="0.35">
      <c r="A12" s="195">
        <v>45689</v>
      </c>
      <c r="B12" s="1294" t="s">
        <v>136</v>
      </c>
      <c r="C12" s="1249" t="s">
        <v>137</v>
      </c>
      <c r="D12" s="1208">
        <f>D3*0.4</f>
        <v>80145235.200000003</v>
      </c>
      <c r="E12" s="1250">
        <f>Facturacion!$V$3*70%</f>
        <v>4530102.3777447753</v>
      </c>
      <c r="F12" s="172">
        <f>+D12*0.105</f>
        <v>8415249.6960000005</v>
      </c>
      <c r="G12" s="1250">
        <f>SUM(D12:F12)</f>
        <v>93090587.273744777</v>
      </c>
      <c r="H12" s="1183"/>
    </row>
    <row r="13" spans="1:13" x14ac:dyDescent="0.35">
      <c r="A13" s="195">
        <v>45689</v>
      </c>
      <c r="B13" s="1294" t="s">
        <v>136</v>
      </c>
      <c r="C13" s="1249" t="s">
        <v>138</v>
      </c>
      <c r="I13" s="1208">
        <f>D3*0.4</f>
        <v>80145235.200000003</v>
      </c>
      <c r="J13" s="1250">
        <f>Facturacion!$V$3*30%</f>
        <v>1941472.4476049037</v>
      </c>
      <c r="K13" s="172">
        <f>SUM(I13:J13)</f>
        <v>82086707.647604913</v>
      </c>
      <c r="L13" s="1208">
        <v>1210</v>
      </c>
      <c r="M13" s="1323">
        <f>K13/L13</f>
        <v>67840.254254218933</v>
      </c>
    </row>
    <row r="14" spans="1:13" x14ac:dyDescent="0.35">
      <c r="A14" s="195">
        <v>45689</v>
      </c>
      <c r="B14" s="1294" t="s">
        <v>139</v>
      </c>
      <c r="C14" s="1249" t="s">
        <v>140</v>
      </c>
      <c r="D14" s="1208">
        <f>D5*0.1</f>
        <v>33793809.920000009</v>
      </c>
      <c r="E14" s="1250">
        <f>Facturacion!$V$4*70%</f>
        <v>1910149.9707327201</v>
      </c>
      <c r="F14" s="172">
        <f>+D14*0.105</f>
        <v>3548350.041600001</v>
      </c>
      <c r="G14" s="172">
        <f t="shared" ref="G14:G16" si="2">SUM(D14:F14)</f>
        <v>39252309.932332732</v>
      </c>
      <c r="L14" s="1208"/>
    </row>
    <row r="15" spans="1:13" x14ac:dyDescent="0.35">
      <c r="A15" s="195">
        <v>45689</v>
      </c>
      <c r="B15" s="1294" t="s">
        <v>139</v>
      </c>
      <c r="C15" s="1249" t="s">
        <v>141</v>
      </c>
      <c r="I15" s="1208">
        <f>D6*0.1</f>
        <v>50690714.879999995</v>
      </c>
      <c r="J15" s="1250">
        <f>Facturacion!$V$4*30%</f>
        <v>818635.70174259436</v>
      </c>
      <c r="K15" s="172">
        <f>SUM(I15:J15)</f>
        <v>51509350.581742592</v>
      </c>
      <c r="L15" s="1208">
        <v>1210</v>
      </c>
      <c r="M15" s="1323">
        <f>K15/L15</f>
        <v>42569.711224580657</v>
      </c>
    </row>
    <row r="16" spans="1:13" x14ac:dyDescent="0.35">
      <c r="A16" s="195">
        <v>45747</v>
      </c>
      <c r="B16" s="1294" t="s">
        <v>136</v>
      </c>
      <c r="C16" s="1249" t="s">
        <v>142</v>
      </c>
      <c r="D16" s="172">
        <f>19603686*0.7</f>
        <v>13722580.199999999</v>
      </c>
      <c r="E16" s="1250">
        <f>Facturacion!$V$5*70%</f>
        <v>443228.85708087747</v>
      </c>
      <c r="F16" s="172">
        <f>D16*0.1</f>
        <v>1372258.02</v>
      </c>
      <c r="G16" s="172">
        <f t="shared" si="2"/>
        <v>15538067.077080876</v>
      </c>
      <c r="L16" s="1208"/>
    </row>
    <row r="17" spans="1:13" x14ac:dyDescent="0.35">
      <c r="A17" s="195">
        <v>45747</v>
      </c>
      <c r="B17" s="1294" t="s">
        <v>136</v>
      </c>
      <c r="C17" s="1249" t="s">
        <v>143</v>
      </c>
      <c r="I17" s="172">
        <f>19603686*0.3</f>
        <v>5881105.7999999998</v>
      </c>
      <c r="J17" s="1250">
        <f>Facturacion!$V$5*30%</f>
        <v>189955.2244632332</v>
      </c>
      <c r="K17" s="172">
        <f>SUM(I17:J17)</f>
        <v>6071061.0244632326</v>
      </c>
      <c r="L17" s="1208">
        <v>1290</v>
      </c>
      <c r="M17" s="1323">
        <f>K17/L17</f>
        <v>4706.2488561730488</v>
      </c>
    </row>
    <row r="18" spans="1:13" x14ac:dyDescent="0.35">
      <c r="A18" s="195">
        <v>45747</v>
      </c>
      <c r="B18" s="1294" t="s">
        <v>139</v>
      </c>
      <c r="C18" s="1249" t="s">
        <v>144</v>
      </c>
      <c r="D18" s="172">
        <f>8012799*0.7</f>
        <v>5608959.2999999998</v>
      </c>
      <c r="E18" s="1250">
        <f>Facturacion!$V$6*70%</f>
        <v>181165.10178510554</v>
      </c>
      <c r="F18" s="172">
        <f>SUM(D18:E18)*0.105</f>
        <v>607963.06218743604</v>
      </c>
      <c r="G18" s="172">
        <f t="shared" ref="G18:G43" si="3">SUM(D18:F18)</f>
        <v>6398087.4639725415</v>
      </c>
      <c r="L18" s="1208"/>
    </row>
    <row r="19" spans="1:13" x14ac:dyDescent="0.35">
      <c r="A19" s="195">
        <v>45747</v>
      </c>
      <c r="B19" s="1294" t="s">
        <v>139</v>
      </c>
      <c r="C19" s="1249" t="s">
        <v>145</v>
      </c>
      <c r="I19" s="172">
        <f>8012799*0.3</f>
        <v>2403839.6999999997</v>
      </c>
      <c r="J19" s="1250">
        <f>Facturacion!$V$6*30%</f>
        <v>77642.186479330951</v>
      </c>
      <c r="K19" s="172">
        <f>SUM(I19:J19)</f>
        <v>2481481.8864793307</v>
      </c>
      <c r="L19" s="1208">
        <v>1290</v>
      </c>
      <c r="M19" s="1323">
        <f>K19/L19</f>
        <v>1923.6293693638222</v>
      </c>
    </row>
    <row r="20" spans="1:13" x14ac:dyDescent="0.35">
      <c r="A20" s="1326">
        <v>45751</v>
      </c>
      <c r="B20" s="1294"/>
      <c r="C20" s="1325" t="s">
        <v>818</v>
      </c>
      <c r="I20" s="172">
        <v>0</v>
      </c>
      <c r="J20" s="1250">
        <v>0</v>
      </c>
      <c r="K20" s="172">
        <v>0</v>
      </c>
      <c r="L20" s="1208"/>
      <c r="M20" s="1324">
        <v>-10000</v>
      </c>
    </row>
    <row r="21" spans="1:13" x14ac:dyDescent="0.35">
      <c r="A21" s="1326">
        <v>45762</v>
      </c>
      <c r="B21" s="1294"/>
      <c r="C21" s="1325" t="s">
        <v>818</v>
      </c>
      <c r="I21" s="172">
        <v>0</v>
      </c>
      <c r="J21" s="1250">
        <v>0</v>
      </c>
      <c r="K21" s="172">
        <v>0</v>
      </c>
      <c r="L21" s="1208"/>
      <c r="M21" s="1324">
        <v>-4000</v>
      </c>
    </row>
    <row r="22" spans="1:13" x14ac:dyDescent="0.35">
      <c r="A22" s="195">
        <v>45777</v>
      </c>
      <c r="B22" s="1294" t="s">
        <v>136</v>
      </c>
      <c r="C22" s="1249" t="s">
        <v>146</v>
      </c>
      <c r="D22" s="1250">
        <f>16465959*0.7</f>
        <v>11526171.299999999</v>
      </c>
      <c r="E22" s="1250">
        <f>Facturacion!$V$7*70%</f>
        <v>479619.16044151009</v>
      </c>
      <c r="F22" s="172">
        <f>+D22*0.105</f>
        <v>1210247.9864999999</v>
      </c>
      <c r="G22" s="172">
        <f t="shared" si="3"/>
        <v>13216038.44694151</v>
      </c>
      <c r="L22" s="1208"/>
    </row>
    <row r="23" spans="1:13" x14ac:dyDescent="0.35">
      <c r="A23" s="195">
        <v>45777</v>
      </c>
      <c r="B23" s="1294" t="s">
        <v>136</v>
      </c>
      <c r="C23" s="1249" t="s">
        <v>147</v>
      </c>
      <c r="I23" s="1250">
        <f>16465959*0.3</f>
        <v>4939787.7</v>
      </c>
      <c r="J23" s="1250">
        <f>Facturacion!$V$7*30%</f>
        <v>205551.06876064721</v>
      </c>
      <c r="K23" s="172">
        <f>SUM(I23:J23)</f>
        <v>5145338.7687606476</v>
      </c>
      <c r="L23" s="1208">
        <v>1190</v>
      </c>
      <c r="M23" s="1323">
        <f>K23/L23</f>
        <v>4323.8140913955021</v>
      </c>
    </row>
    <row r="24" spans="1:13" x14ac:dyDescent="0.35">
      <c r="A24" s="195">
        <v>45777</v>
      </c>
      <c r="B24" s="1294" t="s">
        <v>139</v>
      </c>
      <c r="C24" s="1249" t="s">
        <v>148</v>
      </c>
      <c r="D24" s="1250">
        <f>7853224*0.7</f>
        <v>5497256.7999999998</v>
      </c>
      <c r="E24" s="1250">
        <f>Facturacion!$V$8*70%</f>
        <v>228748.09423499674</v>
      </c>
      <c r="F24" s="172">
        <f t="shared" ref="F24:F43" si="4">(E24+D24)*0.105</f>
        <v>601230.5138946746</v>
      </c>
      <c r="G24" s="172">
        <f t="shared" si="3"/>
        <v>6327235.4081296707</v>
      </c>
      <c r="L24" s="1208"/>
    </row>
    <row r="25" spans="1:13" x14ac:dyDescent="0.35">
      <c r="A25" s="195">
        <v>45777</v>
      </c>
      <c r="B25" s="1294" t="s">
        <v>139</v>
      </c>
      <c r="C25" s="1249" t="s">
        <v>149</v>
      </c>
      <c r="I25" s="1250">
        <f>7853224*0.3</f>
        <v>2355967.1999999997</v>
      </c>
      <c r="J25" s="1250">
        <f>Facturacion!$V$8*30%</f>
        <v>98034.89752928431</v>
      </c>
      <c r="K25" s="172">
        <f>SUM(I25:J25)</f>
        <v>2454002.0975292842</v>
      </c>
      <c r="L25" s="1208">
        <v>1190</v>
      </c>
      <c r="M25" s="1323">
        <f>K25/L25</f>
        <v>2062.1866365792303</v>
      </c>
    </row>
    <row r="26" spans="1:13" x14ac:dyDescent="0.35">
      <c r="A26" s="1326">
        <v>45777</v>
      </c>
      <c r="B26" s="1294"/>
      <c r="C26" s="1325" t="s">
        <v>819</v>
      </c>
      <c r="D26" s="1324">
        <f>G26/1.105</f>
        <v>-21176470.588235296</v>
      </c>
      <c r="E26" s="1324"/>
      <c r="F26" s="1324">
        <f>SUM(D26:E26)*0.105</f>
        <v>-2223529.411764706</v>
      </c>
      <c r="G26" s="1324">
        <v>-23400000</v>
      </c>
      <c r="I26" s="1250"/>
      <c r="J26" s="1250"/>
      <c r="K26" s="172"/>
      <c r="L26" s="1208"/>
      <c r="M26" s="1323"/>
    </row>
    <row r="27" spans="1:13" x14ac:dyDescent="0.35">
      <c r="A27" s="1326">
        <v>45777</v>
      </c>
      <c r="B27" s="1294"/>
      <c r="C27" s="1325" t="s">
        <v>818</v>
      </c>
      <c r="I27" s="172">
        <v>0</v>
      </c>
      <c r="J27" s="1250">
        <v>0</v>
      </c>
      <c r="K27" s="172">
        <v>0</v>
      </c>
      <c r="L27" s="1208"/>
      <c r="M27" s="1324">
        <v>-20000</v>
      </c>
    </row>
    <row r="28" spans="1:13" x14ac:dyDescent="0.35">
      <c r="A28" s="1326">
        <v>45782</v>
      </c>
      <c r="B28" s="1294"/>
      <c r="C28" s="1325" t="s">
        <v>819</v>
      </c>
      <c r="D28" s="1324">
        <f>G28/1.105</f>
        <v>-21447963.800904978</v>
      </c>
      <c r="E28" s="1324"/>
      <c r="F28" s="1324">
        <f>SUM(D28:E28)*0.105</f>
        <v>-2252036.1990950224</v>
      </c>
      <c r="G28" s="1324">
        <v>-23700000</v>
      </c>
      <c r="I28" s="172"/>
      <c r="J28" s="1250"/>
      <c r="K28" s="172"/>
      <c r="L28" s="1208"/>
      <c r="M28" s="1324"/>
    </row>
    <row r="29" spans="1:13" x14ac:dyDescent="0.35">
      <c r="A29" s="1326">
        <v>45786</v>
      </c>
      <c r="B29" s="1294"/>
      <c r="C29" s="1325" t="s">
        <v>818</v>
      </c>
      <c r="I29" s="172">
        <v>0</v>
      </c>
      <c r="J29" s="1250">
        <v>0</v>
      </c>
      <c r="K29" s="172">
        <v>0</v>
      </c>
      <c r="L29" s="1208"/>
      <c r="M29" s="1324">
        <v>-50000</v>
      </c>
    </row>
    <row r="30" spans="1:13" x14ac:dyDescent="0.35">
      <c r="A30" s="1326">
        <v>45787</v>
      </c>
      <c r="B30" s="1294"/>
      <c r="C30" s="1325" t="s">
        <v>818</v>
      </c>
      <c r="I30" s="172">
        <v>0</v>
      </c>
      <c r="J30" s="1250">
        <v>0</v>
      </c>
      <c r="K30" s="172">
        <v>0</v>
      </c>
      <c r="L30" s="1208"/>
      <c r="M30" s="1324">
        <v>-3000</v>
      </c>
    </row>
    <row r="31" spans="1:13" x14ac:dyDescent="0.35">
      <c r="A31" s="1326">
        <v>45793</v>
      </c>
      <c r="B31" s="1294"/>
      <c r="C31" s="1325" t="s">
        <v>818</v>
      </c>
      <c r="I31" s="172">
        <v>0</v>
      </c>
      <c r="J31" s="1250">
        <v>0</v>
      </c>
      <c r="K31" s="172">
        <v>0</v>
      </c>
      <c r="L31" s="1208"/>
      <c r="M31" s="1324">
        <v>-50000</v>
      </c>
    </row>
    <row r="32" spans="1:13" x14ac:dyDescent="0.35">
      <c r="A32" s="195">
        <v>45808</v>
      </c>
      <c r="B32" s="1294" t="s">
        <v>136</v>
      </c>
      <c r="C32" s="1249" t="s">
        <v>150</v>
      </c>
      <c r="D32" s="1250">
        <f>38898523*0.7</f>
        <v>27228966.099999998</v>
      </c>
      <c r="E32" s="1250">
        <f>Facturacion!$V$9*70%</f>
        <v>1590679.1785992838</v>
      </c>
      <c r="F32" s="172">
        <f t="shared" si="4"/>
        <v>3026062.7542529246</v>
      </c>
      <c r="G32" s="172">
        <f t="shared" si="3"/>
        <v>31845708.032852206</v>
      </c>
      <c r="L32" s="1208"/>
    </row>
    <row r="33" spans="1:13" x14ac:dyDescent="0.35">
      <c r="A33" s="195">
        <v>45808</v>
      </c>
      <c r="B33" s="1294" t="s">
        <v>136</v>
      </c>
      <c r="C33" s="1249" t="s">
        <v>151</v>
      </c>
      <c r="I33" s="1250">
        <f>38898523*0.3</f>
        <v>11669556.9</v>
      </c>
      <c r="J33" s="1250">
        <f>Facturacion!$V$9*30%</f>
        <v>681719.64797112171</v>
      </c>
      <c r="K33" s="172">
        <f>SUM(I33:J33)</f>
        <v>12351276.547971122</v>
      </c>
      <c r="L33" s="1208">
        <v>1160</v>
      </c>
      <c r="M33" s="1323">
        <f>K33/L33</f>
        <v>10647.652196526829</v>
      </c>
    </row>
    <row r="34" spans="1:13" x14ac:dyDescent="0.35">
      <c r="A34" s="195">
        <v>45808</v>
      </c>
      <c r="B34" s="1294" t="s">
        <v>139</v>
      </c>
      <c r="C34" s="1249" t="s">
        <v>152</v>
      </c>
      <c r="D34" s="1250">
        <f>8963295*0.7</f>
        <v>6274306.5</v>
      </c>
      <c r="E34" s="1250">
        <f>Facturacion!$V$10*70%</f>
        <v>366536.45770579798</v>
      </c>
      <c r="F34" s="172">
        <f t="shared" si="4"/>
        <v>697288.51055910869</v>
      </c>
      <c r="G34" s="172">
        <f t="shared" si="3"/>
        <v>7338131.4682649067</v>
      </c>
      <c r="L34" s="1208"/>
    </row>
    <row r="35" spans="1:13" x14ac:dyDescent="0.35">
      <c r="A35" s="195">
        <v>45808</v>
      </c>
      <c r="B35" s="1294" t="s">
        <v>139</v>
      </c>
      <c r="C35" s="1249" t="s">
        <v>153</v>
      </c>
      <c r="I35" s="1250">
        <f>8963295*0.3</f>
        <v>2688988.5</v>
      </c>
      <c r="J35" s="1250">
        <f>Facturacion!$V$10*30%</f>
        <v>157087.05330248486</v>
      </c>
      <c r="K35" s="172">
        <f>SUM(I35:J35)</f>
        <v>2846075.553302485</v>
      </c>
      <c r="L35" s="1208">
        <v>1160</v>
      </c>
      <c r="M35" s="1323">
        <f>K35/L35</f>
        <v>2453.5134080193839</v>
      </c>
    </row>
    <row r="36" spans="1:13" x14ac:dyDescent="0.35">
      <c r="A36" s="1326">
        <v>45812</v>
      </c>
      <c r="B36" s="1294"/>
      <c r="C36" s="1325" t="s">
        <v>819</v>
      </c>
      <c r="D36" s="1324">
        <f>G36/1.105</f>
        <v>-15475113.122171946</v>
      </c>
      <c r="E36" s="1324"/>
      <c r="F36" s="1324">
        <f>SUM(D36:E36)*0.105</f>
        <v>-1624886.8778280544</v>
      </c>
      <c r="G36" s="1324">
        <v>-17100000</v>
      </c>
      <c r="I36" s="1250"/>
      <c r="J36" s="1250"/>
      <c r="K36" s="172"/>
      <c r="L36" s="1208"/>
      <c r="M36" s="1323"/>
    </row>
    <row r="37" spans="1:13" x14ac:dyDescent="0.35">
      <c r="A37" s="1326">
        <v>45826</v>
      </c>
      <c r="B37" s="1294"/>
      <c r="C37" s="1325" t="s">
        <v>819</v>
      </c>
      <c r="D37" s="1324">
        <f>G37/1.105</f>
        <v>-9049773.7556561083</v>
      </c>
      <c r="E37" s="1324"/>
      <c r="F37" s="1324">
        <f>SUM(D37:E37)*0.105</f>
        <v>-950226.24434389127</v>
      </c>
      <c r="G37" s="1324">
        <v>-10000000</v>
      </c>
      <c r="I37" s="1250"/>
      <c r="J37" s="1250"/>
      <c r="K37" s="172"/>
      <c r="L37" s="1208"/>
      <c r="M37" s="1323"/>
    </row>
    <row r="38" spans="1:13" x14ac:dyDescent="0.35">
      <c r="A38" s="1326">
        <v>45831</v>
      </c>
      <c r="B38" s="1294"/>
      <c r="C38" s="1325" t="s">
        <v>818</v>
      </c>
      <c r="I38" s="172">
        <v>0</v>
      </c>
      <c r="J38" s="1250">
        <v>0</v>
      </c>
      <c r="K38" s="172">
        <v>0</v>
      </c>
      <c r="L38" s="1208"/>
      <c r="M38" s="1324">
        <v>-30000</v>
      </c>
    </row>
    <row r="39" spans="1:13" x14ac:dyDescent="0.35">
      <c r="A39" s="1326">
        <v>45835</v>
      </c>
      <c r="B39" s="1294"/>
      <c r="C39" s="1325" t="s">
        <v>819</v>
      </c>
      <c r="D39" s="1324">
        <f>G39/1.105</f>
        <v>-10859728.50678733</v>
      </c>
      <c r="E39" s="1324"/>
      <c r="F39" s="1324">
        <f>SUM(D39:E39)*0.105</f>
        <v>-1140271.4932126696</v>
      </c>
      <c r="G39" s="1324">
        <v>-12000000</v>
      </c>
      <c r="I39" s="172"/>
      <c r="J39" s="1250"/>
      <c r="K39" s="172"/>
      <c r="L39" s="1208"/>
      <c r="M39" s="1324"/>
    </row>
    <row r="40" spans="1:13" x14ac:dyDescent="0.35">
      <c r="A40" s="1326">
        <v>45835</v>
      </c>
      <c r="B40" s="1294"/>
      <c r="C40" s="1325" t="s">
        <v>818</v>
      </c>
      <c r="I40" s="172">
        <v>0</v>
      </c>
      <c r="J40" s="1250">
        <v>0</v>
      </c>
      <c r="K40" s="172">
        <v>0</v>
      </c>
      <c r="L40" s="1208"/>
      <c r="M40" s="1324">
        <v>-5000</v>
      </c>
    </row>
    <row r="41" spans="1:13" x14ac:dyDescent="0.35">
      <c r="A41" s="195">
        <v>45838</v>
      </c>
      <c r="B41" s="1294" t="s">
        <v>136</v>
      </c>
      <c r="C41" s="1249" t="s">
        <v>810</v>
      </c>
      <c r="D41" s="1250">
        <f>21634403.628*70%</f>
        <v>15144082.539599998</v>
      </c>
      <c r="E41" s="1250">
        <f>1641134.431*70%</f>
        <v>1148794.1017</v>
      </c>
      <c r="F41" s="172">
        <f t="shared" si="4"/>
        <v>1710752.0473364997</v>
      </c>
      <c r="G41" s="172">
        <f t="shared" si="3"/>
        <v>18003628.688636497</v>
      </c>
      <c r="L41" s="1208"/>
    </row>
    <row r="42" spans="1:13" x14ac:dyDescent="0.35">
      <c r="A42" s="195">
        <v>45838</v>
      </c>
      <c r="B42" s="1294" t="s">
        <v>136</v>
      </c>
      <c r="C42" s="1249" t="s">
        <v>811</v>
      </c>
      <c r="I42" s="1250">
        <f>21634403.628*30%</f>
        <v>6490321.0883999998</v>
      </c>
      <c r="J42" s="1250">
        <f>1641134.431*30%</f>
        <v>492340.32929999998</v>
      </c>
      <c r="K42" s="172">
        <f>SUM(I42:J42)</f>
        <v>6982661.4177000001</v>
      </c>
      <c r="L42" s="1208">
        <v>1200</v>
      </c>
      <c r="M42" s="1323">
        <f>K42/L42</f>
        <v>5818.8845147499997</v>
      </c>
    </row>
    <row r="43" spans="1:13" x14ac:dyDescent="0.35">
      <c r="A43" s="195">
        <v>45838</v>
      </c>
      <c r="B43" s="1294" t="s">
        <v>139</v>
      </c>
      <c r="C43" s="1249" t="s">
        <v>812</v>
      </c>
      <c r="D43" s="1250">
        <f>8241381.396*70%</f>
        <v>5768966.9771999996</v>
      </c>
      <c r="E43" s="1250">
        <f>625171.601*70%</f>
        <v>437620.12069999997</v>
      </c>
      <c r="F43" s="172">
        <f t="shared" si="4"/>
        <v>651691.64527949993</v>
      </c>
      <c r="G43" s="172">
        <f t="shared" si="3"/>
        <v>6858278.7431794992</v>
      </c>
      <c r="L43" s="1208"/>
    </row>
    <row r="44" spans="1:13" x14ac:dyDescent="0.35">
      <c r="A44" s="195">
        <v>45838</v>
      </c>
      <c r="B44" s="1294" t="s">
        <v>139</v>
      </c>
      <c r="C44" s="1249" t="s">
        <v>813</v>
      </c>
      <c r="I44" s="1250">
        <f>8241381.396*30%</f>
        <v>2472414.4187999996</v>
      </c>
      <c r="J44" s="1250">
        <f>625171.601*30%</f>
        <v>187551.4803</v>
      </c>
      <c r="K44" s="172">
        <f>SUM(I44:J44)</f>
        <v>2659965.8990999996</v>
      </c>
      <c r="L44" s="1208">
        <v>1200</v>
      </c>
      <c r="M44" s="1323">
        <f>K44/L44</f>
        <v>2216.6382492499997</v>
      </c>
    </row>
    <row r="45" spans="1:13" x14ac:dyDescent="0.35">
      <c r="A45" s="195">
        <v>45845</v>
      </c>
      <c r="B45" s="1294"/>
      <c r="C45" s="1325" t="s">
        <v>819</v>
      </c>
      <c r="D45" s="1324">
        <f>G45/1.105</f>
        <v>-18099547.511312217</v>
      </c>
      <c r="E45" s="1324"/>
      <c r="F45" s="1324">
        <f>SUM(D45:E45)*0.105</f>
        <v>-1900452.4886877825</v>
      </c>
      <c r="G45" s="1324">
        <v>-20000000</v>
      </c>
      <c r="M45" s="1324"/>
    </row>
    <row r="46" spans="1:13" x14ac:dyDescent="0.35">
      <c r="A46" s="195">
        <v>45860</v>
      </c>
      <c r="B46" s="194"/>
      <c r="C46" s="1325" t="s">
        <v>819</v>
      </c>
      <c r="D46" s="1324">
        <f>G46/1.105</f>
        <v>-9049773.7556561083</v>
      </c>
      <c r="E46" s="1324"/>
      <c r="F46" s="1324">
        <f>SUM(D46:E46)*0.105</f>
        <v>-950226.24434389127</v>
      </c>
      <c r="G46" s="1324">
        <v>-10000000</v>
      </c>
      <c r="M46" s="1324"/>
    </row>
    <row r="47" spans="1:13" x14ac:dyDescent="0.35">
      <c r="A47" s="195"/>
      <c r="B47" s="194"/>
      <c r="C47" s="1249"/>
      <c r="D47" s="1250"/>
      <c r="E47" s="1250"/>
      <c r="F47" s="172"/>
      <c r="G47" s="172"/>
    </row>
    <row r="48" spans="1:13" x14ac:dyDescent="0.35">
      <c r="A48" s="195"/>
      <c r="B48" s="194"/>
      <c r="C48" s="1249"/>
      <c r="D48" s="1250"/>
      <c r="E48" s="1250"/>
      <c r="F48" s="172"/>
      <c r="G48" s="172"/>
    </row>
    <row r="49" spans="1:13" x14ac:dyDescent="0.35">
      <c r="A49" s="195"/>
      <c r="B49" s="196"/>
      <c r="C49" s="171"/>
      <c r="D49" s="1250"/>
      <c r="E49" s="1250"/>
      <c r="F49" s="172"/>
      <c r="G49" s="172"/>
    </row>
    <row r="50" spans="1:13" x14ac:dyDescent="0.35">
      <c r="A50" s="195"/>
      <c r="B50" s="194"/>
      <c r="C50" s="1249"/>
      <c r="D50" s="1250"/>
      <c r="E50" s="1250"/>
      <c r="F50" s="1250"/>
      <c r="G50" s="172"/>
    </row>
    <row r="51" spans="1:13" x14ac:dyDescent="0.35">
      <c r="A51" s="1264"/>
      <c r="B51" s="1264"/>
      <c r="C51" s="1265" t="s">
        <v>104</v>
      </c>
      <c r="D51" s="1266">
        <f>SUM(D12:D50)</f>
        <v>99551963.796076074</v>
      </c>
      <c r="E51" s="1266">
        <f>SUM(E12:E50)</f>
        <v>11316643.420725068</v>
      </c>
      <c r="F51" s="1266">
        <f>SUM(F12:F50)</f>
        <v>10799465.318334129</v>
      </c>
      <c r="G51" s="1266">
        <f>SUM(G12:G50)</f>
        <v>121668072.53513521</v>
      </c>
      <c r="I51" s="1266">
        <f>SUM(I12:I50)</f>
        <v>169737931.38719997</v>
      </c>
      <c r="J51" s="1266">
        <f>SUM(J12:J50)</f>
        <v>4849990.0374536002</v>
      </c>
      <c r="K51" s="1266">
        <f>SUM(K12:K50)</f>
        <v>174587921.42465362</v>
      </c>
      <c r="L51" s="1266"/>
      <c r="M51" s="1329">
        <f>SUM(M12:M50)</f>
        <v>-27437.467199142593</v>
      </c>
    </row>
    <row r="55" spans="1:13" x14ac:dyDescent="0.35">
      <c r="E55" s="1247"/>
    </row>
    <row r="56" spans="1:13" x14ac:dyDescent="0.35">
      <c r="E56" s="1247"/>
      <c r="G56" s="172"/>
    </row>
    <row r="57" spans="1:13" x14ac:dyDescent="0.35">
      <c r="E57" s="1247"/>
      <c r="G57" s="172"/>
    </row>
    <row r="60" spans="1:13" x14ac:dyDescent="0.35">
      <c r="D60" s="1208"/>
    </row>
    <row r="61" spans="1:13" x14ac:dyDescent="0.35">
      <c r="E61" s="1287"/>
      <c r="F61" s="1287"/>
    </row>
    <row r="62" spans="1:13" x14ac:dyDescent="0.35">
      <c r="E62" s="1263"/>
      <c r="F62" s="1208"/>
    </row>
    <row r="63" spans="1:13" x14ac:dyDescent="0.35">
      <c r="E63" s="1263"/>
      <c r="F63" s="1208"/>
    </row>
    <row r="64" spans="1:13" x14ac:dyDescent="0.35">
      <c r="E64" s="1263"/>
      <c r="F64" s="1208"/>
    </row>
    <row r="65" spans="5:6" x14ac:dyDescent="0.35">
      <c r="E65" s="1263"/>
      <c r="F65" s="1208"/>
    </row>
    <row r="66" spans="5:6" x14ac:dyDescent="0.35">
      <c r="E66" s="1263"/>
      <c r="F66" s="1208"/>
    </row>
    <row r="67" spans="5:6" x14ac:dyDescent="0.35">
      <c r="E67" s="1263"/>
      <c r="F67" s="1208"/>
    </row>
    <row r="68" spans="5:6" x14ac:dyDescent="0.35">
      <c r="E68" s="1263"/>
      <c r="F68" s="1208"/>
    </row>
    <row r="69" spans="5:6" x14ac:dyDescent="0.35">
      <c r="E69" s="1263"/>
      <c r="F69" s="1208"/>
    </row>
    <row r="70" spans="5:6" x14ac:dyDescent="0.35">
      <c r="E70" s="1263"/>
      <c r="F70" s="1208"/>
    </row>
    <row r="71" spans="5:6" x14ac:dyDescent="0.35">
      <c r="E71" s="1263"/>
      <c r="F71" s="1208"/>
    </row>
  </sheetData>
  <mergeCells count="2">
    <mergeCell ref="D10:G10"/>
    <mergeCell ref="I10:M10"/>
  </mergeCells>
  <pageMargins left="0.19685039370078741" right="0.19685039370078741" top="0.39370078740157483" bottom="0.39370078740157483" header="0.31496062992125984" footer="0.31496062992125984"/>
  <pageSetup paperSize="9" scale="80" orientation="portrait" r:id="rId1"/>
  <ignoredErrors>
    <ignoredError sqref="M41:M44 M15:M19 M22:M25 M32:M35" evalError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5CE8-01BB-4715-B7DC-14B2C5436C6B}">
  <dimension ref="B2:E1811"/>
  <sheetViews>
    <sheetView showGridLines="0" topLeftCell="A1777" zoomScaleNormal="100" workbookViewId="0">
      <selection activeCell="A1813" sqref="A1813"/>
    </sheetView>
  </sheetViews>
  <sheetFormatPr defaultColWidth="11.453125" defaultRowHeight="14.5" x14ac:dyDescent="0.35"/>
  <cols>
    <col min="1" max="1" width="4.26953125" style="1410" customWidth="1"/>
    <col min="2" max="2" width="14" style="1416" customWidth="1"/>
    <col min="3" max="3" width="11" style="1416" bestFit="1" customWidth="1"/>
    <col min="4" max="4" width="13.1796875" style="1410" bestFit="1" customWidth="1"/>
    <col min="5" max="5" width="11.453125" style="1410"/>
    <col min="6" max="6" width="14.453125" style="1410" bestFit="1" customWidth="1"/>
    <col min="7" max="16384" width="11.453125" style="1410"/>
  </cols>
  <sheetData>
    <row r="2" spans="2:5" x14ac:dyDescent="0.35">
      <c r="B2" s="1447" t="s">
        <v>986</v>
      </c>
      <c r="C2" s="1447"/>
    </row>
    <row r="3" spans="2:5" x14ac:dyDescent="0.35">
      <c r="B3" s="1447"/>
      <c r="C3" s="1447"/>
    </row>
    <row r="5" spans="2:5" ht="16" x14ac:dyDescent="0.35">
      <c r="B5" s="1411" t="s">
        <v>83</v>
      </c>
      <c r="C5" s="1412" t="s">
        <v>987</v>
      </c>
    </row>
    <row r="6" spans="2:5" x14ac:dyDescent="0.35">
      <c r="B6" s="1413">
        <v>44197</v>
      </c>
      <c r="C6" s="1414">
        <v>139.99</v>
      </c>
    </row>
    <row r="7" spans="2:5" x14ac:dyDescent="0.35">
      <c r="B7" s="1413">
        <v>44198</v>
      </c>
      <c r="C7" s="1414">
        <v>139.99</v>
      </c>
    </row>
    <row r="8" spans="2:5" x14ac:dyDescent="0.35">
      <c r="B8" s="1413">
        <v>44199</v>
      </c>
      <c r="C8" s="1414">
        <v>139.99</v>
      </c>
      <c r="E8" s="1415"/>
    </row>
    <row r="9" spans="2:5" x14ac:dyDescent="0.35">
      <c r="B9" s="1413">
        <v>44200</v>
      </c>
      <c r="C9" s="1414">
        <v>142.32</v>
      </c>
      <c r="E9" s="1415"/>
    </row>
    <row r="10" spans="2:5" x14ac:dyDescent="0.35">
      <c r="B10" s="1413">
        <v>44201</v>
      </c>
      <c r="C10" s="1414">
        <v>143.55000000000001</v>
      </c>
      <c r="E10" s="1415"/>
    </row>
    <row r="11" spans="2:5" x14ac:dyDescent="0.35">
      <c r="B11" s="1413">
        <v>44202</v>
      </c>
      <c r="C11" s="1414">
        <v>144.38999999999999</v>
      </c>
    </row>
    <row r="12" spans="2:5" x14ac:dyDescent="0.35">
      <c r="B12" s="1413">
        <v>44203</v>
      </c>
      <c r="C12" s="1414">
        <v>145.84</v>
      </c>
    </row>
    <row r="13" spans="2:5" x14ac:dyDescent="0.35">
      <c r="B13" s="1413">
        <v>44204</v>
      </c>
      <c r="C13" s="1414">
        <v>145.06</v>
      </c>
    </row>
    <row r="14" spans="2:5" x14ac:dyDescent="0.35">
      <c r="B14" s="1413">
        <v>44205</v>
      </c>
      <c r="C14" s="1414">
        <v>145.06</v>
      </c>
    </row>
    <row r="15" spans="2:5" x14ac:dyDescent="0.35">
      <c r="B15" s="1413">
        <v>44206</v>
      </c>
      <c r="C15" s="1414">
        <v>145.06</v>
      </c>
    </row>
    <row r="16" spans="2:5" x14ac:dyDescent="0.35">
      <c r="B16" s="1413">
        <v>44207</v>
      </c>
      <c r="C16" s="1414">
        <v>145.80000000000001</v>
      </c>
    </row>
    <row r="17" spans="2:3" x14ac:dyDescent="0.35">
      <c r="B17" s="1413">
        <v>44208</v>
      </c>
      <c r="C17" s="1414">
        <v>144.97999999999999</v>
      </c>
    </row>
    <row r="18" spans="2:3" x14ac:dyDescent="0.35">
      <c r="B18" s="1413">
        <v>44209</v>
      </c>
      <c r="C18" s="1414">
        <v>144.72</v>
      </c>
    </row>
    <row r="19" spans="2:3" x14ac:dyDescent="0.35">
      <c r="B19" s="1413">
        <v>44210</v>
      </c>
      <c r="C19" s="1414">
        <v>145.41999999999999</v>
      </c>
    </row>
    <row r="20" spans="2:3" x14ac:dyDescent="0.35">
      <c r="B20" s="1413">
        <v>44211</v>
      </c>
      <c r="C20" s="1414">
        <v>145.38999999999999</v>
      </c>
    </row>
    <row r="21" spans="2:3" x14ac:dyDescent="0.35">
      <c r="B21" s="1413">
        <v>44212</v>
      </c>
      <c r="C21" s="1414">
        <v>145.38999999999999</v>
      </c>
    </row>
    <row r="22" spans="2:3" x14ac:dyDescent="0.35">
      <c r="B22" s="1413">
        <v>44213</v>
      </c>
      <c r="C22" s="1414">
        <v>145.38999999999999</v>
      </c>
    </row>
    <row r="23" spans="2:3" x14ac:dyDescent="0.35">
      <c r="B23" s="1413">
        <v>44214</v>
      </c>
      <c r="C23" s="1414">
        <v>145.36000000000001</v>
      </c>
    </row>
    <row r="24" spans="2:3" x14ac:dyDescent="0.35">
      <c r="B24" s="1413">
        <v>44215</v>
      </c>
      <c r="C24" s="1414">
        <v>145.47999999999999</v>
      </c>
    </row>
    <row r="25" spans="2:3" x14ac:dyDescent="0.35">
      <c r="B25" s="1413">
        <v>44216</v>
      </c>
      <c r="C25" s="1414">
        <v>145.72</v>
      </c>
    </row>
    <row r="26" spans="2:3" x14ac:dyDescent="0.35">
      <c r="B26" s="1413">
        <v>44217</v>
      </c>
      <c r="C26" s="1414">
        <v>145.96</v>
      </c>
    </row>
    <row r="27" spans="2:3" x14ac:dyDescent="0.35">
      <c r="B27" s="1413">
        <v>44218</v>
      </c>
      <c r="C27" s="1414">
        <v>145.88</v>
      </c>
    </row>
    <row r="28" spans="2:3" x14ac:dyDescent="0.35">
      <c r="B28" s="1413">
        <v>44219</v>
      </c>
      <c r="C28" s="1414">
        <v>145.88</v>
      </c>
    </row>
    <row r="29" spans="2:3" x14ac:dyDescent="0.35">
      <c r="B29" s="1413">
        <v>44220</v>
      </c>
      <c r="C29" s="1414">
        <v>145.88</v>
      </c>
    </row>
    <row r="30" spans="2:3" x14ac:dyDescent="0.35">
      <c r="B30" s="1413">
        <v>44221</v>
      </c>
      <c r="C30" s="1414">
        <v>146.38</v>
      </c>
    </row>
    <row r="31" spans="2:3" x14ac:dyDescent="0.35">
      <c r="B31" s="1413">
        <v>44222</v>
      </c>
      <c r="C31" s="1414">
        <v>146.88999999999999</v>
      </c>
    </row>
    <row r="32" spans="2:3" x14ac:dyDescent="0.35">
      <c r="B32" s="1413">
        <v>44223</v>
      </c>
      <c r="C32" s="1414">
        <v>147.38</v>
      </c>
    </row>
    <row r="33" spans="2:3" x14ac:dyDescent="0.35">
      <c r="B33" s="1413">
        <v>44224</v>
      </c>
      <c r="C33" s="1414">
        <v>147.9</v>
      </c>
    </row>
    <row r="34" spans="2:3" x14ac:dyDescent="0.35">
      <c r="B34" s="1413">
        <v>44225</v>
      </c>
      <c r="C34" s="1414">
        <v>147.88</v>
      </c>
    </row>
    <row r="35" spans="2:3" x14ac:dyDescent="0.35">
      <c r="B35" s="1413">
        <v>44226</v>
      </c>
      <c r="C35" s="1414">
        <v>147.88</v>
      </c>
    </row>
    <row r="36" spans="2:3" x14ac:dyDescent="0.35">
      <c r="B36" s="1413">
        <v>44227</v>
      </c>
      <c r="C36" s="1414">
        <v>147.88</v>
      </c>
    </row>
    <row r="37" spans="2:3" x14ac:dyDescent="0.35">
      <c r="B37" s="1413">
        <v>44228</v>
      </c>
      <c r="C37" s="1414">
        <v>148.33000000000001</v>
      </c>
    </row>
    <row r="38" spans="2:3" x14ac:dyDescent="0.35">
      <c r="B38" s="1413">
        <v>44229</v>
      </c>
      <c r="C38" s="1414">
        <v>148.83000000000001</v>
      </c>
    </row>
    <row r="39" spans="2:3" x14ac:dyDescent="0.35">
      <c r="B39" s="1413">
        <v>44230</v>
      </c>
      <c r="C39" s="1414">
        <v>149.34</v>
      </c>
    </row>
    <row r="40" spans="2:3" x14ac:dyDescent="0.35">
      <c r="B40" s="1413">
        <v>44231</v>
      </c>
      <c r="C40" s="1414">
        <v>149.84</v>
      </c>
    </row>
    <row r="41" spans="2:3" x14ac:dyDescent="0.35">
      <c r="B41" s="1413">
        <v>44232</v>
      </c>
      <c r="C41" s="1414">
        <v>149.6</v>
      </c>
    </row>
    <row r="42" spans="2:3" x14ac:dyDescent="0.35">
      <c r="B42" s="1413">
        <v>44233</v>
      </c>
      <c r="C42" s="1414">
        <v>149.6</v>
      </c>
    </row>
    <row r="43" spans="2:3" x14ac:dyDescent="0.35">
      <c r="B43" s="1413">
        <v>44234</v>
      </c>
      <c r="C43" s="1414">
        <v>149.6</v>
      </c>
    </row>
    <row r="44" spans="2:3" x14ac:dyDescent="0.35">
      <c r="B44" s="1413">
        <v>44235</v>
      </c>
      <c r="C44" s="1414">
        <v>149.6</v>
      </c>
    </row>
    <row r="45" spans="2:3" x14ac:dyDescent="0.35">
      <c r="B45" s="1413">
        <v>44236</v>
      </c>
      <c r="C45" s="1414">
        <v>150</v>
      </c>
    </row>
    <row r="46" spans="2:3" x14ac:dyDescent="0.35">
      <c r="B46" s="1413">
        <v>44237</v>
      </c>
      <c r="C46" s="1414">
        <v>149.75</v>
      </c>
    </row>
    <row r="47" spans="2:3" x14ac:dyDescent="0.35">
      <c r="B47" s="1413">
        <v>44238</v>
      </c>
      <c r="C47" s="1414">
        <v>148.34</v>
      </c>
    </row>
    <row r="48" spans="2:3" x14ac:dyDescent="0.35">
      <c r="B48" s="1413">
        <v>44239</v>
      </c>
      <c r="C48" s="1414">
        <v>147.65</v>
      </c>
    </row>
    <row r="49" spans="2:3" x14ac:dyDescent="0.35">
      <c r="B49" s="1413">
        <v>44240</v>
      </c>
      <c r="C49" s="1414">
        <v>147.65</v>
      </c>
    </row>
    <row r="50" spans="2:3" x14ac:dyDescent="0.35">
      <c r="B50" s="1413">
        <v>44241</v>
      </c>
      <c r="C50" s="1414">
        <v>147.65</v>
      </c>
    </row>
    <row r="51" spans="2:3" x14ac:dyDescent="0.35">
      <c r="B51" s="1413">
        <v>44242</v>
      </c>
      <c r="C51" s="1414">
        <v>147.65</v>
      </c>
    </row>
    <row r="52" spans="2:3" x14ac:dyDescent="0.35">
      <c r="B52" s="1413">
        <v>44243</v>
      </c>
      <c r="C52" s="1414">
        <v>147.65</v>
      </c>
    </row>
    <row r="53" spans="2:3" x14ac:dyDescent="0.35">
      <c r="B53" s="1413">
        <v>44244</v>
      </c>
      <c r="C53" s="1414">
        <v>143.47</v>
      </c>
    </row>
    <row r="54" spans="2:3" x14ac:dyDescent="0.35">
      <c r="B54" s="1413">
        <v>44245</v>
      </c>
      <c r="C54" s="1414">
        <v>141.77000000000001</v>
      </c>
    </row>
    <row r="55" spans="2:3" x14ac:dyDescent="0.35">
      <c r="B55" s="1413">
        <v>44246</v>
      </c>
      <c r="C55" s="1414">
        <v>140.65</v>
      </c>
    </row>
    <row r="56" spans="2:3" x14ac:dyDescent="0.35">
      <c r="B56" s="1413">
        <v>44247</v>
      </c>
      <c r="C56" s="1414">
        <v>140.65</v>
      </c>
    </row>
    <row r="57" spans="2:3" x14ac:dyDescent="0.35">
      <c r="B57" s="1413">
        <v>44248</v>
      </c>
      <c r="C57" s="1414">
        <v>140.65</v>
      </c>
    </row>
    <row r="58" spans="2:3" x14ac:dyDescent="0.35">
      <c r="B58" s="1413">
        <v>44249</v>
      </c>
      <c r="C58" s="1414">
        <v>138.79</v>
      </c>
    </row>
    <row r="59" spans="2:3" x14ac:dyDescent="0.35">
      <c r="B59" s="1413">
        <v>44250</v>
      </c>
      <c r="C59" s="1414">
        <v>139.86000000000001</v>
      </c>
    </row>
    <row r="60" spans="2:3" x14ac:dyDescent="0.35">
      <c r="B60" s="1413">
        <v>44251</v>
      </c>
      <c r="C60" s="1414">
        <v>140.94</v>
      </c>
    </row>
    <row r="61" spans="2:3" x14ac:dyDescent="0.35">
      <c r="B61" s="1413">
        <v>44252</v>
      </c>
      <c r="C61" s="1414">
        <v>141.91999999999999</v>
      </c>
    </row>
    <row r="62" spans="2:3" x14ac:dyDescent="0.35">
      <c r="B62" s="1413">
        <v>44253</v>
      </c>
      <c r="C62" s="1414">
        <v>141.91999999999999</v>
      </c>
    </row>
    <row r="63" spans="2:3" x14ac:dyDescent="0.35">
      <c r="B63" s="1413">
        <v>44254</v>
      </c>
      <c r="C63" s="1414">
        <v>141.91999999999999</v>
      </c>
    </row>
    <row r="64" spans="2:3" x14ac:dyDescent="0.35">
      <c r="B64" s="1413">
        <v>44255</v>
      </c>
      <c r="C64" s="1414">
        <v>141.91999999999999</v>
      </c>
    </row>
    <row r="65" spans="2:3" x14ac:dyDescent="0.35">
      <c r="B65" s="1413">
        <v>44256</v>
      </c>
      <c r="C65" s="1414">
        <v>143.80000000000001</v>
      </c>
    </row>
    <row r="66" spans="2:3" x14ac:dyDescent="0.35">
      <c r="B66" s="1413">
        <v>44257</v>
      </c>
      <c r="C66" s="1414">
        <v>146.13</v>
      </c>
    </row>
    <row r="67" spans="2:3" x14ac:dyDescent="0.35">
      <c r="B67" s="1413">
        <v>44258</v>
      </c>
      <c r="C67" s="1414">
        <v>146.11000000000001</v>
      </c>
    </row>
    <row r="68" spans="2:3" x14ac:dyDescent="0.35">
      <c r="B68" s="1413">
        <v>44259</v>
      </c>
      <c r="C68" s="1414">
        <v>145.11000000000001</v>
      </c>
    </row>
    <row r="69" spans="2:3" x14ac:dyDescent="0.35">
      <c r="B69" s="1413">
        <v>44260</v>
      </c>
      <c r="C69" s="1414">
        <v>145.87</v>
      </c>
    </row>
    <row r="70" spans="2:3" x14ac:dyDescent="0.35">
      <c r="B70" s="1413">
        <v>44261</v>
      </c>
      <c r="C70" s="1414">
        <v>145.87</v>
      </c>
    </row>
    <row r="71" spans="2:3" x14ac:dyDescent="0.35">
      <c r="B71" s="1413">
        <v>44262</v>
      </c>
      <c r="C71" s="1414">
        <v>145.87</v>
      </c>
    </row>
    <row r="72" spans="2:3" x14ac:dyDescent="0.35">
      <c r="B72" s="1413">
        <v>44263</v>
      </c>
      <c r="C72" s="1414">
        <v>145.87</v>
      </c>
    </row>
    <row r="73" spans="2:3" x14ac:dyDescent="0.35">
      <c r="B73" s="1413">
        <v>44264</v>
      </c>
      <c r="C73" s="1414">
        <v>145.38999999999999</v>
      </c>
    </row>
    <row r="74" spans="2:3" x14ac:dyDescent="0.35">
      <c r="B74" s="1413">
        <v>44265</v>
      </c>
      <c r="C74" s="1414">
        <v>144.43</v>
      </c>
    </row>
    <row r="75" spans="2:3" x14ac:dyDescent="0.35">
      <c r="B75" s="1413">
        <v>44266</v>
      </c>
      <c r="C75" s="1414">
        <v>144.30000000000001</v>
      </c>
    </row>
    <row r="76" spans="2:3" x14ac:dyDescent="0.35">
      <c r="B76" s="1413">
        <v>44267</v>
      </c>
      <c r="C76" s="1414">
        <v>144.84</v>
      </c>
    </row>
    <row r="77" spans="2:3" x14ac:dyDescent="0.35">
      <c r="B77" s="1413">
        <v>44268</v>
      </c>
      <c r="C77" s="1414">
        <v>144.84</v>
      </c>
    </row>
    <row r="78" spans="2:3" x14ac:dyDescent="0.35">
      <c r="B78" s="1413">
        <v>44269</v>
      </c>
      <c r="C78" s="1414">
        <v>144.84</v>
      </c>
    </row>
    <row r="79" spans="2:3" x14ac:dyDescent="0.35">
      <c r="B79" s="1413">
        <v>44270</v>
      </c>
      <c r="C79" s="1414">
        <v>144.59</v>
      </c>
    </row>
    <row r="80" spans="2:3" x14ac:dyDescent="0.35">
      <c r="B80" s="1413">
        <v>44271</v>
      </c>
      <c r="C80" s="1414">
        <v>144.6</v>
      </c>
    </row>
    <row r="81" spans="2:3" x14ac:dyDescent="0.35">
      <c r="B81" s="1413">
        <v>44272</v>
      </c>
      <c r="C81" s="1414">
        <v>145.28</v>
      </c>
    </row>
    <row r="82" spans="2:3" x14ac:dyDescent="0.35">
      <c r="B82" s="1413">
        <v>44273</v>
      </c>
      <c r="C82" s="1414">
        <v>144.71</v>
      </c>
    </row>
    <row r="83" spans="2:3" x14ac:dyDescent="0.35">
      <c r="B83" s="1413">
        <v>44274</v>
      </c>
      <c r="C83" s="1414">
        <v>144</v>
      </c>
    </row>
    <row r="84" spans="2:3" x14ac:dyDescent="0.35">
      <c r="B84" s="1413">
        <v>44275</v>
      </c>
      <c r="C84" s="1414">
        <v>144</v>
      </c>
    </row>
    <row r="85" spans="2:3" x14ac:dyDescent="0.35">
      <c r="B85" s="1413">
        <v>44276</v>
      </c>
      <c r="C85" s="1414">
        <v>144</v>
      </c>
    </row>
    <row r="86" spans="2:3" x14ac:dyDescent="0.35">
      <c r="B86" s="1413">
        <v>44277</v>
      </c>
      <c r="C86" s="1414">
        <v>143.15</v>
      </c>
    </row>
    <row r="87" spans="2:3" x14ac:dyDescent="0.35">
      <c r="B87" s="1413">
        <v>44278</v>
      </c>
      <c r="C87" s="1414">
        <v>142.78</v>
      </c>
    </row>
    <row r="88" spans="2:3" x14ac:dyDescent="0.35">
      <c r="B88" s="1413">
        <v>44279</v>
      </c>
      <c r="C88" s="1414">
        <v>142.78</v>
      </c>
    </row>
    <row r="89" spans="2:3" x14ac:dyDescent="0.35">
      <c r="B89" s="1413">
        <v>44280</v>
      </c>
      <c r="C89" s="1414">
        <v>141.19</v>
      </c>
    </row>
    <row r="90" spans="2:3" x14ac:dyDescent="0.35">
      <c r="B90" s="1413">
        <v>44281</v>
      </c>
      <c r="C90" s="1414">
        <v>138.44999999999999</v>
      </c>
    </row>
    <row r="91" spans="2:3" x14ac:dyDescent="0.35">
      <c r="B91" s="1413">
        <v>44282</v>
      </c>
      <c r="C91" s="1414">
        <v>138.44999999999999</v>
      </c>
    </row>
    <row r="92" spans="2:3" x14ac:dyDescent="0.35">
      <c r="B92" s="1413">
        <v>44283</v>
      </c>
      <c r="C92" s="1414">
        <v>138.44999999999999</v>
      </c>
    </row>
    <row r="93" spans="2:3" x14ac:dyDescent="0.35">
      <c r="B93" s="1413">
        <v>44284</v>
      </c>
      <c r="C93" s="1414">
        <v>138.47999999999999</v>
      </c>
    </row>
    <row r="94" spans="2:3" x14ac:dyDescent="0.35">
      <c r="B94" s="1413">
        <v>44285</v>
      </c>
      <c r="C94" s="1414">
        <v>140.38999999999999</v>
      </c>
    </row>
    <row r="95" spans="2:3" x14ac:dyDescent="0.35">
      <c r="B95" s="1413">
        <v>44286</v>
      </c>
      <c r="C95" s="1414">
        <v>142.19</v>
      </c>
    </row>
    <row r="96" spans="2:3" x14ac:dyDescent="0.35">
      <c r="B96" s="1413">
        <v>44287</v>
      </c>
      <c r="C96" s="1414">
        <v>142.19</v>
      </c>
    </row>
    <row r="97" spans="2:3" x14ac:dyDescent="0.35">
      <c r="B97" s="1413">
        <v>44288</v>
      </c>
      <c r="C97" s="1414">
        <v>142.19</v>
      </c>
    </row>
    <row r="98" spans="2:3" x14ac:dyDescent="0.35">
      <c r="B98" s="1413">
        <v>44289</v>
      </c>
      <c r="C98" s="1414">
        <v>142.19</v>
      </c>
    </row>
    <row r="99" spans="2:3" x14ac:dyDescent="0.35">
      <c r="B99" s="1413">
        <v>44290</v>
      </c>
      <c r="C99" s="1414">
        <v>142.19</v>
      </c>
    </row>
    <row r="100" spans="2:3" x14ac:dyDescent="0.35">
      <c r="B100" s="1413">
        <v>44291</v>
      </c>
      <c r="C100" s="1414">
        <v>141.81</v>
      </c>
    </row>
    <row r="101" spans="2:3" x14ac:dyDescent="0.35">
      <c r="B101" s="1413">
        <v>44292</v>
      </c>
      <c r="C101" s="1414">
        <v>143.66</v>
      </c>
    </row>
    <row r="102" spans="2:3" x14ac:dyDescent="0.35">
      <c r="B102" s="1413">
        <v>44293</v>
      </c>
      <c r="C102" s="1414">
        <v>143.77000000000001</v>
      </c>
    </row>
    <row r="103" spans="2:3" x14ac:dyDescent="0.35">
      <c r="B103" s="1413">
        <v>44294</v>
      </c>
      <c r="C103" s="1414">
        <v>144.66</v>
      </c>
    </row>
    <row r="104" spans="2:3" x14ac:dyDescent="0.35">
      <c r="B104" s="1413">
        <v>44295</v>
      </c>
      <c r="C104" s="1414">
        <v>144.38</v>
      </c>
    </row>
    <row r="105" spans="2:3" x14ac:dyDescent="0.35">
      <c r="B105" s="1413">
        <v>44296</v>
      </c>
      <c r="C105" s="1414">
        <v>144.38</v>
      </c>
    </row>
    <row r="106" spans="2:3" x14ac:dyDescent="0.35">
      <c r="B106" s="1413">
        <v>44297</v>
      </c>
      <c r="C106" s="1414">
        <v>144.38</v>
      </c>
    </row>
    <row r="107" spans="2:3" x14ac:dyDescent="0.35">
      <c r="B107" s="1413">
        <v>44298</v>
      </c>
      <c r="C107" s="1414">
        <v>143.26</v>
      </c>
    </row>
    <row r="108" spans="2:3" x14ac:dyDescent="0.35">
      <c r="B108" s="1413">
        <v>44299</v>
      </c>
      <c r="C108" s="1414">
        <v>142.79</v>
      </c>
    </row>
    <row r="109" spans="2:3" x14ac:dyDescent="0.35">
      <c r="B109" s="1413">
        <v>44300</v>
      </c>
      <c r="C109" s="1414">
        <v>143.80000000000001</v>
      </c>
    </row>
    <row r="110" spans="2:3" x14ac:dyDescent="0.35">
      <c r="B110" s="1413">
        <v>44301</v>
      </c>
      <c r="C110" s="1414">
        <v>143.65</v>
      </c>
    </row>
    <row r="111" spans="2:3" x14ac:dyDescent="0.35">
      <c r="B111" s="1413">
        <v>44302</v>
      </c>
      <c r="C111" s="1414">
        <v>143.71</v>
      </c>
    </row>
    <row r="112" spans="2:3" x14ac:dyDescent="0.35">
      <c r="B112" s="1413">
        <v>44303</v>
      </c>
      <c r="C112" s="1414">
        <v>143.71</v>
      </c>
    </row>
    <row r="113" spans="2:3" x14ac:dyDescent="0.35">
      <c r="B113" s="1413">
        <v>44304</v>
      </c>
      <c r="C113" s="1414">
        <v>143.71</v>
      </c>
    </row>
    <row r="114" spans="2:3" x14ac:dyDescent="0.35">
      <c r="B114" s="1413">
        <v>44305</v>
      </c>
      <c r="C114" s="1414">
        <v>144.37</v>
      </c>
    </row>
    <row r="115" spans="2:3" x14ac:dyDescent="0.35">
      <c r="B115" s="1413">
        <v>44306</v>
      </c>
      <c r="C115" s="1414">
        <v>145.94</v>
      </c>
    </row>
    <row r="116" spans="2:3" x14ac:dyDescent="0.35">
      <c r="B116" s="1413">
        <v>44307</v>
      </c>
      <c r="C116" s="1414">
        <v>145.44</v>
      </c>
    </row>
    <row r="117" spans="2:3" x14ac:dyDescent="0.35">
      <c r="B117" s="1413">
        <v>44308</v>
      </c>
      <c r="C117" s="1414">
        <v>145.5</v>
      </c>
    </row>
    <row r="118" spans="2:3" x14ac:dyDescent="0.35">
      <c r="B118" s="1413">
        <v>44309</v>
      </c>
      <c r="C118" s="1414">
        <v>148.36000000000001</v>
      </c>
    </row>
    <row r="119" spans="2:3" x14ac:dyDescent="0.35">
      <c r="B119" s="1413">
        <v>44310</v>
      </c>
      <c r="C119" s="1414">
        <v>148.36000000000001</v>
      </c>
    </row>
    <row r="120" spans="2:3" x14ac:dyDescent="0.35">
      <c r="B120" s="1413">
        <v>44311</v>
      </c>
      <c r="C120" s="1414">
        <v>148.36000000000001</v>
      </c>
    </row>
    <row r="121" spans="2:3" x14ac:dyDescent="0.35">
      <c r="B121" s="1413">
        <v>44312</v>
      </c>
      <c r="C121" s="1414">
        <v>150.27000000000001</v>
      </c>
    </row>
    <row r="122" spans="2:3" x14ac:dyDescent="0.35">
      <c r="B122" s="1413">
        <v>44313</v>
      </c>
      <c r="C122" s="1414">
        <v>151.49</v>
      </c>
    </row>
    <row r="123" spans="2:3" x14ac:dyDescent="0.35">
      <c r="B123" s="1413">
        <v>44314</v>
      </c>
      <c r="C123" s="1414">
        <v>151.80000000000001</v>
      </c>
    </row>
    <row r="124" spans="2:3" x14ac:dyDescent="0.35">
      <c r="B124" s="1413">
        <v>44315</v>
      </c>
      <c r="C124" s="1414">
        <v>152.19999999999999</v>
      </c>
    </row>
    <row r="125" spans="2:3" x14ac:dyDescent="0.35">
      <c r="B125" s="1413">
        <v>44316</v>
      </c>
      <c r="C125" s="1414">
        <v>152.19</v>
      </c>
    </row>
    <row r="126" spans="2:3" x14ac:dyDescent="0.35">
      <c r="B126" s="1413">
        <v>44317</v>
      </c>
      <c r="C126" s="1414">
        <v>152.19</v>
      </c>
    </row>
    <row r="127" spans="2:3" x14ac:dyDescent="0.35">
      <c r="B127" s="1413">
        <v>44318</v>
      </c>
      <c r="C127" s="1414">
        <v>152.19</v>
      </c>
    </row>
    <row r="128" spans="2:3" x14ac:dyDescent="0.35">
      <c r="B128" s="1413">
        <v>44319</v>
      </c>
      <c r="C128" s="1414">
        <v>152.96</v>
      </c>
    </row>
    <row r="129" spans="2:3" x14ac:dyDescent="0.35">
      <c r="B129" s="1413">
        <v>44320</v>
      </c>
      <c r="C129" s="1414">
        <v>153.33000000000001</v>
      </c>
    </row>
    <row r="130" spans="2:3" x14ac:dyDescent="0.35">
      <c r="B130" s="1413">
        <v>44321</v>
      </c>
      <c r="C130" s="1414">
        <v>153.82</v>
      </c>
    </row>
    <row r="131" spans="2:3" x14ac:dyDescent="0.35">
      <c r="B131" s="1413">
        <v>44322</v>
      </c>
      <c r="C131" s="1414">
        <v>154.30000000000001</v>
      </c>
    </row>
    <row r="132" spans="2:3" x14ac:dyDescent="0.35">
      <c r="B132" s="1413">
        <v>44323</v>
      </c>
      <c r="C132" s="1414">
        <v>154.4</v>
      </c>
    </row>
    <row r="133" spans="2:3" x14ac:dyDescent="0.35">
      <c r="B133" s="1413">
        <v>44324</v>
      </c>
      <c r="C133" s="1414">
        <v>154.4</v>
      </c>
    </row>
    <row r="134" spans="2:3" x14ac:dyDescent="0.35">
      <c r="B134" s="1413">
        <v>44325</v>
      </c>
      <c r="C134" s="1414">
        <v>154.4</v>
      </c>
    </row>
    <row r="135" spans="2:3" x14ac:dyDescent="0.35">
      <c r="B135" s="1413">
        <v>44326</v>
      </c>
      <c r="C135" s="1414">
        <v>153.94999999999999</v>
      </c>
    </row>
    <row r="136" spans="2:3" x14ac:dyDescent="0.35">
      <c r="B136" s="1413">
        <v>44327</v>
      </c>
      <c r="C136" s="1414">
        <v>153.16</v>
      </c>
    </row>
    <row r="137" spans="2:3" x14ac:dyDescent="0.35">
      <c r="B137" s="1413">
        <v>44328</v>
      </c>
      <c r="C137" s="1414">
        <v>153.21</v>
      </c>
    </row>
    <row r="138" spans="2:3" x14ac:dyDescent="0.35">
      <c r="B138" s="1413">
        <v>44329</v>
      </c>
      <c r="C138" s="1414">
        <v>153.71</v>
      </c>
    </row>
    <row r="139" spans="2:3" x14ac:dyDescent="0.35">
      <c r="B139" s="1413">
        <v>44330</v>
      </c>
      <c r="C139" s="1414">
        <v>154.16999999999999</v>
      </c>
    </row>
    <row r="140" spans="2:3" x14ac:dyDescent="0.35">
      <c r="B140" s="1413">
        <v>44331</v>
      </c>
      <c r="C140" s="1414">
        <v>154.16999999999999</v>
      </c>
    </row>
    <row r="141" spans="2:3" x14ac:dyDescent="0.35">
      <c r="B141" s="1413">
        <v>44332</v>
      </c>
      <c r="C141" s="1414">
        <v>154.16999999999999</v>
      </c>
    </row>
    <row r="142" spans="2:3" x14ac:dyDescent="0.35">
      <c r="B142" s="1413">
        <v>44333</v>
      </c>
      <c r="C142" s="1414">
        <v>154.65</v>
      </c>
    </row>
    <row r="143" spans="2:3" x14ac:dyDescent="0.35">
      <c r="B143" s="1413">
        <v>44334</v>
      </c>
      <c r="C143" s="1414">
        <v>154.65</v>
      </c>
    </row>
    <row r="144" spans="2:3" x14ac:dyDescent="0.35">
      <c r="B144" s="1413">
        <v>44335</v>
      </c>
      <c r="C144" s="1414">
        <v>156.49</v>
      </c>
    </row>
    <row r="145" spans="2:3" x14ac:dyDescent="0.35">
      <c r="B145" s="1413">
        <v>44336</v>
      </c>
      <c r="C145" s="1414">
        <v>157.22</v>
      </c>
    </row>
    <row r="146" spans="2:3" x14ac:dyDescent="0.35">
      <c r="B146" s="1413">
        <v>44337</v>
      </c>
      <c r="C146" s="1414">
        <v>158.37</v>
      </c>
    </row>
    <row r="147" spans="2:3" x14ac:dyDescent="0.35">
      <c r="B147" s="1413">
        <v>44338</v>
      </c>
      <c r="C147" s="1414">
        <v>158.37</v>
      </c>
    </row>
    <row r="148" spans="2:3" x14ac:dyDescent="0.35">
      <c r="B148" s="1413">
        <v>44339</v>
      </c>
      <c r="C148" s="1414">
        <v>158.37</v>
      </c>
    </row>
    <row r="149" spans="2:3" x14ac:dyDescent="0.35">
      <c r="B149" s="1413">
        <v>44340</v>
      </c>
      <c r="C149" s="1414">
        <v>158.37</v>
      </c>
    </row>
    <row r="150" spans="2:3" x14ac:dyDescent="0.35">
      <c r="B150" s="1413">
        <v>44341</v>
      </c>
      <c r="C150" s="1414">
        <v>158.37</v>
      </c>
    </row>
    <row r="151" spans="2:3" x14ac:dyDescent="0.35">
      <c r="B151" s="1413">
        <v>44342</v>
      </c>
      <c r="C151" s="1414">
        <v>158.05000000000001</v>
      </c>
    </row>
    <row r="152" spans="2:3" x14ac:dyDescent="0.35">
      <c r="B152" s="1413">
        <v>44343</v>
      </c>
      <c r="C152" s="1414">
        <v>158.72</v>
      </c>
    </row>
    <row r="153" spans="2:3" x14ac:dyDescent="0.35">
      <c r="B153" s="1413">
        <v>44344</v>
      </c>
      <c r="C153" s="1414">
        <v>159.49</v>
      </c>
    </row>
    <row r="154" spans="2:3" x14ac:dyDescent="0.35">
      <c r="B154" s="1413">
        <v>44345</v>
      </c>
      <c r="C154" s="1414">
        <v>159.49</v>
      </c>
    </row>
    <row r="155" spans="2:3" x14ac:dyDescent="0.35">
      <c r="B155" s="1413">
        <v>44346</v>
      </c>
      <c r="C155" s="1414">
        <v>159.49</v>
      </c>
    </row>
    <row r="156" spans="2:3" x14ac:dyDescent="0.35">
      <c r="B156" s="1413">
        <v>44347</v>
      </c>
      <c r="C156" s="1414">
        <v>160.22999999999999</v>
      </c>
    </row>
    <row r="157" spans="2:3" x14ac:dyDescent="0.35">
      <c r="B157" s="1413">
        <v>44348</v>
      </c>
      <c r="C157" s="1414">
        <v>160.96</v>
      </c>
    </row>
    <row r="158" spans="2:3" x14ac:dyDescent="0.35">
      <c r="B158" s="1413">
        <v>44349</v>
      </c>
      <c r="C158" s="1414">
        <v>161.71</v>
      </c>
    </row>
    <row r="159" spans="2:3" x14ac:dyDescent="0.35">
      <c r="B159" s="1413">
        <v>44350</v>
      </c>
      <c r="C159" s="1414">
        <v>161.33000000000001</v>
      </c>
    </row>
    <row r="160" spans="2:3" x14ac:dyDescent="0.35">
      <c r="B160" s="1413">
        <v>44351</v>
      </c>
      <c r="C160" s="1414">
        <v>160.86000000000001</v>
      </c>
    </row>
    <row r="161" spans="2:3" x14ac:dyDescent="0.35">
      <c r="B161" s="1413">
        <v>44352</v>
      </c>
      <c r="C161" s="1414">
        <v>160.86000000000001</v>
      </c>
    </row>
    <row r="162" spans="2:3" x14ac:dyDescent="0.35">
      <c r="B162" s="1413">
        <v>44353</v>
      </c>
      <c r="C162" s="1414">
        <v>160.86000000000001</v>
      </c>
    </row>
    <row r="163" spans="2:3" x14ac:dyDescent="0.35">
      <c r="B163" s="1413">
        <v>44354</v>
      </c>
      <c r="C163" s="1414">
        <v>160.55000000000001</v>
      </c>
    </row>
    <row r="164" spans="2:3" x14ac:dyDescent="0.35">
      <c r="B164" s="1413">
        <v>44355</v>
      </c>
      <c r="C164" s="1414">
        <v>160.47999999999999</v>
      </c>
    </row>
    <row r="165" spans="2:3" x14ac:dyDescent="0.35">
      <c r="B165" s="1413">
        <v>44356</v>
      </c>
      <c r="C165" s="1414">
        <v>159.68</v>
      </c>
    </row>
    <row r="166" spans="2:3" x14ac:dyDescent="0.35">
      <c r="B166" s="1413">
        <v>44357</v>
      </c>
      <c r="C166" s="1414">
        <v>159.07</v>
      </c>
    </row>
    <row r="167" spans="2:3" x14ac:dyDescent="0.35">
      <c r="B167" s="1413">
        <v>44358</v>
      </c>
      <c r="C167" s="1414">
        <v>158.09</v>
      </c>
    </row>
    <row r="168" spans="2:3" x14ac:dyDescent="0.35">
      <c r="B168" s="1413">
        <v>44359</v>
      </c>
      <c r="C168" s="1414">
        <v>158.09</v>
      </c>
    </row>
    <row r="169" spans="2:3" x14ac:dyDescent="0.35">
      <c r="B169" s="1413">
        <v>44360</v>
      </c>
      <c r="C169" s="1414">
        <v>158.09</v>
      </c>
    </row>
    <row r="170" spans="2:3" x14ac:dyDescent="0.35">
      <c r="B170" s="1413">
        <v>44361</v>
      </c>
      <c r="C170" s="1414">
        <v>157.94999999999999</v>
      </c>
    </row>
    <row r="171" spans="2:3" x14ac:dyDescent="0.35">
      <c r="B171" s="1413">
        <v>44362</v>
      </c>
      <c r="C171" s="1414">
        <v>158.72</v>
      </c>
    </row>
    <row r="172" spans="2:3" x14ac:dyDescent="0.35">
      <c r="B172" s="1413">
        <v>44363</v>
      </c>
      <c r="C172" s="1414">
        <v>159.19</v>
      </c>
    </row>
    <row r="173" spans="2:3" x14ac:dyDescent="0.35">
      <c r="B173" s="1413">
        <v>44364</v>
      </c>
      <c r="C173" s="1414">
        <v>160.41</v>
      </c>
    </row>
    <row r="174" spans="2:3" x14ac:dyDescent="0.35">
      <c r="B174" s="1413">
        <v>44365</v>
      </c>
      <c r="C174" s="1414">
        <v>159.84</v>
      </c>
    </row>
    <row r="175" spans="2:3" x14ac:dyDescent="0.35">
      <c r="B175" s="1413">
        <v>44366</v>
      </c>
      <c r="C175" s="1414">
        <v>159.84</v>
      </c>
    </row>
    <row r="176" spans="2:3" x14ac:dyDescent="0.35">
      <c r="B176" s="1413">
        <v>44367</v>
      </c>
      <c r="C176" s="1414">
        <v>159.84</v>
      </c>
    </row>
    <row r="177" spans="2:3" x14ac:dyDescent="0.35">
      <c r="B177" s="1413">
        <v>44368</v>
      </c>
      <c r="C177" s="1414">
        <v>159.84</v>
      </c>
    </row>
    <row r="178" spans="2:3" x14ac:dyDescent="0.35">
      <c r="B178" s="1413">
        <v>44369</v>
      </c>
      <c r="C178" s="1414">
        <v>160.63</v>
      </c>
    </row>
    <row r="179" spans="2:3" x14ac:dyDescent="0.35">
      <c r="B179" s="1413">
        <v>44370</v>
      </c>
      <c r="C179" s="1414">
        <v>160.91999999999999</v>
      </c>
    </row>
    <row r="180" spans="2:3" x14ac:dyDescent="0.35">
      <c r="B180" s="1413">
        <v>44371</v>
      </c>
      <c r="C180" s="1414">
        <v>162.03</v>
      </c>
    </row>
    <row r="181" spans="2:3" x14ac:dyDescent="0.35">
      <c r="B181" s="1413">
        <v>44372</v>
      </c>
      <c r="C181" s="1414">
        <v>163.53</v>
      </c>
    </row>
    <row r="182" spans="2:3" x14ac:dyDescent="0.35">
      <c r="B182" s="1413">
        <v>44373</v>
      </c>
      <c r="C182" s="1414">
        <v>163.53</v>
      </c>
    </row>
    <row r="183" spans="2:3" x14ac:dyDescent="0.35">
      <c r="B183" s="1413">
        <v>44374</v>
      </c>
      <c r="C183" s="1414">
        <v>163.53</v>
      </c>
    </row>
    <row r="184" spans="2:3" x14ac:dyDescent="0.35">
      <c r="B184" s="1413">
        <v>44375</v>
      </c>
      <c r="C184" s="1414">
        <v>162.78</v>
      </c>
    </row>
    <row r="185" spans="2:3" x14ac:dyDescent="0.35">
      <c r="B185" s="1413">
        <v>44376</v>
      </c>
      <c r="C185" s="1414">
        <v>163.75</v>
      </c>
    </row>
    <row r="186" spans="2:3" x14ac:dyDescent="0.35">
      <c r="B186" s="1413">
        <v>44377</v>
      </c>
      <c r="C186" s="1414">
        <v>163.57</v>
      </c>
    </row>
    <row r="187" spans="2:3" x14ac:dyDescent="0.35">
      <c r="B187" s="1413">
        <v>44378</v>
      </c>
      <c r="C187" s="1414">
        <v>165.77</v>
      </c>
    </row>
    <row r="188" spans="2:3" x14ac:dyDescent="0.35">
      <c r="B188" s="1413">
        <v>44379</v>
      </c>
      <c r="C188" s="1414">
        <v>166.35</v>
      </c>
    </row>
    <row r="189" spans="2:3" x14ac:dyDescent="0.35">
      <c r="B189" s="1413">
        <v>44380</v>
      </c>
      <c r="C189" s="1414">
        <v>166.35</v>
      </c>
    </row>
    <row r="190" spans="2:3" x14ac:dyDescent="0.35">
      <c r="B190" s="1413">
        <v>44381</v>
      </c>
      <c r="C190" s="1414">
        <v>166.35</v>
      </c>
    </row>
    <row r="191" spans="2:3" x14ac:dyDescent="0.35">
      <c r="B191" s="1413">
        <v>44382</v>
      </c>
      <c r="C191" s="1414">
        <v>166.45</v>
      </c>
    </row>
    <row r="192" spans="2:3" x14ac:dyDescent="0.35">
      <c r="B192" s="1413">
        <v>44383</v>
      </c>
      <c r="C192" s="1414">
        <v>165.98</v>
      </c>
    </row>
    <row r="193" spans="2:3" x14ac:dyDescent="0.35">
      <c r="B193" s="1413">
        <v>44384</v>
      </c>
      <c r="C193" s="1414">
        <v>166.2</v>
      </c>
    </row>
    <row r="194" spans="2:3" x14ac:dyDescent="0.35">
      <c r="B194" s="1413">
        <v>44385</v>
      </c>
      <c r="C194" s="1414">
        <v>166.42</v>
      </c>
    </row>
    <row r="195" spans="2:3" x14ac:dyDescent="0.35">
      <c r="B195" s="1413">
        <v>44386</v>
      </c>
      <c r="C195" s="1414">
        <v>166.42</v>
      </c>
    </row>
    <row r="196" spans="2:3" x14ac:dyDescent="0.35">
      <c r="B196" s="1413">
        <v>44387</v>
      </c>
      <c r="C196" s="1414">
        <v>166.42</v>
      </c>
    </row>
    <row r="197" spans="2:3" x14ac:dyDescent="0.35">
      <c r="B197" s="1413">
        <v>44388</v>
      </c>
      <c r="C197" s="1414">
        <v>166.42</v>
      </c>
    </row>
    <row r="198" spans="2:3" x14ac:dyDescent="0.35">
      <c r="B198" s="1413">
        <v>44389</v>
      </c>
      <c r="C198" s="1414">
        <v>166.05</v>
      </c>
    </row>
    <row r="199" spans="2:3" x14ac:dyDescent="0.35">
      <c r="B199" s="1413">
        <v>44390</v>
      </c>
      <c r="C199" s="1414">
        <v>165.38</v>
      </c>
    </row>
    <row r="200" spans="2:3" x14ac:dyDescent="0.35">
      <c r="B200" s="1413">
        <v>44391</v>
      </c>
      <c r="C200" s="1414">
        <v>165.29</v>
      </c>
    </row>
    <row r="201" spans="2:3" x14ac:dyDescent="0.35">
      <c r="B201" s="1413">
        <v>44392</v>
      </c>
      <c r="C201" s="1414">
        <v>165.26</v>
      </c>
    </row>
    <row r="202" spans="2:3" x14ac:dyDescent="0.35">
      <c r="B202" s="1413">
        <v>44393</v>
      </c>
      <c r="C202" s="1414">
        <v>165.5</v>
      </c>
    </row>
    <row r="203" spans="2:3" x14ac:dyDescent="0.35">
      <c r="B203" s="1413">
        <v>44394</v>
      </c>
      <c r="C203" s="1414">
        <v>165.5</v>
      </c>
    </row>
    <row r="204" spans="2:3" x14ac:dyDescent="0.35">
      <c r="B204" s="1413">
        <v>44395</v>
      </c>
      <c r="C204" s="1414">
        <v>165.5</v>
      </c>
    </row>
    <row r="205" spans="2:3" x14ac:dyDescent="0.35">
      <c r="B205" s="1413">
        <v>44396</v>
      </c>
      <c r="C205" s="1414">
        <v>165.79</v>
      </c>
    </row>
    <row r="206" spans="2:3" x14ac:dyDescent="0.35">
      <c r="B206" s="1413">
        <v>44397</v>
      </c>
      <c r="C206" s="1414">
        <v>166.07</v>
      </c>
    </row>
    <row r="207" spans="2:3" x14ac:dyDescent="0.35">
      <c r="B207" s="1413">
        <v>44398</v>
      </c>
      <c r="C207" s="1414">
        <v>166.3</v>
      </c>
    </row>
    <row r="208" spans="2:3" x14ac:dyDescent="0.35">
      <c r="B208" s="1413">
        <v>44399</v>
      </c>
      <c r="C208" s="1414">
        <v>166.39</v>
      </c>
    </row>
    <row r="209" spans="2:3" x14ac:dyDescent="0.35">
      <c r="B209" s="1413">
        <v>44400</v>
      </c>
      <c r="C209" s="1414">
        <v>166.48</v>
      </c>
    </row>
    <row r="210" spans="2:3" x14ac:dyDescent="0.35">
      <c r="B210" s="1413">
        <v>44401</v>
      </c>
      <c r="C210" s="1414">
        <v>166.48</v>
      </c>
    </row>
    <row r="211" spans="2:3" x14ac:dyDescent="0.35">
      <c r="B211" s="1413">
        <v>44402</v>
      </c>
      <c r="C211" s="1414">
        <v>166.48</v>
      </c>
    </row>
    <row r="212" spans="2:3" x14ac:dyDescent="0.35">
      <c r="B212" s="1413">
        <v>44403</v>
      </c>
      <c r="C212" s="1414">
        <v>166.81</v>
      </c>
    </row>
    <row r="213" spans="2:3" x14ac:dyDescent="0.35">
      <c r="B213" s="1413">
        <v>44404</v>
      </c>
      <c r="C213" s="1414">
        <v>167.36</v>
      </c>
    </row>
    <row r="214" spans="2:3" x14ac:dyDescent="0.35">
      <c r="B214" s="1413">
        <v>44405</v>
      </c>
      <c r="C214" s="1414">
        <v>167.9</v>
      </c>
    </row>
    <row r="215" spans="2:3" x14ac:dyDescent="0.35">
      <c r="B215" s="1413">
        <v>44406</v>
      </c>
      <c r="C215" s="1414">
        <v>167.9</v>
      </c>
    </row>
    <row r="216" spans="2:3" x14ac:dyDescent="0.35">
      <c r="B216" s="1413">
        <v>44407</v>
      </c>
      <c r="C216" s="1414">
        <v>168.19</v>
      </c>
    </row>
    <row r="217" spans="2:3" x14ac:dyDescent="0.35">
      <c r="B217" s="1413">
        <v>44408</v>
      </c>
      <c r="C217" s="1414">
        <v>168.19</v>
      </c>
    </row>
    <row r="218" spans="2:3" x14ac:dyDescent="0.35">
      <c r="B218" s="1413">
        <v>44409</v>
      </c>
      <c r="C218" s="1414">
        <v>168.19</v>
      </c>
    </row>
    <row r="219" spans="2:3" x14ac:dyDescent="0.35">
      <c r="B219" s="1413">
        <v>44410</v>
      </c>
      <c r="C219" s="1414">
        <v>168.67</v>
      </c>
    </row>
    <row r="220" spans="2:3" x14ac:dyDescent="0.35">
      <c r="B220" s="1413">
        <v>44411</v>
      </c>
      <c r="C220" s="1414">
        <v>169.57</v>
      </c>
    </row>
    <row r="221" spans="2:3" x14ac:dyDescent="0.35">
      <c r="B221" s="1413">
        <v>44412</v>
      </c>
      <c r="C221" s="1414">
        <v>169.73</v>
      </c>
    </row>
    <row r="222" spans="2:3" x14ac:dyDescent="0.35">
      <c r="B222" s="1413">
        <v>44413</v>
      </c>
      <c r="C222" s="1414">
        <v>169.93</v>
      </c>
    </row>
    <row r="223" spans="2:3" x14ac:dyDescent="0.35">
      <c r="B223" s="1413">
        <v>44414</v>
      </c>
      <c r="C223" s="1414">
        <v>170.09</v>
      </c>
    </row>
    <row r="224" spans="2:3" x14ac:dyDescent="0.35">
      <c r="B224" s="1413">
        <v>44415</v>
      </c>
      <c r="C224" s="1414">
        <v>170.09</v>
      </c>
    </row>
    <row r="225" spans="2:3" x14ac:dyDescent="0.35">
      <c r="B225" s="1413">
        <v>44416</v>
      </c>
      <c r="C225" s="1414">
        <v>170.09</v>
      </c>
    </row>
    <row r="226" spans="2:3" x14ac:dyDescent="0.35">
      <c r="B226" s="1413">
        <v>44417</v>
      </c>
      <c r="C226" s="1414">
        <v>169.94</v>
      </c>
    </row>
    <row r="227" spans="2:3" x14ac:dyDescent="0.35">
      <c r="B227" s="1413">
        <v>44418</v>
      </c>
      <c r="C227" s="1414">
        <v>169.87</v>
      </c>
    </row>
    <row r="228" spans="2:3" x14ac:dyDescent="0.35">
      <c r="B228" s="1413">
        <v>44419</v>
      </c>
      <c r="C228" s="1414">
        <v>170.03</v>
      </c>
    </row>
    <row r="229" spans="2:3" x14ac:dyDescent="0.35">
      <c r="B229" s="1413">
        <v>44420</v>
      </c>
      <c r="C229" s="1414">
        <v>169.62</v>
      </c>
    </row>
    <row r="230" spans="2:3" x14ac:dyDescent="0.35">
      <c r="B230" s="1413">
        <v>44421</v>
      </c>
      <c r="C230" s="1414">
        <v>169.45</v>
      </c>
    </row>
    <row r="231" spans="2:3" x14ac:dyDescent="0.35">
      <c r="B231" s="1413">
        <v>44422</v>
      </c>
      <c r="C231" s="1414">
        <v>169.45</v>
      </c>
    </row>
    <row r="232" spans="2:3" x14ac:dyDescent="0.35">
      <c r="B232" s="1413">
        <v>44423</v>
      </c>
      <c r="C232" s="1414">
        <v>169.45</v>
      </c>
    </row>
    <row r="233" spans="2:3" x14ac:dyDescent="0.35">
      <c r="B233" s="1413">
        <v>44424</v>
      </c>
      <c r="C233" s="1414">
        <v>169.45</v>
      </c>
    </row>
    <row r="234" spans="2:3" x14ac:dyDescent="0.35">
      <c r="B234" s="1413">
        <v>44425</v>
      </c>
      <c r="C234" s="1414">
        <v>169.41</v>
      </c>
    </row>
    <row r="235" spans="2:3" x14ac:dyDescent="0.35">
      <c r="B235" s="1413">
        <v>44426</v>
      </c>
      <c r="C235" s="1414">
        <v>169.39</v>
      </c>
    </row>
    <row r="236" spans="2:3" x14ac:dyDescent="0.35">
      <c r="B236" s="1413">
        <v>44427</v>
      </c>
      <c r="C236" s="1414">
        <v>169.36</v>
      </c>
    </row>
    <row r="237" spans="2:3" x14ac:dyDescent="0.35">
      <c r="B237" s="1413">
        <v>44428</v>
      </c>
      <c r="C237" s="1414">
        <v>169.32</v>
      </c>
    </row>
    <row r="238" spans="2:3" x14ac:dyDescent="0.35">
      <c r="B238" s="1413">
        <v>44429</v>
      </c>
      <c r="C238" s="1414">
        <v>169.32</v>
      </c>
    </row>
    <row r="239" spans="2:3" x14ac:dyDescent="0.35">
      <c r="B239" s="1413">
        <v>44430</v>
      </c>
      <c r="C239" s="1414">
        <v>169.32</v>
      </c>
    </row>
    <row r="240" spans="2:3" x14ac:dyDescent="0.35">
      <c r="B240" s="1413">
        <v>44431</v>
      </c>
      <c r="C240" s="1414">
        <v>169.46</v>
      </c>
    </row>
    <row r="241" spans="2:3" x14ac:dyDescent="0.35">
      <c r="B241" s="1413">
        <v>44432</v>
      </c>
      <c r="C241" s="1414">
        <v>169.43</v>
      </c>
    </row>
    <row r="242" spans="2:3" x14ac:dyDescent="0.35">
      <c r="B242" s="1413">
        <v>44433</v>
      </c>
      <c r="C242" s="1414">
        <v>169.66</v>
      </c>
    </row>
    <row r="243" spans="2:3" x14ac:dyDescent="0.35">
      <c r="B243" s="1413">
        <v>44434</v>
      </c>
      <c r="C243" s="1414">
        <v>169.96</v>
      </c>
    </row>
    <row r="244" spans="2:3" x14ac:dyDescent="0.35">
      <c r="B244" s="1413">
        <v>44435</v>
      </c>
      <c r="C244" s="1414">
        <v>169.97</v>
      </c>
    </row>
    <row r="245" spans="2:3" x14ac:dyDescent="0.35">
      <c r="B245" s="1413">
        <v>44436</v>
      </c>
      <c r="C245" s="1414">
        <v>169.97</v>
      </c>
    </row>
    <row r="246" spans="2:3" x14ac:dyDescent="0.35">
      <c r="B246" s="1413">
        <v>44437</v>
      </c>
      <c r="C246" s="1414">
        <v>169.97</v>
      </c>
    </row>
    <row r="247" spans="2:3" x14ac:dyDescent="0.35">
      <c r="B247" s="1413">
        <v>44438</v>
      </c>
      <c r="C247" s="1414">
        <v>169.98</v>
      </c>
    </row>
    <row r="248" spans="2:3" x14ac:dyDescent="0.35">
      <c r="B248" s="1413">
        <v>44439</v>
      </c>
      <c r="C248" s="1414">
        <v>170.26</v>
      </c>
    </row>
    <row r="249" spans="2:3" x14ac:dyDescent="0.35">
      <c r="B249" s="1413">
        <v>44440</v>
      </c>
      <c r="C249" s="1414">
        <v>170.42</v>
      </c>
    </row>
    <row r="250" spans="2:3" x14ac:dyDescent="0.35">
      <c r="B250" s="1413">
        <v>44441</v>
      </c>
      <c r="C250" s="1414">
        <v>170.58</v>
      </c>
    </row>
    <row r="251" spans="2:3" x14ac:dyDescent="0.35">
      <c r="B251" s="1413">
        <v>44442</v>
      </c>
      <c r="C251" s="1414">
        <v>170.58</v>
      </c>
    </row>
    <row r="252" spans="2:3" x14ac:dyDescent="0.35">
      <c r="B252" s="1413">
        <v>44443</v>
      </c>
      <c r="C252" s="1414">
        <v>170.58</v>
      </c>
    </row>
    <row r="253" spans="2:3" x14ac:dyDescent="0.35">
      <c r="B253" s="1413">
        <v>44444</v>
      </c>
      <c r="C253" s="1414">
        <v>170.58</v>
      </c>
    </row>
    <row r="254" spans="2:3" x14ac:dyDescent="0.35">
      <c r="B254" s="1413">
        <v>44445</v>
      </c>
      <c r="C254" s="1414">
        <v>170.82</v>
      </c>
    </row>
    <row r="255" spans="2:3" x14ac:dyDescent="0.35">
      <c r="B255" s="1413">
        <v>44446</v>
      </c>
      <c r="C255" s="1414">
        <v>171.2</v>
      </c>
    </row>
    <row r="256" spans="2:3" x14ac:dyDescent="0.35">
      <c r="B256" s="1413">
        <v>44447</v>
      </c>
      <c r="C256" s="1414">
        <v>170.68</v>
      </c>
    </row>
    <row r="257" spans="2:3" x14ac:dyDescent="0.35">
      <c r="B257" s="1413">
        <v>44448</v>
      </c>
      <c r="C257" s="1414">
        <v>170.67</v>
      </c>
    </row>
    <row r="258" spans="2:3" x14ac:dyDescent="0.35">
      <c r="B258" s="1413">
        <v>44449</v>
      </c>
      <c r="C258" s="1414">
        <v>170.65</v>
      </c>
    </row>
    <row r="259" spans="2:3" x14ac:dyDescent="0.35">
      <c r="B259" s="1413">
        <v>44450</v>
      </c>
      <c r="C259" s="1414">
        <v>170.65</v>
      </c>
    </row>
    <row r="260" spans="2:3" x14ac:dyDescent="0.35">
      <c r="B260" s="1413">
        <v>44451</v>
      </c>
      <c r="C260" s="1414">
        <v>170.65</v>
      </c>
    </row>
    <row r="261" spans="2:3" x14ac:dyDescent="0.35">
      <c r="B261" s="1413">
        <v>44452</v>
      </c>
      <c r="C261" s="1414">
        <v>171.04</v>
      </c>
    </row>
    <row r="262" spans="2:3" x14ac:dyDescent="0.35">
      <c r="B262" s="1413">
        <v>44453</v>
      </c>
      <c r="C262" s="1414">
        <v>171.44</v>
      </c>
    </row>
    <row r="263" spans="2:3" x14ac:dyDescent="0.35">
      <c r="B263" s="1413">
        <v>44454</v>
      </c>
      <c r="C263" s="1414">
        <v>171.83</v>
      </c>
    </row>
    <row r="264" spans="2:3" x14ac:dyDescent="0.35">
      <c r="B264" s="1413">
        <v>44455</v>
      </c>
      <c r="C264" s="1414">
        <v>172.32</v>
      </c>
    </row>
    <row r="265" spans="2:3" x14ac:dyDescent="0.35">
      <c r="B265" s="1413">
        <v>44456</v>
      </c>
      <c r="C265" s="1414">
        <v>172.44</v>
      </c>
    </row>
    <row r="266" spans="2:3" x14ac:dyDescent="0.35">
      <c r="B266" s="1413">
        <v>44457</v>
      </c>
      <c r="C266" s="1414">
        <v>172.44</v>
      </c>
    </row>
    <row r="267" spans="2:3" x14ac:dyDescent="0.35">
      <c r="B267" s="1413">
        <v>44458</v>
      </c>
      <c r="C267" s="1414">
        <v>172.44</v>
      </c>
    </row>
    <row r="268" spans="2:3" x14ac:dyDescent="0.35">
      <c r="B268" s="1413">
        <v>44459</v>
      </c>
      <c r="C268" s="1414">
        <v>172.68</v>
      </c>
    </row>
    <row r="269" spans="2:3" x14ac:dyDescent="0.35">
      <c r="B269" s="1413">
        <v>44460</v>
      </c>
      <c r="C269" s="1414">
        <v>172.67</v>
      </c>
    </row>
    <row r="270" spans="2:3" x14ac:dyDescent="0.35">
      <c r="B270" s="1413">
        <v>44461</v>
      </c>
      <c r="C270" s="1414">
        <v>172.99</v>
      </c>
    </row>
    <row r="271" spans="2:3" x14ac:dyDescent="0.35">
      <c r="B271" s="1413">
        <v>44462</v>
      </c>
      <c r="C271" s="1414">
        <v>173.33</v>
      </c>
    </row>
    <row r="272" spans="2:3" x14ac:dyDescent="0.35">
      <c r="B272" s="1413">
        <v>44463</v>
      </c>
      <c r="C272" s="1414">
        <v>173.42</v>
      </c>
    </row>
    <row r="273" spans="2:3" x14ac:dyDescent="0.35">
      <c r="B273" s="1413">
        <v>44464</v>
      </c>
      <c r="C273" s="1414">
        <v>173.42</v>
      </c>
    </row>
    <row r="274" spans="2:3" x14ac:dyDescent="0.35">
      <c r="B274" s="1413">
        <v>44465</v>
      </c>
      <c r="C274" s="1414">
        <v>173.42</v>
      </c>
    </row>
    <row r="275" spans="2:3" x14ac:dyDescent="0.35">
      <c r="B275" s="1413">
        <v>44466</v>
      </c>
      <c r="C275" s="1414">
        <v>173.92</v>
      </c>
    </row>
    <row r="276" spans="2:3" x14ac:dyDescent="0.35">
      <c r="B276" s="1413">
        <v>44467</v>
      </c>
      <c r="C276" s="1414">
        <v>174.41</v>
      </c>
    </row>
    <row r="277" spans="2:3" x14ac:dyDescent="0.35">
      <c r="B277" s="1413">
        <v>44468</v>
      </c>
      <c r="C277" s="1414">
        <v>174.64</v>
      </c>
    </row>
    <row r="278" spans="2:3" x14ac:dyDescent="0.35">
      <c r="B278" s="1413">
        <v>44469</v>
      </c>
      <c r="C278" s="1414">
        <v>175.03</v>
      </c>
    </row>
    <row r="279" spans="2:3" x14ac:dyDescent="0.35">
      <c r="B279" s="1413">
        <v>44470</v>
      </c>
      <c r="C279" s="1414">
        <v>175.47</v>
      </c>
    </row>
    <row r="280" spans="2:3" x14ac:dyDescent="0.35">
      <c r="B280" s="1413">
        <v>44471</v>
      </c>
      <c r="C280" s="1414">
        <v>175.47</v>
      </c>
    </row>
    <row r="281" spans="2:3" x14ac:dyDescent="0.35">
      <c r="B281" s="1413">
        <v>44472</v>
      </c>
      <c r="C281" s="1414">
        <v>175.47</v>
      </c>
    </row>
    <row r="282" spans="2:3" x14ac:dyDescent="0.35">
      <c r="B282" s="1413">
        <v>44473</v>
      </c>
      <c r="C282" s="1414">
        <v>175.89</v>
      </c>
    </row>
    <row r="283" spans="2:3" x14ac:dyDescent="0.35">
      <c r="B283" s="1413">
        <v>44474</v>
      </c>
      <c r="C283" s="1414">
        <v>176.34</v>
      </c>
    </row>
    <row r="284" spans="2:3" x14ac:dyDescent="0.35">
      <c r="B284" s="1413">
        <v>44475</v>
      </c>
      <c r="C284" s="1414">
        <v>176.33</v>
      </c>
    </row>
    <row r="285" spans="2:3" x14ac:dyDescent="0.35">
      <c r="B285" s="1413">
        <v>44476</v>
      </c>
      <c r="C285" s="1414">
        <v>176.45</v>
      </c>
    </row>
    <row r="286" spans="2:3" x14ac:dyDescent="0.35">
      <c r="B286" s="1413">
        <v>44477</v>
      </c>
      <c r="C286" s="1414">
        <v>176.45</v>
      </c>
    </row>
    <row r="287" spans="2:3" x14ac:dyDescent="0.35">
      <c r="B287" s="1413">
        <v>44478</v>
      </c>
      <c r="C287" s="1414">
        <v>176.45</v>
      </c>
    </row>
    <row r="288" spans="2:3" x14ac:dyDescent="0.35">
      <c r="B288" s="1413">
        <v>44479</v>
      </c>
      <c r="C288" s="1414">
        <v>176.45</v>
      </c>
    </row>
    <row r="289" spans="2:3" x14ac:dyDescent="0.35">
      <c r="B289" s="1413">
        <v>44480</v>
      </c>
      <c r="C289" s="1414">
        <v>176.45</v>
      </c>
    </row>
    <row r="290" spans="2:3" x14ac:dyDescent="0.35">
      <c r="B290" s="1413">
        <v>44481</v>
      </c>
      <c r="C290" s="1414">
        <v>176.78</v>
      </c>
    </row>
    <row r="291" spans="2:3" x14ac:dyDescent="0.35">
      <c r="B291" s="1413">
        <v>44482</v>
      </c>
      <c r="C291" s="1414">
        <v>177.1</v>
      </c>
    </row>
    <row r="292" spans="2:3" x14ac:dyDescent="0.35">
      <c r="B292" s="1413">
        <v>44483</v>
      </c>
      <c r="C292" s="1414">
        <v>177.43</v>
      </c>
    </row>
    <row r="293" spans="2:3" x14ac:dyDescent="0.35">
      <c r="B293" s="1413">
        <v>44484</v>
      </c>
      <c r="C293" s="1414">
        <v>177.68</v>
      </c>
    </row>
    <row r="294" spans="2:3" x14ac:dyDescent="0.35">
      <c r="B294" s="1413">
        <v>44485</v>
      </c>
      <c r="C294" s="1414">
        <v>177.68</v>
      </c>
    </row>
    <row r="295" spans="2:3" x14ac:dyDescent="0.35">
      <c r="B295" s="1413">
        <v>44486</v>
      </c>
      <c r="C295" s="1414">
        <v>177.68</v>
      </c>
    </row>
    <row r="296" spans="2:3" x14ac:dyDescent="0.35">
      <c r="B296" s="1413">
        <v>44487</v>
      </c>
      <c r="C296" s="1414">
        <v>178.02</v>
      </c>
    </row>
    <row r="297" spans="2:3" x14ac:dyDescent="0.35">
      <c r="B297" s="1413">
        <v>44488</v>
      </c>
      <c r="C297" s="1414">
        <v>178.36</v>
      </c>
    </row>
    <row r="298" spans="2:3" x14ac:dyDescent="0.35">
      <c r="B298" s="1413">
        <v>44489</v>
      </c>
      <c r="C298" s="1414">
        <v>178.6</v>
      </c>
    </row>
    <row r="299" spans="2:3" x14ac:dyDescent="0.35">
      <c r="B299" s="1413">
        <v>44490</v>
      </c>
      <c r="C299" s="1414">
        <v>178.83</v>
      </c>
    </row>
    <row r="300" spans="2:3" x14ac:dyDescent="0.35">
      <c r="B300" s="1413">
        <v>44491</v>
      </c>
      <c r="C300" s="1414">
        <v>179.23</v>
      </c>
    </row>
    <row r="301" spans="2:3" x14ac:dyDescent="0.35">
      <c r="B301" s="1413">
        <v>44492</v>
      </c>
      <c r="C301" s="1414">
        <v>179.23</v>
      </c>
    </row>
    <row r="302" spans="2:3" x14ac:dyDescent="0.35">
      <c r="B302" s="1413">
        <v>44493</v>
      </c>
      <c r="C302" s="1414">
        <v>179.23</v>
      </c>
    </row>
    <row r="303" spans="2:3" x14ac:dyDescent="0.35">
      <c r="B303" s="1413">
        <v>44494</v>
      </c>
      <c r="C303" s="1414">
        <v>179.23</v>
      </c>
    </row>
    <row r="304" spans="2:3" x14ac:dyDescent="0.35">
      <c r="B304" s="1413">
        <v>44495</v>
      </c>
      <c r="C304" s="1414">
        <v>179.24</v>
      </c>
    </row>
    <row r="305" spans="2:3" x14ac:dyDescent="0.35">
      <c r="B305" s="1413">
        <v>44496</v>
      </c>
      <c r="C305" s="1414">
        <v>179.23</v>
      </c>
    </row>
    <row r="306" spans="2:3" x14ac:dyDescent="0.35">
      <c r="B306" s="1413">
        <v>44497</v>
      </c>
      <c r="C306" s="1414">
        <v>179.23</v>
      </c>
    </row>
    <row r="307" spans="2:3" x14ac:dyDescent="0.35">
      <c r="B307" s="1413">
        <v>44498</v>
      </c>
      <c r="C307" s="1414">
        <v>179.22</v>
      </c>
    </row>
    <row r="308" spans="2:3" x14ac:dyDescent="0.35">
      <c r="B308" s="1413">
        <v>44499</v>
      </c>
      <c r="C308" s="1414">
        <v>179.22</v>
      </c>
    </row>
    <row r="309" spans="2:3" x14ac:dyDescent="0.35">
      <c r="B309" s="1413">
        <v>44500</v>
      </c>
      <c r="C309" s="1414">
        <v>179.22</v>
      </c>
    </row>
    <row r="310" spans="2:3" x14ac:dyDescent="0.35">
      <c r="B310" s="1413">
        <v>44501</v>
      </c>
      <c r="C310" s="1414">
        <v>179.22</v>
      </c>
    </row>
    <row r="311" spans="2:3" x14ac:dyDescent="0.35">
      <c r="B311" s="1413">
        <v>44502</v>
      </c>
      <c r="C311" s="1414">
        <v>179.32</v>
      </c>
    </row>
    <row r="312" spans="2:3" x14ac:dyDescent="0.35">
      <c r="B312" s="1413">
        <v>44503</v>
      </c>
      <c r="C312" s="1414">
        <v>180.07</v>
      </c>
    </row>
    <row r="313" spans="2:3" x14ac:dyDescent="0.35">
      <c r="B313" s="1413">
        <v>44504</v>
      </c>
      <c r="C313" s="1414">
        <v>180.56</v>
      </c>
    </row>
    <row r="314" spans="2:3" x14ac:dyDescent="0.35">
      <c r="B314" s="1413">
        <v>44505</v>
      </c>
      <c r="C314" s="1414">
        <v>181.26</v>
      </c>
    </row>
    <row r="315" spans="2:3" x14ac:dyDescent="0.35">
      <c r="B315" s="1413">
        <v>44506</v>
      </c>
      <c r="C315" s="1414">
        <v>181.26</v>
      </c>
    </row>
    <row r="316" spans="2:3" x14ac:dyDescent="0.35">
      <c r="B316" s="1413">
        <v>44507</v>
      </c>
      <c r="C316" s="1414">
        <v>181.26</v>
      </c>
    </row>
    <row r="317" spans="2:3" x14ac:dyDescent="0.35">
      <c r="B317" s="1413">
        <v>44508</v>
      </c>
      <c r="C317" s="1414">
        <v>181.86</v>
      </c>
    </row>
    <row r="318" spans="2:3" x14ac:dyDescent="0.35">
      <c r="B318" s="1413">
        <v>44509</v>
      </c>
      <c r="C318" s="1414">
        <v>182.46</v>
      </c>
    </row>
    <row r="319" spans="2:3" x14ac:dyDescent="0.35">
      <c r="B319" s="1413">
        <v>44510</v>
      </c>
      <c r="C319" s="1414">
        <v>182.74</v>
      </c>
    </row>
    <row r="320" spans="2:3" x14ac:dyDescent="0.35">
      <c r="B320" s="1413">
        <v>44511</v>
      </c>
      <c r="C320" s="1414">
        <v>183.23</v>
      </c>
    </row>
    <row r="321" spans="2:3" x14ac:dyDescent="0.35">
      <c r="B321" s="1413">
        <v>44512</v>
      </c>
      <c r="C321" s="1414">
        <v>183.98</v>
      </c>
    </row>
    <row r="322" spans="2:3" x14ac:dyDescent="0.35">
      <c r="B322" s="1413">
        <v>44513</v>
      </c>
      <c r="C322" s="1414">
        <v>183.98</v>
      </c>
    </row>
    <row r="323" spans="2:3" x14ac:dyDescent="0.35">
      <c r="B323" s="1413">
        <v>44514</v>
      </c>
      <c r="C323" s="1414">
        <v>183.98</v>
      </c>
    </row>
    <row r="324" spans="2:3" x14ac:dyDescent="0.35">
      <c r="B324" s="1413">
        <v>44515</v>
      </c>
      <c r="C324" s="1414">
        <v>188.78</v>
      </c>
    </row>
    <row r="325" spans="2:3" x14ac:dyDescent="0.35">
      <c r="B325" s="1413">
        <v>44516</v>
      </c>
      <c r="C325" s="1414">
        <v>200.3</v>
      </c>
    </row>
    <row r="326" spans="2:3" x14ac:dyDescent="0.35">
      <c r="B326" s="1413">
        <v>44517</v>
      </c>
      <c r="C326" s="1414">
        <v>200</v>
      </c>
    </row>
    <row r="327" spans="2:3" x14ac:dyDescent="0.35">
      <c r="B327" s="1413">
        <v>44518</v>
      </c>
      <c r="C327" s="1414">
        <v>204.52</v>
      </c>
    </row>
    <row r="328" spans="2:3" x14ac:dyDescent="0.35">
      <c r="B328" s="1413">
        <v>44519</v>
      </c>
      <c r="C328" s="1414">
        <v>203.03</v>
      </c>
    </row>
    <row r="329" spans="2:3" x14ac:dyDescent="0.35">
      <c r="B329" s="1413">
        <v>44520</v>
      </c>
      <c r="C329" s="1414">
        <v>203.03</v>
      </c>
    </row>
    <row r="330" spans="2:3" x14ac:dyDescent="0.35">
      <c r="B330" s="1413">
        <v>44521</v>
      </c>
      <c r="C330" s="1414">
        <v>203.03</v>
      </c>
    </row>
    <row r="331" spans="2:3" x14ac:dyDescent="0.35">
      <c r="B331" s="1413">
        <v>44522</v>
      </c>
      <c r="C331" s="1414">
        <v>203.03</v>
      </c>
    </row>
    <row r="332" spans="2:3" x14ac:dyDescent="0.35">
      <c r="B332" s="1413">
        <v>44523</v>
      </c>
      <c r="C332" s="1414">
        <v>205.82</v>
      </c>
    </row>
    <row r="333" spans="2:3" x14ac:dyDescent="0.35">
      <c r="B333" s="1413">
        <v>44524</v>
      </c>
      <c r="C333" s="1414">
        <v>204.88</v>
      </c>
    </row>
    <row r="334" spans="2:3" x14ac:dyDescent="0.35">
      <c r="B334" s="1413">
        <v>44525</v>
      </c>
      <c r="C334" s="1414">
        <v>203.55</v>
      </c>
    </row>
    <row r="335" spans="2:3" x14ac:dyDescent="0.35">
      <c r="B335" s="1413">
        <v>44526</v>
      </c>
      <c r="C335" s="1414">
        <v>200.17</v>
      </c>
    </row>
    <row r="336" spans="2:3" x14ac:dyDescent="0.35">
      <c r="B336" s="1413">
        <v>44527</v>
      </c>
      <c r="C336" s="1414">
        <v>200.17</v>
      </c>
    </row>
    <row r="337" spans="2:3" x14ac:dyDescent="0.35">
      <c r="B337" s="1413">
        <v>44528</v>
      </c>
      <c r="C337" s="1414">
        <v>200.17</v>
      </c>
    </row>
    <row r="338" spans="2:3" x14ac:dyDescent="0.35">
      <c r="B338" s="1413">
        <v>44529</v>
      </c>
      <c r="C338" s="1414">
        <v>196.94</v>
      </c>
    </row>
    <row r="339" spans="2:3" x14ac:dyDescent="0.35">
      <c r="B339" s="1413">
        <v>44530</v>
      </c>
      <c r="C339" s="1414">
        <v>200.72</v>
      </c>
    </row>
    <row r="340" spans="2:3" x14ac:dyDescent="0.35">
      <c r="B340" s="1413">
        <v>44531</v>
      </c>
      <c r="C340" s="1414">
        <v>200.6</v>
      </c>
    </row>
    <row r="341" spans="2:3" x14ac:dyDescent="0.35">
      <c r="B341" s="1413">
        <v>44532</v>
      </c>
      <c r="C341" s="1414">
        <v>203.33</v>
      </c>
    </row>
    <row r="342" spans="2:3" x14ac:dyDescent="0.35">
      <c r="B342" s="1413">
        <v>44533</v>
      </c>
      <c r="C342" s="1414">
        <v>203.25</v>
      </c>
    </row>
    <row r="343" spans="2:3" x14ac:dyDescent="0.35">
      <c r="B343" s="1413">
        <v>44534</v>
      </c>
      <c r="C343" s="1414">
        <v>203.25</v>
      </c>
    </row>
    <row r="344" spans="2:3" x14ac:dyDescent="0.35">
      <c r="B344" s="1413">
        <v>44535</v>
      </c>
      <c r="C344" s="1414">
        <v>203.25</v>
      </c>
    </row>
    <row r="345" spans="2:3" x14ac:dyDescent="0.35">
      <c r="B345" s="1413">
        <v>44536</v>
      </c>
      <c r="C345" s="1414">
        <v>201.96</v>
      </c>
    </row>
    <row r="346" spans="2:3" x14ac:dyDescent="0.35">
      <c r="B346" s="1413">
        <v>44537</v>
      </c>
      <c r="C346" s="1414">
        <v>198.1</v>
      </c>
    </row>
    <row r="347" spans="2:3" x14ac:dyDescent="0.35">
      <c r="B347" s="1413">
        <v>44538</v>
      </c>
      <c r="C347" s="1414">
        <v>198.1</v>
      </c>
    </row>
    <row r="348" spans="2:3" x14ac:dyDescent="0.35">
      <c r="B348" s="1413">
        <v>44539</v>
      </c>
      <c r="C348" s="1414">
        <v>195.98</v>
      </c>
    </row>
    <row r="349" spans="2:3" x14ac:dyDescent="0.35">
      <c r="B349" s="1413">
        <v>44540</v>
      </c>
      <c r="C349" s="1414">
        <v>197.1</v>
      </c>
    </row>
    <row r="350" spans="2:3" x14ac:dyDescent="0.35">
      <c r="B350" s="1413">
        <v>44541</v>
      </c>
      <c r="C350" s="1414">
        <v>197.1</v>
      </c>
    </row>
    <row r="351" spans="2:3" x14ac:dyDescent="0.35">
      <c r="B351" s="1413">
        <v>44542</v>
      </c>
      <c r="C351" s="1414">
        <v>197.1</v>
      </c>
    </row>
    <row r="352" spans="2:3" x14ac:dyDescent="0.35">
      <c r="B352" s="1413">
        <v>44543</v>
      </c>
      <c r="C352" s="1414">
        <v>195.55</v>
      </c>
    </row>
    <row r="353" spans="2:3" x14ac:dyDescent="0.35">
      <c r="B353" s="1413">
        <v>44544</v>
      </c>
      <c r="C353" s="1414">
        <v>194.39</v>
      </c>
    </row>
    <row r="354" spans="2:3" x14ac:dyDescent="0.35">
      <c r="B354" s="1413">
        <v>44545</v>
      </c>
      <c r="C354" s="1414">
        <v>191.69</v>
      </c>
    </row>
    <row r="355" spans="2:3" x14ac:dyDescent="0.35">
      <c r="B355" s="1413">
        <v>44546</v>
      </c>
      <c r="C355" s="1414">
        <v>191.64</v>
      </c>
    </row>
    <row r="356" spans="2:3" x14ac:dyDescent="0.35">
      <c r="B356" s="1413">
        <v>44547</v>
      </c>
      <c r="C356" s="1414">
        <v>199.22</v>
      </c>
    </row>
    <row r="357" spans="2:3" x14ac:dyDescent="0.35">
      <c r="B357" s="1413">
        <v>44548</v>
      </c>
      <c r="C357" s="1414">
        <v>199.22</v>
      </c>
    </row>
    <row r="358" spans="2:3" x14ac:dyDescent="0.35">
      <c r="B358" s="1413">
        <v>44549</v>
      </c>
      <c r="C358" s="1414">
        <v>199.22</v>
      </c>
    </row>
    <row r="359" spans="2:3" x14ac:dyDescent="0.35">
      <c r="B359" s="1413">
        <v>44550</v>
      </c>
      <c r="C359" s="1414">
        <v>200.41</v>
      </c>
    </row>
    <row r="360" spans="2:3" x14ac:dyDescent="0.35">
      <c r="B360" s="1413">
        <v>44551</v>
      </c>
      <c r="C360" s="1414">
        <v>202.17</v>
      </c>
    </row>
    <row r="361" spans="2:3" x14ac:dyDescent="0.35">
      <c r="B361" s="1413">
        <v>44552</v>
      </c>
      <c r="C361" s="1414">
        <v>199.84</v>
      </c>
    </row>
    <row r="362" spans="2:3" x14ac:dyDescent="0.35">
      <c r="B362" s="1413">
        <v>44553</v>
      </c>
      <c r="C362" s="1414">
        <v>199.21</v>
      </c>
    </row>
    <row r="363" spans="2:3" x14ac:dyDescent="0.35">
      <c r="B363" s="1413">
        <v>44554</v>
      </c>
      <c r="C363" s="1414">
        <v>197.97</v>
      </c>
    </row>
    <row r="364" spans="2:3" x14ac:dyDescent="0.35">
      <c r="B364" s="1413">
        <v>44555</v>
      </c>
      <c r="C364" s="1414">
        <v>197.97</v>
      </c>
    </row>
    <row r="365" spans="2:3" x14ac:dyDescent="0.35">
      <c r="B365" s="1413">
        <v>44556</v>
      </c>
      <c r="C365" s="1414">
        <v>197.97</v>
      </c>
    </row>
    <row r="366" spans="2:3" x14ac:dyDescent="0.35">
      <c r="B366" s="1413">
        <v>44557</v>
      </c>
      <c r="C366" s="1414">
        <v>194.53</v>
      </c>
    </row>
    <row r="367" spans="2:3" x14ac:dyDescent="0.35">
      <c r="B367" s="1413">
        <v>44558</v>
      </c>
      <c r="C367" s="1414">
        <v>193.34</v>
      </c>
    </row>
    <row r="368" spans="2:3" x14ac:dyDescent="0.35">
      <c r="B368" s="1413">
        <v>44559</v>
      </c>
      <c r="C368" s="1414">
        <v>196.03</v>
      </c>
    </row>
    <row r="369" spans="2:3" x14ac:dyDescent="0.35">
      <c r="B369" s="1413">
        <v>44560</v>
      </c>
      <c r="C369" s="1414">
        <v>197.8</v>
      </c>
    </row>
    <row r="370" spans="2:3" x14ac:dyDescent="0.35">
      <c r="B370" s="1413">
        <v>44561</v>
      </c>
      <c r="C370" s="1414">
        <v>197.8</v>
      </c>
    </row>
    <row r="371" spans="2:3" x14ac:dyDescent="0.35">
      <c r="B371" s="1413">
        <v>44562</v>
      </c>
      <c r="C371" s="1414">
        <v>197.8</v>
      </c>
    </row>
    <row r="372" spans="2:3" x14ac:dyDescent="0.35">
      <c r="B372" s="1413">
        <v>44563</v>
      </c>
      <c r="C372" s="1414">
        <v>197.8</v>
      </c>
    </row>
    <row r="373" spans="2:3" x14ac:dyDescent="0.35">
      <c r="B373" s="1413">
        <v>44564</v>
      </c>
      <c r="C373" s="1414">
        <v>198.26</v>
      </c>
    </row>
    <row r="374" spans="2:3" x14ac:dyDescent="0.35">
      <c r="B374" s="1413">
        <v>44565</v>
      </c>
      <c r="C374" s="1414">
        <v>197.4</v>
      </c>
    </row>
    <row r="375" spans="2:3" x14ac:dyDescent="0.35">
      <c r="B375" s="1413">
        <v>44566</v>
      </c>
      <c r="C375" s="1414">
        <v>199.07</v>
      </c>
    </row>
    <row r="376" spans="2:3" x14ac:dyDescent="0.35">
      <c r="B376" s="1413">
        <v>44567</v>
      </c>
      <c r="C376" s="1414">
        <v>202.09</v>
      </c>
    </row>
    <row r="377" spans="2:3" x14ac:dyDescent="0.35">
      <c r="B377" s="1413">
        <v>44568</v>
      </c>
      <c r="C377" s="1414">
        <v>203.84</v>
      </c>
    </row>
    <row r="378" spans="2:3" x14ac:dyDescent="0.35">
      <c r="B378" s="1413">
        <v>44569</v>
      </c>
      <c r="C378" s="1414">
        <v>203.84</v>
      </c>
    </row>
    <row r="379" spans="2:3" x14ac:dyDescent="0.35">
      <c r="B379" s="1413">
        <v>44570</v>
      </c>
      <c r="C379" s="1414">
        <v>203.84</v>
      </c>
    </row>
    <row r="380" spans="2:3" x14ac:dyDescent="0.35">
      <c r="B380" s="1413">
        <v>44571</v>
      </c>
      <c r="C380" s="1414">
        <v>202.78</v>
      </c>
    </row>
    <row r="381" spans="2:3" x14ac:dyDescent="0.35">
      <c r="B381" s="1413">
        <v>44572</v>
      </c>
      <c r="C381" s="1414">
        <v>202.46</v>
      </c>
    </row>
    <row r="382" spans="2:3" x14ac:dyDescent="0.35">
      <c r="B382" s="1413">
        <v>44573</v>
      </c>
      <c r="C382" s="1414">
        <v>201.96</v>
      </c>
    </row>
    <row r="383" spans="2:3" x14ac:dyDescent="0.35">
      <c r="B383" s="1413">
        <v>44574</v>
      </c>
      <c r="C383" s="1414">
        <v>200.74</v>
      </c>
    </row>
    <row r="384" spans="2:3" x14ac:dyDescent="0.35">
      <c r="B384" s="1413">
        <v>44575</v>
      </c>
      <c r="C384" s="1414">
        <v>202.46</v>
      </c>
    </row>
    <row r="385" spans="2:3" x14ac:dyDescent="0.35">
      <c r="B385" s="1413">
        <v>44576</v>
      </c>
      <c r="C385" s="1414">
        <v>202.46</v>
      </c>
    </row>
    <row r="386" spans="2:3" x14ac:dyDescent="0.35">
      <c r="B386" s="1413">
        <v>44577</v>
      </c>
      <c r="C386" s="1414">
        <v>202.46</v>
      </c>
    </row>
    <row r="387" spans="2:3" x14ac:dyDescent="0.35">
      <c r="B387" s="1413">
        <v>44578</v>
      </c>
      <c r="C387" s="1414">
        <v>204.11</v>
      </c>
    </row>
    <row r="388" spans="2:3" x14ac:dyDescent="0.35">
      <c r="B388" s="1413">
        <v>44579</v>
      </c>
      <c r="C388" s="1414">
        <v>203.6</v>
      </c>
    </row>
    <row r="389" spans="2:3" x14ac:dyDescent="0.35">
      <c r="B389" s="1413">
        <v>44580</v>
      </c>
      <c r="C389" s="1414">
        <v>206.58</v>
      </c>
    </row>
    <row r="390" spans="2:3" x14ac:dyDescent="0.35">
      <c r="B390" s="1413">
        <v>44581</v>
      </c>
      <c r="C390" s="1414">
        <v>212.32</v>
      </c>
    </row>
    <row r="391" spans="2:3" x14ac:dyDescent="0.35">
      <c r="B391" s="1413">
        <v>44582</v>
      </c>
      <c r="C391" s="1414">
        <v>212.74</v>
      </c>
    </row>
    <row r="392" spans="2:3" x14ac:dyDescent="0.35">
      <c r="B392" s="1413">
        <v>44583</v>
      </c>
      <c r="C392" s="1414">
        <v>212.74</v>
      </c>
    </row>
    <row r="393" spans="2:3" x14ac:dyDescent="0.35">
      <c r="B393" s="1413">
        <v>44584</v>
      </c>
      <c r="C393" s="1414">
        <v>212.74</v>
      </c>
    </row>
    <row r="394" spans="2:3" x14ac:dyDescent="0.35">
      <c r="B394" s="1413">
        <v>44585</v>
      </c>
      <c r="C394" s="1414">
        <v>219.09</v>
      </c>
    </row>
    <row r="395" spans="2:3" x14ac:dyDescent="0.35">
      <c r="B395" s="1413">
        <v>44586</v>
      </c>
      <c r="C395" s="1414">
        <v>218.84</v>
      </c>
    </row>
    <row r="396" spans="2:3" x14ac:dyDescent="0.35">
      <c r="B396" s="1413">
        <v>44587</v>
      </c>
      <c r="C396" s="1414">
        <v>216.85</v>
      </c>
    </row>
    <row r="397" spans="2:3" x14ac:dyDescent="0.35">
      <c r="B397" s="1413">
        <v>44588</v>
      </c>
      <c r="C397" s="1414">
        <v>223.75</v>
      </c>
    </row>
    <row r="398" spans="2:3" x14ac:dyDescent="0.35">
      <c r="B398" s="1413">
        <v>44589</v>
      </c>
      <c r="C398" s="1414">
        <v>216.66</v>
      </c>
    </row>
    <row r="399" spans="2:3" x14ac:dyDescent="0.35">
      <c r="B399" s="1413">
        <v>44590</v>
      </c>
      <c r="C399" s="1414">
        <v>216.66</v>
      </c>
    </row>
    <row r="400" spans="2:3" x14ac:dyDescent="0.35">
      <c r="B400" s="1413">
        <v>44591</v>
      </c>
      <c r="C400" s="1414">
        <v>216.66</v>
      </c>
    </row>
    <row r="401" spans="2:3" x14ac:dyDescent="0.35">
      <c r="B401" s="1413">
        <v>44592</v>
      </c>
      <c r="C401" s="1414">
        <v>214.67</v>
      </c>
    </row>
    <row r="402" spans="2:3" x14ac:dyDescent="0.35">
      <c r="B402" s="1413">
        <v>44593</v>
      </c>
      <c r="C402" s="1414">
        <v>214.63</v>
      </c>
    </row>
    <row r="403" spans="2:3" x14ac:dyDescent="0.35">
      <c r="B403" s="1413">
        <v>44594</v>
      </c>
      <c r="C403" s="1414">
        <v>210.88</v>
      </c>
    </row>
    <row r="404" spans="2:3" x14ac:dyDescent="0.35">
      <c r="B404" s="1413">
        <v>44595</v>
      </c>
      <c r="C404" s="1414">
        <v>211.71</v>
      </c>
    </row>
    <row r="405" spans="2:3" x14ac:dyDescent="0.35">
      <c r="B405" s="1413">
        <v>44596</v>
      </c>
      <c r="C405" s="1414">
        <v>212.23</v>
      </c>
    </row>
    <row r="406" spans="2:3" x14ac:dyDescent="0.35">
      <c r="B406" s="1413">
        <v>44597</v>
      </c>
      <c r="C406" s="1414">
        <v>212.23</v>
      </c>
    </row>
    <row r="407" spans="2:3" x14ac:dyDescent="0.35">
      <c r="B407" s="1413">
        <v>44598</v>
      </c>
      <c r="C407" s="1414">
        <v>212.23</v>
      </c>
    </row>
    <row r="408" spans="2:3" x14ac:dyDescent="0.35">
      <c r="B408" s="1413">
        <v>44599</v>
      </c>
      <c r="C408" s="1414">
        <v>210.22</v>
      </c>
    </row>
    <row r="409" spans="2:3" x14ac:dyDescent="0.35">
      <c r="B409" s="1413">
        <v>44600</v>
      </c>
      <c r="C409" s="1414">
        <v>207.9</v>
      </c>
    </row>
    <row r="410" spans="2:3" x14ac:dyDescent="0.35">
      <c r="B410" s="1413">
        <v>44601</v>
      </c>
      <c r="C410" s="1414">
        <v>204.97</v>
      </c>
    </row>
    <row r="411" spans="2:3" x14ac:dyDescent="0.35">
      <c r="B411" s="1413">
        <v>44602</v>
      </c>
      <c r="C411" s="1414">
        <v>207.15</v>
      </c>
    </row>
    <row r="412" spans="2:3" x14ac:dyDescent="0.35">
      <c r="B412" s="1413">
        <v>44603</v>
      </c>
      <c r="C412" s="1414">
        <v>207.59</v>
      </c>
    </row>
    <row r="413" spans="2:3" x14ac:dyDescent="0.35">
      <c r="B413" s="1413">
        <v>44604</v>
      </c>
      <c r="C413" s="1414">
        <v>207.59</v>
      </c>
    </row>
    <row r="414" spans="2:3" x14ac:dyDescent="0.35">
      <c r="B414" s="1413">
        <v>44605</v>
      </c>
      <c r="C414" s="1414">
        <v>207.59</v>
      </c>
    </row>
    <row r="415" spans="2:3" x14ac:dyDescent="0.35">
      <c r="B415" s="1413">
        <v>44606</v>
      </c>
      <c r="C415" s="1414">
        <v>207.41</v>
      </c>
    </row>
    <row r="416" spans="2:3" x14ac:dyDescent="0.35">
      <c r="B416" s="1413">
        <v>44607</v>
      </c>
      <c r="C416" s="1414">
        <v>205.49</v>
      </c>
    </row>
    <row r="417" spans="2:3" x14ac:dyDescent="0.35">
      <c r="B417" s="1413">
        <v>44608</v>
      </c>
      <c r="C417" s="1414">
        <v>203.93</v>
      </c>
    </row>
    <row r="418" spans="2:3" x14ac:dyDescent="0.35">
      <c r="B418" s="1413">
        <v>44609</v>
      </c>
      <c r="C418" s="1414">
        <v>203.03</v>
      </c>
    </row>
    <row r="419" spans="2:3" x14ac:dyDescent="0.35">
      <c r="B419" s="1413">
        <v>44610</v>
      </c>
      <c r="C419" s="1414">
        <v>199.72</v>
      </c>
    </row>
    <row r="420" spans="2:3" x14ac:dyDescent="0.35">
      <c r="B420" s="1413">
        <v>44611</v>
      </c>
      <c r="C420" s="1414">
        <v>199.72</v>
      </c>
    </row>
    <row r="421" spans="2:3" x14ac:dyDescent="0.35">
      <c r="B421" s="1413">
        <v>44612</v>
      </c>
      <c r="C421" s="1414">
        <v>199.72</v>
      </c>
    </row>
    <row r="422" spans="2:3" x14ac:dyDescent="0.35">
      <c r="B422" s="1413">
        <v>44613</v>
      </c>
      <c r="C422" s="1414">
        <v>201.12</v>
      </c>
    </row>
    <row r="423" spans="2:3" x14ac:dyDescent="0.35">
      <c r="B423" s="1413">
        <v>44614</v>
      </c>
      <c r="C423" s="1414">
        <v>196.05</v>
      </c>
    </row>
    <row r="424" spans="2:3" x14ac:dyDescent="0.35">
      <c r="B424" s="1413">
        <v>44615</v>
      </c>
      <c r="C424" s="1414">
        <v>196.81</v>
      </c>
    </row>
    <row r="425" spans="2:3" x14ac:dyDescent="0.35">
      <c r="B425" s="1413">
        <v>44616</v>
      </c>
      <c r="C425" s="1414">
        <v>197.19</v>
      </c>
    </row>
    <row r="426" spans="2:3" x14ac:dyDescent="0.35">
      <c r="B426" s="1413">
        <v>44617</v>
      </c>
      <c r="C426" s="1414">
        <v>195.31</v>
      </c>
    </row>
    <row r="427" spans="2:3" x14ac:dyDescent="0.35">
      <c r="B427" s="1413">
        <v>44618</v>
      </c>
      <c r="C427" s="1414">
        <v>195.31</v>
      </c>
    </row>
    <row r="428" spans="2:3" x14ac:dyDescent="0.35">
      <c r="B428" s="1413">
        <v>44619</v>
      </c>
      <c r="C428" s="1414">
        <v>195.31</v>
      </c>
    </row>
    <row r="429" spans="2:3" x14ac:dyDescent="0.35">
      <c r="B429" s="1413">
        <v>44620</v>
      </c>
      <c r="C429" s="1414">
        <v>195.31</v>
      </c>
    </row>
    <row r="430" spans="2:3" x14ac:dyDescent="0.35">
      <c r="B430" s="1413">
        <v>44621</v>
      </c>
      <c r="C430" s="1414">
        <v>195.31</v>
      </c>
    </row>
    <row r="431" spans="2:3" x14ac:dyDescent="0.35">
      <c r="B431" s="1413">
        <v>44622</v>
      </c>
      <c r="C431" s="1414">
        <v>196.84</v>
      </c>
    </row>
    <row r="432" spans="2:3" x14ac:dyDescent="0.35">
      <c r="B432" s="1413">
        <v>44623</v>
      </c>
      <c r="C432" s="1414">
        <v>196.82</v>
      </c>
    </row>
    <row r="433" spans="2:3" x14ac:dyDescent="0.35">
      <c r="B433" s="1413">
        <v>44624</v>
      </c>
      <c r="C433" s="1414">
        <v>197.6</v>
      </c>
    </row>
    <row r="434" spans="2:3" x14ac:dyDescent="0.35">
      <c r="B434" s="1413">
        <v>44625</v>
      </c>
      <c r="C434" s="1414">
        <v>197.6</v>
      </c>
    </row>
    <row r="435" spans="2:3" x14ac:dyDescent="0.35">
      <c r="B435" s="1413">
        <v>44626</v>
      </c>
      <c r="C435" s="1414">
        <v>197.6</v>
      </c>
    </row>
    <row r="436" spans="2:3" x14ac:dyDescent="0.35">
      <c r="B436" s="1413">
        <v>44627</v>
      </c>
      <c r="C436" s="1414">
        <v>197.28</v>
      </c>
    </row>
    <row r="437" spans="2:3" x14ac:dyDescent="0.35">
      <c r="B437" s="1413">
        <v>44628</v>
      </c>
      <c r="C437" s="1414">
        <v>194.54</v>
      </c>
    </row>
    <row r="438" spans="2:3" x14ac:dyDescent="0.35">
      <c r="B438" s="1413">
        <v>44629</v>
      </c>
      <c r="C438" s="1414">
        <v>190.85</v>
      </c>
    </row>
    <row r="439" spans="2:3" x14ac:dyDescent="0.35">
      <c r="B439" s="1413">
        <v>44630</v>
      </c>
      <c r="C439" s="1414">
        <v>189.62</v>
      </c>
    </row>
    <row r="440" spans="2:3" x14ac:dyDescent="0.35">
      <c r="B440" s="1413">
        <v>44631</v>
      </c>
      <c r="C440" s="1414">
        <v>187.41</v>
      </c>
    </row>
    <row r="441" spans="2:3" x14ac:dyDescent="0.35">
      <c r="B441" s="1413">
        <v>44634</v>
      </c>
      <c r="C441" s="1414">
        <v>185.6</v>
      </c>
    </row>
    <row r="442" spans="2:3" x14ac:dyDescent="0.35">
      <c r="B442" s="1413">
        <v>44635</v>
      </c>
      <c r="C442" s="1414">
        <v>187.94</v>
      </c>
    </row>
    <row r="443" spans="2:3" x14ac:dyDescent="0.35">
      <c r="B443" s="1413">
        <v>44636</v>
      </c>
      <c r="C443" s="1414">
        <v>193.3</v>
      </c>
    </row>
    <row r="444" spans="2:3" x14ac:dyDescent="0.35">
      <c r="B444" s="1413">
        <v>44637</v>
      </c>
      <c r="C444" s="1414">
        <v>195.27</v>
      </c>
    </row>
    <row r="445" spans="2:3" x14ac:dyDescent="0.35">
      <c r="B445" s="1413">
        <v>44638</v>
      </c>
      <c r="C445" s="1414">
        <v>195.17</v>
      </c>
    </row>
    <row r="446" spans="2:3" x14ac:dyDescent="0.35">
      <c r="B446" s="1413">
        <v>44641</v>
      </c>
      <c r="C446" s="1414">
        <v>197.9</v>
      </c>
    </row>
    <row r="447" spans="2:3" x14ac:dyDescent="0.35">
      <c r="B447" s="1413">
        <v>44642</v>
      </c>
      <c r="C447" s="1414">
        <v>199.82</v>
      </c>
    </row>
    <row r="448" spans="2:3" x14ac:dyDescent="0.35">
      <c r="B448" s="1413">
        <v>44643</v>
      </c>
      <c r="C448" s="1414">
        <v>200.72</v>
      </c>
    </row>
    <row r="449" spans="2:3" x14ac:dyDescent="0.35">
      <c r="B449" s="1413">
        <v>44645</v>
      </c>
      <c r="C449" s="1414">
        <v>200.31</v>
      </c>
    </row>
    <row r="450" spans="2:3" x14ac:dyDescent="0.35">
      <c r="B450" s="1413">
        <v>44648</v>
      </c>
      <c r="C450" s="1414">
        <v>196.27</v>
      </c>
    </row>
    <row r="451" spans="2:3" x14ac:dyDescent="0.35">
      <c r="B451" s="1413">
        <v>44649</v>
      </c>
      <c r="C451" s="1414">
        <v>191.99</v>
      </c>
    </row>
    <row r="452" spans="2:3" x14ac:dyDescent="0.35">
      <c r="B452" s="1413">
        <v>44650</v>
      </c>
      <c r="C452" s="1414">
        <v>192.52</v>
      </c>
    </row>
    <row r="453" spans="2:3" x14ac:dyDescent="0.35">
      <c r="B453" s="1413">
        <v>44651</v>
      </c>
      <c r="C453" s="1414">
        <v>190.56</v>
      </c>
    </row>
    <row r="454" spans="2:3" x14ac:dyDescent="0.35">
      <c r="B454" s="1413">
        <v>44652</v>
      </c>
      <c r="C454" s="1414">
        <v>189.75</v>
      </c>
    </row>
    <row r="455" spans="2:3" x14ac:dyDescent="0.35">
      <c r="B455" s="1413">
        <v>44655</v>
      </c>
      <c r="C455" s="1414">
        <v>190.88</v>
      </c>
    </row>
    <row r="456" spans="2:3" x14ac:dyDescent="0.35">
      <c r="B456" s="1413">
        <v>44656</v>
      </c>
      <c r="C456" s="1414">
        <v>190.17</v>
      </c>
    </row>
    <row r="457" spans="2:3" x14ac:dyDescent="0.35">
      <c r="B457" s="1413">
        <v>44657</v>
      </c>
      <c r="C457" s="1414">
        <v>190.21</v>
      </c>
    </row>
    <row r="458" spans="2:3" x14ac:dyDescent="0.35">
      <c r="B458" s="1413">
        <v>44658</v>
      </c>
      <c r="C458" s="1414">
        <v>192.32</v>
      </c>
    </row>
    <row r="459" spans="2:3" x14ac:dyDescent="0.35">
      <c r="B459" s="1413">
        <v>44659</v>
      </c>
      <c r="C459" s="1414">
        <v>191.15</v>
      </c>
    </row>
    <row r="460" spans="2:3" x14ac:dyDescent="0.35">
      <c r="B460" s="1413">
        <v>44662</v>
      </c>
      <c r="C460" s="1414">
        <v>191.31</v>
      </c>
    </row>
    <row r="461" spans="2:3" x14ac:dyDescent="0.35">
      <c r="B461" s="1413">
        <v>44663</v>
      </c>
      <c r="C461" s="1414">
        <v>191.67</v>
      </c>
    </row>
    <row r="462" spans="2:3" x14ac:dyDescent="0.35">
      <c r="B462" s="1413">
        <v>44664</v>
      </c>
      <c r="C462" s="1414">
        <v>191.33</v>
      </c>
    </row>
    <row r="463" spans="2:3" x14ac:dyDescent="0.35">
      <c r="B463" s="1413">
        <v>44665</v>
      </c>
      <c r="C463" s="1414">
        <v>191.33</v>
      </c>
    </row>
    <row r="464" spans="2:3" x14ac:dyDescent="0.35">
      <c r="B464" s="1413">
        <v>44666</v>
      </c>
      <c r="C464" s="1414">
        <v>191.33</v>
      </c>
    </row>
    <row r="465" spans="2:3" x14ac:dyDescent="0.35">
      <c r="B465" s="1413">
        <v>44669</v>
      </c>
      <c r="C465" s="1414">
        <v>189.3</v>
      </c>
    </row>
    <row r="466" spans="2:3" x14ac:dyDescent="0.35">
      <c r="B466" s="1413">
        <v>44670</v>
      </c>
      <c r="C466" s="1414">
        <v>191.69</v>
      </c>
    </row>
    <row r="467" spans="2:3" x14ac:dyDescent="0.35">
      <c r="B467" s="1413">
        <v>44671</v>
      </c>
      <c r="C467" s="1414">
        <v>195.24</v>
      </c>
    </row>
    <row r="468" spans="2:3" x14ac:dyDescent="0.35">
      <c r="B468" s="1413">
        <v>44672</v>
      </c>
      <c r="C468" s="1414">
        <v>203.97</v>
      </c>
    </row>
    <row r="469" spans="2:3" x14ac:dyDescent="0.35">
      <c r="B469" s="1413">
        <v>44673</v>
      </c>
      <c r="C469" s="1414">
        <v>208.27</v>
      </c>
    </row>
    <row r="470" spans="2:3" x14ac:dyDescent="0.35">
      <c r="B470" s="1413">
        <v>44676</v>
      </c>
      <c r="C470" s="1414">
        <v>207.96</v>
      </c>
    </row>
    <row r="471" spans="2:3" x14ac:dyDescent="0.35">
      <c r="B471" s="1413">
        <v>44677</v>
      </c>
      <c r="C471" s="1414">
        <v>212.07</v>
      </c>
    </row>
    <row r="472" spans="2:3" x14ac:dyDescent="0.35">
      <c r="B472" s="1413">
        <v>44678</v>
      </c>
      <c r="C472" s="1414">
        <v>208.33</v>
      </c>
    </row>
    <row r="473" spans="2:3" x14ac:dyDescent="0.35">
      <c r="B473" s="1413">
        <v>44679</v>
      </c>
      <c r="C473" s="1414">
        <v>203.99</v>
      </c>
    </row>
    <row r="474" spans="2:3" x14ac:dyDescent="0.35">
      <c r="B474" s="1413">
        <v>44680</v>
      </c>
      <c r="C474" s="1414">
        <v>205.99</v>
      </c>
    </row>
    <row r="475" spans="2:3" x14ac:dyDescent="0.35">
      <c r="B475" s="1413">
        <v>44683</v>
      </c>
      <c r="C475" s="1414">
        <v>209.38</v>
      </c>
    </row>
    <row r="476" spans="2:3" x14ac:dyDescent="0.35">
      <c r="B476" s="1413">
        <v>44684</v>
      </c>
      <c r="C476" s="1414">
        <v>207.49</v>
      </c>
    </row>
    <row r="477" spans="2:3" x14ac:dyDescent="0.35">
      <c r="B477" s="1413">
        <v>44685</v>
      </c>
      <c r="C477" s="1414">
        <v>203.57</v>
      </c>
    </row>
    <row r="478" spans="2:3" x14ac:dyDescent="0.35">
      <c r="B478" s="1413">
        <v>44686</v>
      </c>
      <c r="C478" s="1414">
        <v>205.39</v>
      </c>
    </row>
    <row r="479" spans="2:3" x14ac:dyDescent="0.35">
      <c r="B479" s="1413">
        <v>44687</v>
      </c>
      <c r="C479" s="1414">
        <v>208.49</v>
      </c>
    </row>
    <row r="480" spans="2:3" x14ac:dyDescent="0.35">
      <c r="B480" s="1413">
        <v>44690</v>
      </c>
      <c r="C480" s="1414">
        <v>206.52</v>
      </c>
    </row>
    <row r="481" spans="2:3" x14ac:dyDescent="0.35">
      <c r="B481" s="1413">
        <v>44691</v>
      </c>
      <c r="C481" s="1414">
        <v>207.79</v>
      </c>
    </row>
    <row r="482" spans="2:3" x14ac:dyDescent="0.35">
      <c r="B482" s="1413">
        <v>44692</v>
      </c>
      <c r="C482" s="1414">
        <v>207.08</v>
      </c>
    </row>
    <row r="483" spans="2:3" x14ac:dyDescent="0.35">
      <c r="B483" s="1413">
        <v>44693</v>
      </c>
      <c r="C483" s="1414">
        <v>206.38</v>
      </c>
    </row>
    <row r="484" spans="2:3" x14ac:dyDescent="0.35">
      <c r="B484" s="1413">
        <v>44694</v>
      </c>
      <c r="C484" s="1414">
        <v>210.85</v>
      </c>
    </row>
    <row r="485" spans="2:3" x14ac:dyDescent="0.35">
      <c r="B485" s="1413">
        <v>44697</v>
      </c>
      <c r="C485" s="1414">
        <v>210.79</v>
      </c>
    </row>
    <row r="486" spans="2:3" x14ac:dyDescent="0.35">
      <c r="B486" s="1413">
        <v>44698</v>
      </c>
      <c r="C486" s="1414">
        <v>209.31</v>
      </c>
    </row>
    <row r="487" spans="2:3" x14ac:dyDescent="0.35">
      <c r="B487" s="1413">
        <v>44699</v>
      </c>
      <c r="C487" s="1414">
        <v>209.31</v>
      </c>
    </row>
    <row r="488" spans="2:3" x14ac:dyDescent="0.35">
      <c r="B488" s="1413">
        <v>44700</v>
      </c>
      <c r="C488" s="1414">
        <v>207.88</v>
      </c>
    </row>
    <row r="489" spans="2:3" x14ac:dyDescent="0.35">
      <c r="B489" s="1413">
        <v>44701</v>
      </c>
      <c r="C489" s="1414">
        <v>209.56</v>
      </c>
    </row>
    <row r="490" spans="2:3" x14ac:dyDescent="0.35">
      <c r="B490" s="1413">
        <v>44704</v>
      </c>
      <c r="C490" s="1414">
        <v>210.61</v>
      </c>
    </row>
    <row r="491" spans="2:3" x14ac:dyDescent="0.35">
      <c r="B491" s="1413">
        <v>44705</v>
      </c>
      <c r="C491" s="1414">
        <v>211.33</v>
      </c>
    </row>
    <row r="492" spans="2:3" x14ac:dyDescent="0.35">
      <c r="B492" s="1413">
        <v>44706</v>
      </c>
      <c r="C492" s="1414">
        <v>211.33</v>
      </c>
    </row>
    <row r="493" spans="2:3" x14ac:dyDescent="0.35">
      <c r="B493" s="1413">
        <v>44707</v>
      </c>
      <c r="C493" s="1414">
        <v>211.41</v>
      </c>
    </row>
    <row r="494" spans="2:3" x14ac:dyDescent="0.35">
      <c r="B494" s="1413">
        <v>44708</v>
      </c>
      <c r="C494" s="1414">
        <v>210.35</v>
      </c>
    </row>
    <row r="495" spans="2:3" x14ac:dyDescent="0.35">
      <c r="B495" s="1413">
        <v>44711</v>
      </c>
      <c r="C495" s="1414">
        <v>209.15</v>
      </c>
    </row>
    <row r="496" spans="2:3" x14ac:dyDescent="0.35">
      <c r="B496" s="1413">
        <v>44712</v>
      </c>
      <c r="C496" s="1414">
        <v>207.35</v>
      </c>
    </row>
    <row r="497" spans="2:3" x14ac:dyDescent="0.35">
      <c r="B497" s="1413">
        <v>44713</v>
      </c>
      <c r="C497" s="1414">
        <v>208.62</v>
      </c>
    </row>
    <row r="498" spans="2:3" x14ac:dyDescent="0.35">
      <c r="B498" s="1413">
        <v>44714</v>
      </c>
      <c r="C498" s="1414">
        <v>207.04</v>
      </c>
    </row>
    <row r="499" spans="2:3" x14ac:dyDescent="0.35">
      <c r="B499" s="1413">
        <v>44715</v>
      </c>
      <c r="C499" s="1414">
        <v>207.75</v>
      </c>
    </row>
    <row r="500" spans="2:3" x14ac:dyDescent="0.35">
      <c r="B500" s="1413">
        <v>44718</v>
      </c>
      <c r="C500" s="1414">
        <v>208.84</v>
      </c>
    </row>
    <row r="501" spans="2:3" x14ac:dyDescent="0.35">
      <c r="B501" s="1413">
        <v>44719</v>
      </c>
      <c r="C501" s="1414">
        <v>208.68</v>
      </c>
    </row>
    <row r="502" spans="2:3" x14ac:dyDescent="0.35">
      <c r="B502" s="1413">
        <v>44720</v>
      </c>
      <c r="C502" s="1414">
        <v>209.15</v>
      </c>
    </row>
    <row r="503" spans="2:3" x14ac:dyDescent="0.35">
      <c r="B503" s="1413">
        <v>44721</v>
      </c>
      <c r="C503" s="1414">
        <v>217.5</v>
      </c>
    </row>
    <row r="504" spans="2:3" x14ac:dyDescent="0.35">
      <c r="B504" s="1413">
        <v>44722</v>
      </c>
      <c r="C504" s="1414">
        <v>223.2</v>
      </c>
    </row>
    <row r="505" spans="2:3" x14ac:dyDescent="0.35">
      <c r="B505" s="1413">
        <v>44725</v>
      </c>
      <c r="C505" s="1414">
        <v>227.37</v>
      </c>
    </row>
    <row r="506" spans="2:3" x14ac:dyDescent="0.35">
      <c r="B506" s="1413">
        <v>44726</v>
      </c>
      <c r="C506" s="1414">
        <v>231.96</v>
      </c>
    </row>
    <row r="507" spans="2:3" x14ac:dyDescent="0.35">
      <c r="B507" s="1413">
        <v>44727</v>
      </c>
      <c r="C507" s="1414">
        <v>229.83</v>
      </c>
    </row>
    <row r="508" spans="2:3" x14ac:dyDescent="0.35">
      <c r="B508" s="1413">
        <v>44728</v>
      </c>
      <c r="C508" s="1414">
        <v>235.09</v>
      </c>
    </row>
    <row r="509" spans="2:3" x14ac:dyDescent="0.35">
      <c r="B509" s="1413">
        <v>44729</v>
      </c>
      <c r="C509" s="1414">
        <v>235.09</v>
      </c>
    </row>
    <row r="510" spans="2:3" x14ac:dyDescent="0.35">
      <c r="B510" s="1413">
        <v>44732</v>
      </c>
      <c r="C510" s="1414">
        <v>235.09</v>
      </c>
    </row>
    <row r="511" spans="2:3" x14ac:dyDescent="0.35">
      <c r="B511" s="1413">
        <v>44733</v>
      </c>
      <c r="C511" s="1414">
        <v>233.27</v>
      </c>
    </row>
    <row r="512" spans="2:3" x14ac:dyDescent="0.35">
      <c r="B512" s="1413">
        <v>44734</v>
      </c>
      <c r="C512" s="1414">
        <v>227.94</v>
      </c>
    </row>
    <row r="513" spans="2:3" x14ac:dyDescent="0.35">
      <c r="B513" s="1413">
        <v>44735</v>
      </c>
      <c r="C513" s="1414">
        <v>232.23</v>
      </c>
    </row>
    <row r="514" spans="2:3" x14ac:dyDescent="0.35">
      <c r="B514" s="1413">
        <v>44736</v>
      </c>
      <c r="C514" s="1414">
        <v>232.72</v>
      </c>
    </row>
    <row r="515" spans="2:3" x14ac:dyDescent="0.35">
      <c r="B515" s="1413">
        <v>44739</v>
      </c>
      <c r="C515" s="1414">
        <v>240.09</v>
      </c>
    </row>
    <row r="516" spans="2:3" x14ac:dyDescent="0.35">
      <c r="B516" s="1413">
        <v>44740</v>
      </c>
      <c r="C516" s="1414">
        <v>243.07</v>
      </c>
    </row>
    <row r="517" spans="2:3" x14ac:dyDescent="0.35">
      <c r="B517" s="1413">
        <v>44741</v>
      </c>
      <c r="C517" s="1414">
        <v>245.67</v>
      </c>
    </row>
    <row r="518" spans="2:3" x14ac:dyDescent="0.35">
      <c r="B518" s="1413">
        <v>44742</v>
      </c>
      <c r="C518" s="1414">
        <v>249.59</v>
      </c>
    </row>
    <row r="519" spans="2:3" x14ac:dyDescent="0.35">
      <c r="B519" s="1413">
        <v>44743</v>
      </c>
      <c r="C519" s="1414">
        <v>247.9</v>
      </c>
    </row>
    <row r="520" spans="2:3" x14ac:dyDescent="0.35">
      <c r="B520" s="1413">
        <v>44746</v>
      </c>
      <c r="C520" s="1414">
        <v>272.39</v>
      </c>
    </row>
    <row r="521" spans="2:3" x14ac:dyDescent="0.35">
      <c r="B521" s="1413">
        <v>44747</v>
      </c>
      <c r="C521" s="1414">
        <v>265.27999999999997</v>
      </c>
    </row>
    <row r="522" spans="2:3" x14ac:dyDescent="0.35">
      <c r="B522" s="1413">
        <v>44748</v>
      </c>
      <c r="C522" s="1414">
        <v>270.17</v>
      </c>
    </row>
    <row r="523" spans="2:3" x14ac:dyDescent="0.35">
      <c r="B523" s="1413">
        <v>44749</v>
      </c>
      <c r="C523" s="1414">
        <v>284.32</v>
      </c>
    </row>
    <row r="524" spans="2:3" x14ac:dyDescent="0.35">
      <c r="B524" s="1413">
        <v>44750</v>
      </c>
      <c r="C524" s="1414">
        <v>289.29000000000002</v>
      </c>
    </row>
    <row r="525" spans="2:3" x14ac:dyDescent="0.35">
      <c r="B525" s="1413">
        <v>44753</v>
      </c>
      <c r="C525" s="1414">
        <v>285.69</v>
      </c>
    </row>
    <row r="526" spans="2:3" x14ac:dyDescent="0.35">
      <c r="B526" s="1413">
        <v>44754</v>
      </c>
      <c r="C526" s="1414">
        <v>279.39999999999998</v>
      </c>
    </row>
    <row r="527" spans="2:3" x14ac:dyDescent="0.35">
      <c r="B527" s="1413">
        <v>44755</v>
      </c>
      <c r="C527" s="1414">
        <v>280.06</v>
      </c>
    </row>
    <row r="528" spans="2:3" x14ac:dyDescent="0.35">
      <c r="B528" s="1413">
        <v>44756</v>
      </c>
      <c r="C528" s="1414">
        <v>284.27999999999997</v>
      </c>
    </row>
    <row r="529" spans="2:3" x14ac:dyDescent="0.35">
      <c r="B529" s="1413">
        <v>44757</v>
      </c>
      <c r="C529" s="1414">
        <v>292.5</v>
      </c>
    </row>
    <row r="530" spans="2:3" x14ac:dyDescent="0.35">
      <c r="B530" s="1413">
        <v>44760</v>
      </c>
      <c r="C530" s="1414">
        <v>295.24</v>
      </c>
    </row>
    <row r="531" spans="2:3" x14ac:dyDescent="0.35">
      <c r="B531" s="1413">
        <v>44761</v>
      </c>
      <c r="C531" s="1414">
        <v>297.83999999999997</v>
      </c>
    </row>
    <row r="532" spans="2:3" x14ac:dyDescent="0.35">
      <c r="B532" s="1413">
        <v>44762</v>
      </c>
      <c r="C532" s="1414">
        <v>303.44</v>
      </c>
    </row>
    <row r="533" spans="2:3" x14ac:dyDescent="0.35">
      <c r="B533" s="1413">
        <v>44763</v>
      </c>
      <c r="C533" s="1414">
        <v>326.08999999999997</v>
      </c>
    </row>
    <row r="534" spans="2:3" x14ac:dyDescent="0.35">
      <c r="B534" s="1413">
        <v>44764</v>
      </c>
      <c r="C534" s="1414">
        <v>315.5</v>
      </c>
    </row>
    <row r="535" spans="2:3" x14ac:dyDescent="0.35">
      <c r="B535" s="1413">
        <v>44765</v>
      </c>
      <c r="C535" s="1414">
        <v>315.5</v>
      </c>
    </row>
    <row r="536" spans="2:3" x14ac:dyDescent="0.35">
      <c r="B536" s="1413">
        <v>44766</v>
      </c>
      <c r="C536" s="1414">
        <v>315.5</v>
      </c>
    </row>
    <row r="537" spans="2:3" x14ac:dyDescent="0.35">
      <c r="B537" s="1413">
        <v>44767</v>
      </c>
      <c r="C537" s="1414">
        <v>319.72000000000003</v>
      </c>
    </row>
    <row r="538" spans="2:3" x14ac:dyDescent="0.35">
      <c r="B538" s="1413">
        <v>44768</v>
      </c>
      <c r="C538" s="1414">
        <v>324.88</v>
      </c>
    </row>
    <row r="539" spans="2:3" x14ac:dyDescent="0.35">
      <c r="B539" s="1413">
        <v>44769</v>
      </c>
      <c r="C539" s="1414">
        <v>323.77</v>
      </c>
    </row>
    <row r="540" spans="2:3" x14ac:dyDescent="0.35">
      <c r="B540" s="1413">
        <v>44770</v>
      </c>
      <c r="C540" s="1414">
        <v>298.16000000000003</v>
      </c>
    </row>
    <row r="541" spans="2:3" x14ac:dyDescent="0.35">
      <c r="B541" s="1413">
        <v>44771</v>
      </c>
      <c r="C541" s="1414">
        <v>276.70999999999998</v>
      </c>
    </row>
    <row r="542" spans="2:3" x14ac:dyDescent="0.35">
      <c r="B542" s="1413">
        <v>44772</v>
      </c>
      <c r="C542" s="1414">
        <v>276.70999999999998</v>
      </c>
    </row>
    <row r="543" spans="2:3" x14ac:dyDescent="0.35">
      <c r="B543" s="1413">
        <v>44773</v>
      </c>
      <c r="C543" s="1414">
        <v>276.70999999999998</v>
      </c>
    </row>
    <row r="544" spans="2:3" x14ac:dyDescent="0.35">
      <c r="B544" s="1413">
        <v>44774</v>
      </c>
      <c r="C544" s="1414">
        <v>272.48</v>
      </c>
    </row>
    <row r="545" spans="2:3" x14ac:dyDescent="0.35">
      <c r="B545" s="1413">
        <v>44775</v>
      </c>
      <c r="C545" s="1414">
        <v>276.66000000000003</v>
      </c>
    </row>
    <row r="546" spans="2:3" x14ac:dyDescent="0.35">
      <c r="B546" s="1413">
        <v>44776</v>
      </c>
      <c r="C546" s="1414">
        <v>281.02</v>
      </c>
    </row>
    <row r="547" spans="2:3" x14ac:dyDescent="0.35">
      <c r="B547" s="1413">
        <v>44777</v>
      </c>
      <c r="C547" s="1414">
        <v>284.47000000000003</v>
      </c>
    </row>
    <row r="548" spans="2:3" x14ac:dyDescent="0.35">
      <c r="B548" s="1413">
        <v>44778</v>
      </c>
      <c r="C548" s="1414">
        <v>278.77999999999997</v>
      </c>
    </row>
    <row r="549" spans="2:3" x14ac:dyDescent="0.35">
      <c r="B549" s="1413">
        <v>44779</v>
      </c>
      <c r="C549" s="1414">
        <v>278.77999999999997</v>
      </c>
    </row>
    <row r="550" spans="2:3" x14ac:dyDescent="0.35">
      <c r="B550" s="1413">
        <v>44780</v>
      </c>
      <c r="C550" s="1414">
        <v>278.77999999999997</v>
      </c>
    </row>
    <row r="551" spans="2:3" x14ac:dyDescent="0.35">
      <c r="B551" s="1413">
        <v>44781</v>
      </c>
      <c r="C551" s="1414">
        <v>278.94</v>
      </c>
    </row>
    <row r="552" spans="2:3" x14ac:dyDescent="0.35">
      <c r="B552" s="1413">
        <v>44782</v>
      </c>
      <c r="C552" s="1414">
        <v>279.2</v>
      </c>
    </row>
    <row r="553" spans="2:3" x14ac:dyDescent="0.35">
      <c r="B553" s="1413">
        <v>44783</v>
      </c>
      <c r="C553" s="1414">
        <v>284.58999999999997</v>
      </c>
    </row>
    <row r="554" spans="2:3" x14ac:dyDescent="0.35">
      <c r="B554" s="1413">
        <v>44784</v>
      </c>
      <c r="C554" s="1414">
        <v>279.36</v>
      </c>
    </row>
    <row r="555" spans="2:3" x14ac:dyDescent="0.35">
      <c r="B555" s="1413">
        <v>44785</v>
      </c>
      <c r="C555" s="1414">
        <v>279.12</v>
      </c>
    </row>
    <row r="556" spans="2:3" x14ac:dyDescent="0.35">
      <c r="B556" s="1413">
        <v>44786</v>
      </c>
      <c r="C556" s="1414">
        <v>279.12</v>
      </c>
    </row>
    <row r="557" spans="2:3" x14ac:dyDescent="0.35">
      <c r="B557" s="1413">
        <v>44787</v>
      </c>
      <c r="C557" s="1414">
        <v>279.12</v>
      </c>
    </row>
    <row r="558" spans="2:3" x14ac:dyDescent="0.35">
      <c r="B558" s="1413">
        <v>44788</v>
      </c>
      <c r="C558" s="1414">
        <v>279.12</v>
      </c>
    </row>
    <row r="559" spans="2:3" x14ac:dyDescent="0.35">
      <c r="B559" s="1413">
        <v>44789</v>
      </c>
      <c r="C559" s="1414">
        <v>275.77999999999997</v>
      </c>
    </row>
    <row r="560" spans="2:3" x14ac:dyDescent="0.35">
      <c r="B560" s="1413">
        <v>44790</v>
      </c>
      <c r="C560" s="1414">
        <v>281.37</v>
      </c>
    </row>
    <row r="561" spans="2:3" x14ac:dyDescent="0.35">
      <c r="B561" s="1413">
        <v>44791</v>
      </c>
      <c r="C561" s="1414">
        <v>288.13</v>
      </c>
    </row>
    <row r="562" spans="2:3" x14ac:dyDescent="0.35">
      <c r="B562" s="1413">
        <v>44792</v>
      </c>
      <c r="C562" s="1414">
        <v>292.02999999999997</v>
      </c>
    </row>
    <row r="563" spans="2:3" x14ac:dyDescent="0.35">
      <c r="B563" s="1413">
        <v>44793</v>
      </c>
      <c r="C563" s="1414">
        <v>292.02999999999997</v>
      </c>
    </row>
    <row r="564" spans="2:3" x14ac:dyDescent="0.35">
      <c r="B564" s="1413">
        <v>44794</v>
      </c>
      <c r="C564" s="1414">
        <v>292.02999999999997</v>
      </c>
    </row>
    <row r="565" spans="2:3" x14ac:dyDescent="0.35">
      <c r="B565" s="1413">
        <v>44795</v>
      </c>
      <c r="C565" s="1414">
        <v>287.88</v>
      </c>
    </row>
    <row r="566" spans="2:3" x14ac:dyDescent="0.35">
      <c r="B566" s="1413">
        <v>44796</v>
      </c>
      <c r="C566" s="1414">
        <v>288.14999999999998</v>
      </c>
    </row>
    <row r="567" spans="2:3" x14ac:dyDescent="0.35">
      <c r="B567" s="1413">
        <v>44797</v>
      </c>
      <c r="C567" s="1414">
        <v>286.60000000000002</v>
      </c>
    </row>
    <row r="568" spans="2:3" x14ac:dyDescent="0.35">
      <c r="B568" s="1413">
        <v>44798</v>
      </c>
      <c r="C568" s="1414">
        <v>286.60000000000002</v>
      </c>
    </row>
    <row r="569" spans="2:3" x14ac:dyDescent="0.35">
      <c r="B569" s="1413">
        <v>44799</v>
      </c>
      <c r="C569" s="1414">
        <v>282.57</v>
      </c>
    </row>
    <row r="570" spans="2:3" x14ac:dyDescent="0.35">
      <c r="B570" s="1413">
        <v>44800</v>
      </c>
      <c r="C570" s="1414">
        <v>282.57</v>
      </c>
    </row>
    <row r="571" spans="2:3" x14ac:dyDescent="0.35">
      <c r="B571" s="1413">
        <v>44801</v>
      </c>
      <c r="C571" s="1414">
        <v>282.57</v>
      </c>
    </row>
    <row r="572" spans="2:3" x14ac:dyDescent="0.35">
      <c r="B572" s="1413">
        <v>44802</v>
      </c>
      <c r="C572" s="1414">
        <v>281.77999999999997</v>
      </c>
    </row>
    <row r="573" spans="2:3" x14ac:dyDescent="0.35">
      <c r="B573" s="1413">
        <v>44803</v>
      </c>
      <c r="C573" s="1414">
        <v>283.83</v>
      </c>
    </row>
    <row r="574" spans="2:3" x14ac:dyDescent="0.35">
      <c r="B574" s="1413">
        <v>44804</v>
      </c>
      <c r="C574" s="1414">
        <v>283.08</v>
      </c>
    </row>
    <row r="575" spans="2:3" x14ac:dyDescent="0.35">
      <c r="B575" s="1413">
        <v>44805</v>
      </c>
      <c r="C575" s="1414">
        <v>278.73</v>
      </c>
    </row>
    <row r="576" spans="2:3" x14ac:dyDescent="0.35">
      <c r="B576" s="1413">
        <v>44806</v>
      </c>
      <c r="C576" s="1414">
        <v>278.73</v>
      </c>
    </row>
    <row r="577" spans="2:3" x14ac:dyDescent="0.35">
      <c r="B577" s="1413">
        <v>44809</v>
      </c>
      <c r="C577" s="1414">
        <v>271.19</v>
      </c>
    </row>
    <row r="578" spans="2:3" x14ac:dyDescent="0.35">
      <c r="B578" s="1413">
        <v>44810</v>
      </c>
      <c r="C578" s="1414">
        <v>270.33999999999997</v>
      </c>
    </row>
    <row r="579" spans="2:3" x14ac:dyDescent="0.35">
      <c r="B579" s="1413">
        <v>44811</v>
      </c>
      <c r="C579" s="1414">
        <v>271.02999999999997</v>
      </c>
    </row>
    <row r="580" spans="2:3" x14ac:dyDescent="0.35">
      <c r="B580" s="1413">
        <v>44812</v>
      </c>
      <c r="C580" s="1414">
        <v>273.02</v>
      </c>
    </row>
    <row r="581" spans="2:3" x14ac:dyDescent="0.35">
      <c r="B581" s="1413">
        <v>44813</v>
      </c>
      <c r="C581" s="1414">
        <v>269.56</v>
      </c>
    </row>
    <row r="582" spans="2:3" x14ac:dyDescent="0.35">
      <c r="B582" s="1413">
        <v>44816</v>
      </c>
      <c r="C582" s="1414">
        <v>269.39</v>
      </c>
    </row>
    <row r="583" spans="2:3" x14ac:dyDescent="0.35">
      <c r="B583" s="1413">
        <v>44817</v>
      </c>
      <c r="C583" s="1414">
        <v>269.89999999999998</v>
      </c>
    </row>
    <row r="584" spans="2:3" x14ac:dyDescent="0.35">
      <c r="B584" s="1413">
        <v>44818</v>
      </c>
      <c r="C584" s="1414">
        <v>275.45</v>
      </c>
    </row>
    <row r="585" spans="2:3" x14ac:dyDescent="0.35">
      <c r="B585" s="1413">
        <v>44819</v>
      </c>
      <c r="C585" s="1414">
        <v>289.66000000000003</v>
      </c>
    </row>
    <row r="586" spans="2:3" x14ac:dyDescent="0.35">
      <c r="B586" s="1413">
        <v>44820</v>
      </c>
      <c r="C586" s="1414">
        <v>294.19</v>
      </c>
    </row>
    <row r="587" spans="2:3" x14ac:dyDescent="0.35">
      <c r="B587" s="1413">
        <v>44823</v>
      </c>
      <c r="C587" s="1414">
        <v>297.11</v>
      </c>
    </row>
    <row r="588" spans="2:3" x14ac:dyDescent="0.35">
      <c r="B588" s="1413">
        <v>44824</v>
      </c>
      <c r="C588" s="1414">
        <v>295.10000000000002</v>
      </c>
    </row>
    <row r="589" spans="2:3" x14ac:dyDescent="0.35">
      <c r="B589" s="1413">
        <v>44825</v>
      </c>
      <c r="C589" s="1414">
        <v>297.91000000000003</v>
      </c>
    </row>
    <row r="590" spans="2:3" x14ac:dyDescent="0.35">
      <c r="B590" s="1413">
        <v>44826</v>
      </c>
      <c r="C590" s="1414">
        <v>302.19</v>
      </c>
    </row>
    <row r="591" spans="2:3" x14ac:dyDescent="0.35">
      <c r="B591" s="1413">
        <v>44827</v>
      </c>
      <c r="C591" s="1414">
        <v>301.82</v>
      </c>
    </row>
    <row r="592" spans="2:3" x14ac:dyDescent="0.35">
      <c r="B592" s="1413">
        <v>44830</v>
      </c>
      <c r="C592" s="1414">
        <v>298.25</v>
      </c>
    </row>
    <row r="593" spans="2:3" x14ac:dyDescent="0.35">
      <c r="B593" s="1413">
        <v>44831</v>
      </c>
      <c r="C593" s="1414">
        <v>296.77999999999997</v>
      </c>
    </row>
    <row r="594" spans="2:3" x14ac:dyDescent="0.35">
      <c r="B594" s="1413">
        <v>44832</v>
      </c>
      <c r="C594" s="1414">
        <v>297.99</v>
      </c>
    </row>
    <row r="595" spans="2:3" x14ac:dyDescent="0.35">
      <c r="B595" s="1413">
        <v>44833</v>
      </c>
      <c r="C595" s="1414">
        <v>295.83</v>
      </c>
    </row>
    <row r="596" spans="2:3" x14ac:dyDescent="0.35">
      <c r="B596" s="1413">
        <v>44834</v>
      </c>
      <c r="C596" s="1414">
        <v>302.48</v>
      </c>
    </row>
    <row r="597" spans="2:3" x14ac:dyDescent="0.35">
      <c r="B597" s="1413">
        <v>44837</v>
      </c>
      <c r="C597" s="1414">
        <v>297.97000000000003</v>
      </c>
    </row>
    <row r="598" spans="2:3" x14ac:dyDescent="0.35">
      <c r="B598" s="1413">
        <v>44838</v>
      </c>
      <c r="C598" s="1414">
        <v>299.77</v>
      </c>
    </row>
    <row r="599" spans="2:3" x14ac:dyDescent="0.35">
      <c r="B599" s="1413">
        <v>44839</v>
      </c>
      <c r="C599" s="1414">
        <v>297.5</v>
      </c>
    </row>
    <row r="600" spans="2:3" x14ac:dyDescent="0.35">
      <c r="B600" s="1413">
        <v>44840</v>
      </c>
      <c r="C600" s="1414">
        <v>293.25</v>
      </c>
    </row>
    <row r="601" spans="2:3" x14ac:dyDescent="0.35">
      <c r="B601" s="1413">
        <v>44841</v>
      </c>
      <c r="C601" s="1414">
        <v>293.25</v>
      </c>
    </row>
    <row r="602" spans="2:3" x14ac:dyDescent="0.35">
      <c r="B602" s="1413">
        <v>44844</v>
      </c>
      <c r="C602" s="1414">
        <v>293.25</v>
      </c>
    </row>
    <row r="603" spans="2:3" x14ac:dyDescent="0.35">
      <c r="B603" s="1413">
        <v>44845</v>
      </c>
      <c r="C603" s="1414">
        <v>288.14999999999998</v>
      </c>
    </row>
    <row r="604" spans="2:3" x14ac:dyDescent="0.35">
      <c r="B604" s="1413">
        <v>44846</v>
      </c>
      <c r="C604" s="1414">
        <v>293.69</v>
      </c>
    </row>
    <row r="605" spans="2:3" x14ac:dyDescent="0.35">
      <c r="B605" s="1413">
        <v>44847</v>
      </c>
      <c r="C605" s="1414">
        <v>299.42</v>
      </c>
    </row>
    <row r="606" spans="2:3" x14ac:dyDescent="0.35">
      <c r="B606" s="1413">
        <v>44848</v>
      </c>
      <c r="C606" s="1414">
        <v>299.04000000000002</v>
      </c>
    </row>
    <row r="607" spans="2:3" x14ac:dyDescent="0.35">
      <c r="B607" s="1413">
        <v>44851</v>
      </c>
      <c r="C607" s="1414">
        <v>295.58</v>
      </c>
    </row>
    <row r="608" spans="2:3" x14ac:dyDescent="0.35">
      <c r="B608" s="1413">
        <v>44852</v>
      </c>
      <c r="C608" s="1414">
        <v>293.33</v>
      </c>
    </row>
    <row r="609" spans="2:3" x14ac:dyDescent="0.35">
      <c r="B609" s="1413">
        <v>44853</v>
      </c>
      <c r="C609" s="1414">
        <v>292.41000000000003</v>
      </c>
    </row>
    <row r="610" spans="2:3" x14ac:dyDescent="0.35">
      <c r="B610" s="1413">
        <v>44854</v>
      </c>
      <c r="C610" s="1414">
        <v>290.87</v>
      </c>
    </row>
    <row r="611" spans="2:3" x14ac:dyDescent="0.35">
      <c r="B611" s="1413">
        <v>44855</v>
      </c>
      <c r="C611" s="1414">
        <v>290.63</v>
      </c>
    </row>
    <row r="612" spans="2:3" x14ac:dyDescent="0.35">
      <c r="B612" s="1413">
        <v>44858</v>
      </c>
      <c r="C612" s="1414">
        <v>291.89</v>
      </c>
    </row>
    <row r="613" spans="2:3" x14ac:dyDescent="0.35">
      <c r="B613" s="1413">
        <v>44859</v>
      </c>
      <c r="C613" s="1414">
        <v>293.63</v>
      </c>
    </row>
    <row r="614" spans="2:3" x14ac:dyDescent="0.35">
      <c r="B614" s="1413">
        <v>44860</v>
      </c>
      <c r="C614" s="1414">
        <v>292.27999999999997</v>
      </c>
    </row>
    <row r="615" spans="2:3" x14ac:dyDescent="0.35">
      <c r="B615" s="1413">
        <v>44861</v>
      </c>
      <c r="C615" s="1414">
        <v>294.64999999999998</v>
      </c>
    </row>
    <row r="616" spans="2:3" x14ac:dyDescent="0.35">
      <c r="B616" s="1413">
        <v>44862</v>
      </c>
      <c r="C616" s="1414">
        <v>295.07</v>
      </c>
    </row>
    <row r="617" spans="2:3" x14ac:dyDescent="0.35">
      <c r="B617" s="1413">
        <v>44865</v>
      </c>
      <c r="C617" s="1414">
        <v>293.92</v>
      </c>
    </row>
    <row r="618" spans="2:3" x14ac:dyDescent="0.35">
      <c r="B618" s="1413">
        <v>44866</v>
      </c>
      <c r="C618" s="1414">
        <v>292.83999999999997</v>
      </c>
    </row>
    <row r="619" spans="2:3" x14ac:dyDescent="0.35">
      <c r="B619" s="1413">
        <v>44867</v>
      </c>
      <c r="C619" s="1414">
        <v>291.17</v>
      </c>
    </row>
    <row r="620" spans="2:3" x14ac:dyDescent="0.35">
      <c r="B620" s="1413">
        <v>44868</v>
      </c>
      <c r="C620" s="1414">
        <v>292.92</v>
      </c>
    </row>
    <row r="621" spans="2:3" x14ac:dyDescent="0.35">
      <c r="B621" s="1413">
        <v>44869</v>
      </c>
      <c r="C621" s="1414">
        <v>290.97000000000003</v>
      </c>
    </row>
    <row r="622" spans="2:3" x14ac:dyDescent="0.35">
      <c r="B622" s="1413">
        <v>44872</v>
      </c>
      <c r="C622" s="1414">
        <v>289.76</v>
      </c>
    </row>
    <row r="623" spans="2:3" x14ac:dyDescent="0.35">
      <c r="B623" s="1413">
        <v>44873</v>
      </c>
      <c r="C623" s="1414">
        <v>292.37</v>
      </c>
    </row>
    <row r="624" spans="2:3" x14ac:dyDescent="0.35">
      <c r="B624" s="1413">
        <v>44874</v>
      </c>
      <c r="C624" s="1414">
        <v>292.93</v>
      </c>
    </row>
    <row r="625" spans="2:3" x14ac:dyDescent="0.35">
      <c r="B625" s="1413">
        <v>44875</v>
      </c>
      <c r="C625" s="1414">
        <v>296.82</v>
      </c>
    </row>
    <row r="626" spans="2:3" x14ac:dyDescent="0.35">
      <c r="B626" s="1413">
        <v>44876</v>
      </c>
      <c r="C626" s="1414">
        <v>297.70999999999998</v>
      </c>
    </row>
    <row r="627" spans="2:3" x14ac:dyDescent="0.35">
      <c r="B627" s="1413">
        <v>44879</v>
      </c>
      <c r="C627" s="1414">
        <v>299.83999999999997</v>
      </c>
    </row>
    <row r="628" spans="2:3" x14ac:dyDescent="0.35">
      <c r="B628" s="1413">
        <v>44880</v>
      </c>
      <c r="C628" s="1414">
        <v>302.06</v>
      </c>
    </row>
    <row r="629" spans="2:3" x14ac:dyDescent="0.35">
      <c r="B629" s="1413">
        <v>44881</v>
      </c>
      <c r="C629" s="1414">
        <v>308.98</v>
      </c>
    </row>
    <row r="630" spans="2:3" x14ac:dyDescent="0.35">
      <c r="B630" s="1413">
        <v>44882</v>
      </c>
      <c r="C630" s="1414">
        <v>313.87</v>
      </c>
    </row>
    <row r="631" spans="2:3" x14ac:dyDescent="0.35">
      <c r="B631" s="1413">
        <v>44883</v>
      </c>
      <c r="C631" s="1414">
        <v>313.58</v>
      </c>
    </row>
    <row r="632" spans="2:3" x14ac:dyDescent="0.35">
      <c r="B632" s="1413">
        <v>44886</v>
      </c>
      <c r="C632" s="1414">
        <v>313.58</v>
      </c>
    </row>
    <row r="633" spans="2:3" x14ac:dyDescent="0.35">
      <c r="B633" s="1413">
        <v>44887</v>
      </c>
      <c r="C633" s="1414">
        <v>312.8</v>
      </c>
    </row>
    <row r="634" spans="2:3" x14ac:dyDescent="0.35">
      <c r="B634" s="1413">
        <v>44888</v>
      </c>
      <c r="C634" s="1414">
        <v>311.81</v>
      </c>
    </row>
    <row r="635" spans="2:3" x14ac:dyDescent="0.35">
      <c r="B635" s="1413">
        <v>44889</v>
      </c>
      <c r="C635" s="1414">
        <v>319.3</v>
      </c>
    </row>
    <row r="636" spans="2:3" x14ac:dyDescent="0.35">
      <c r="B636" s="1413">
        <v>44890</v>
      </c>
      <c r="C636" s="1414">
        <v>316.07</v>
      </c>
    </row>
    <row r="637" spans="2:3" x14ac:dyDescent="0.35">
      <c r="B637" s="1413">
        <v>44893</v>
      </c>
      <c r="C637" s="1414">
        <v>314.02</v>
      </c>
    </row>
    <row r="638" spans="2:3" x14ac:dyDescent="0.35">
      <c r="B638" s="1413">
        <v>44894</v>
      </c>
      <c r="C638" s="1414">
        <v>313.45</v>
      </c>
    </row>
    <row r="639" spans="2:3" x14ac:dyDescent="0.35">
      <c r="B639" s="1413">
        <v>44895</v>
      </c>
      <c r="C639" s="1414">
        <v>312.51</v>
      </c>
    </row>
    <row r="640" spans="2:3" x14ac:dyDescent="0.35">
      <c r="B640" s="1413">
        <v>44896</v>
      </c>
      <c r="C640" s="1414">
        <v>318.57</v>
      </c>
    </row>
    <row r="641" spans="2:3" x14ac:dyDescent="0.35">
      <c r="B641" s="1413">
        <v>44897</v>
      </c>
      <c r="C641" s="1414">
        <v>318.67</v>
      </c>
    </row>
    <row r="642" spans="2:3" x14ac:dyDescent="0.35">
      <c r="B642" s="1413">
        <v>44900</v>
      </c>
      <c r="C642" s="1414">
        <v>319.11</v>
      </c>
    </row>
    <row r="643" spans="2:3" x14ac:dyDescent="0.35">
      <c r="B643" s="1413">
        <v>44901</v>
      </c>
      <c r="C643" s="1414">
        <v>328.88</v>
      </c>
    </row>
    <row r="644" spans="2:3" x14ac:dyDescent="0.35">
      <c r="B644" s="1413">
        <v>44902</v>
      </c>
      <c r="C644" s="1414">
        <v>328.98</v>
      </c>
    </row>
    <row r="645" spans="2:3" x14ac:dyDescent="0.35">
      <c r="B645" s="1413">
        <v>44903</v>
      </c>
      <c r="C645" s="1414">
        <v>328.98</v>
      </c>
    </row>
    <row r="646" spans="2:3" x14ac:dyDescent="0.35">
      <c r="B646" s="1413">
        <v>44904</v>
      </c>
      <c r="C646" s="1414">
        <v>328.98</v>
      </c>
    </row>
    <row r="647" spans="2:3" x14ac:dyDescent="0.35">
      <c r="B647" s="1413">
        <v>44907</v>
      </c>
      <c r="C647" s="1414">
        <v>322.35000000000002</v>
      </c>
    </row>
    <row r="648" spans="2:3" x14ac:dyDescent="0.35">
      <c r="B648" s="1413">
        <v>44908</v>
      </c>
      <c r="C648" s="1414">
        <v>323.36</v>
      </c>
    </row>
    <row r="649" spans="2:3" x14ac:dyDescent="0.35">
      <c r="B649" s="1413">
        <v>44909</v>
      </c>
      <c r="C649" s="1414">
        <v>322.7</v>
      </c>
    </row>
    <row r="650" spans="2:3" x14ac:dyDescent="0.35">
      <c r="B650" s="1413">
        <v>44910</v>
      </c>
      <c r="C650" s="1414">
        <v>320.10000000000002</v>
      </c>
    </row>
    <row r="651" spans="2:3" x14ac:dyDescent="0.35">
      <c r="B651" s="1413">
        <v>44911</v>
      </c>
      <c r="C651" s="1414">
        <v>320.10000000000002</v>
      </c>
    </row>
    <row r="652" spans="2:3" x14ac:dyDescent="0.35">
      <c r="B652" s="1413">
        <v>44914</v>
      </c>
      <c r="C652" s="1414">
        <v>320.89</v>
      </c>
    </row>
    <row r="653" spans="2:3" x14ac:dyDescent="0.35">
      <c r="B653" s="1413">
        <v>44915</v>
      </c>
      <c r="C653" s="1414">
        <v>325.01</v>
      </c>
    </row>
    <row r="654" spans="2:3" x14ac:dyDescent="0.35">
      <c r="B654" s="1413">
        <v>44916</v>
      </c>
      <c r="C654" s="1414">
        <v>322.87</v>
      </c>
    </row>
    <row r="655" spans="2:3" x14ac:dyDescent="0.35">
      <c r="B655" s="1413">
        <v>44917</v>
      </c>
      <c r="C655" s="1414">
        <v>324.25</v>
      </c>
    </row>
    <row r="656" spans="2:3" x14ac:dyDescent="0.35">
      <c r="B656" s="1413">
        <v>44918</v>
      </c>
      <c r="C656" s="1414">
        <v>325.70999999999998</v>
      </c>
    </row>
    <row r="657" spans="2:3" x14ac:dyDescent="0.35">
      <c r="B657" s="1413">
        <v>44921</v>
      </c>
      <c r="C657" s="1414">
        <v>327.62</v>
      </c>
    </row>
    <row r="658" spans="2:3" x14ac:dyDescent="0.35">
      <c r="B658" s="1413">
        <v>44922</v>
      </c>
      <c r="C658" s="1414">
        <v>335.39</v>
      </c>
    </row>
    <row r="659" spans="2:3" x14ac:dyDescent="0.35">
      <c r="B659" s="1413">
        <v>44923</v>
      </c>
      <c r="C659" s="1414">
        <v>331.63</v>
      </c>
    </row>
    <row r="660" spans="2:3" x14ac:dyDescent="0.35">
      <c r="B660" s="1413">
        <v>44924</v>
      </c>
      <c r="C660" s="1414">
        <v>334.36</v>
      </c>
    </row>
    <row r="661" spans="2:3" x14ac:dyDescent="0.35">
      <c r="B661" s="1413">
        <v>44925</v>
      </c>
      <c r="C661" s="1414">
        <v>327.94</v>
      </c>
    </row>
    <row r="662" spans="2:3" x14ac:dyDescent="0.35">
      <c r="B662" s="1413">
        <v>44928</v>
      </c>
      <c r="C662" s="1414">
        <v>329.21</v>
      </c>
    </row>
    <row r="663" spans="2:3" x14ac:dyDescent="0.35">
      <c r="B663" s="1413">
        <v>44929</v>
      </c>
      <c r="C663" s="1414">
        <v>330.7</v>
      </c>
    </row>
    <row r="664" spans="2:3" x14ac:dyDescent="0.35">
      <c r="B664" s="1413">
        <v>44930</v>
      </c>
      <c r="C664" s="1414">
        <v>334.93</v>
      </c>
    </row>
    <row r="665" spans="2:3" x14ac:dyDescent="0.35">
      <c r="B665" s="1413">
        <v>44931</v>
      </c>
      <c r="C665" s="1414">
        <v>332.67</v>
      </c>
    </row>
    <row r="666" spans="2:3" x14ac:dyDescent="0.35">
      <c r="B666" s="1413">
        <v>44932</v>
      </c>
      <c r="C666" s="1414">
        <v>329.91</v>
      </c>
    </row>
    <row r="667" spans="2:3" x14ac:dyDescent="0.35">
      <c r="B667" s="1413">
        <v>44935</v>
      </c>
      <c r="C667" s="1414">
        <v>327.17</v>
      </c>
    </row>
    <row r="668" spans="2:3" x14ac:dyDescent="0.35">
      <c r="B668" s="1413">
        <v>44936</v>
      </c>
      <c r="C668" s="1414">
        <v>325.87</v>
      </c>
    </row>
    <row r="669" spans="2:3" x14ac:dyDescent="0.35">
      <c r="B669" s="1413">
        <v>44937</v>
      </c>
      <c r="C669" s="1414">
        <v>327.7</v>
      </c>
    </row>
    <row r="670" spans="2:3" x14ac:dyDescent="0.35">
      <c r="B670" s="1413">
        <v>44938</v>
      </c>
      <c r="C670" s="1414">
        <v>342.38</v>
      </c>
    </row>
    <row r="671" spans="2:3" x14ac:dyDescent="0.35">
      <c r="B671" s="1413">
        <v>44939</v>
      </c>
      <c r="C671" s="1414">
        <v>340.23</v>
      </c>
    </row>
    <row r="672" spans="2:3" x14ac:dyDescent="0.35">
      <c r="B672" s="1413">
        <v>44942</v>
      </c>
      <c r="C672" s="1414">
        <v>344.03</v>
      </c>
    </row>
    <row r="673" spans="2:3" x14ac:dyDescent="0.35">
      <c r="B673" s="1413">
        <v>44943</v>
      </c>
      <c r="C673" s="1414">
        <v>341.89</v>
      </c>
    </row>
    <row r="674" spans="2:3" x14ac:dyDescent="0.35">
      <c r="B674" s="1413">
        <v>44944</v>
      </c>
      <c r="C674" s="1414">
        <v>340.3</v>
      </c>
    </row>
    <row r="675" spans="2:3" x14ac:dyDescent="0.35">
      <c r="B675" s="1413">
        <v>44945</v>
      </c>
      <c r="C675" s="1414">
        <v>332.83</v>
      </c>
    </row>
    <row r="676" spans="2:3" x14ac:dyDescent="0.35">
      <c r="B676" s="1413">
        <v>44946</v>
      </c>
      <c r="C676" s="1414">
        <v>352.52</v>
      </c>
    </row>
    <row r="677" spans="2:3" x14ac:dyDescent="0.35">
      <c r="B677" s="1413">
        <v>44949</v>
      </c>
      <c r="C677" s="1414">
        <v>352.21</v>
      </c>
    </row>
    <row r="678" spans="2:3" x14ac:dyDescent="0.35">
      <c r="B678" s="1413">
        <v>44950</v>
      </c>
      <c r="C678" s="1414">
        <v>353.85</v>
      </c>
    </row>
    <row r="679" spans="2:3" x14ac:dyDescent="0.35">
      <c r="B679" s="1413">
        <v>44951</v>
      </c>
      <c r="C679" s="1414">
        <v>351.98</v>
      </c>
    </row>
    <row r="680" spans="2:3" x14ac:dyDescent="0.35">
      <c r="B680" s="1413">
        <v>44952</v>
      </c>
      <c r="C680" s="1414">
        <v>352.22</v>
      </c>
    </row>
    <row r="681" spans="2:3" x14ac:dyDescent="0.35">
      <c r="B681" s="1413">
        <v>44953</v>
      </c>
      <c r="C681" s="1414">
        <v>352.78</v>
      </c>
    </row>
    <row r="682" spans="2:3" x14ac:dyDescent="0.35">
      <c r="B682" s="1413">
        <v>44956</v>
      </c>
      <c r="C682" s="1414">
        <v>353.93</v>
      </c>
    </row>
    <row r="683" spans="2:3" x14ac:dyDescent="0.35">
      <c r="B683" s="1413">
        <v>44957</v>
      </c>
      <c r="C683" s="1414">
        <v>354.81</v>
      </c>
    </row>
    <row r="684" spans="2:3" x14ac:dyDescent="0.35">
      <c r="B684" s="1413">
        <v>44958</v>
      </c>
      <c r="C684" s="1414">
        <v>353.7</v>
      </c>
    </row>
    <row r="685" spans="2:3" x14ac:dyDescent="0.35">
      <c r="B685" s="1413">
        <v>44959</v>
      </c>
      <c r="C685" s="1414">
        <v>354.75</v>
      </c>
    </row>
    <row r="686" spans="2:3" x14ac:dyDescent="0.35">
      <c r="B686" s="1413">
        <v>44960</v>
      </c>
      <c r="C686" s="1414">
        <v>357.36</v>
      </c>
    </row>
    <row r="687" spans="2:3" x14ac:dyDescent="0.35">
      <c r="B687" s="1413">
        <v>44963</v>
      </c>
      <c r="C687" s="1414">
        <v>353.94</v>
      </c>
    </row>
    <row r="688" spans="2:3" x14ac:dyDescent="0.35">
      <c r="B688" s="1413">
        <v>44964</v>
      </c>
      <c r="C688" s="1414">
        <v>353.2</v>
      </c>
    </row>
    <row r="689" spans="2:3" x14ac:dyDescent="0.35">
      <c r="B689" s="1413">
        <v>44965</v>
      </c>
      <c r="C689" s="1414">
        <v>354.95</v>
      </c>
    </row>
    <row r="690" spans="2:3" x14ac:dyDescent="0.35">
      <c r="B690" s="1413">
        <v>44966</v>
      </c>
      <c r="C690" s="1414">
        <v>354.36</v>
      </c>
    </row>
    <row r="691" spans="2:3" x14ac:dyDescent="0.35">
      <c r="B691" s="1413">
        <v>44967</v>
      </c>
      <c r="C691" s="1414">
        <v>354.15</v>
      </c>
    </row>
    <row r="692" spans="2:3" x14ac:dyDescent="0.35">
      <c r="B692" s="1413">
        <v>44970</v>
      </c>
      <c r="C692" s="1414">
        <v>355.27</v>
      </c>
    </row>
    <row r="693" spans="2:3" x14ac:dyDescent="0.35">
      <c r="B693" s="1413">
        <v>44971</v>
      </c>
      <c r="C693" s="1414">
        <v>355.28</v>
      </c>
    </row>
    <row r="694" spans="2:3" x14ac:dyDescent="0.35">
      <c r="B694" s="1413">
        <v>44972</v>
      </c>
      <c r="C694" s="1414">
        <v>356.23</v>
      </c>
    </row>
    <row r="695" spans="2:3" x14ac:dyDescent="0.35">
      <c r="B695" s="1413">
        <v>44973</v>
      </c>
      <c r="C695" s="1414">
        <v>357.61</v>
      </c>
    </row>
    <row r="696" spans="2:3" x14ac:dyDescent="0.35">
      <c r="B696" s="1413">
        <v>44974</v>
      </c>
      <c r="C696" s="1414">
        <v>355.59</v>
      </c>
    </row>
    <row r="697" spans="2:3" x14ac:dyDescent="0.35">
      <c r="B697" s="1413">
        <v>44977</v>
      </c>
      <c r="C697" s="1414">
        <v>355.59</v>
      </c>
    </row>
    <row r="698" spans="2:3" x14ac:dyDescent="0.35">
      <c r="B698" s="1413">
        <v>44978</v>
      </c>
      <c r="C698" s="1414">
        <v>355.59</v>
      </c>
    </row>
    <row r="699" spans="2:3" x14ac:dyDescent="0.35">
      <c r="B699" s="1413">
        <v>44979</v>
      </c>
      <c r="C699" s="1414">
        <v>356.45</v>
      </c>
    </row>
    <row r="700" spans="2:3" x14ac:dyDescent="0.35">
      <c r="B700" s="1413">
        <v>44980</v>
      </c>
      <c r="C700" s="1414">
        <v>357.26</v>
      </c>
    </row>
    <row r="701" spans="2:3" x14ac:dyDescent="0.35">
      <c r="B701" s="1413">
        <v>44981</v>
      </c>
      <c r="C701" s="1414">
        <v>356.78</v>
      </c>
    </row>
    <row r="702" spans="2:3" x14ac:dyDescent="0.35">
      <c r="B702" s="1413">
        <v>44984</v>
      </c>
      <c r="C702" s="1414">
        <v>356.07</v>
      </c>
    </row>
    <row r="703" spans="2:3" x14ac:dyDescent="0.35">
      <c r="B703" s="1413">
        <v>44985</v>
      </c>
      <c r="C703" s="1414">
        <v>357.47</v>
      </c>
    </row>
    <row r="704" spans="2:3" x14ac:dyDescent="0.35">
      <c r="B704" s="1413">
        <v>44986</v>
      </c>
      <c r="C704" s="1414">
        <v>359.78</v>
      </c>
    </row>
    <row r="705" spans="2:3" x14ac:dyDescent="0.35">
      <c r="B705" s="1413">
        <v>44987</v>
      </c>
      <c r="C705" s="1414">
        <v>364.81</v>
      </c>
    </row>
    <row r="706" spans="2:3" x14ac:dyDescent="0.35">
      <c r="B706" s="1413">
        <v>44988</v>
      </c>
      <c r="C706" s="1414">
        <v>366.5</v>
      </c>
    </row>
    <row r="707" spans="2:3" x14ac:dyDescent="0.35">
      <c r="B707" s="1413">
        <v>44991</v>
      </c>
      <c r="C707" s="1414">
        <v>362.42</v>
      </c>
    </row>
    <row r="708" spans="2:3" x14ac:dyDescent="0.35">
      <c r="B708" s="1413">
        <v>44992</v>
      </c>
      <c r="C708" s="1414">
        <v>366.97</v>
      </c>
    </row>
    <row r="709" spans="2:3" x14ac:dyDescent="0.35">
      <c r="B709" s="1413">
        <v>44993</v>
      </c>
      <c r="C709" s="1414">
        <v>372.86</v>
      </c>
    </row>
    <row r="710" spans="2:3" x14ac:dyDescent="0.35">
      <c r="B710" s="1413">
        <v>44994</v>
      </c>
      <c r="C710" s="1414">
        <v>375.43</v>
      </c>
    </row>
    <row r="711" spans="2:3" x14ac:dyDescent="0.35">
      <c r="B711" s="1413">
        <v>44995</v>
      </c>
      <c r="C711" s="1414">
        <v>380.64</v>
      </c>
    </row>
    <row r="712" spans="2:3" x14ac:dyDescent="0.35">
      <c r="B712" s="1413">
        <v>44998</v>
      </c>
      <c r="C712" s="1414">
        <v>379.51</v>
      </c>
    </row>
    <row r="713" spans="2:3" x14ac:dyDescent="0.35">
      <c r="B713" s="1413">
        <v>44999</v>
      </c>
      <c r="C713" s="1414">
        <v>377.76</v>
      </c>
    </row>
    <row r="714" spans="2:3" x14ac:dyDescent="0.35">
      <c r="B714" s="1413">
        <v>45000</v>
      </c>
      <c r="C714" s="1414">
        <v>383.31</v>
      </c>
    </row>
    <row r="715" spans="2:3" x14ac:dyDescent="0.35">
      <c r="B715" s="1413">
        <v>45001</v>
      </c>
      <c r="C715" s="1414">
        <v>388.76</v>
      </c>
    </row>
    <row r="716" spans="2:3" x14ac:dyDescent="0.35">
      <c r="B716" s="1413">
        <v>45002</v>
      </c>
      <c r="C716" s="1414">
        <v>388.84</v>
      </c>
    </row>
    <row r="717" spans="2:3" x14ac:dyDescent="0.35">
      <c r="B717" s="1413">
        <v>45005</v>
      </c>
      <c r="C717" s="1414">
        <v>387.63</v>
      </c>
    </row>
    <row r="718" spans="2:3" x14ac:dyDescent="0.35">
      <c r="B718" s="1413">
        <v>45006</v>
      </c>
      <c r="C718" s="1414">
        <v>385.98</v>
      </c>
    </row>
    <row r="719" spans="2:3" x14ac:dyDescent="0.35">
      <c r="B719" s="1413">
        <v>45007</v>
      </c>
      <c r="C719" s="1414">
        <v>387.1</v>
      </c>
    </row>
    <row r="720" spans="2:3" x14ac:dyDescent="0.35">
      <c r="B720" s="1413">
        <v>45008</v>
      </c>
      <c r="C720" s="1414">
        <v>375.72</v>
      </c>
    </row>
    <row r="721" spans="2:3" x14ac:dyDescent="0.35">
      <c r="B721" s="1413">
        <v>45009</v>
      </c>
      <c r="C721" s="1414">
        <v>375.72</v>
      </c>
    </row>
    <row r="722" spans="2:3" x14ac:dyDescent="0.35">
      <c r="B722" s="1413">
        <v>45012</v>
      </c>
      <c r="C722" s="1414">
        <v>376.4</v>
      </c>
    </row>
    <row r="723" spans="2:3" x14ac:dyDescent="0.35">
      <c r="B723" s="1413">
        <v>45013</v>
      </c>
      <c r="C723" s="1414">
        <v>383.55</v>
      </c>
    </row>
    <row r="724" spans="2:3" x14ac:dyDescent="0.35">
      <c r="B724" s="1413">
        <v>45014</v>
      </c>
      <c r="C724" s="1414">
        <v>386.81</v>
      </c>
    </row>
    <row r="725" spans="2:3" x14ac:dyDescent="0.35">
      <c r="B725" s="1413">
        <v>45015</v>
      </c>
      <c r="C725" s="1414">
        <v>391.82</v>
      </c>
    </row>
    <row r="726" spans="2:3" x14ac:dyDescent="0.35">
      <c r="B726" s="1413">
        <v>45016</v>
      </c>
      <c r="C726" s="1414">
        <v>397.37</v>
      </c>
    </row>
    <row r="727" spans="2:3" x14ac:dyDescent="0.35">
      <c r="B727" s="1413">
        <v>45019</v>
      </c>
      <c r="C727" s="1414">
        <v>396.94</v>
      </c>
    </row>
    <row r="728" spans="2:3" x14ac:dyDescent="0.35">
      <c r="B728" s="1413">
        <v>45020</v>
      </c>
      <c r="C728" s="1414">
        <v>402.41</v>
      </c>
    </row>
    <row r="729" spans="2:3" x14ac:dyDescent="0.35">
      <c r="B729" s="1413">
        <v>45021</v>
      </c>
      <c r="C729" s="1414">
        <v>396.6</v>
      </c>
    </row>
    <row r="730" spans="2:3" x14ac:dyDescent="0.35">
      <c r="B730" s="1413">
        <v>45022</v>
      </c>
      <c r="C730" s="1414">
        <v>396.6</v>
      </c>
    </row>
    <row r="731" spans="2:3" x14ac:dyDescent="0.35">
      <c r="B731" s="1413">
        <v>45023</v>
      </c>
      <c r="C731" s="1414">
        <v>396.6</v>
      </c>
    </row>
    <row r="732" spans="2:3" x14ac:dyDescent="0.35">
      <c r="B732" s="1413">
        <v>45026</v>
      </c>
      <c r="C732" s="1414">
        <v>390.71</v>
      </c>
    </row>
    <row r="733" spans="2:3" x14ac:dyDescent="0.35">
      <c r="B733" s="1413">
        <v>45027</v>
      </c>
      <c r="C733" s="1414">
        <v>387</v>
      </c>
    </row>
    <row r="734" spans="2:3" x14ac:dyDescent="0.35">
      <c r="B734" s="1413">
        <v>45028</v>
      </c>
      <c r="C734" s="1414">
        <v>386.34</v>
      </c>
    </row>
    <row r="735" spans="2:3" x14ac:dyDescent="0.35">
      <c r="B735" s="1413">
        <v>45029</v>
      </c>
      <c r="C735" s="1414">
        <v>388.14</v>
      </c>
    </row>
    <row r="736" spans="2:3" x14ac:dyDescent="0.35">
      <c r="B736" s="1413">
        <v>45030</v>
      </c>
      <c r="C736" s="1414">
        <v>398.62</v>
      </c>
    </row>
    <row r="737" spans="2:3" x14ac:dyDescent="0.35">
      <c r="B737" s="1413">
        <v>45033</v>
      </c>
      <c r="C737" s="1414">
        <v>395.45</v>
      </c>
    </row>
    <row r="738" spans="2:3" x14ac:dyDescent="0.35">
      <c r="B738" s="1413">
        <v>45034</v>
      </c>
      <c r="C738" s="1414">
        <v>408.86</v>
      </c>
    </row>
    <row r="739" spans="2:3" x14ac:dyDescent="0.35">
      <c r="B739" s="1413">
        <v>45035</v>
      </c>
      <c r="C739" s="1414">
        <v>409.77</v>
      </c>
    </row>
    <row r="740" spans="2:3" x14ac:dyDescent="0.35">
      <c r="B740" s="1413">
        <v>45036</v>
      </c>
      <c r="C740" s="1414">
        <v>421.9</v>
      </c>
    </row>
    <row r="741" spans="2:3" x14ac:dyDescent="0.35">
      <c r="B741" s="1413">
        <v>45037</v>
      </c>
      <c r="C741" s="1414">
        <v>437.75</v>
      </c>
    </row>
    <row r="742" spans="2:3" x14ac:dyDescent="0.35">
      <c r="B742" s="1413">
        <v>45040</v>
      </c>
      <c r="C742" s="1414">
        <v>449.02</v>
      </c>
    </row>
    <row r="743" spans="2:3" x14ac:dyDescent="0.35">
      <c r="B743" s="1413">
        <v>45041</v>
      </c>
      <c r="C743" s="1414">
        <v>447.5</v>
      </c>
    </row>
    <row r="744" spans="2:3" x14ac:dyDescent="0.35">
      <c r="B744" s="1413">
        <v>45042</v>
      </c>
      <c r="C744" s="1414">
        <v>446.43</v>
      </c>
    </row>
    <row r="745" spans="2:3" x14ac:dyDescent="0.35">
      <c r="B745" s="1413">
        <v>45043</v>
      </c>
      <c r="C745" s="1414">
        <v>442.23</v>
      </c>
    </row>
    <row r="746" spans="2:3" x14ac:dyDescent="0.35">
      <c r="B746" s="1413">
        <v>45044</v>
      </c>
      <c r="C746" s="1414">
        <v>436.05</v>
      </c>
    </row>
    <row r="747" spans="2:3" x14ac:dyDescent="0.35">
      <c r="B747" s="1413">
        <v>45047</v>
      </c>
      <c r="C747" s="1414">
        <v>436.05</v>
      </c>
    </row>
    <row r="748" spans="2:3" x14ac:dyDescent="0.35">
      <c r="B748" s="1413">
        <v>45048</v>
      </c>
      <c r="C748" s="1414">
        <v>428.84</v>
      </c>
    </row>
    <row r="749" spans="2:3" x14ac:dyDescent="0.35">
      <c r="B749" s="1413">
        <v>45049</v>
      </c>
      <c r="C749" s="1414">
        <v>431.03</v>
      </c>
    </row>
    <row r="750" spans="2:3" x14ac:dyDescent="0.35">
      <c r="B750" s="1413">
        <v>45050</v>
      </c>
      <c r="C750" s="1414">
        <v>430.19</v>
      </c>
    </row>
    <row r="751" spans="2:3" x14ac:dyDescent="0.35">
      <c r="B751" s="1413">
        <v>45051</v>
      </c>
      <c r="C751" s="1414">
        <v>432.35</v>
      </c>
    </row>
    <row r="752" spans="2:3" x14ac:dyDescent="0.35">
      <c r="B752" s="1413">
        <v>45054</v>
      </c>
      <c r="C752" s="1414">
        <v>432.08</v>
      </c>
    </row>
    <row r="753" spans="2:3" x14ac:dyDescent="0.35">
      <c r="B753" s="1413">
        <v>45055</v>
      </c>
      <c r="C753" s="1414">
        <v>432.08</v>
      </c>
    </row>
    <row r="754" spans="2:3" x14ac:dyDescent="0.35">
      <c r="B754" s="1413">
        <v>45056</v>
      </c>
      <c r="C754" s="1414">
        <v>436.09</v>
      </c>
    </row>
    <row r="755" spans="2:3" x14ac:dyDescent="0.35">
      <c r="B755" s="1413">
        <v>45057</v>
      </c>
      <c r="C755" s="1414">
        <v>440.07</v>
      </c>
    </row>
    <row r="756" spans="2:3" x14ac:dyDescent="0.35">
      <c r="B756" s="1413">
        <v>45058</v>
      </c>
      <c r="C756" s="1414">
        <v>434.31</v>
      </c>
    </row>
    <row r="757" spans="2:3" x14ac:dyDescent="0.35">
      <c r="B757" s="1413">
        <v>45061</v>
      </c>
      <c r="C757" s="1414">
        <v>437.66</v>
      </c>
    </row>
    <row r="758" spans="2:3" x14ac:dyDescent="0.35">
      <c r="B758" s="1413">
        <v>45062</v>
      </c>
      <c r="C758" s="1414">
        <v>442.43</v>
      </c>
    </row>
    <row r="759" spans="2:3" x14ac:dyDescent="0.35">
      <c r="B759" s="1413">
        <v>45063</v>
      </c>
      <c r="C759" s="1414">
        <v>444.08</v>
      </c>
    </row>
    <row r="760" spans="2:3" x14ac:dyDescent="0.35">
      <c r="B760" s="1413">
        <v>45064</v>
      </c>
      <c r="C760" s="1414">
        <v>473.5</v>
      </c>
    </row>
    <row r="761" spans="2:3" x14ac:dyDescent="0.35">
      <c r="B761" s="1413">
        <v>45065</v>
      </c>
      <c r="C761" s="1414">
        <v>465.42</v>
      </c>
    </row>
    <row r="762" spans="2:3" x14ac:dyDescent="0.35">
      <c r="B762" s="1413">
        <v>45068</v>
      </c>
      <c r="C762" s="1414">
        <v>464.27</v>
      </c>
    </row>
    <row r="763" spans="2:3" x14ac:dyDescent="0.35">
      <c r="B763" s="1413">
        <v>45069</v>
      </c>
      <c r="C763" s="1414">
        <v>466.09</v>
      </c>
    </row>
    <row r="764" spans="2:3" x14ac:dyDescent="0.35">
      <c r="B764" s="1413">
        <v>45070</v>
      </c>
      <c r="C764" s="1414">
        <v>462.35</v>
      </c>
    </row>
    <row r="765" spans="2:3" x14ac:dyDescent="0.35">
      <c r="B765" s="1413">
        <v>45071</v>
      </c>
      <c r="C765" s="1414">
        <v>459.55</v>
      </c>
    </row>
    <row r="766" spans="2:3" x14ac:dyDescent="0.35">
      <c r="B766" s="1413">
        <v>45072</v>
      </c>
      <c r="C766" s="1414">
        <v>459.55</v>
      </c>
    </row>
    <row r="767" spans="2:3" x14ac:dyDescent="0.35">
      <c r="B767" s="1413">
        <v>45075</v>
      </c>
      <c r="C767" s="1414">
        <v>459.51</v>
      </c>
    </row>
    <row r="768" spans="2:3" x14ac:dyDescent="0.35">
      <c r="B768" s="1413">
        <v>45076</v>
      </c>
      <c r="C768" s="1414">
        <v>462.32</v>
      </c>
    </row>
    <row r="769" spans="2:3" x14ac:dyDescent="0.35">
      <c r="B769" s="1413">
        <v>45077</v>
      </c>
      <c r="C769" s="1414">
        <v>466.98</v>
      </c>
    </row>
    <row r="770" spans="2:3" x14ac:dyDescent="0.35">
      <c r="B770" s="1413">
        <v>45078</v>
      </c>
      <c r="C770" s="1414">
        <v>467.03</v>
      </c>
    </row>
    <row r="771" spans="2:3" x14ac:dyDescent="0.35">
      <c r="B771" s="1413">
        <v>45079</v>
      </c>
      <c r="C771" s="1414">
        <v>469.09</v>
      </c>
    </row>
    <row r="772" spans="2:3" x14ac:dyDescent="0.35">
      <c r="B772" s="1413">
        <v>45082</v>
      </c>
      <c r="C772" s="1414">
        <v>472.29</v>
      </c>
    </row>
    <row r="773" spans="2:3" x14ac:dyDescent="0.35">
      <c r="B773" s="1413">
        <v>45083</v>
      </c>
      <c r="C773" s="1414">
        <v>473.87</v>
      </c>
    </row>
    <row r="774" spans="2:3" x14ac:dyDescent="0.35">
      <c r="B774" s="1413">
        <v>45084</v>
      </c>
      <c r="C774" s="1414">
        <v>472.76</v>
      </c>
    </row>
    <row r="775" spans="2:3" x14ac:dyDescent="0.35">
      <c r="B775" s="1413">
        <v>45085</v>
      </c>
      <c r="C775" s="1414">
        <v>473.92</v>
      </c>
    </row>
    <row r="776" spans="2:3" x14ac:dyDescent="0.35">
      <c r="B776" s="1413">
        <v>45086</v>
      </c>
      <c r="C776" s="1414">
        <v>473.5</v>
      </c>
    </row>
    <row r="777" spans="2:3" x14ac:dyDescent="0.35">
      <c r="B777" s="1413">
        <v>45089</v>
      </c>
      <c r="C777" s="1414">
        <v>474.49</v>
      </c>
    </row>
    <row r="778" spans="2:3" x14ac:dyDescent="0.35">
      <c r="B778" s="1413">
        <v>45090</v>
      </c>
      <c r="C778" s="1414">
        <v>473.19</v>
      </c>
    </row>
    <row r="779" spans="2:3" x14ac:dyDescent="0.35">
      <c r="B779" s="1413">
        <v>45091</v>
      </c>
      <c r="C779" s="1414">
        <v>474.98</v>
      </c>
    </row>
    <row r="780" spans="2:3" x14ac:dyDescent="0.35">
      <c r="B780" s="1413">
        <v>45092</v>
      </c>
      <c r="C780" s="1414">
        <v>474.59</v>
      </c>
    </row>
    <row r="781" spans="2:3" x14ac:dyDescent="0.35">
      <c r="B781" s="1413">
        <v>45093</v>
      </c>
      <c r="C781" s="1414">
        <v>479.35</v>
      </c>
    </row>
    <row r="782" spans="2:3" x14ac:dyDescent="0.35">
      <c r="B782" s="1413">
        <v>45096</v>
      </c>
      <c r="C782" s="1414">
        <v>479.35</v>
      </c>
    </row>
    <row r="783" spans="2:3" x14ac:dyDescent="0.35">
      <c r="B783" s="1413">
        <v>45097</v>
      </c>
      <c r="C783" s="1414">
        <v>479.35</v>
      </c>
    </row>
    <row r="784" spans="2:3" x14ac:dyDescent="0.35">
      <c r="B784" s="1413">
        <v>45098</v>
      </c>
      <c r="C784" s="1414">
        <v>476.46</v>
      </c>
    </row>
    <row r="785" spans="2:3" x14ac:dyDescent="0.35">
      <c r="B785" s="1413">
        <v>45099</v>
      </c>
      <c r="C785" s="1414">
        <v>482.51</v>
      </c>
    </row>
    <row r="786" spans="2:3" x14ac:dyDescent="0.35">
      <c r="B786" s="1413">
        <v>45100</v>
      </c>
      <c r="C786" s="1414">
        <v>486.66</v>
      </c>
    </row>
    <row r="787" spans="2:3" x14ac:dyDescent="0.35">
      <c r="B787" s="1413">
        <v>45103</v>
      </c>
      <c r="C787" s="1414">
        <v>479.79</v>
      </c>
    </row>
    <row r="788" spans="2:3" x14ac:dyDescent="0.35">
      <c r="B788" s="1413">
        <v>45104</v>
      </c>
      <c r="C788" s="1414">
        <v>483.43</v>
      </c>
    </row>
    <row r="789" spans="2:3" x14ac:dyDescent="0.35">
      <c r="B789" s="1413">
        <v>45105</v>
      </c>
      <c r="C789" s="1414">
        <v>484.01</v>
      </c>
    </row>
    <row r="790" spans="2:3" x14ac:dyDescent="0.35">
      <c r="B790" s="1413">
        <v>45106</v>
      </c>
      <c r="C790" s="1414">
        <v>482.23</v>
      </c>
    </row>
    <row r="791" spans="2:3" x14ac:dyDescent="0.35">
      <c r="B791" s="1413">
        <v>45107</v>
      </c>
      <c r="C791" s="1414">
        <v>484.69</v>
      </c>
    </row>
    <row r="792" spans="2:3" x14ac:dyDescent="0.35">
      <c r="B792" s="1413">
        <v>45110</v>
      </c>
      <c r="C792" s="1414">
        <v>483.45</v>
      </c>
    </row>
    <row r="793" spans="2:3" x14ac:dyDescent="0.35">
      <c r="B793" s="1413">
        <v>45111</v>
      </c>
      <c r="C793" s="1414">
        <v>482.9</v>
      </c>
    </row>
    <row r="794" spans="2:3" x14ac:dyDescent="0.35">
      <c r="B794" s="1413">
        <v>45112</v>
      </c>
      <c r="C794" s="1414">
        <v>480.37</v>
      </c>
    </row>
    <row r="795" spans="2:3" x14ac:dyDescent="0.35">
      <c r="B795" s="1413">
        <v>45113</v>
      </c>
      <c r="C795" s="1414">
        <v>484.68</v>
      </c>
    </row>
    <row r="796" spans="2:3" x14ac:dyDescent="0.35">
      <c r="B796" s="1413">
        <v>45114</v>
      </c>
      <c r="C796" s="1414">
        <v>484.78</v>
      </c>
    </row>
    <row r="797" spans="2:3" x14ac:dyDescent="0.35">
      <c r="B797" s="1413">
        <v>45117</v>
      </c>
      <c r="C797" s="1414">
        <v>490.4</v>
      </c>
    </row>
    <row r="798" spans="2:3" x14ac:dyDescent="0.35">
      <c r="B798" s="1413">
        <v>45118</v>
      </c>
      <c r="C798" s="1414">
        <v>488.64</v>
      </c>
    </row>
    <row r="799" spans="2:3" x14ac:dyDescent="0.35">
      <c r="B799" s="1413">
        <v>45119</v>
      </c>
      <c r="C799" s="1414">
        <v>488.65</v>
      </c>
    </row>
    <row r="800" spans="2:3" x14ac:dyDescent="0.35">
      <c r="B800" s="1413">
        <v>45120</v>
      </c>
      <c r="C800" s="1414">
        <v>498.73</v>
      </c>
    </row>
    <row r="801" spans="2:3" x14ac:dyDescent="0.35">
      <c r="B801" s="1413">
        <v>45121</v>
      </c>
      <c r="C801" s="1414">
        <v>499.71</v>
      </c>
    </row>
    <row r="802" spans="2:3" x14ac:dyDescent="0.35">
      <c r="B802" s="1413">
        <v>45124</v>
      </c>
      <c r="C802" s="1414">
        <v>499.86</v>
      </c>
    </row>
    <row r="803" spans="2:3" x14ac:dyDescent="0.35">
      <c r="B803" s="1413">
        <v>45125</v>
      </c>
      <c r="C803" s="1414">
        <v>494.9</v>
      </c>
    </row>
    <row r="804" spans="2:3" x14ac:dyDescent="0.35">
      <c r="B804" s="1413">
        <v>45126</v>
      </c>
      <c r="C804" s="1414">
        <v>494.65</v>
      </c>
    </row>
    <row r="805" spans="2:3" x14ac:dyDescent="0.35">
      <c r="B805" s="1413">
        <v>45127</v>
      </c>
      <c r="C805" s="1414">
        <v>495.84</v>
      </c>
    </row>
    <row r="806" spans="2:3" x14ac:dyDescent="0.35">
      <c r="B806" s="1413">
        <v>45128</v>
      </c>
      <c r="C806" s="1414">
        <v>498.08</v>
      </c>
    </row>
    <row r="807" spans="2:3" x14ac:dyDescent="0.35">
      <c r="B807" s="1413">
        <v>45131</v>
      </c>
      <c r="C807" s="1414">
        <v>497.09</v>
      </c>
    </row>
    <row r="808" spans="2:3" x14ac:dyDescent="0.35">
      <c r="B808" s="1413">
        <v>45132</v>
      </c>
      <c r="C808" s="1414">
        <v>507.12</v>
      </c>
    </row>
    <row r="809" spans="2:3" x14ac:dyDescent="0.35">
      <c r="B809" s="1413">
        <v>45133</v>
      </c>
      <c r="C809" s="1414">
        <v>503.9</v>
      </c>
    </row>
    <row r="810" spans="2:3" x14ac:dyDescent="0.35">
      <c r="B810" s="1413">
        <v>45134</v>
      </c>
      <c r="C810" s="1414">
        <v>510.62</v>
      </c>
    </row>
    <row r="811" spans="2:3" x14ac:dyDescent="0.35">
      <c r="B811" s="1413">
        <v>45135</v>
      </c>
      <c r="C811" s="1414">
        <v>508.01</v>
      </c>
    </row>
    <row r="812" spans="2:3" x14ac:dyDescent="0.35">
      <c r="B812" s="1413">
        <v>45138</v>
      </c>
      <c r="C812" s="1414">
        <v>509.1</v>
      </c>
    </row>
    <row r="813" spans="2:3" x14ac:dyDescent="0.35">
      <c r="B813" s="1413">
        <v>45139</v>
      </c>
      <c r="C813" s="1414">
        <v>509.45</v>
      </c>
    </row>
    <row r="814" spans="2:3" x14ac:dyDescent="0.35">
      <c r="B814" s="1413">
        <v>45140</v>
      </c>
      <c r="C814" s="1414">
        <v>512.54</v>
      </c>
    </row>
    <row r="815" spans="2:3" x14ac:dyDescent="0.35">
      <c r="B815" s="1413">
        <v>45141</v>
      </c>
      <c r="C815" s="1414">
        <v>513.99</v>
      </c>
    </row>
    <row r="816" spans="2:3" x14ac:dyDescent="0.35">
      <c r="B816" s="1413">
        <v>45142</v>
      </c>
      <c r="C816" s="1414">
        <v>514.71</v>
      </c>
    </row>
    <row r="817" spans="2:3" x14ac:dyDescent="0.35">
      <c r="B817" s="1413">
        <v>45145</v>
      </c>
      <c r="C817" s="1414">
        <v>516.70000000000005</v>
      </c>
    </row>
    <row r="818" spans="2:3" x14ac:dyDescent="0.35">
      <c r="B818" s="1413">
        <v>45146</v>
      </c>
      <c r="C818" s="1414">
        <v>521.91999999999996</v>
      </c>
    </row>
    <row r="819" spans="2:3" x14ac:dyDescent="0.35">
      <c r="B819" s="1413">
        <v>45147</v>
      </c>
      <c r="C819" s="1414">
        <v>527.91999999999996</v>
      </c>
    </row>
    <row r="820" spans="2:3" x14ac:dyDescent="0.35">
      <c r="B820" s="1413">
        <v>45148</v>
      </c>
      <c r="C820" s="1414">
        <v>529.82000000000005</v>
      </c>
    </row>
    <row r="821" spans="2:3" x14ac:dyDescent="0.35">
      <c r="B821" s="1413">
        <v>45149</v>
      </c>
      <c r="C821" s="1414">
        <v>539.89</v>
      </c>
    </row>
    <row r="822" spans="2:3" x14ac:dyDescent="0.35">
      <c r="B822" s="1413">
        <v>45150</v>
      </c>
      <c r="C822" s="1414">
        <v>621.14</v>
      </c>
    </row>
    <row r="823" spans="2:3" x14ac:dyDescent="0.35">
      <c r="B823" s="1413">
        <v>45151</v>
      </c>
      <c r="C823" s="1414">
        <v>667.17</v>
      </c>
    </row>
    <row r="824" spans="2:3" x14ac:dyDescent="0.35">
      <c r="B824" s="1413">
        <v>45152</v>
      </c>
      <c r="C824" s="1414">
        <v>651.41999999999996</v>
      </c>
    </row>
    <row r="825" spans="2:3" x14ac:dyDescent="0.35">
      <c r="B825" s="1413">
        <v>45153</v>
      </c>
      <c r="C825" s="1414">
        <v>659.49</v>
      </c>
    </row>
    <row r="826" spans="2:3" x14ac:dyDescent="0.35">
      <c r="B826" s="1413">
        <v>45154</v>
      </c>
      <c r="C826" s="1414">
        <v>657.48</v>
      </c>
    </row>
    <row r="827" spans="2:3" x14ac:dyDescent="0.35">
      <c r="B827" s="1413">
        <v>45155</v>
      </c>
      <c r="C827" s="1414">
        <v>657.48</v>
      </c>
    </row>
    <row r="828" spans="2:3" x14ac:dyDescent="0.35">
      <c r="B828" s="1413">
        <v>45156</v>
      </c>
      <c r="C828" s="1414">
        <v>657.48</v>
      </c>
    </row>
    <row r="829" spans="2:3" x14ac:dyDescent="0.35">
      <c r="B829" s="1413">
        <v>45157</v>
      </c>
      <c r="C829" s="1414">
        <v>657.48</v>
      </c>
    </row>
    <row r="830" spans="2:3" x14ac:dyDescent="0.35">
      <c r="B830" s="1413">
        <v>45158</v>
      </c>
      <c r="C830" s="1414">
        <v>657.48</v>
      </c>
    </row>
    <row r="831" spans="2:3" x14ac:dyDescent="0.35">
      <c r="B831" s="1413">
        <v>45159</v>
      </c>
      <c r="C831" s="1414">
        <v>657.48</v>
      </c>
    </row>
    <row r="832" spans="2:3" x14ac:dyDescent="0.35">
      <c r="B832" s="1413">
        <v>45160</v>
      </c>
      <c r="C832" s="1414">
        <v>658.88</v>
      </c>
    </row>
    <row r="833" spans="2:3" x14ac:dyDescent="0.35">
      <c r="B833" s="1413">
        <v>45161</v>
      </c>
      <c r="C833" s="1414">
        <v>661.32</v>
      </c>
    </row>
    <row r="834" spans="2:3" x14ac:dyDescent="0.35">
      <c r="B834" s="1413">
        <v>45162</v>
      </c>
      <c r="C834" s="1414">
        <v>665.4</v>
      </c>
    </row>
    <row r="835" spans="2:3" x14ac:dyDescent="0.35">
      <c r="B835" s="1413">
        <v>45163</v>
      </c>
      <c r="C835" s="1414">
        <v>664.97</v>
      </c>
    </row>
    <row r="836" spans="2:3" x14ac:dyDescent="0.35">
      <c r="B836" s="1413">
        <v>45164</v>
      </c>
      <c r="C836" s="1414">
        <v>664.97</v>
      </c>
    </row>
    <row r="837" spans="2:3" x14ac:dyDescent="0.35">
      <c r="B837" s="1413">
        <v>45165</v>
      </c>
      <c r="C837" s="1414">
        <v>664.97</v>
      </c>
    </row>
    <row r="838" spans="2:3" x14ac:dyDescent="0.35">
      <c r="B838" s="1413">
        <v>45166</v>
      </c>
      <c r="C838" s="1414">
        <v>680.83</v>
      </c>
    </row>
    <row r="839" spans="2:3" x14ac:dyDescent="0.35">
      <c r="B839" s="1413">
        <v>45167</v>
      </c>
      <c r="C839" s="1414">
        <v>671.02</v>
      </c>
    </row>
    <row r="840" spans="2:3" x14ac:dyDescent="0.35">
      <c r="B840" s="1413">
        <v>45168</v>
      </c>
      <c r="C840" s="1414">
        <v>670.99</v>
      </c>
    </row>
    <row r="841" spans="2:3" x14ac:dyDescent="0.35">
      <c r="B841" s="1413">
        <v>45169</v>
      </c>
      <c r="C841" s="1414">
        <v>670.83</v>
      </c>
    </row>
    <row r="842" spans="2:3" x14ac:dyDescent="0.35">
      <c r="B842" s="1413">
        <v>45170</v>
      </c>
      <c r="C842" s="1414">
        <v>670.37</v>
      </c>
    </row>
    <row r="843" spans="2:3" x14ac:dyDescent="0.35">
      <c r="B843" s="1413">
        <v>45173</v>
      </c>
      <c r="C843" s="1414">
        <v>672.62</v>
      </c>
    </row>
    <row r="844" spans="2:3" x14ac:dyDescent="0.35">
      <c r="B844" s="1413">
        <v>45174</v>
      </c>
      <c r="C844" s="1414">
        <v>672.34</v>
      </c>
    </row>
    <row r="845" spans="2:3" x14ac:dyDescent="0.35">
      <c r="B845" s="1413">
        <v>45175</v>
      </c>
      <c r="C845" s="1414">
        <v>673.47</v>
      </c>
    </row>
    <row r="846" spans="2:3" x14ac:dyDescent="0.35">
      <c r="B846" s="1413">
        <v>45176</v>
      </c>
      <c r="C846" s="1414">
        <v>674.84</v>
      </c>
    </row>
    <row r="847" spans="2:3" x14ac:dyDescent="0.35">
      <c r="B847" s="1413">
        <v>45177</v>
      </c>
      <c r="C847" s="1414">
        <v>673.36</v>
      </c>
    </row>
    <row r="848" spans="2:3" x14ac:dyDescent="0.35">
      <c r="B848" s="1413">
        <v>45180</v>
      </c>
      <c r="C848" s="1414">
        <v>675.54</v>
      </c>
    </row>
    <row r="849" spans="2:3" x14ac:dyDescent="0.35">
      <c r="B849" s="1413">
        <v>45181</v>
      </c>
      <c r="C849" s="1414">
        <v>676.46</v>
      </c>
    </row>
    <row r="850" spans="2:3" x14ac:dyDescent="0.35">
      <c r="B850" s="1413">
        <v>45182</v>
      </c>
      <c r="C850" s="1414">
        <v>676.32</v>
      </c>
    </row>
    <row r="851" spans="2:3" x14ac:dyDescent="0.35">
      <c r="B851" s="1413">
        <v>45183</v>
      </c>
      <c r="C851" s="1414">
        <v>687.74499999999989</v>
      </c>
    </row>
    <row r="852" spans="2:3" x14ac:dyDescent="0.35">
      <c r="B852" s="1413">
        <v>45184</v>
      </c>
      <c r="C852" s="1414">
        <v>689.3</v>
      </c>
    </row>
    <row r="853" spans="2:3" x14ac:dyDescent="0.35">
      <c r="B853" s="1413">
        <v>45185</v>
      </c>
      <c r="C853" s="1414">
        <v>689.3</v>
      </c>
    </row>
    <row r="854" spans="2:3" x14ac:dyDescent="0.35">
      <c r="B854" s="1413">
        <v>45186</v>
      </c>
      <c r="C854" s="1414">
        <v>689.3</v>
      </c>
    </row>
    <row r="855" spans="2:3" x14ac:dyDescent="0.35">
      <c r="B855" s="1413">
        <v>45187</v>
      </c>
      <c r="C855" s="1414">
        <v>679.36</v>
      </c>
    </row>
    <row r="856" spans="2:3" x14ac:dyDescent="0.35">
      <c r="B856" s="1413">
        <f t="shared" ref="B856:B919" si="0">+B855+1</f>
        <v>45188</v>
      </c>
      <c r="C856" s="1414">
        <v>680.08</v>
      </c>
    </row>
    <row r="857" spans="2:3" x14ac:dyDescent="0.35">
      <c r="B857" s="1413">
        <f t="shared" si="0"/>
        <v>45189</v>
      </c>
      <c r="C857" s="1414">
        <v>679.95</v>
      </c>
    </row>
    <row r="858" spans="2:3" x14ac:dyDescent="0.35">
      <c r="B858" s="1413">
        <f t="shared" si="0"/>
        <v>45190</v>
      </c>
      <c r="C858" s="1414">
        <v>680.85</v>
      </c>
    </row>
    <row r="859" spans="2:3" x14ac:dyDescent="0.35">
      <c r="B859" s="1413">
        <f t="shared" si="0"/>
        <v>45191</v>
      </c>
      <c r="C859" s="1414">
        <v>682.08</v>
      </c>
    </row>
    <row r="860" spans="2:3" x14ac:dyDescent="0.35">
      <c r="B860" s="1413">
        <f t="shared" si="0"/>
        <v>45192</v>
      </c>
      <c r="C860" s="1414">
        <v>682.08</v>
      </c>
    </row>
    <row r="861" spans="2:3" x14ac:dyDescent="0.35">
      <c r="B861" s="1413">
        <f t="shared" si="0"/>
        <v>45193</v>
      </c>
      <c r="C861" s="1414">
        <v>682.08</v>
      </c>
    </row>
    <row r="862" spans="2:3" x14ac:dyDescent="0.35">
      <c r="B862" s="1413">
        <f t="shared" si="0"/>
        <v>45194</v>
      </c>
      <c r="C862" s="1414">
        <v>683.01</v>
      </c>
    </row>
    <row r="863" spans="2:3" x14ac:dyDescent="0.35">
      <c r="B863" s="1413">
        <f t="shared" si="0"/>
        <v>45195</v>
      </c>
      <c r="C863" s="1414">
        <v>685.58</v>
      </c>
    </row>
    <row r="864" spans="2:3" x14ac:dyDescent="0.35">
      <c r="B864" s="1413">
        <f t="shared" si="0"/>
        <v>45196</v>
      </c>
      <c r="C864" s="1414">
        <v>689.85</v>
      </c>
    </row>
    <row r="865" spans="2:3" x14ac:dyDescent="0.35">
      <c r="B865" s="1413">
        <f t="shared" si="0"/>
        <v>45197</v>
      </c>
      <c r="C865" s="1414">
        <v>694.89</v>
      </c>
    </row>
    <row r="866" spans="2:3" x14ac:dyDescent="0.35">
      <c r="B866" s="1413">
        <f t="shared" si="0"/>
        <v>45198</v>
      </c>
      <c r="C866" s="1414">
        <v>701.01</v>
      </c>
    </row>
    <row r="867" spans="2:3" x14ac:dyDescent="0.35">
      <c r="B867" s="1413">
        <f t="shared" si="0"/>
        <v>45199</v>
      </c>
      <c r="C867" s="1414">
        <v>701.01</v>
      </c>
    </row>
    <row r="868" spans="2:3" x14ac:dyDescent="0.35">
      <c r="B868" s="1413">
        <f t="shared" si="0"/>
        <v>45200</v>
      </c>
      <c r="C868" s="1414">
        <v>701.01</v>
      </c>
    </row>
    <row r="869" spans="2:3" x14ac:dyDescent="0.35">
      <c r="B869" s="1413">
        <f t="shared" si="0"/>
        <v>45201</v>
      </c>
      <c r="C869" s="1414">
        <v>709.83</v>
      </c>
    </row>
    <row r="870" spans="2:3" x14ac:dyDescent="0.35">
      <c r="B870" s="1413">
        <f t="shared" si="0"/>
        <v>45202</v>
      </c>
      <c r="C870" s="1414">
        <v>720.62</v>
      </c>
    </row>
    <row r="871" spans="2:3" x14ac:dyDescent="0.35">
      <c r="B871" s="1413">
        <f t="shared" si="0"/>
        <v>45203</v>
      </c>
      <c r="C871" s="1414">
        <v>747.68</v>
      </c>
    </row>
    <row r="872" spans="2:3" x14ac:dyDescent="0.35">
      <c r="B872" s="1413">
        <f t="shared" si="0"/>
        <v>45204</v>
      </c>
      <c r="C872" s="1414">
        <v>784.83</v>
      </c>
    </row>
    <row r="873" spans="2:3" x14ac:dyDescent="0.35">
      <c r="B873" s="1413">
        <f t="shared" si="0"/>
        <v>45205</v>
      </c>
      <c r="C873" s="1414">
        <v>812.75</v>
      </c>
    </row>
    <row r="874" spans="2:3" x14ac:dyDescent="0.35">
      <c r="B874" s="1413">
        <f t="shared" si="0"/>
        <v>45206</v>
      </c>
      <c r="C874" s="1414">
        <v>844.81</v>
      </c>
    </row>
    <row r="875" spans="2:3" x14ac:dyDescent="0.35">
      <c r="B875" s="1413">
        <f t="shared" si="0"/>
        <v>45207</v>
      </c>
      <c r="C875" s="1414">
        <v>844.81</v>
      </c>
    </row>
    <row r="876" spans="2:3" x14ac:dyDescent="0.35">
      <c r="B876" s="1413">
        <f t="shared" si="0"/>
        <v>45208</v>
      </c>
      <c r="C876" s="1414">
        <v>844.81</v>
      </c>
    </row>
    <row r="877" spans="2:3" x14ac:dyDescent="0.35">
      <c r="B877" s="1413">
        <f t="shared" si="0"/>
        <v>45209</v>
      </c>
      <c r="C877" s="1414">
        <v>844.81</v>
      </c>
    </row>
    <row r="878" spans="2:3" x14ac:dyDescent="0.35">
      <c r="B878" s="1413">
        <f t="shared" si="0"/>
        <v>45210</v>
      </c>
      <c r="C878" s="1414">
        <v>854.74</v>
      </c>
    </row>
    <row r="879" spans="2:3" x14ac:dyDescent="0.35">
      <c r="B879" s="1413">
        <f t="shared" si="0"/>
        <v>45211</v>
      </c>
      <c r="C879" s="1414">
        <v>870.46</v>
      </c>
    </row>
    <row r="880" spans="2:3" x14ac:dyDescent="0.35">
      <c r="B880" s="1413">
        <f t="shared" si="0"/>
        <v>45212</v>
      </c>
      <c r="C880" s="1414">
        <v>870.46</v>
      </c>
    </row>
    <row r="881" spans="2:3" x14ac:dyDescent="0.35">
      <c r="B881" s="1413">
        <f t="shared" si="0"/>
        <v>45213</v>
      </c>
      <c r="C881" s="1414">
        <v>870.46</v>
      </c>
    </row>
    <row r="882" spans="2:3" x14ac:dyDescent="0.35">
      <c r="B882" s="1413">
        <f t="shared" si="0"/>
        <v>45214</v>
      </c>
      <c r="C882" s="1414">
        <v>870.46</v>
      </c>
    </row>
    <row r="883" spans="2:3" x14ac:dyDescent="0.35">
      <c r="B883" s="1413">
        <f t="shared" si="0"/>
        <v>45215</v>
      </c>
      <c r="C883" s="1414">
        <v>870.46</v>
      </c>
    </row>
    <row r="884" spans="2:3" x14ac:dyDescent="0.35">
      <c r="B884" s="1413">
        <f t="shared" si="0"/>
        <v>45216</v>
      </c>
      <c r="C884" s="1414">
        <v>884.82</v>
      </c>
    </row>
    <row r="885" spans="2:3" x14ac:dyDescent="0.35">
      <c r="B885" s="1413">
        <f t="shared" si="0"/>
        <v>45217</v>
      </c>
      <c r="C885" s="1414">
        <v>887.88</v>
      </c>
    </row>
    <row r="886" spans="2:3" x14ac:dyDescent="0.35">
      <c r="B886" s="1413">
        <f t="shared" si="0"/>
        <v>45218</v>
      </c>
      <c r="C886" s="1414">
        <v>884.74</v>
      </c>
    </row>
    <row r="887" spans="2:3" x14ac:dyDescent="0.35">
      <c r="B887" s="1413">
        <f t="shared" si="0"/>
        <v>45219</v>
      </c>
      <c r="C887" s="1414">
        <v>898.91</v>
      </c>
    </row>
    <row r="888" spans="2:3" x14ac:dyDescent="0.35">
      <c r="B888" s="1413">
        <f t="shared" si="0"/>
        <v>45220</v>
      </c>
      <c r="C888" s="1414">
        <v>898.91</v>
      </c>
    </row>
    <row r="889" spans="2:3" x14ac:dyDescent="0.35">
      <c r="B889" s="1413">
        <f t="shared" si="0"/>
        <v>45221</v>
      </c>
      <c r="C889" s="1414">
        <v>898.91</v>
      </c>
    </row>
    <row r="890" spans="2:3" x14ac:dyDescent="0.35">
      <c r="B890" s="1413">
        <f t="shared" si="0"/>
        <v>45222</v>
      </c>
      <c r="C890" s="1414">
        <v>899.33</v>
      </c>
    </row>
    <row r="891" spans="2:3" x14ac:dyDescent="0.35">
      <c r="B891" s="1413">
        <f t="shared" si="0"/>
        <v>45223</v>
      </c>
      <c r="C891" s="1414">
        <v>843.82</v>
      </c>
    </row>
    <row r="892" spans="2:3" x14ac:dyDescent="0.35">
      <c r="B892" s="1413">
        <f t="shared" si="0"/>
        <v>45224</v>
      </c>
      <c r="C892" s="1414">
        <v>872.31</v>
      </c>
    </row>
    <row r="893" spans="2:3" x14ac:dyDescent="0.35">
      <c r="B893" s="1413">
        <f t="shared" si="0"/>
        <v>45225</v>
      </c>
      <c r="C893" s="1414">
        <v>855.48</v>
      </c>
    </row>
    <row r="894" spans="2:3" x14ac:dyDescent="0.35">
      <c r="B894" s="1413">
        <f t="shared" si="0"/>
        <v>45226</v>
      </c>
      <c r="C894" s="1414">
        <v>806.84</v>
      </c>
    </row>
    <row r="895" spans="2:3" x14ac:dyDescent="0.35">
      <c r="B895" s="1413">
        <f t="shared" si="0"/>
        <v>45227</v>
      </c>
      <c r="C895" s="1414">
        <v>806.84</v>
      </c>
    </row>
    <row r="896" spans="2:3" x14ac:dyDescent="0.35">
      <c r="B896" s="1413">
        <f t="shared" si="0"/>
        <v>45228</v>
      </c>
      <c r="C896" s="1414">
        <v>806.84</v>
      </c>
    </row>
    <row r="897" spans="2:3" x14ac:dyDescent="0.35">
      <c r="B897" s="1413">
        <f t="shared" si="0"/>
        <v>45229</v>
      </c>
      <c r="C897" s="1414">
        <v>859.75</v>
      </c>
    </row>
    <row r="898" spans="2:3" x14ac:dyDescent="0.35">
      <c r="B898" s="1413">
        <f t="shared" si="0"/>
        <v>45230</v>
      </c>
      <c r="C898" s="1414">
        <v>852.85</v>
      </c>
    </row>
    <row r="899" spans="2:3" x14ac:dyDescent="0.35">
      <c r="B899" s="1413">
        <f t="shared" si="0"/>
        <v>45231</v>
      </c>
      <c r="C899" s="1414">
        <v>840.28</v>
      </c>
    </row>
    <row r="900" spans="2:3" x14ac:dyDescent="0.35">
      <c r="B900" s="1413">
        <f t="shared" si="0"/>
        <v>45232</v>
      </c>
      <c r="C900" s="1414">
        <v>863.64</v>
      </c>
    </row>
    <row r="901" spans="2:3" x14ac:dyDescent="0.35">
      <c r="B901" s="1413">
        <f t="shared" si="0"/>
        <v>45233</v>
      </c>
      <c r="C901" s="1414">
        <v>844.01</v>
      </c>
    </row>
    <row r="902" spans="2:3" x14ac:dyDescent="0.35">
      <c r="B902" s="1413">
        <f t="shared" si="0"/>
        <v>45234</v>
      </c>
      <c r="C902" s="1414">
        <v>844.01</v>
      </c>
    </row>
    <row r="903" spans="2:3" x14ac:dyDescent="0.35">
      <c r="B903" s="1413">
        <f t="shared" si="0"/>
        <v>45235</v>
      </c>
      <c r="C903" s="1414">
        <v>844.01</v>
      </c>
    </row>
    <row r="904" spans="2:3" x14ac:dyDescent="0.35">
      <c r="B904" s="1413">
        <f t="shared" si="0"/>
        <v>45236</v>
      </c>
      <c r="C904" s="1414">
        <v>844.01</v>
      </c>
    </row>
    <row r="905" spans="2:3" x14ac:dyDescent="0.35">
      <c r="B905" s="1413">
        <f t="shared" si="0"/>
        <v>45237</v>
      </c>
      <c r="C905" s="1414">
        <v>848.8</v>
      </c>
    </row>
    <row r="906" spans="2:3" x14ac:dyDescent="0.35">
      <c r="B906" s="1413">
        <f t="shared" si="0"/>
        <v>45238</v>
      </c>
      <c r="C906" s="1414">
        <v>840.97</v>
      </c>
    </row>
    <row r="907" spans="2:3" x14ac:dyDescent="0.35">
      <c r="B907" s="1413">
        <f t="shared" si="0"/>
        <v>45239</v>
      </c>
      <c r="C907" s="1414">
        <v>863.3</v>
      </c>
    </row>
    <row r="908" spans="2:3" x14ac:dyDescent="0.35">
      <c r="B908" s="1413">
        <f t="shared" si="0"/>
        <v>45240</v>
      </c>
      <c r="C908" s="1414">
        <v>881.71</v>
      </c>
    </row>
    <row r="909" spans="2:3" x14ac:dyDescent="0.35">
      <c r="B909" s="1413">
        <f t="shared" si="0"/>
        <v>45241</v>
      </c>
      <c r="C909" s="1414">
        <v>881.71</v>
      </c>
    </row>
    <row r="910" spans="2:3" x14ac:dyDescent="0.35">
      <c r="B910" s="1413">
        <f t="shared" si="0"/>
        <v>45242</v>
      </c>
      <c r="C910" s="1414">
        <v>881.71</v>
      </c>
    </row>
    <row r="911" spans="2:3" x14ac:dyDescent="0.35">
      <c r="B911" s="1413">
        <f t="shared" si="0"/>
        <v>45243</v>
      </c>
      <c r="C911" s="1414">
        <v>870.63</v>
      </c>
    </row>
    <row r="912" spans="2:3" x14ac:dyDescent="0.35">
      <c r="B912" s="1413">
        <f t="shared" si="0"/>
        <v>45244</v>
      </c>
      <c r="C912" s="1414">
        <v>868.42</v>
      </c>
    </row>
    <row r="913" spans="2:3" x14ac:dyDescent="0.35">
      <c r="B913" s="1413">
        <f t="shared" si="0"/>
        <v>45245</v>
      </c>
      <c r="C913" s="1414">
        <v>882.35</v>
      </c>
    </row>
    <row r="914" spans="2:3" x14ac:dyDescent="0.35">
      <c r="B914" s="1413">
        <f t="shared" si="0"/>
        <v>45246</v>
      </c>
      <c r="C914" s="1414">
        <v>857.14</v>
      </c>
    </row>
    <row r="915" spans="2:3" x14ac:dyDescent="0.35">
      <c r="B915" s="1413">
        <f t="shared" si="0"/>
        <v>45247</v>
      </c>
      <c r="C915" s="1414">
        <v>872.61</v>
      </c>
    </row>
    <row r="916" spans="2:3" x14ac:dyDescent="0.35">
      <c r="B916" s="1413">
        <f t="shared" si="0"/>
        <v>45248</v>
      </c>
      <c r="C916" s="1414">
        <v>872.61</v>
      </c>
    </row>
    <row r="917" spans="2:3" x14ac:dyDescent="0.35">
      <c r="B917" s="1413">
        <f t="shared" si="0"/>
        <v>45249</v>
      </c>
      <c r="C917" s="1414">
        <v>872.61</v>
      </c>
    </row>
    <row r="918" spans="2:3" x14ac:dyDescent="0.35">
      <c r="B918" s="1413">
        <f t="shared" si="0"/>
        <v>45250</v>
      </c>
      <c r="C918" s="1414">
        <v>872.61</v>
      </c>
    </row>
    <row r="919" spans="2:3" x14ac:dyDescent="0.35">
      <c r="B919" s="1413">
        <f t="shared" si="0"/>
        <v>45251</v>
      </c>
      <c r="C919" s="1414">
        <v>930.44</v>
      </c>
    </row>
    <row r="920" spans="2:3" x14ac:dyDescent="0.35">
      <c r="B920" s="1413">
        <f t="shared" ref="B920:B983" si="1">+B919+1</f>
        <v>45252</v>
      </c>
      <c r="C920" s="1414">
        <v>984.19</v>
      </c>
    </row>
    <row r="921" spans="2:3" x14ac:dyDescent="0.35">
      <c r="B921" s="1413">
        <f t="shared" si="1"/>
        <v>45253</v>
      </c>
      <c r="C921" s="1414">
        <v>1006.39</v>
      </c>
    </row>
    <row r="922" spans="2:3" x14ac:dyDescent="0.35">
      <c r="B922" s="1413">
        <f t="shared" si="1"/>
        <v>45254</v>
      </c>
      <c r="C922" s="1414">
        <v>972.75</v>
      </c>
    </row>
    <row r="923" spans="2:3" x14ac:dyDescent="0.35">
      <c r="B923" s="1413">
        <f t="shared" si="1"/>
        <v>45255</v>
      </c>
      <c r="C923" s="1414">
        <v>972.75</v>
      </c>
    </row>
    <row r="924" spans="2:3" x14ac:dyDescent="0.35">
      <c r="B924" s="1413">
        <f t="shared" si="1"/>
        <v>45256</v>
      </c>
      <c r="C924" s="1414">
        <v>972.75</v>
      </c>
    </row>
    <row r="925" spans="2:3" x14ac:dyDescent="0.35">
      <c r="B925" s="1413">
        <f t="shared" si="1"/>
        <v>45257</v>
      </c>
      <c r="C925" s="1414">
        <v>889.15</v>
      </c>
    </row>
    <row r="926" spans="2:3" x14ac:dyDescent="0.35">
      <c r="B926" s="1413">
        <f t="shared" si="1"/>
        <v>45258</v>
      </c>
      <c r="C926" s="1414">
        <v>867.12</v>
      </c>
    </row>
    <row r="927" spans="2:3" x14ac:dyDescent="0.35">
      <c r="B927" s="1413">
        <f t="shared" si="1"/>
        <v>45259</v>
      </c>
      <c r="C927" s="1414">
        <v>838.16</v>
      </c>
    </row>
    <row r="928" spans="2:3" x14ac:dyDescent="0.35">
      <c r="B928" s="1413">
        <f t="shared" si="1"/>
        <v>45260</v>
      </c>
      <c r="C928" s="1414">
        <v>858.82</v>
      </c>
    </row>
    <row r="929" spans="2:3" x14ac:dyDescent="0.35">
      <c r="B929" s="1413">
        <f t="shared" si="1"/>
        <v>45261</v>
      </c>
      <c r="C929" s="1414">
        <v>907.69</v>
      </c>
    </row>
    <row r="930" spans="2:3" x14ac:dyDescent="0.35">
      <c r="B930" s="1413">
        <f t="shared" si="1"/>
        <v>45262</v>
      </c>
      <c r="C930" s="1414">
        <v>907.69</v>
      </c>
    </row>
    <row r="931" spans="2:3" x14ac:dyDescent="0.35">
      <c r="B931" s="1413">
        <f t="shared" si="1"/>
        <v>45263</v>
      </c>
      <c r="C931" s="1414">
        <v>907.69</v>
      </c>
    </row>
    <row r="932" spans="2:3" x14ac:dyDescent="0.35">
      <c r="B932" s="1413">
        <f t="shared" si="1"/>
        <v>45264</v>
      </c>
      <c r="C932" s="1414">
        <v>913.05</v>
      </c>
    </row>
    <row r="933" spans="2:3" x14ac:dyDescent="0.35">
      <c r="B933" s="1413">
        <f t="shared" si="1"/>
        <v>45265</v>
      </c>
      <c r="C933" s="1414">
        <v>934.71</v>
      </c>
    </row>
    <row r="934" spans="2:3" x14ac:dyDescent="0.35">
      <c r="B934" s="1413">
        <f t="shared" si="1"/>
        <v>45266</v>
      </c>
      <c r="C934" s="1414">
        <v>936.93</v>
      </c>
    </row>
    <row r="935" spans="2:3" x14ac:dyDescent="0.35">
      <c r="B935" s="1413">
        <f t="shared" si="1"/>
        <v>45267</v>
      </c>
      <c r="C935" s="1414">
        <v>986.37</v>
      </c>
    </row>
    <row r="936" spans="2:3" x14ac:dyDescent="0.35">
      <c r="B936" s="1413">
        <f t="shared" si="1"/>
        <v>45268</v>
      </c>
      <c r="C936" s="1414">
        <v>986.37</v>
      </c>
    </row>
    <row r="937" spans="2:3" x14ac:dyDescent="0.35">
      <c r="B937" s="1413">
        <f t="shared" si="1"/>
        <v>45269</v>
      </c>
      <c r="C937" s="1414">
        <v>986.37</v>
      </c>
    </row>
    <row r="938" spans="2:3" x14ac:dyDescent="0.35">
      <c r="B938" s="1413">
        <f t="shared" si="1"/>
        <v>45270</v>
      </c>
      <c r="C938" s="1414">
        <v>986.37</v>
      </c>
    </row>
    <row r="939" spans="2:3" x14ac:dyDescent="0.35">
      <c r="B939" s="1413">
        <f t="shared" si="1"/>
        <v>45271</v>
      </c>
      <c r="C939" s="1414">
        <v>993.53</v>
      </c>
    </row>
    <row r="940" spans="2:3" x14ac:dyDescent="0.35">
      <c r="B940" s="1413">
        <f t="shared" si="1"/>
        <v>45272</v>
      </c>
      <c r="C940" s="1414">
        <v>1011.46</v>
      </c>
    </row>
    <row r="941" spans="2:3" x14ac:dyDescent="0.35">
      <c r="B941" s="1413">
        <f t="shared" si="1"/>
        <v>45273</v>
      </c>
      <c r="C941" s="1414">
        <v>1037.29</v>
      </c>
    </row>
    <row r="942" spans="2:3" x14ac:dyDescent="0.35">
      <c r="B942" s="1413">
        <f t="shared" si="1"/>
        <v>45274</v>
      </c>
      <c r="C942" s="1414">
        <v>1003.94</v>
      </c>
    </row>
    <row r="943" spans="2:3" x14ac:dyDescent="0.35">
      <c r="B943" s="1413">
        <f t="shared" si="1"/>
        <v>45275</v>
      </c>
      <c r="C943" s="1414">
        <v>993.73</v>
      </c>
    </row>
    <row r="944" spans="2:3" x14ac:dyDescent="0.35">
      <c r="B944" s="1413">
        <f t="shared" si="1"/>
        <v>45276</v>
      </c>
      <c r="C944" s="1414">
        <v>993.73</v>
      </c>
    </row>
    <row r="945" spans="2:3" x14ac:dyDescent="0.35">
      <c r="B945" s="1413">
        <f t="shared" si="1"/>
        <v>45277</v>
      </c>
      <c r="C945" s="1414">
        <v>993.73</v>
      </c>
    </row>
    <row r="946" spans="2:3" x14ac:dyDescent="0.35">
      <c r="B946" s="1413">
        <f t="shared" si="1"/>
        <v>45278</v>
      </c>
      <c r="C946" s="1414">
        <v>963.22</v>
      </c>
    </row>
    <row r="947" spans="2:3" x14ac:dyDescent="0.35">
      <c r="B947" s="1413">
        <f t="shared" si="1"/>
        <v>45279</v>
      </c>
      <c r="C947" s="1414">
        <v>964.39</v>
      </c>
    </row>
    <row r="948" spans="2:3" x14ac:dyDescent="0.35">
      <c r="B948" s="1413">
        <f t="shared" si="1"/>
        <v>45280</v>
      </c>
      <c r="C948" s="1414">
        <v>946.47</v>
      </c>
    </row>
    <row r="949" spans="2:3" x14ac:dyDescent="0.35">
      <c r="B949" s="1413">
        <f t="shared" si="1"/>
        <v>45281</v>
      </c>
      <c r="C949" s="1414">
        <v>971.88</v>
      </c>
    </row>
    <row r="950" spans="2:3" x14ac:dyDescent="0.35">
      <c r="B950" s="1413">
        <f t="shared" si="1"/>
        <v>45282</v>
      </c>
      <c r="C950" s="1414">
        <v>954.23</v>
      </c>
    </row>
    <row r="951" spans="2:3" x14ac:dyDescent="0.35">
      <c r="B951" s="1413">
        <f t="shared" si="1"/>
        <v>45283</v>
      </c>
      <c r="C951" s="1414">
        <v>954.23</v>
      </c>
    </row>
    <row r="952" spans="2:3" x14ac:dyDescent="0.35">
      <c r="B952" s="1413">
        <f t="shared" si="1"/>
        <v>45284</v>
      </c>
      <c r="C952" s="1414">
        <v>954.23</v>
      </c>
    </row>
    <row r="953" spans="2:3" x14ac:dyDescent="0.35">
      <c r="B953" s="1413">
        <f t="shared" si="1"/>
        <v>45285</v>
      </c>
      <c r="C953" s="1414">
        <v>954.23</v>
      </c>
    </row>
    <row r="954" spans="2:3" x14ac:dyDescent="0.35">
      <c r="B954" s="1413">
        <f t="shared" si="1"/>
        <v>45286</v>
      </c>
      <c r="C954" s="1414">
        <v>939.7</v>
      </c>
    </row>
    <row r="955" spans="2:3" x14ac:dyDescent="0.35">
      <c r="B955" s="1413">
        <f t="shared" si="1"/>
        <v>45287</v>
      </c>
      <c r="C955" s="1414">
        <v>932.59</v>
      </c>
    </row>
    <row r="956" spans="2:3" x14ac:dyDescent="0.35">
      <c r="B956" s="1413">
        <f t="shared" si="1"/>
        <v>45288</v>
      </c>
      <c r="C956" s="1414">
        <v>950.24</v>
      </c>
    </row>
    <row r="957" spans="2:3" x14ac:dyDescent="0.35">
      <c r="B957" s="1413">
        <f t="shared" si="1"/>
        <v>45289</v>
      </c>
      <c r="C957" s="1414">
        <v>995</v>
      </c>
    </row>
    <row r="958" spans="2:3" x14ac:dyDescent="0.35">
      <c r="B958" s="1413">
        <f t="shared" si="1"/>
        <v>45290</v>
      </c>
      <c r="C958" s="1414">
        <v>995</v>
      </c>
    </row>
    <row r="959" spans="2:3" x14ac:dyDescent="0.35">
      <c r="B959" s="1413">
        <f t="shared" si="1"/>
        <v>45291</v>
      </c>
      <c r="C959" s="1414">
        <v>995</v>
      </c>
    </row>
    <row r="960" spans="2:3" x14ac:dyDescent="0.35">
      <c r="B960" s="1413">
        <f t="shared" si="1"/>
        <v>45292</v>
      </c>
      <c r="C960" s="1414">
        <v>995</v>
      </c>
    </row>
    <row r="961" spans="2:3" x14ac:dyDescent="0.35">
      <c r="B961" s="1413">
        <f t="shared" si="1"/>
        <v>45293</v>
      </c>
      <c r="C961" s="1414">
        <v>991.3</v>
      </c>
    </row>
    <row r="962" spans="2:3" x14ac:dyDescent="0.35">
      <c r="B962" s="1413">
        <f t="shared" si="1"/>
        <v>45294</v>
      </c>
      <c r="C962" s="1414">
        <v>1033.56</v>
      </c>
    </row>
    <row r="963" spans="2:3" x14ac:dyDescent="0.35">
      <c r="B963" s="1413">
        <f t="shared" si="1"/>
        <v>45295</v>
      </c>
      <c r="C963" s="1414">
        <v>1050.43</v>
      </c>
    </row>
    <row r="964" spans="2:3" x14ac:dyDescent="0.35">
      <c r="B964" s="1413">
        <f t="shared" si="1"/>
        <v>45296</v>
      </c>
      <c r="C964" s="1414">
        <v>1104.93</v>
      </c>
    </row>
    <row r="965" spans="2:3" x14ac:dyDescent="0.35">
      <c r="B965" s="1413">
        <f t="shared" si="1"/>
        <v>45297</v>
      </c>
      <c r="C965" s="1414">
        <v>1104.93</v>
      </c>
    </row>
    <row r="966" spans="2:3" x14ac:dyDescent="0.35">
      <c r="B966" s="1413">
        <f t="shared" si="1"/>
        <v>45298</v>
      </c>
      <c r="C966" s="1414">
        <v>1104.93</v>
      </c>
    </row>
    <row r="967" spans="2:3" x14ac:dyDescent="0.35">
      <c r="B967" s="1413">
        <f t="shared" si="1"/>
        <v>45299</v>
      </c>
      <c r="C967" s="1414">
        <v>1141.6199999999999</v>
      </c>
    </row>
    <row r="968" spans="2:3" x14ac:dyDescent="0.35">
      <c r="B968" s="1413">
        <f t="shared" si="1"/>
        <v>45300</v>
      </c>
      <c r="C968" s="1414">
        <v>1160.3800000000001</v>
      </c>
    </row>
    <row r="969" spans="2:3" x14ac:dyDescent="0.35">
      <c r="B969" s="1413">
        <f t="shared" si="1"/>
        <v>45301</v>
      </c>
      <c r="C969" s="1414">
        <v>1142.45</v>
      </c>
    </row>
    <row r="970" spans="2:3" x14ac:dyDescent="0.35">
      <c r="B970" s="1413">
        <f t="shared" si="1"/>
        <v>45302</v>
      </c>
      <c r="C970" s="1414">
        <v>1119.17</v>
      </c>
    </row>
    <row r="971" spans="2:3" x14ac:dyDescent="0.35">
      <c r="B971" s="1413">
        <f t="shared" si="1"/>
        <v>45303</v>
      </c>
      <c r="C971" s="1414">
        <v>1096.3900000000001</v>
      </c>
    </row>
    <row r="972" spans="2:3" x14ac:dyDescent="0.35">
      <c r="B972" s="1413">
        <f t="shared" si="1"/>
        <v>45304</v>
      </c>
      <c r="C972" s="1414">
        <v>1096.3900000000001</v>
      </c>
    </row>
    <row r="973" spans="2:3" x14ac:dyDescent="0.35">
      <c r="B973" s="1413">
        <f t="shared" si="1"/>
        <v>45305</v>
      </c>
      <c r="C973" s="1414">
        <v>1096.3900000000001</v>
      </c>
    </row>
    <row r="974" spans="2:3" x14ac:dyDescent="0.35">
      <c r="B974" s="1413">
        <f t="shared" si="1"/>
        <v>45306</v>
      </c>
      <c r="C974" s="1414">
        <v>1125.3</v>
      </c>
    </row>
    <row r="975" spans="2:3" x14ac:dyDescent="0.35">
      <c r="B975" s="1413">
        <f t="shared" si="1"/>
        <v>45307</v>
      </c>
      <c r="C975" s="1414">
        <v>1163.48</v>
      </c>
    </row>
    <row r="976" spans="2:3" x14ac:dyDescent="0.35">
      <c r="B976" s="1413">
        <f t="shared" si="1"/>
        <v>45308</v>
      </c>
      <c r="C976" s="1414">
        <v>1221.49</v>
      </c>
    </row>
    <row r="977" spans="2:3" x14ac:dyDescent="0.35">
      <c r="B977" s="1413">
        <f t="shared" si="1"/>
        <v>45309</v>
      </c>
      <c r="C977" s="1414">
        <v>1227.54</v>
      </c>
    </row>
    <row r="978" spans="2:3" x14ac:dyDescent="0.35">
      <c r="B978" s="1413">
        <f t="shared" si="1"/>
        <v>45310</v>
      </c>
      <c r="C978" s="1414">
        <v>1251.67</v>
      </c>
    </row>
    <row r="979" spans="2:3" x14ac:dyDescent="0.35">
      <c r="B979" s="1413">
        <f t="shared" si="1"/>
        <v>45311</v>
      </c>
      <c r="C979" s="1414">
        <v>1251.67</v>
      </c>
    </row>
    <row r="980" spans="2:3" x14ac:dyDescent="0.35">
      <c r="B980" s="1413">
        <f t="shared" si="1"/>
        <v>45312</v>
      </c>
      <c r="C980" s="1414">
        <v>1251.67</v>
      </c>
    </row>
    <row r="981" spans="2:3" x14ac:dyDescent="0.35">
      <c r="B981" s="1413">
        <f t="shared" si="1"/>
        <v>45313</v>
      </c>
      <c r="C981" s="1414">
        <v>1241.4100000000001</v>
      </c>
    </row>
    <row r="982" spans="2:3" x14ac:dyDescent="0.35">
      <c r="B982" s="1413">
        <f t="shared" si="1"/>
        <v>45314</v>
      </c>
      <c r="C982" s="1414">
        <v>1233.22</v>
      </c>
    </row>
    <row r="983" spans="2:3" x14ac:dyDescent="0.35">
      <c r="B983" s="1413">
        <f t="shared" si="1"/>
        <v>45315</v>
      </c>
      <c r="C983" s="1414">
        <v>1232.72</v>
      </c>
    </row>
    <row r="984" spans="2:3" x14ac:dyDescent="0.35">
      <c r="B984" s="1413">
        <f t="shared" ref="B984:B1047" si="2">+B983+1</f>
        <v>45316</v>
      </c>
      <c r="C984" s="1414">
        <v>1229.32</v>
      </c>
    </row>
    <row r="985" spans="2:3" x14ac:dyDescent="0.35">
      <c r="B985" s="1413">
        <f t="shared" si="2"/>
        <v>45317</v>
      </c>
      <c r="C985" s="1414">
        <v>1188.48</v>
      </c>
    </row>
    <row r="986" spans="2:3" x14ac:dyDescent="0.35">
      <c r="B986" s="1413">
        <f t="shared" si="2"/>
        <v>45318</v>
      </c>
      <c r="C986" s="1414">
        <v>1188.48</v>
      </c>
    </row>
    <row r="987" spans="2:3" x14ac:dyDescent="0.35">
      <c r="B987" s="1413">
        <f t="shared" si="2"/>
        <v>45319</v>
      </c>
      <c r="C987" s="1414">
        <v>1188.48</v>
      </c>
    </row>
    <row r="988" spans="2:3" x14ac:dyDescent="0.35">
      <c r="B988" s="1413">
        <f t="shared" si="2"/>
        <v>45320</v>
      </c>
      <c r="C988" s="1414">
        <v>1219.8800000000001</v>
      </c>
    </row>
    <row r="989" spans="2:3" x14ac:dyDescent="0.35">
      <c r="B989" s="1413">
        <f t="shared" si="2"/>
        <v>45321</v>
      </c>
      <c r="C989" s="1414">
        <v>1208.21</v>
      </c>
    </row>
    <row r="990" spans="2:3" x14ac:dyDescent="0.35">
      <c r="B990" s="1413">
        <f t="shared" si="2"/>
        <v>45322</v>
      </c>
      <c r="C990" s="1414">
        <v>1175.67</v>
      </c>
    </row>
    <row r="991" spans="2:3" x14ac:dyDescent="0.35">
      <c r="B991" s="1413">
        <f t="shared" si="2"/>
        <v>45323</v>
      </c>
      <c r="C991" s="1414">
        <v>1235.43</v>
      </c>
    </row>
    <row r="992" spans="2:3" x14ac:dyDescent="0.35">
      <c r="B992" s="1413">
        <f t="shared" si="2"/>
        <v>45324</v>
      </c>
      <c r="C992" s="1414">
        <v>1237.43</v>
      </c>
    </row>
    <row r="993" spans="2:3" x14ac:dyDescent="0.35">
      <c r="B993" s="1413">
        <f t="shared" si="2"/>
        <v>45325</v>
      </c>
      <c r="C993" s="1414">
        <v>1237.43</v>
      </c>
    </row>
    <row r="994" spans="2:3" x14ac:dyDescent="0.35">
      <c r="B994" s="1413">
        <f t="shared" si="2"/>
        <v>45326</v>
      </c>
      <c r="C994" s="1414">
        <v>1237.43</v>
      </c>
    </row>
    <row r="995" spans="2:3" x14ac:dyDescent="0.35">
      <c r="B995" s="1413">
        <f t="shared" si="2"/>
        <v>45327</v>
      </c>
      <c r="C995" s="1414">
        <v>1209.52</v>
      </c>
    </row>
    <row r="996" spans="2:3" x14ac:dyDescent="0.35">
      <c r="B996" s="1413">
        <f t="shared" si="2"/>
        <v>45328</v>
      </c>
      <c r="C996" s="1414">
        <v>1194.74</v>
      </c>
    </row>
    <row r="997" spans="2:3" x14ac:dyDescent="0.35">
      <c r="B997" s="1413">
        <f t="shared" si="2"/>
        <v>45329</v>
      </c>
      <c r="C997" s="1414">
        <v>1199.4100000000001</v>
      </c>
    </row>
    <row r="998" spans="2:3" x14ac:dyDescent="0.35">
      <c r="B998" s="1413">
        <f t="shared" si="2"/>
        <v>45330</v>
      </c>
      <c r="C998" s="1414">
        <v>1183.55</v>
      </c>
    </row>
    <row r="999" spans="2:3" x14ac:dyDescent="0.35">
      <c r="B999" s="1413">
        <f t="shared" si="2"/>
        <v>45331</v>
      </c>
      <c r="C999" s="1414">
        <v>1173.3599999999999</v>
      </c>
    </row>
    <row r="1000" spans="2:3" x14ac:dyDescent="0.35">
      <c r="B1000" s="1413">
        <f t="shared" si="2"/>
        <v>45332</v>
      </c>
      <c r="C1000" s="1414">
        <v>1173.3599999999999</v>
      </c>
    </row>
    <row r="1001" spans="2:3" x14ac:dyDescent="0.35">
      <c r="B1001" s="1413">
        <f t="shared" si="2"/>
        <v>45333</v>
      </c>
      <c r="C1001" s="1414">
        <v>1173.3599999999999</v>
      </c>
    </row>
    <row r="1002" spans="2:3" x14ac:dyDescent="0.35">
      <c r="B1002" s="1413">
        <f t="shared" si="2"/>
        <v>45334</v>
      </c>
      <c r="C1002" s="1414">
        <v>1173.3599999999999</v>
      </c>
    </row>
    <row r="1003" spans="2:3" x14ac:dyDescent="0.35">
      <c r="B1003" s="1413">
        <f t="shared" si="2"/>
        <v>45335</v>
      </c>
      <c r="C1003" s="1414">
        <v>1173.3599999999999</v>
      </c>
    </row>
    <row r="1004" spans="2:3" x14ac:dyDescent="0.35">
      <c r="B1004" s="1413">
        <f t="shared" si="2"/>
        <v>45336</v>
      </c>
      <c r="C1004" s="1414">
        <v>1124.1400000000001</v>
      </c>
    </row>
    <row r="1005" spans="2:3" x14ac:dyDescent="0.35">
      <c r="B1005" s="1413">
        <f t="shared" si="2"/>
        <v>45337</v>
      </c>
      <c r="C1005" s="1414">
        <v>1086.8599999999999</v>
      </c>
    </row>
    <row r="1006" spans="2:3" x14ac:dyDescent="0.35">
      <c r="B1006" s="1413">
        <f t="shared" si="2"/>
        <v>45338</v>
      </c>
      <c r="C1006" s="1414">
        <v>1064.71</v>
      </c>
    </row>
    <row r="1007" spans="2:3" x14ac:dyDescent="0.35">
      <c r="B1007" s="1413">
        <f t="shared" si="2"/>
        <v>45339</v>
      </c>
      <c r="C1007" s="1414">
        <v>1064.71</v>
      </c>
    </row>
    <row r="1008" spans="2:3" x14ac:dyDescent="0.35">
      <c r="B1008" s="1413">
        <f t="shared" si="2"/>
        <v>45340</v>
      </c>
      <c r="C1008" s="1414">
        <v>1064.71</v>
      </c>
    </row>
    <row r="1009" spans="2:3" x14ac:dyDescent="0.35">
      <c r="B1009" s="1413">
        <f t="shared" si="2"/>
        <v>45341</v>
      </c>
      <c r="C1009" s="1414">
        <v>1108.6099999999999</v>
      </c>
    </row>
    <row r="1010" spans="2:3" x14ac:dyDescent="0.35">
      <c r="B1010" s="1413">
        <f t="shared" si="2"/>
        <v>45342</v>
      </c>
      <c r="C1010" s="1414">
        <v>1080.31</v>
      </c>
    </row>
    <row r="1011" spans="2:3" x14ac:dyDescent="0.35">
      <c r="B1011" s="1413">
        <f t="shared" si="2"/>
        <v>45343</v>
      </c>
      <c r="C1011" s="1414">
        <v>1072.51</v>
      </c>
    </row>
    <row r="1012" spans="2:3" x14ac:dyDescent="0.35">
      <c r="B1012" s="1413">
        <f t="shared" si="2"/>
        <v>45344</v>
      </c>
      <c r="C1012" s="1414">
        <v>1054.78</v>
      </c>
    </row>
    <row r="1013" spans="2:3" x14ac:dyDescent="0.35">
      <c r="B1013" s="1413">
        <f t="shared" si="2"/>
        <v>45345</v>
      </c>
      <c r="C1013" s="1414">
        <v>1076.5999999999999</v>
      </c>
    </row>
    <row r="1014" spans="2:3" x14ac:dyDescent="0.35">
      <c r="B1014" s="1413">
        <f t="shared" si="2"/>
        <v>45346</v>
      </c>
      <c r="C1014" s="1414">
        <v>1076.5999999999999</v>
      </c>
    </row>
    <row r="1015" spans="2:3" x14ac:dyDescent="0.35">
      <c r="B1015" s="1413">
        <f t="shared" si="2"/>
        <v>45347</v>
      </c>
      <c r="C1015" s="1414">
        <v>1076.5999999999999</v>
      </c>
    </row>
    <row r="1016" spans="2:3" x14ac:dyDescent="0.35">
      <c r="B1016" s="1413">
        <f t="shared" si="2"/>
        <v>45348</v>
      </c>
      <c r="C1016" s="1414">
        <v>1051.04</v>
      </c>
    </row>
    <row r="1017" spans="2:3" x14ac:dyDescent="0.35">
      <c r="B1017" s="1413">
        <f t="shared" si="2"/>
        <v>45349</v>
      </c>
      <c r="C1017" s="1414">
        <v>1044.95</v>
      </c>
    </row>
    <row r="1018" spans="2:3" x14ac:dyDescent="0.35">
      <c r="B1018" s="1413">
        <f t="shared" si="2"/>
        <v>45350</v>
      </c>
      <c r="C1018" s="1414">
        <v>1031.25</v>
      </c>
    </row>
    <row r="1019" spans="2:3" x14ac:dyDescent="0.35">
      <c r="B1019" s="1413">
        <f t="shared" si="2"/>
        <v>45351</v>
      </c>
      <c r="C1019" s="1414">
        <v>1032.24</v>
      </c>
    </row>
    <row r="1020" spans="2:3" x14ac:dyDescent="0.35">
      <c r="B1020" s="1413">
        <f t="shared" si="2"/>
        <v>45352</v>
      </c>
      <c r="C1020" s="1414">
        <v>1053.46</v>
      </c>
    </row>
    <row r="1021" spans="2:3" x14ac:dyDescent="0.35">
      <c r="B1021" s="1413">
        <f t="shared" si="2"/>
        <v>45353</v>
      </c>
      <c r="C1021" s="1414">
        <v>1053.46</v>
      </c>
    </row>
    <row r="1022" spans="2:3" x14ac:dyDescent="0.35">
      <c r="B1022" s="1413">
        <f t="shared" si="2"/>
        <v>45354</v>
      </c>
      <c r="C1022" s="1414">
        <v>1053.46</v>
      </c>
    </row>
    <row r="1023" spans="2:3" x14ac:dyDescent="0.35">
      <c r="B1023" s="1413">
        <f t="shared" si="2"/>
        <v>45355</v>
      </c>
      <c r="C1023" s="1414">
        <v>1029.54</v>
      </c>
    </row>
    <row r="1024" spans="2:3" x14ac:dyDescent="0.35">
      <c r="B1024" s="1413">
        <f t="shared" si="2"/>
        <v>45356</v>
      </c>
      <c r="C1024" s="1414">
        <v>1016.08</v>
      </c>
    </row>
    <row r="1025" spans="2:3" x14ac:dyDescent="0.35">
      <c r="B1025" s="1413">
        <f t="shared" si="2"/>
        <v>45357</v>
      </c>
      <c r="C1025" s="1414">
        <v>981.21</v>
      </c>
    </row>
    <row r="1026" spans="2:3" x14ac:dyDescent="0.35">
      <c r="B1026" s="1413">
        <f t="shared" si="2"/>
        <v>45358</v>
      </c>
      <c r="C1026" s="1414">
        <v>996.63</v>
      </c>
    </row>
    <row r="1027" spans="2:3" x14ac:dyDescent="0.35">
      <c r="B1027" s="1413">
        <f t="shared" si="2"/>
        <v>45359</v>
      </c>
      <c r="C1027" s="1414">
        <v>1004.7</v>
      </c>
    </row>
    <row r="1028" spans="2:3" x14ac:dyDescent="0.35">
      <c r="B1028" s="1413">
        <f t="shared" si="2"/>
        <v>45360</v>
      </c>
      <c r="C1028" s="1414">
        <v>1004.7</v>
      </c>
    </row>
    <row r="1029" spans="2:3" x14ac:dyDescent="0.35">
      <c r="B1029" s="1413">
        <f t="shared" si="2"/>
        <v>45361</v>
      </c>
      <c r="C1029" s="1414">
        <v>1004.7</v>
      </c>
    </row>
    <row r="1030" spans="2:3" x14ac:dyDescent="0.35">
      <c r="B1030" s="1413">
        <f t="shared" si="2"/>
        <v>45362</v>
      </c>
      <c r="C1030" s="1414">
        <v>980.98</v>
      </c>
    </row>
    <row r="1031" spans="2:3" x14ac:dyDescent="0.35">
      <c r="B1031" s="1413">
        <f t="shared" si="2"/>
        <v>45363</v>
      </c>
      <c r="C1031" s="1414">
        <v>1036.19</v>
      </c>
    </row>
    <row r="1032" spans="2:3" x14ac:dyDescent="0.35">
      <c r="B1032" s="1413">
        <f t="shared" si="2"/>
        <v>45364</v>
      </c>
      <c r="C1032" s="1414">
        <v>1012.01</v>
      </c>
    </row>
    <row r="1033" spans="2:3" x14ac:dyDescent="0.35">
      <c r="B1033" s="1413">
        <f t="shared" si="2"/>
        <v>45365</v>
      </c>
      <c r="C1033" s="1414">
        <v>1015.67</v>
      </c>
    </row>
    <row r="1034" spans="2:3" x14ac:dyDescent="0.35">
      <c r="B1034" s="1413">
        <f t="shared" si="2"/>
        <v>45366</v>
      </c>
      <c r="C1034" s="1414">
        <v>1027.6300000000001</v>
      </c>
    </row>
    <row r="1035" spans="2:3" x14ac:dyDescent="0.35">
      <c r="B1035" s="1413">
        <f t="shared" si="2"/>
        <v>45367</v>
      </c>
      <c r="C1035" s="1414">
        <v>1027.6300000000001</v>
      </c>
    </row>
    <row r="1036" spans="2:3" x14ac:dyDescent="0.35">
      <c r="B1036" s="1413">
        <f t="shared" si="2"/>
        <v>45368</v>
      </c>
      <c r="C1036" s="1414">
        <v>1027.6300000000001</v>
      </c>
    </row>
    <row r="1037" spans="2:3" x14ac:dyDescent="0.35">
      <c r="B1037" s="1413">
        <f t="shared" si="2"/>
        <v>45369</v>
      </c>
      <c r="C1037" s="1414">
        <v>1023.89</v>
      </c>
    </row>
    <row r="1038" spans="2:3" x14ac:dyDescent="0.35">
      <c r="B1038" s="1413">
        <f t="shared" si="2"/>
        <v>45370</v>
      </c>
      <c r="C1038" s="1414">
        <v>1032.3599999999999</v>
      </c>
    </row>
    <row r="1039" spans="2:3" x14ac:dyDescent="0.35">
      <c r="B1039" s="1413">
        <f t="shared" si="2"/>
        <v>45371</v>
      </c>
      <c r="C1039" s="1414">
        <v>1042.43</v>
      </c>
    </row>
    <row r="1040" spans="2:3" x14ac:dyDescent="0.35">
      <c r="B1040" s="1413">
        <f t="shared" si="2"/>
        <v>45372</v>
      </c>
      <c r="C1040" s="1414">
        <v>1036.25</v>
      </c>
    </row>
    <row r="1041" spans="2:3" x14ac:dyDescent="0.35">
      <c r="B1041" s="1413">
        <f t="shared" si="2"/>
        <v>45373</v>
      </c>
      <c r="C1041" s="1414">
        <v>1036.1600000000001</v>
      </c>
    </row>
    <row r="1042" spans="2:3" x14ac:dyDescent="0.35">
      <c r="B1042" s="1413">
        <f t="shared" si="2"/>
        <v>45374</v>
      </c>
      <c r="C1042" s="1414">
        <v>1036.1600000000001</v>
      </c>
    </row>
    <row r="1043" spans="2:3" x14ac:dyDescent="0.35">
      <c r="B1043" s="1413">
        <f t="shared" si="2"/>
        <v>45375</v>
      </c>
      <c r="C1043" s="1414">
        <v>1036.1600000000001</v>
      </c>
    </row>
    <row r="1044" spans="2:3" x14ac:dyDescent="0.35">
      <c r="B1044" s="1413">
        <f t="shared" si="2"/>
        <v>45376</v>
      </c>
      <c r="C1044" s="1414">
        <v>1012.94</v>
      </c>
    </row>
    <row r="1045" spans="2:3" x14ac:dyDescent="0.35">
      <c r="B1045" s="1413">
        <f t="shared" si="2"/>
        <v>45377</v>
      </c>
      <c r="C1045" s="1414">
        <v>1027.0899999999999</v>
      </c>
    </row>
    <row r="1046" spans="2:3" x14ac:dyDescent="0.35">
      <c r="B1046" s="1413">
        <f t="shared" si="2"/>
        <v>45378</v>
      </c>
      <c r="C1046" s="1414">
        <v>1016.09</v>
      </c>
    </row>
    <row r="1047" spans="2:3" x14ac:dyDescent="0.35">
      <c r="B1047" s="1413">
        <f t="shared" si="2"/>
        <v>45379</v>
      </c>
      <c r="C1047" s="1414">
        <v>1016.09</v>
      </c>
    </row>
    <row r="1048" spans="2:3" x14ac:dyDescent="0.35">
      <c r="B1048" s="1413">
        <f t="shared" ref="B1048:B1095" si="3">+B1047+1</f>
        <v>45380</v>
      </c>
      <c r="C1048" s="1414">
        <v>1016.09</v>
      </c>
    </row>
    <row r="1049" spans="2:3" x14ac:dyDescent="0.35">
      <c r="B1049" s="1413">
        <f t="shared" si="3"/>
        <v>45381</v>
      </c>
      <c r="C1049" s="1414">
        <v>1016.09</v>
      </c>
    </row>
    <row r="1050" spans="2:3" x14ac:dyDescent="0.35">
      <c r="B1050" s="1413">
        <f t="shared" si="3"/>
        <v>45382</v>
      </c>
      <c r="C1050" s="1414">
        <v>1016.09</v>
      </c>
    </row>
    <row r="1051" spans="2:3" x14ac:dyDescent="0.35">
      <c r="B1051" s="1413">
        <f t="shared" si="3"/>
        <v>45383</v>
      </c>
      <c r="C1051" s="1414">
        <v>1016.09</v>
      </c>
    </row>
    <row r="1052" spans="2:3" x14ac:dyDescent="0.35">
      <c r="B1052" s="1413">
        <f t="shared" si="3"/>
        <v>45384</v>
      </c>
      <c r="C1052" s="1414">
        <v>1016.09</v>
      </c>
    </row>
    <row r="1053" spans="2:3" x14ac:dyDescent="0.35">
      <c r="B1053" s="1413">
        <f t="shared" si="3"/>
        <v>45385</v>
      </c>
      <c r="C1053" s="1414">
        <v>991.25</v>
      </c>
    </row>
    <row r="1054" spans="2:3" x14ac:dyDescent="0.35">
      <c r="B1054" s="1413">
        <f t="shared" si="3"/>
        <v>45386</v>
      </c>
      <c r="C1054" s="1414">
        <v>996.25</v>
      </c>
    </row>
    <row r="1055" spans="2:3" x14ac:dyDescent="0.35">
      <c r="B1055" s="1413">
        <f t="shared" si="3"/>
        <v>45387</v>
      </c>
      <c r="C1055" s="1414">
        <v>1000.88</v>
      </c>
    </row>
    <row r="1056" spans="2:3" x14ac:dyDescent="0.35">
      <c r="B1056" s="1413">
        <f t="shared" si="3"/>
        <v>45388</v>
      </c>
      <c r="C1056" s="1414">
        <v>1000.88</v>
      </c>
    </row>
    <row r="1057" spans="2:3" x14ac:dyDescent="0.35">
      <c r="B1057" s="1413">
        <f t="shared" si="3"/>
        <v>45389</v>
      </c>
      <c r="C1057" s="1414">
        <v>1000.88</v>
      </c>
    </row>
    <row r="1058" spans="2:3" x14ac:dyDescent="0.35">
      <c r="B1058" s="1413">
        <f t="shared" si="3"/>
        <v>45390</v>
      </c>
      <c r="C1058" s="1414">
        <v>985.86</v>
      </c>
    </row>
    <row r="1059" spans="2:3" x14ac:dyDescent="0.35">
      <c r="B1059" s="1413">
        <f t="shared" si="3"/>
        <v>45391</v>
      </c>
      <c r="C1059" s="1414">
        <v>1000.69</v>
      </c>
    </row>
    <row r="1060" spans="2:3" x14ac:dyDescent="0.35">
      <c r="B1060" s="1413">
        <f t="shared" si="3"/>
        <v>45392</v>
      </c>
      <c r="C1060" s="1414">
        <v>998.1</v>
      </c>
    </row>
    <row r="1061" spans="2:3" x14ac:dyDescent="0.35">
      <c r="B1061" s="1413">
        <f t="shared" si="3"/>
        <v>45393</v>
      </c>
      <c r="C1061" s="1414">
        <v>994.86</v>
      </c>
    </row>
    <row r="1062" spans="2:3" x14ac:dyDescent="0.35">
      <c r="B1062" s="1413">
        <f t="shared" si="3"/>
        <v>45394</v>
      </c>
      <c r="C1062" s="1414">
        <v>1005.46</v>
      </c>
    </row>
    <row r="1063" spans="2:3" x14ac:dyDescent="0.35">
      <c r="B1063" s="1413">
        <f t="shared" si="3"/>
        <v>45395</v>
      </c>
      <c r="C1063" s="1414">
        <v>1005.46</v>
      </c>
    </row>
    <row r="1064" spans="2:3" x14ac:dyDescent="0.35">
      <c r="B1064" s="1413">
        <f t="shared" si="3"/>
        <v>45396</v>
      </c>
      <c r="C1064" s="1414">
        <v>1005.46</v>
      </c>
    </row>
    <row r="1065" spans="2:3" x14ac:dyDescent="0.35">
      <c r="B1065" s="1413">
        <f t="shared" si="3"/>
        <v>45397</v>
      </c>
      <c r="C1065" s="1414">
        <v>1021.55</v>
      </c>
    </row>
    <row r="1066" spans="2:3" x14ac:dyDescent="0.35">
      <c r="B1066" s="1413">
        <f t="shared" si="3"/>
        <v>45398</v>
      </c>
      <c r="C1066" s="1414">
        <v>1031.6300000000001</v>
      </c>
    </row>
    <row r="1067" spans="2:3" x14ac:dyDescent="0.35">
      <c r="B1067" s="1413">
        <f t="shared" si="3"/>
        <v>45399</v>
      </c>
      <c r="C1067" s="1414">
        <v>1021.16</v>
      </c>
    </row>
    <row r="1068" spans="2:3" x14ac:dyDescent="0.35">
      <c r="B1068" s="1413">
        <f t="shared" si="3"/>
        <v>45400</v>
      </c>
      <c r="C1068" s="1414">
        <v>1021.92</v>
      </c>
    </row>
    <row r="1069" spans="2:3" x14ac:dyDescent="0.35">
      <c r="B1069" s="1413">
        <f t="shared" si="3"/>
        <v>45401</v>
      </c>
      <c r="C1069" s="1414">
        <v>1026.6500000000001</v>
      </c>
    </row>
    <row r="1070" spans="2:3" x14ac:dyDescent="0.35">
      <c r="B1070" s="1413">
        <f t="shared" si="3"/>
        <v>45402</v>
      </c>
      <c r="C1070" s="1414">
        <v>1026.6500000000001</v>
      </c>
    </row>
    <row r="1071" spans="2:3" x14ac:dyDescent="0.35">
      <c r="B1071" s="1413">
        <f t="shared" si="3"/>
        <v>45403</v>
      </c>
      <c r="C1071" s="1414">
        <v>1026.6500000000001</v>
      </c>
    </row>
    <row r="1072" spans="2:3" x14ac:dyDescent="0.35">
      <c r="B1072" s="1413">
        <f t="shared" si="3"/>
        <v>45404</v>
      </c>
      <c r="C1072" s="1414">
        <v>1014.98</v>
      </c>
    </row>
    <row r="1073" spans="2:3" x14ac:dyDescent="0.35">
      <c r="B1073" s="1413">
        <f t="shared" si="3"/>
        <v>45405</v>
      </c>
      <c r="C1073" s="1414">
        <v>1006.71</v>
      </c>
    </row>
    <row r="1074" spans="2:3" x14ac:dyDescent="0.35">
      <c r="B1074" s="1413">
        <f t="shared" si="3"/>
        <v>45406</v>
      </c>
      <c r="C1074" s="1414">
        <v>1015.54</v>
      </c>
    </row>
    <row r="1075" spans="2:3" x14ac:dyDescent="0.35">
      <c r="B1075" s="1413">
        <f t="shared" si="3"/>
        <v>45407</v>
      </c>
      <c r="C1075" s="1414">
        <v>1034.06</v>
      </c>
    </row>
    <row r="1076" spans="2:3" x14ac:dyDescent="0.35">
      <c r="B1076" s="1413">
        <f t="shared" si="3"/>
        <v>45408</v>
      </c>
      <c r="C1076" s="1414">
        <v>1034.04</v>
      </c>
    </row>
    <row r="1077" spans="2:3" x14ac:dyDescent="0.35">
      <c r="B1077" s="1413">
        <f t="shared" si="3"/>
        <v>45409</v>
      </c>
      <c r="C1077" s="1414">
        <v>1034.04</v>
      </c>
    </row>
    <row r="1078" spans="2:3" x14ac:dyDescent="0.35">
      <c r="B1078" s="1413">
        <f t="shared" si="3"/>
        <v>45410</v>
      </c>
      <c r="C1078" s="1414">
        <v>1034.04</v>
      </c>
    </row>
    <row r="1079" spans="2:3" x14ac:dyDescent="0.35">
      <c r="B1079" s="1413">
        <f t="shared" si="3"/>
        <v>45411</v>
      </c>
      <c r="C1079" s="1414">
        <v>1037.77</v>
      </c>
    </row>
    <row r="1080" spans="2:3" x14ac:dyDescent="0.35">
      <c r="B1080" s="1413">
        <f t="shared" si="3"/>
        <v>45412</v>
      </c>
      <c r="C1080" s="1414">
        <v>1040.8900000000001</v>
      </c>
    </row>
    <row r="1081" spans="2:3" x14ac:dyDescent="0.35">
      <c r="B1081" s="1413">
        <f t="shared" si="3"/>
        <v>45413</v>
      </c>
      <c r="C1081" s="1414">
        <v>1040.8900000000001</v>
      </c>
    </row>
    <row r="1082" spans="2:3" x14ac:dyDescent="0.35">
      <c r="B1082" s="1413">
        <f t="shared" si="3"/>
        <v>45414</v>
      </c>
      <c r="C1082" s="1414">
        <v>1064.56</v>
      </c>
    </row>
    <row r="1083" spans="2:3" x14ac:dyDescent="0.35">
      <c r="B1083" s="1413">
        <f t="shared" si="3"/>
        <v>45415</v>
      </c>
      <c r="C1083" s="1414">
        <v>1072.6400000000001</v>
      </c>
    </row>
    <row r="1084" spans="2:3" x14ac:dyDescent="0.35">
      <c r="B1084" s="1413">
        <f t="shared" si="3"/>
        <v>45416</v>
      </c>
      <c r="C1084" s="1414">
        <v>1072.6400000000001</v>
      </c>
    </row>
    <row r="1085" spans="2:3" x14ac:dyDescent="0.35">
      <c r="B1085" s="1413">
        <f t="shared" si="3"/>
        <v>45417</v>
      </c>
      <c r="C1085" s="1414">
        <v>1072.6400000000001</v>
      </c>
    </row>
    <row r="1086" spans="2:3" x14ac:dyDescent="0.35">
      <c r="B1086" s="1413">
        <f t="shared" si="3"/>
        <v>45418</v>
      </c>
      <c r="C1086" s="1414">
        <v>1064.47</v>
      </c>
    </row>
    <row r="1087" spans="2:3" x14ac:dyDescent="0.35">
      <c r="B1087" s="1413">
        <f t="shared" si="3"/>
        <v>45419</v>
      </c>
      <c r="C1087" s="1414">
        <v>1048.49</v>
      </c>
    </row>
    <row r="1088" spans="2:3" x14ac:dyDescent="0.35">
      <c r="B1088" s="1413">
        <f t="shared" si="3"/>
        <v>45420</v>
      </c>
      <c r="C1088" s="1414">
        <v>1038.77</v>
      </c>
    </row>
    <row r="1089" spans="2:3" x14ac:dyDescent="0.35">
      <c r="B1089" s="1413">
        <f t="shared" si="3"/>
        <v>45421</v>
      </c>
      <c r="C1089" s="1414">
        <v>1046.02</v>
      </c>
    </row>
    <row r="1090" spans="2:3" x14ac:dyDescent="0.35">
      <c r="B1090" s="1413">
        <f t="shared" si="3"/>
        <v>45422</v>
      </c>
      <c r="C1090" s="1414">
        <v>1035.73</v>
      </c>
    </row>
    <row r="1091" spans="2:3" x14ac:dyDescent="0.35">
      <c r="B1091" s="1413">
        <f t="shared" si="3"/>
        <v>45423</v>
      </c>
      <c r="C1091" s="1414">
        <v>1035.73</v>
      </c>
    </row>
    <row r="1092" spans="2:3" x14ac:dyDescent="0.35">
      <c r="B1092" s="1413">
        <f t="shared" si="3"/>
        <v>45424</v>
      </c>
      <c r="C1092" s="1414">
        <v>1035.73</v>
      </c>
    </row>
    <row r="1093" spans="2:3" x14ac:dyDescent="0.35">
      <c r="B1093" s="1413">
        <f t="shared" si="3"/>
        <v>45425</v>
      </c>
      <c r="C1093" s="1414">
        <v>1034.8900000000001</v>
      </c>
    </row>
    <row r="1094" spans="2:3" x14ac:dyDescent="0.35">
      <c r="B1094" s="1413">
        <f t="shared" si="3"/>
        <v>45426</v>
      </c>
      <c r="C1094" s="1414">
        <v>1041.6500000000001</v>
      </c>
    </row>
    <row r="1095" spans="2:3" x14ac:dyDescent="0.35">
      <c r="B1095" s="1413">
        <f t="shared" si="3"/>
        <v>45427</v>
      </c>
      <c r="C1095" s="1414">
        <v>1050.33</v>
      </c>
    </row>
    <row r="1096" spans="2:3" x14ac:dyDescent="0.35">
      <c r="B1096" s="1413">
        <v>45428</v>
      </c>
      <c r="C1096" s="1414">
        <v>1062.25</v>
      </c>
    </row>
    <row r="1097" spans="2:3" x14ac:dyDescent="0.35">
      <c r="B1097" s="1413">
        <v>45429</v>
      </c>
      <c r="C1097" s="1414">
        <v>1071.1199999999999</v>
      </c>
    </row>
    <row r="1098" spans="2:3" x14ac:dyDescent="0.35">
      <c r="B1098" s="1413">
        <v>45430</v>
      </c>
      <c r="C1098" s="1414">
        <v>1071.1199999999999</v>
      </c>
    </row>
    <row r="1099" spans="2:3" x14ac:dyDescent="0.35">
      <c r="B1099" s="1413">
        <v>45431</v>
      </c>
      <c r="C1099" s="1414">
        <v>1071.1199999999999</v>
      </c>
    </row>
    <row r="1100" spans="2:3" x14ac:dyDescent="0.35">
      <c r="B1100" s="1413">
        <v>45432</v>
      </c>
      <c r="C1100" s="1414">
        <v>1106.22</v>
      </c>
    </row>
    <row r="1101" spans="2:3" x14ac:dyDescent="0.35">
      <c r="B1101" s="1413">
        <v>45433</v>
      </c>
      <c r="C1101" s="1414">
        <v>1170.28</v>
      </c>
    </row>
    <row r="1102" spans="2:3" x14ac:dyDescent="0.35">
      <c r="B1102" s="1413">
        <v>45434</v>
      </c>
      <c r="C1102" s="1414">
        <v>1230.5999999999999</v>
      </c>
    </row>
    <row r="1103" spans="2:3" x14ac:dyDescent="0.35">
      <c r="B1103" s="1413">
        <v>45435</v>
      </c>
      <c r="C1103" s="1414">
        <v>1234.4000000000001</v>
      </c>
    </row>
    <row r="1104" spans="2:3" x14ac:dyDescent="0.35">
      <c r="B1104" s="1413">
        <v>45436</v>
      </c>
      <c r="C1104" s="1414">
        <v>1205.73</v>
      </c>
    </row>
    <row r="1105" spans="2:3" x14ac:dyDescent="0.35">
      <c r="B1105" s="1413">
        <v>45437</v>
      </c>
      <c r="C1105" s="1414">
        <v>1205.73</v>
      </c>
    </row>
    <row r="1106" spans="2:3" x14ac:dyDescent="0.35">
      <c r="B1106" s="1413">
        <v>45438</v>
      </c>
      <c r="C1106" s="1414">
        <v>1205.73</v>
      </c>
    </row>
    <row r="1107" spans="2:3" x14ac:dyDescent="0.35">
      <c r="B1107" s="1413">
        <v>45439</v>
      </c>
      <c r="C1107" s="1414">
        <v>1228.18</v>
      </c>
    </row>
    <row r="1108" spans="2:3" x14ac:dyDescent="0.35">
      <c r="B1108" s="1413">
        <v>45440</v>
      </c>
      <c r="C1108" s="1414">
        <v>1200.9000000000001</v>
      </c>
    </row>
    <row r="1109" spans="2:3" x14ac:dyDescent="0.35">
      <c r="B1109" s="1413">
        <v>45441</v>
      </c>
      <c r="C1109" s="1414">
        <v>1177.1400000000001</v>
      </c>
    </row>
    <row r="1110" spans="2:3" x14ac:dyDescent="0.35">
      <c r="B1110" s="1413">
        <v>45442</v>
      </c>
      <c r="C1110" s="1414">
        <v>1182.71</v>
      </c>
    </row>
    <row r="1111" spans="2:3" x14ac:dyDescent="0.35">
      <c r="B1111" s="1413">
        <v>45443</v>
      </c>
      <c r="C1111" s="1414">
        <v>1215.93</v>
      </c>
    </row>
    <row r="1112" spans="2:3" x14ac:dyDescent="0.35">
      <c r="B1112" s="1413">
        <v>45446</v>
      </c>
      <c r="C1112" s="1414">
        <v>1269.9100000000001</v>
      </c>
    </row>
    <row r="1113" spans="2:3" x14ac:dyDescent="0.35">
      <c r="B1113" s="1413">
        <v>45447</v>
      </c>
      <c r="C1113" s="1414">
        <v>1280.8</v>
      </c>
    </row>
    <row r="1114" spans="2:3" x14ac:dyDescent="0.35">
      <c r="B1114" s="1413">
        <v>45448</v>
      </c>
      <c r="C1114" s="1414">
        <v>1283.0899999999999</v>
      </c>
    </row>
    <row r="1115" spans="2:3" x14ac:dyDescent="0.35">
      <c r="B1115" s="1413">
        <v>45449</v>
      </c>
      <c r="C1115" s="1414">
        <v>1272.01</v>
      </c>
    </row>
    <row r="1116" spans="2:3" x14ac:dyDescent="0.35">
      <c r="B1116" s="1413">
        <v>45450</v>
      </c>
      <c r="C1116" s="1414">
        <v>1282.33</v>
      </c>
    </row>
    <row r="1117" spans="2:3" x14ac:dyDescent="0.35">
      <c r="B1117" s="1413">
        <v>45451</v>
      </c>
      <c r="C1117" s="1414">
        <v>1282.33</v>
      </c>
    </row>
    <row r="1118" spans="2:3" x14ac:dyDescent="0.35">
      <c r="B1118" s="1413">
        <v>45452</v>
      </c>
      <c r="C1118" s="1414">
        <v>1282.33</v>
      </c>
    </row>
    <row r="1119" spans="2:3" x14ac:dyDescent="0.35">
      <c r="B1119" s="1413">
        <v>45453</v>
      </c>
      <c r="C1119" s="1414">
        <v>1272.6300000000001</v>
      </c>
    </row>
    <row r="1120" spans="2:3" x14ac:dyDescent="0.35">
      <c r="B1120" s="1413">
        <v>45454</v>
      </c>
      <c r="C1120" s="1414">
        <v>1273.9000000000001</v>
      </c>
    </row>
    <row r="1121" spans="2:3" x14ac:dyDescent="0.35">
      <c r="B1121" s="1413">
        <v>45455</v>
      </c>
      <c r="C1121" s="1414">
        <v>1278.94</v>
      </c>
    </row>
    <row r="1122" spans="2:3" x14ac:dyDescent="0.35">
      <c r="B1122" s="1413">
        <v>45456</v>
      </c>
      <c r="C1122" s="1414">
        <v>1241.0999999999999</v>
      </c>
    </row>
    <row r="1123" spans="2:3" x14ac:dyDescent="0.35">
      <c r="B1123" s="1413">
        <v>45457</v>
      </c>
      <c r="C1123" s="1414">
        <v>1244.6400000000001</v>
      </c>
    </row>
    <row r="1124" spans="2:3" x14ac:dyDescent="0.35">
      <c r="B1124" s="1413">
        <v>45458</v>
      </c>
      <c r="C1124" s="1414">
        <v>1244.6400000000001</v>
      </c>
    </row>
    <row r="1125" spans="2:3" x14ac:dyDescent="0.35">
      <c r="B1125" s="1413">
        <v>45459</v>
      </c>
      <c r="C1125" s="1414">
        <v>1244.6400000000001</v>
      </c>
    </row>
    <row r="1126" spans="2:3" x14ac:dyDescent="0.35">
      <c r="B1126" s="1413">
        <v>45460</v>
      </c>
      <c r="C1126" s="1414">
        <v>1244.6400000000001</v>
      </c>
    </row>
    <row r="1127" spans="2:3" x14ac:dyDescent="0.35">
      <c r="B1127" s="1413">
        <v>45461</v>
      </c>
      <c r="C1127" s="1414">
        <v>1245.49</v>
      </c>
    </row>
    <row r="1128" spans="2:3" x14ac:dyDescent="0.35">
      <c r="B1128" s="1413">
        <v>45462</v>
      </c>
      <c r="C1128" s="1414">
        <v>1273.81</v>
      </c>
    </row>
    <row r="1129" spans="2:3" x14ac:dyDescent="0.35">
      <c r="B1129" s="1413">
        <v>45463</v>
      </c>
      <c r="C1129" s="1414">
        <v>1273.81</v>
      </c>
    </row>
    <row r="1130" spans="2:3" x14ac:dyDescent="0.35">
      <c r="B1130" s="1413">
        <v>45464</v>
      </c>
      <c r="C1130" s="1414">
        <v>1273.81</v>
      </c>
    </row>
    <row r="1131" spans="2:3" x14ac:dyDescent="0.35">
      <c r="B1131" s="1413">
        <v>45465</v>
      </c>
      <c r="C1131" s="1414">
        <v>1273.81</v>
      </c>
    </row>
    <row r="1132" spans="2:3" x14ac:dyDescent="0.35">
      <c r="B1132" s="1413">
        <v>45466</v>
      </c>
      <c r="C1132" s="1414">
        <v>1273.81</v>
      </c>
    </row>
    <row r="1133" spans="2:3" x14ac:dyDescent="0.35">
      <c r="B1133" s="1413">
        <v>45467</v>
      </c>
      <c r="C1133" s="1414">
        <v>1295.22</v>
      </c>
    </row>
    <row r="1134" spans="2:3" x14ac:dyDescent="0.35">
      <c r="B1134" s="1413">
        <v>45468</v>
      </c>
      <c r="C1134" s="1414">
        <v>1308.99</v>
      </c>
    </row>
    <row r="1135" spans="2:3" x14ac:dyDescent="0.35">
      <c r="B1135" s="1413">
        <v>45469</v>
      </c>
      <c r="C1135" s="1414">
        <v>1332.13</v>
      </c>
    </row>
    <row r="1136" spans="2:3" x14ac:dyDescent="0.35">
      <c r="B1136" s="1413">
        <v>45470</v>
      </c>
      <c r="C1136" s="1414">
        <v>1331.96</v>
      </c>
    </row>
    <row r="1137" spans="2:3" x14ac:dyDescent="0.35">
      <c r="B1137" s="1413">
        <v>45471</v>
      </c>
      <c r="C1137" s="1414">
        <v>1347.96</v>
      </c>
    </row>
    <row r="1138" spans="2:3" x14ac:dyDescent="0.35">
      <c r="B1138" s="1413">
        <v>45472</v>
      </c>
      <c r="C1138" s="1414">
        <v>1347.96</v>
      </c>
    </row>
    <row r="1139" spans="2:3" x14ac:dyDescent="0.35">
      <c r="B1139" s="1413">
        <v>45473</v>
      </c>
      <c r="C1139" s="1414">
        <v>1347.96</v>
      </c>
    </row>
    <row r="1140" spans="2:3" x14ac:dyDescent="0.35">
      <c r="B1140" s="1413">
        <v>45474</v>
      </c>
      <c r="C1140" s="1414">
        <v>1413.01</v>
      </c>
    </row>
    <row r="1141" spans="2:3" x14ac:dyDescent="0.35">
      <c r="B1141" s="1413">
        <v>45475</v>
      </c>
      <c r="C1141" s="1414">
        <v>1428.46</v>
      </c>
    </row>
    <row r="1142" spans="2:3" x14ac:dyDescent="0.35">
      <c r="B1142" s="1413">
        <v>45476</v>
      </c>
      <c r="C1142" s="1414">
        <v>1382.5</v>
      </c>
    </row>
    <row r="1143" spans="2:3" x14ac:dyDescent="0.35">
      <c r="B1143" s="1413">
        <v>45477</v>
      </c>
      <c r="C1143" s="1414">
        <v>1395.68</v>
      </c>
    </row>
    <row r="1144" spans="2:3" x14ac:dyDescent="0.35">
      <c r="B1144" s="1413">
        <v>45478</v>
      </c>
      <c r="C1144" s="1414">
        <v>1396.24</v>
      </c>
    </row>
    <row r="1145" spans="2:3" x14ac:dyDescent="0.35">
      <c r="B1145" s="1413">
        <v>45479</v>
      </c>
      <c r="C1145" s="1414">
        <v>1396.24</v>
      </c>
    </row>
    <row r="1146" spans="2:3" x14ac:dyDescent="0.35">
      <c r="B1146" s="1413">
        <v>45480</v>
      </c>
      <c r="C1146" s="1414">
        <v>1396.24</v>
      </c>
    </row>
    <row r="1147" spans="2:3" x14ac:dyDescent="0.35">
      <c r="B1147" s="1413">
        <v>45481</v>
      </c>
      <c r="C1147" s="1414">
        <v>1386.86</v>
      </c>
    </row>
    <row r="1148" spans="2:3" x14ac:dyDescent="0.35">
      <c r="B1148" s="1413">
        <v>45482</v>
      </c>
      <c r="C1148" s="1414">
        <v>1386.86</v>
      </c>
    </row>
    <row r="1149" spans="2:3" x14ac:dyDescent="0.35">
      <c r="B1149" s="1413">
        <v>45483</v>
      </c>
      <c r="C1149" s="1414">
        <v>1377.39</v>
      </c>
    </row>
    <row r="1150" spans="2:3" x14ac:dyDescent="0.35">
      <c r="B1150" s="1413">
        <v>45484</v>
      </c>
      <c r="C1150" s="1414">
        <v>1403.33</v>
      </c>
    </row>
    <row r="1151" spans="2:3" x14ac:dyDescent="0.35">
      <c r="B1151" s="1413">
        <v>45485</v>
      </c>
      <c r="C1151" s="1414">
        <v>1416.22</v>
      </c>
    </row>
    <row r="1152" spans="2:3" x14ac:dyDescent="0.35">
      <c r="B1152" s="1413">
        <v>45486</v>
      </c>
      <c r="C1152" s="1414">
        <v>1416.22</v>
      </c>
    </row>
    <row r="1153" spans="2:3" x14ac:dyDescent="0.35">
      <c r="B1153" s="1413">
        <v>45487</v>
      </c>
      <c r="C1153" s="1414">
        <v>1416.22</v>
      </c>
    </row>
    <row r="1154" spans="2:3" x14ac:dyDescent="0.35">
      <c r="B1154" s="1413">
        <v>45488</v>
      </c>
      <c r="C1154" s="1414">
        <v>1307.54</v>
      </c>
    </row>
    <row r="1155" spans="2:3" x14ac:dyDescent="0.35">
      <c r="B1155" s="1413">
        <v>45489</v>
      </c>
      <c r="C1155" s="1414">
        <v>1278.94</v>
      </c>
    </row>
    <row r="1156" spans="2:3" x14ac:dyDescent="0.35">
      <c r="B1156" s="1413">
        <v>45490</v>
      </c>
      <c r="C1156" s="1414">
        <v>1300</v>
      </c>
    </row>
    <row r="1157" spans="2:3" x14ac:dyDescent="0.35">
      <c r="B1157" s="1413">
        <v>45491</v>
      </c>
      <c r="C1157" s="1414">
        <v>1315.29</v>
      </c>
    </row>
    <row r="1158" spans="2:3" x14ac:dyDescent="0.35">
      <c r="B1158" s="1413">
        <v>45492</v>
      </c>
      <c r="C1158" s="1414">
        <v>1331.7</v>
      </c>
    </row>
    <row r="1159" spans="2:3" x14ac:dyDescent="0.35">
      <c r="B1159" s="1413">
        <v>45493</v>
      </c>
      <c r="C1159" s="1414">
        <v>1331.7</v>
      </c>
    </row>
    <row r="1160" spans="2:3" x14ac:dyDescent="0.35">
      <c r="B1160" s="1413">
        <v>45494</v>
      </c>
      <c r="C1160" s="1414">
        <v>1331.7</v>
      </c>
    </row>
    <row r="1161" spans="2:3" x14ac:dyDescent="0.35">
      <c r="B1161" s="1413">
        <v>45495</v>
      </c>
      <c r="C1161" s="1414">
        <v>1333.37</v>
      </c>
    </row>
    <row r="1162" spans="2:3" x14ac:dyDescent="0.35">
      <c r="B1162" s="1413">
        <v>45496</v>
      </c>
      <c r="C1162" s="1414">
        <v>1324.96</v>
      </c>
    </row>
    <row r="1163" spans="2:3" x14ac:dyDescent="0.35">
      <c r="B1163" s="1413">
        <v>45497</v>
      </c>
      <c r="C1163" s="1414">
        <v>1337.51</v>
      </c>
    </row>
    <row r="1164" spans="2:3" x14ac:dyDescent="0.35">
      <c r="B1164" s="1413">
        <v>45498</v>
      </c>
      <c r="C1164" s="1414">
        <v>1332.77</v>
      </c>
    </row>
    <row r="1165" spans="2:3" x14ac:dyDescent="0.35">
      <c r="B1165" s="1413">
        <v>45499</v>
      </c>
      <c r="C1165" s="1414">
        <v>1323.15</v>
      </c>
    </row>
    <row r="1166" spans="2:3" x14ac:dyDescent="0.35">
      <c r="B1166" s="1413">
        <v>45500</v>
      </c>
      <c r="C1166" s="1414">
        <v>1323.15</v>
      </c>
    </row>
    <row r="1167" spans="2:3" x14ac:dyDescent="0.35">
      <c r="B1167" s="1413">
        <v>45501</v>
      </c>
      <c r="C1167" s="1414">
        <v>1323.15</v>
      </c>
    </row>
    <row r="1168" spans="2:3" x14ac:dyDescent="0.35">
      <c r="B1168" s="1413">
        <v>45502</v>
      </c>
      <c r="C1168" s="1414">
        <v>1296.57</v>
      </c>
    </row>
    <row r="1169" spans="2:3" x14ac:dyDescent="0.35">
      <c r="B1169" s="1413">
        <v>45503</v>
      </c>
      <c r="C1169" s="1414">
        <v>1267.95</v>
      </c>
    </row>
    <row r="1170" spans="2:3" x14ac:dyDescent="0.35">
      <c r="B1170" s="1413">
        <v>45504</v>
      </c>
      <c r="C1170" s="1414">
        <v>1293.33</v>
      </c>
    </row>
    <row r="1171" spans="2:3" x14ac:dyDescent="0.35">
      <c r="B1171" s="1413">
        <v>45505</v>
      </c>
      <c r="C1171" s="1414">
        <v>1300.1400000000001</v>
      </c>
    </row>
    <row r="1172" spans="2:3" x14ac:dyDescent="0.35">
      <c r="B1172" s="1413">
        <v>45506</v>
      </c>
      <c r="C1172" s="1414">
        <v>1334.04</v>
      </c>
    </row>
    <row r="1173" spans="2:3" x14ac:dyDescent="0.35">
      <c r="B1173" s="1413">
        <v>45507</v>
      </c>
      <c r="C1173" s="1414">
        <v>1334.04</v>
      </c>
    </row>
    <row r="1174" spans="2:3" x14ac:dyDescent="0.35">
      <c r="B1174" s="1413">
        <v>45508</v>
      </c>
      <c r="C1174" s="1414">
        <v>1334.04</v>
      </c>
    </row>
    <row r="1175" spans="2:3" x14ac:dyDescent="0.35">
      <c r="B1175" s="1413">
        <v>45509</v>
      </c>
      <c r="C1175" s="1414">
        <v>1346.09</v>
      </c>
    </row>
    <row r="1176" spans="2:3" x14ac:dyDescent="0.35">
      <c r="B1176" s="1413">
        <v>45510</v>
      </c>
      <c r="C1176" s="1414">
        <v>1336.4</v>
      </c>
    </row>
    <row r="1177" spans="2:3" x14ac:dyDescent="0.35">
      <c r="B1177" s="1413">
        <v>45511</v>
      </c>
      <c r="C1177" s="1414">
        <v>1331.95</v>
      </c>
    </row>
    <row r="1178" spans="2:3" x14ac:dyDescent="0.35">
      <c r="B1178" s="1413">
        <v>45512</v>
      </c>
      <c r="C1178" s="1414">
        <v>1310.45</v>
      </c>
    </row>
    <row r="1179" spans="2:3" x14ac:dyDescent="0.35">
      <c r="B1179" s="1413">
        <v>45513</v>
      </c>
      <c r="C1179" s="1414">
        <v>1298.27</v>
      </c>
    </row>
    <row r="1180" spans="2:3" x14ac:dyDescent="0.35">
      <c r="B1180" s="1413">
        <v>45514</v>
      </c>
      <c r="C1180" s="1414">
        <v>1298.28</v>
      </c>
    </row>
    <row r="1181" spans="2:3" x14ac:dyDescent="0.35">
      <c r="B1181" s="1413">
        <v>45515</v>
      </c>
      <c r="C1181" s="1414">
        <v>1298.29</v>
      </c>
    </row>
    <row r="1182" spans="2:3" x14ac:dyDescent="0.35">
      <c r="B1182" s="1413">
        <v>45516</v>
      </c>
      <c r="C1182" s="1414">
        <v>1284.3499999999999</v>
      </c>
    </row>
    <row r="1183" spans="2:3" x14ac:dyDescent="0.35">
      <c r="B1183" s="1413">
        <v>45517</v>
      </c>
      <c r="C1183" s="1414">
        <v>1272.49</v>
      </c>
    </row>
    <row r="1184" spans="2:3" x14ac:dyDescent="0.35">
      <c r="B1184" s="1413">
        <v>45518</v>
      </c>
      <c r="C1184" s="1414">
        <v>1268.81</v>
      </c>
    </row>
    <row r="1185" spans="2:3" x14ac:dyDescent="0.35">
      <c r="B1185" s="1413">
        <v>45519</v>
      </c>
      <c r="C1185" s="1414">
        <v>1276.21</v>
      </c>
    </row>
    <row r="1186" spans="2:3" x14ac:dyDescent="0.35">
      <c r="B1186" s="1413">
        <v>45520</v>
      </c>
      <c r="C1186" s="1414">
        <v>1295.3</v>
      </c>
    </row>
    <row r="1187" spans="2:3" x14ac:dyDescent="0.35">
      <c r="B1187" s="1413">
        <v>45521</v>
      </c>
      <c r="C1187" s="1414">
        <v>1295.3</v>
      </c>
    </row>
    <row r="1188" spans="2:3" x14ac:dyDescent="0.35">
      <c r="B1188" s="1413">
        <v>45522</v>
      </c>
      <c r="C1188" s="1414">
        <v>1295.3</v>
      </c>
    </row>
    <row r="1189" spans="2:3" x14ac:dyDescent="0.35">
      <c r="B1189" s="1413">
        <v>45523</v>
      </c>
      <c r="C1189" s="1414">
        <v>1290.0999999999999</v>
      </c>
    </row>
    <row r="1190" spans="2:3" x14ac:dyDescent="0.35">
      <c r="B1190" s="1413">
        <v>45524</v>
      </c>
      <c r="C1190" s="1414">
        <v>1287.82</v>
      </c>
    </row>
    <row r="1191" spans="2:3" x14ac:dyDescent="0.35">
      <c r="B1191" s="1413">
        <v>45525</v>
      </c>
      <c r="C1191" s="1414">
        <v>1291.75</v>
      </c>
    </row>
    <row r="1192" spans="2:3" x14ac:dyDescent="0.35">
      <c r="B1192" s="1413">
        <v>45526</v>
      </c>
      <c r="C1192" s="1414">
        <v>1283.23</v>
      </c>
    </row>
    <row r="1193" spans="2:3" x14ac:dyDescent="0.35">
      <c r="B1193" s="1413">
        <v>45527</v>
      </c>
      <c r="C1193" s="1414">
        <v>1282.7</v>
      </c>
    </row>
    <row r="1194" spans="2:3" x14ac:dyDescent="0.35">
      <c r="B1194" s="1413">
        <v>45528</v>
      </c>
      <c r="C1194" s="1414">
        <v>1282.7</v>
      </c>
    </row>
    <row r="1195" spans="2:3" x14ac:dyDescent="0.35">
      <c r="B1195" s="1413">
        <v>45529</v>
      </c>
      <c r="C1195" s="1414">
        <v>1282.7</v>
      </c>
    </row>
    <row r="1196" spans="2:3" x14ac:dyDescent="0.35">
      <c r="B1196" s="1413">
        <v>45530</v>
      </c>
      <c r="C1196" s="1414">
        <v>1288.25</v>
      </c>
    </row>
    <row r="1197" spans="2:3" x14ac:dyDescent="0.35">
      <c r="B1197" s="1413">
        <v>45531</v>
      </c>
      <c r="C1197" s="1414">
        <v>1286.19</v>
      </c>
    </row>
    <row r="1198" spans="2:3" x14ac:dyDescent="0.35">
      <c r="B1198" s="1413">
        <v>45532</v>
      </c>
      <c r="C1198" s="1414">
        <v>1282.19</v>
      </c>
    </row>
    <row r="1199" spans="2:3" x14ac:dyDescent="0.35">
      <c r="B1199" s="1413">
        <v>45533</v>
      </c>
      <c r="C1199" s="1414">
        <v>1271.33</v>
      </c>
    </row>
    <row r="1200" spans="2:3" x14ac:dyDescent="0.35">
      <c r="B1200" s="1413">
        <v>45534</v>
      </c>
      <c r="C1200" s="1414">
        <v>1279.96</v>
      </c>
    </row>
    <row r="1201" spans="2:3" x14ac:dyDescent="0.35">
      <c r="B1201" s="1413">
        <v>45535</v>
      </c>
      <c r="C1201" s="1414">
        <v>1279.96</v>
      </c>
    </row>
    <row r="1202" spans="2:3" x14ac:dyDescent="0.35">
      <c r="B1202" s="1413">
        <v>45536</v>
      </c>
      <c r="C1202" s="1414">
        <v>1279.96</v>
      </c>
    </row>
    <row r="1203" spans="2:3" x14ac:dyDescent="0.35">
      <c r="B1203" s="1413">
        <v>45537</v>
      </c>
      <c r="C1203" s="1414">
        <v>1285.01</v>
      </c>
    </row>
    <row r="1204" spans="2:3" x14ac:dyDescent="0.35">
      <c r="B1204" s="1413">
        <v>45538</v>
      </c>
      <c r="C1204" s="1414">
        <v>1294.46</v>
      </c>
    </row>
    <row r="1205" spans="2:3" x14ac:dyDescent="0.35">
      <c r="B1205" s="1413">
        <v>45539</v>
      </c>
      <c r="C1205" s="1414">
        <v>1279.8399999999999</v>
      </c>
    </row>
    <row r="1206" spans="2:3" x14ac:dyDescent="0.35">
      <c r="B1206" s="1413">
        <v>45540</v>
      </c>
      <c r="C1206" s="1414">
        <v>1258.82</v>
      </c>
    </row>
    <row r="1207" spans="2:3" x14ac:dyDescent="0.35">
      <c r="B1207" s="1413">
        <v>45541</v>
      </c>
      <c r="C1207" s="1414">
        <v>1243.8699999999999</v>
      </c>
    </row>
    <row r="1208" spans="2:3" x14ac:dyDescent="0.35">
      <c r="B1208" s="1413">
        <v>45542</v>
      </c>
      <c r="C1208" s="1414">
        <v>1243.8699999999999</v>
      </c>
    </row>
    <row r="1209" spans="2:3" x14ac:dyDescent="0.35">
      <c r="B1209" s="1413">
        <v>45543</v>
      </c>
      <c r="C1209" s="1414">
        <v>1243.8699999999999</v>
      </c>
    </row>
    <row r="1210" spans="2:3" x14ac:dyDescent="0.35">
      <c r="B1210" s="1413">
        <v>45544</v>
      </c>
      <c r="C1210" s="1414">
        <v>1226.42</v>
      </c>
    </row>
    <row r="1211" spans="2:3" x14ac:dyDescent="0.35">
      <c r="B1211" s="1413">
        <v>45545</v>
      </c>
      <c r="C1211" s="1414">
        <v>1230.44</v>
      </c>
    </row>
    <row r="1212" spans="2:3" x14ac:dyDescent="0.35">
      <c r="B1212" s="1413">
        <v>45546</v>
      </c>
      <c r="C1212" s="1414">
        <v>1230.1600000000001</v>
      </c>
    </row>
    <row r="1213" spans="2:3" x14ac:dyDescent="0.35">
      <c r="B1213" s="1413">
        <v>45547</v>
      </c>
      <c r="C1213" s="1414">
        <v>1239.48</v>
      </c>
    </row>
    <row r="1214" spans="2:3" x14ac:dyDescent="0.35">
      <c r="B1214" s="1413">
        <v>45548</v>
      </c>
      <c r="C1214" s="1414">
        <v>1226.53</v>
      </c>
    </row>
    <row r="1215" spans="2:3" x14ac:dyDescent="0.35">
      <c r="B1215" s="1413">
        <v>45549</v>
      </c>
      <c r="C1215" s="1414">
        <v>1226.54</v>
      </c>
    </row>
    <row r="1216" spans="2:3" x14ac:dyDescent="0.35">
      <c r="B1216" s="1413">
        <v>45550</v>
      </c>
      <c r="C1216" s="1414">
        <v>1226.55</v>
      </c>
    </row>
    <row r="1217" spans="2:3" x14ac:dyDescent="0.35">
      <c r="B1217" s="1413">
        <v>45551</v>
      </c>
      <c r="C1217" s="1414">
        <v>1215.72</v>
      </c>
    </row>
    <row r="1218" spans="2:3" x14ac:dyDescent="0.35">
      <c r="B1218" s="1413">
        <v>45552</v>
      </c>
      <c r="C1218" s="1414">
        <v>1214.04</v>
      </c>
    </row>
    <row r="1219" spans="2:3" x14ac:dyDescent="0.35">
      <c r="B1219" s="1413">
        <v>45553</v>
      </c>
      <c r="C1219" s="1414">
        <v>1206.72</v>
      </c>
    </row>
    <row r="1220" spans="2:3" x14ac:dyDescent="0.35">
      <c r="B1220" s="1413">
        <v>45554</v>
      </c>
      <c r="C1220" s="1414">
        <v>1197.74</v>
      </c>
    </row>
    <row r="1221" spans="2:3" x14ac:dyDescent="0.35">
      <c r="B1221" s="1413">
        <v>45555</v>
      </c>
      <c r="C1221" s="1414">
        <v>1200.0999999999999</v>
      </c>
    </row>
    <row r="1222" spans="2:3" x14ac:dyDescent="0.35">
      <c r="B1222" s="1413">
        <v>45556</v>
      </c>
      <c r="C1222" s="1414">
        <v>1200.0999999999999</v>
      </c>
    </row>
    <row r="1223" spans="2:3" x14ac:dyDescent="0.35">
      <c r="B1223" s="1413">
        <v>45557</v>
      </c>
      <c r="C1223" s="1414">
        <v>1200.0999999999999</v>
      </c>
    </row>
    <row r="1224" spans="2:3" x14ac:dyDescent="0.35">
      <c r="B1224" s="1413">
        <v>45558</v>
      </c>
      <c r="C1224" s="1414">
        <v>1204.57</v>
      </c>
    </row>
    <row r="1225" spans="2:3" x14ac:dyDescent="0.35">
      <c r="B1225" s="1413">
        <v>45559</v>
      </c>
      <c r="C1225" s="1414">
        <v>1202.1300000000001</v>
      </c>
    </row>
    <row r="1226" spans="2:3" x14ac:dyDescent="0.35">
      <c r="B1226" s="1413">
        <v>45560</v>
      </c>
      <c r="C1226" s="1414">
        <v>1209.79</v>
      </c>
    </row>
    <row r="1227" spans="2:3" x14ac:dyDescent="0.35">
      <c r="B1227" s="1413">
        <v>45561</v>
      </c>
      <c r="C1227" s="1414">
        <v>1210.95</v>
      </c>
    </row>
    <row r="1228" spans="2:3" x14ac:dyDescent="0.35">
      <c r="B1228" s="1413">
        <v>45562</v>
      </c>
      <c r="C1228" s="1414">
        <v>1207.75</v>
      </c>
    </row>
    <row r="1229" spans="2:3" x14ac:dyDescent="0.35">
      <c r="B1229" s="1413">
        <v>45563</v>
      </c>
      <c r="C1229" s="1414">
        <v>1207.75</v>
      </c>
    </row>
    <row r="1230" spans="2:3" x14ac:dyDescent="0.35">
      <c r="B1230" s="1413">
        <v>45564</v>
      </c>
      <c r="C1230" s="1414">
        <v>1207.75</v>
      </c>
    </row>
    <row r="1231" spans="2:3" x14ac:dyDescent="0.35">
      <c r="B1231" s="1413">
        <v>45565</v>
      </c>
      <c r="C1231" s="1414">
        <v>1215.03</v>
      </c>
    </row>
    <row r="1232" spans="2:3" x14ac:dyDescent="0.35">
      <c r="B1232" s="1413">
        <v>45566</v>
      </c>
      <c r="C1232" s="1414">
        <v>1220.07</v>
      </c>
    </row>
    <row r="1233" spans="2:3" x14ac:dyDescent="0.35">
      <c r="B1233" s="1413">
        <v>45567</v>
      </c>
      <c r="C1233" s="1414">
        <v>1207.51</v>
      </c>
    </row>
    <row r="1234" spans="2:3" x14ac:dyDescent="0.35">
      <c r="B1234" s="1413">
        <v>45568</v>
      </c>
      <c r="C1234" s="1414">
        <v>1191.74</v>
      </c>
    </row>
    <row r="1235" spans="2:3" x14ac:dyDescent="0.35">
      <c r="B1235" s="1413">
        <v>45569</v>
      </c>
      <c r="C1235" s="1414">
        <v>1187.52</v>
      </c>
    </row>
    <row r="1236" spans="2:3" x14ac:dyDescent="0.35">
      <c r="B1236" s="1413">
        <v>45570</v>
      </c>
      <c r="C1236" s="1414">
        <v>1184.07</v>
      </c>
    </row>
    <row r="1237" spans="2:3" x14ac:dyDescent="0.35">
      <c r="B1237" s="1413">
        <v>45571</v>
      </c>
      <c r="C1237" s="1414">
        <v>1184.07</v>
      </c>
    </row>
    <row r="1238" spans="2:3" x14ac:dyDescent="0.35">
      <c r="B1238" s="1413">
        <v>45572</v>
      </c>
      <c r="C1238" s="1414">
        <v>1184.07</v>
      </c>
    </row>
    <row r="1239" spans="2:3" x14ac:dyDescent="0.35">
      <c r="B1239" s="1413">
        <v>45573</v>
      </c>
      <c r="C1239" s="1414">
        <v>1169.54</v>
      </c>
    </row>
    <row r="1240" spans="2:3" x14ac:dyDescent="0.35">
      <c r="B1240" s="1413">
        <v>45574</v>
      </c>
      <c r="C1240" s="1414">
        <v>1147.4000000000001</v>
      </c>
    </row>
    <row r="1241" spans="2:3" x14ac:dyDescent="0.35">
      <c r="B1241" s="1413">
        <v>45575</v>
      </c>
      <c r="C1241" s="1414">
        <v>1134.8399999999999</v>
      </c>
    </row>
    <row r="1242" spans="2:3" x14ac:dyDescent="0.35">
      <c r="B1242" s="1413">
        <v>45576</v>
      </c>
      <c r="C1242" s="1414">
        <v>1134.8399999999999</v>
      </c>
    </row>
    <row r="1243" spans="2:3" x14ac:dyDescent="0.35">
      <c r="B1243" s="1413">
        <v>45577</v>
      </c>
      <c r="C1243" s="1414">
        <v>1134.8399999999999</v>
      </c>
    </row>
    <row r="1244" spans="2:3" x14ac:dyDescent="0.35">
      <c r="B1244" s="1413">
        <v>45578</v>
      </c>
      <c r="C1244" s="1414">
        <v>1134.8399999999999</v>
      </c>
    </row>
    <row r="1245" spans="2:3" x14ac:dyDescent="0.35">
      <c r="B1245" s="1413">
        <v>45579</v>
      </c>
      <c r="C1245" s="1414">
        <v>1143.8800000000001</v>
      </c>
    </row>
    <row r="1246" spans="2:3" x14ac:dyDescent="0.35">
      <c r="B1246" s="1413">
        <v>45580</v>
      </c>
      <c r="C1246" s="1414">
        <v>1139.31</v>
      </c>
    </row>
    <row r="1247" spans="2:3" x14ac:dyDescent="0.35">
      <c r="B1247" s="1413">
        <v>45581</v>
      </c>
      <c r="C1247" s="1414">
        <v>1159.8900000000001</v>
      </c>
    </row>
    <row r="1248" spans="2:3" x14ac:dyDescent="0.35">
      <c r="B1248" s="1413">
        <v>45582</v>
      </c>
      <c r="C1248" s="1414">
        <v>1159.5999999999999</v>
      </c>
    </row>
    <row r="1249" spans="2:3" x14ac:dyDescent="0.35">
      <c r="B1249" s="1413">
        <v>45583</v>
      </c>
      <c r="C1249" s="1414">
        <v>1159.05</v>
      </c>
    </row>
    <row r="1250" spans="2:3" x14ac:dyDescent="0.35">
      <c r="B1250" s="1413">
        <v>45584</v>
      </c>
      <c r="C1250" s="1414">
        <v>1159.05</v>
      </c>
    </row>
    <row r="1251" spans="2:3" x14ac:dyDescent="0.35">
      <c r="B1251" s="1413">
        <v>45585</v>
      </c>
      <c r="C1251" s="1414">
        <v>1159.05</v>
      </c>
    </row>
    <row r="1252" spans="2:3" x14ac:dyDescent="0.35">
      <c r="B1252" s="1413">
        <v>45586</v>
      </c>
      <c r="C1252" s="1414">
        <v>1167.9100000000001</v>
      </c>
    </row>
    <row r="1253" spans="2:3" x14ac:dyDescent="0.35">
      <c r="B1253" s="1413">
        <v>45587</v>
      </c>
      <c r="C1253" s="1414">
        <v>1161.97</v>
      </c>
    </row>
    <row r="1254" spans="2:3" x14ac:dyDescent="0.35">
      <c r="B1254" s="1413">
        <v>45588</v>
      </c>
      <c r="C1254" s="1414">
        <v>1161.99</v>
      </c>
    </row>
    <row r="1255" spans="2:3" x14ac:dyDescent="0.35">
      <c r="B1255" s="1413">
        <v>45589</v>
      </c>
      <c r="C1255" s="1414">
        <v>1160</v>
      </c>
    </row>
    <row r="1256" spans="2:3" x14ac:dyDescent="0.35">
      <c r="B1256" s="1413">
        <v>45590</v>
      </c>
      <c r="C1256" s="1414">
        <v>1141.81</v>
      </c>
    </row>
    <row r="1257" spans="2:3" x14ac:dyDescent="0.35">
      <c r="B1257" s="1413">
        <v>45591</v>
      </c>
      <c r="C1257" s="1414">
        <v>1141.81</v>
      </c>
    </row>
    <row r="1258" spans="2:3" x14ac:dyDescent="0.35">
      <c r="B1258" s="1413">
        <v>45592</v>
      </c>
      <c r="C1258" s="1414">
        <v>1141.81</v>
      </c>
    </row>
    <row r="1259" spans="2:3" x14ac:dyDescent="0.35">
      <c r="B1259" s="1413">
        <v>45593</v>
      </c>
      <c r="C1259" s="1414">
        <v>1134.18</v>
      </c>
    </row>
    <row r="1260" spans="2:3" x14ac:dyDescent="0.35">
      <c r="B1260" s="1413">
        <v>45594</v>
      </c>
      <c r="C1260" s="1414">
        <v>1138.18</v>
      </c>
    </row>
    <row r="1261" spans="2:3" x14ac:dyDescent="0.35">
      <c r="B1261" s="1413">
        <v>45595</v>
      </c>
      <c r="C1261" s="1414">
        <v>1138.32</v>
      </c>
    </row>
    <row r="1262" spans="2:3" x14ac:dyDescent="0.35">
      <c r="B1262" s="1413">
        <v>45596</v>
      </c>
      <c r="C1262" s="1414">
        <v>1131.46</v>
      </c>
    </row>
    <row r="1263" spans="2:3" x14ac:dyDescent="0.35">
      <c r="B1263" s="1413">
        <v>45597</v>
      </c>
      <c r="C1263" s="1414">
        <v>1146.17</v>
      </c>
    </row>
    <row r="1264" spans="2:3" x14ac:dyDescent="0.35">
      <c r="B1264" s="1413">
        <v>45598</v>
      </c>
      <c r="C1264" s="1414">
        <v>1151.54</v>
      </c>
    </row>
    <row r="1265" spans="2:3" x14ac:dyDescent="0.35">
      <c r="B1265" s="1413">
        <v>45599</v>
      </c>
      <c r="C1265" s="1414">
        <v>1153.5</v>
      </c>
    </row>
    <row r="1266" spans="2:3" x14ac:dyDescent="0.35">
      <c r="B1266" s="1413">
        <v>45600</v>
      </c>
      <c r="C1266" s="1414">
        <v>1153.5</v>
      </c>
    </row>
    <row r="1267" spans="2:3" x14ac:dyDescent="0.35">
      <c r="B1267" s="1413">
        <v>45601</v>
      </c>
      <c r="C1267" s="1414">
        <v>1153.5</v>
      </c>
    </row>
    <row r="1268" spans="2:3" x14ac:dyDescent="0.35">
      <c r="B1268" s="1413">
        <v>45602</v>
      </c>
      <c r="C1268" s="1414">
        <v>1145.69</v>
      </c>
    </row>
    <row r="1269" spans="2:3" x14ac:dyDescent="0.35">
      <c r="B1269" s="1413">
        <v>45603</v>
      </c>
      <c r="C1269" s="1414">
        <v>1135.99</v>
      </c>
    </row>
    <row r="1270" spans="2:3" x14ac:dyDescent="0.35">
      <c r="B1270" s="1413">
        <v>45604</v>
      </c>
      <c r="C1270" s="1414">
        <v>1130.2</v>
      </c>
    </row>
    <row r="1271" spans="2:3" x14ac:dyDescent="0.35">
      <c r="B1271" s="1413">
        <v>45605</v>
      </c>
      <c r="C1271" s="1414">
        <v>1130.2</v>
      </c>
    </row>
    <row r="1272" spans="2:3" x14ac:dyDescent="0.35">
      <c r="B1272" s="1413">
        <v>45606</v>
      </c>
      <c r="C1272" s="1414">
        <v>1130.2</v>
      </c>
    </row>
    <row r="1273" spans="2:3" x14ac:dyDescent="0.35">
      <c r="B1273" s="1413">
        <v>45607</v>
      </c>
      <c r="C1273" s="1414">
        <v>1131.23</v>
      </c>
    </row>
    <row r="1274" spans="2:3" x14ac:dyDescent="0.35">
      <c r="B1274" s="1413">
        <v>45608</v>
      </c>
      <c r="C1274" s="1414">
        <v>1124.4000000000001</v>
      </c>
    </row>
    <row r="1275" spans="2:3" x14ac:dyDescent="0.35">
      <c r="B1275" s="1413">
        <v>45609</v>
      </c>
      <c r="C1275" s="1414">
        <v>1121.1099999999999</v>
      </c>
    </row>
    <row r="1276" spans="2:3" x14ac:dyDescent="0.35">
      <c r="B1276" s="1413">
        <v>45610</v>
      </c>
      <c r="C1276" s="1414">
        <v>1105.75</v>
      </c>
    </row>
    <row r="1277" spans="2:3" x14ac:dyDescent="0.35">
      <c r="B1277" s="1413">
        <v>45611</v>
      </c>
      <c r="C1277" s="1414">
        <v>1096.02</v>
      </c>
    </row>
    <row r="1278" spans="2:3" x14ac:dyDescent="0.35">
      <c r="B1278" s="1413">
        <v>45612</v>
      </c>
      <c r="C1278" s="1414">
        <v>1096.02</v>
      </c>
    </row>
    <row r="1279" spans="2:3" x14ac:dyDescent="0.35">
      <c r="B1279" s="1413">
        <v>45613</v>
      </c>
      <c r="C1279" s="1414">
        <v>1096.02</v>
      </c>
    </row>
    <row r="1280" spans="2:3" x14ac:dyDescent="0.35">
      <c r="B1280" s="1413">
        <v>45614</v>
      </c>
      <c r="C1280" s="1414">
        <v>1096.02</v>
      </c>
    </row>
    <row r="1281" spans="2:3" x14ac:dyDescent="0.35">
      <c r="B1281" s="1413">
        <v>45615</v>
      </c>
      <c r="C1281" s="1414">
        <v>1075.1199999999999</v>
      </c>
    </row>
    <row r="1282" spans="2:3" x14ac:dyDescent="0.35">
      <c r="B1282" s="1413">
        <v>45616</v>
      </c>
      <c r="C1282" s="1414">
        <v>1074.8599999999999</v>
      </c>
    </row>
    <row r="1283" spans="2:3" x14ac:dyDescent="0.35">
      <c r="B1283" s="1413">
        <v>45617</v>
      </c>
      <c r="C1283" s="1414">
        <v>1078.95</v>
      </c>
    </row>
    <row r="1284" spans="2:3" x14ac:dyDescent="0.35">
      <c r="B1284" s="1413">
        <v>45618</v>
      </c>
      <c r="C1284" s="1414">
        <v>1080.4000000000001</v>
      </c>
    </row>
    <row r="1285" spans="2:3" x14ac:dyDescent="0.35">
      <c r="B1285" s="1413">
        <v>45619</v>
      </c>
      <c r="C1285" s="1414">
        <v>1080.4000000000001</v>
      </c>
    </row>
    <row r="1286" spans="2:3" x14ac:dyDescent="0.35">
      <c r="B1286" s="1413">
        <v>45620</v>
      </c>
      <c r="C1286" s="1414">
        <v>1080.4000000000001</v>
      </c>
    </row>
    <row r="1287" spans="2:3" x14ac:dyDescent="0.35">
      <c r="B1287" s="1413">
        <v>45621</v>
      </c>
      <c r="C1287" s="1414">
        <v>1077.58</v>
      </c>
    </row>
    <row r="1288" spans="2:3" x14ac:dyDescent="0.35">
      <c r="B1288" s="1413">
        <v>45622</v>
      </c>
      <c r="C1288" s="1414">
        <v>1076.1199999999999</v>
      </c>
    </row>
    <row r="1289" spans="2:3" x14ac:dyDescent="0.35">
      <c r="B1289" s="1413">
        <v>45623</v>
      </c>
      <c r="C1289" s="1414">
        <v>1074.6099999999999</v>
      </c>
    </row>
    <row r="1290" spans="2:3" x14ac:dyDescent="0.35">
      <c r="B1290" s="1413">
        <v>45624</v>
      </c>
      <c r="C1290" s="1414">
        <v>1075.1500000000001</v>
      </c>
    </row>
    <row r="1291" spans="2:3" x14ac:dyDescent="0.35">
      <c r="B1291" s="1413">
        <v>45625</v>
      </c>
      <c r="C1291" s="1414">
        <v>1075.76</v>
      </c>
    </row>
    <row r="1292" spans="2:3" x14ac:dyDescent="0.35">
      <c r="B1292" s="1413">
        <v>45626</v>
      </c>
      <c r="C1292" s="1414">
        <v>1075.76</v>
      </c>
    </row>
    <row r="1293" spans="2:3" x14ac:dyDescent="0.35">
      <c r="B1293" s="1413">
        <v>45627</v>
      </c>
      <c r="C1293" s="1414">
        <v>1075.76</v>
      </c>
    </row>
    <row r="1294" spans="2:3" x14ac:dyDescent="0.35">
      <c r="B1294" s="1413">
        <v>45628</v>
      </c>
      <c r="C1294" s="1414">
        <v>1068.8900000000001</v>
      </c>
    </row>
    <row r="1295" spans="2:3" x14ac:dyDescent="0.35">
      <c r="B1295" s="1413">
        <v>45629</v>
      </c>
      <c r="C1295" s="1414">
        <v>1075.6500000000001</v>
      </c>
    </row>
    <row r="1296" spans="2:3" x14ac:dyDescent="0.35">
      <c r="B1296" s="1413">
        <v>45630</v>
      </c>
      <c r="C1296" s="1414">
        <v>1076.3399999999999</v>
      </c>
    </row>
    <row r="1297" spans="2:3" x14ac:dyDescent="0.35">
      <c r="B1297" s="1413">
        <v>45631</v>
      </c>
      <c r="C1297" s="1414">
        <v>1062.1600000000001</v>
      </c>
    </row>
    <row r="1298" spans="2:3" x14ac:dyDescent="0.35">
      <c r="B1298" s="1413">
        <v>45632</v>
      </c>
      <c r="C1298" s="1414">
        <v>1049.33</v>
      </c>
    </row>
    <row r="1299" spans="2:3" x14ac:dyDescent="0.35">
      <c r="B1299" s="1413">
        <v>45633</v>
      </c>
      <c r="C1299" s="1414">
        <v>1049.33</v>
      </c>
    </row>
    <row r="1300" spans="2:3" x14ac:dyDescent="0.35">
      <c r="B1300" s="1413">
        <v>45634</v>
      </c>
      <c r="C1300" s="1414">
        <v>1049.33</v>
      </c>
    </row>
    <row r="1301" spans="2:3" x14ac:dyDescent="0.35">
      <c r="B1301" s="1413">
        <v>45635</v>
      </c>
      <c r="C1301" s="1414">
        <v>1049.31</v>
      </c>
    </row>
    <row r="1302" spans="2:3" x14ac:dyDescent="0.35">
      <c r="B1302" s="1413">
        <v>45636</v>
      </c>
      <c r="C1302" s="1414">
        <v>1060.52</v>
      </c>
    </row>
    <row r="1303" spans="2:3" x14ac:dyDescent="0.35">
      <c r="B1303" s="1413">
        <v>45637</v>
      </c>
      <c r="C1303" s="1414">
        <v>1057.72</v>
      </c>
    </row>
    <row r="1304" spans="2:3" x14ac:dyDescent="0.35">
      <c r="B1304" s="1413">
        <v>45638</v>
      </c>
      <c r="C1304" s="1414">
        <v>1058.21</v>
      </c>
    </row>
    <row r="1305" spans="2:3" x14ac:dyDescent="0.35">
      <c r="B1305" s="1413">
        <v>45639</v>
      </c>
      <c r="C1305" s="1414">
        <v>1073.08</v>
      </c>
    </row>
    <row r="1306" spans="2:3" x14ac:dyDescent="0.35">
      <c r="B1306" s="1413">
        <v>45640</v>
      </c>
      <c r="C1306" s="1414">
        <v>1073.08</v>
      </c>
    </row>
    <row r="1307" spans="2:3" x14ac:dyDescent="0.35">
      <c r="B1307" s="1413">
        <v>45641</v>
      </c>
      <c r="C1307" s="1414">
        <v>1073.08</v>
      </c>
    </row>
    <row r="1308" spans="2:3" x14ac:dyDescent="0.35">
      <c r="B1308" s="1413">
        <v>45642</v>
      </c>
      <c r="C1308" s="1414">
        <v>1100.27</v>
      </c>
    </row>
    <row r="1309" spans="2:3" x14ac:dyDescent="0.35">
      <c r="B1309" s="1413">
        <v>45643</v>
      </c>
      <c r="C1309" s="1414">
        <v>1145.26</v>
      </c>
    </row>
    <row r="1310" spans="2:3" x14ac:dyDescent="0.35">
      <c r="B1310" s="1413">
        <v>45644</v>
      </c>
      <c r="C1310" s="1414">
        <v>1131.22</v>
      </c>
    </row>
    <row r="1311" spans="2:3" x14ac:dyDescent="0.35">
      <c r="B1311" s="1413">
        <v>45645</v>
      </c>
      <c r="C1311" s="1414">
        <v>1131.19</v>
      </c>
    </row>
    <row r="1312" spans="2:3" x14ac:dyDescent="0.35">
      <c r="B1312" s="1413">
        <v>45646</v>
      </c>
      <c r="C1312" s="1414">
        <v>1142.2</v>
      </c>
    </row>
    <row r="1313" spans="2:3" x14ac:dyDescent="0.35">
      <c r="B1313" s="1413">
        <v>45647</v>
      </c>
      <c r="C1313" s="1414">
        <v>1142.2</v>
      </c>
    </row>
    <row r="1314" spans="2:3" x14ac:dyDescent="0.35">
      <c r="B1314" s="1413">
        <v>45648</v>
      </c>
      <c r="C1314" s="1414">
        <v>1142.2</v>
      </c>
    </row>
    <row r="1315" spans="2:3" x14ac:dyDescent="0.35">
      <c r="B1315" s="1413">
        <v>45649</v>
      </c>
      <c r="C1315" s="1414">
        <v>1162.3</v>
      </c>
    </row>
    <row r="1316" spans="2:3" x14ac:dyDescent="0.35">
      <c r="B1316" s="1413">
        <v>45650</v>
      </c>
      <c r="C1316" s="1414">
        <v>1160.97</v>
      </c>
    </row>
    <row r="1317" spans="2:3" x14ac:dyDescent="0.35">
      <c r="B1317" s="1413">
        <v>45651</v>
      </c>
      <c r="C1317" s="1414">
        <v>1160.97</v>
      </c>
    </row>
    <row r="1318" spans="2:3" x14ac:dyDescent="0.35">
      <c r="B1318" s="1413">
        <v>45652</v>
      </c>
      <c r="C1318" s="1414">
        <v>1170.8900000000001</v>
      </c>
    </row>
    <row r="1319" spans="2:3" x14ac:dyDescent="0.35">
      <c r="B1319" s="1413">
        <v>45653</v>
      </c>
      <c r="C1319" s="1414">
        <v>1170.56</v>
      </c>
    </row>
    <row r="1320" spans="2:3" x14ac:dyDescent="0.35">
      <c r="B1320" s="1413">
        <v>45654</v>
      </c>
      <c r="C1320" s="1414">
        <v>1170.56</v>
      </c>
    </row>
    <row r="1321" spans="2:3" x14ac:dyDescent="0.35">
      <c r="B1321" s="1413">
        <v>45655</v>
      </c>
      <c r="C1321" s="1414">
        <v>1170.56</v>
      </c>
    </row>
    <row r="1322" spans="2:3" x14ac:dyDescent="0.35">
      <c r="B1322" s="1413">
        <v>45656</v>
      </c>
      <c r="C1322" s="1414">
        <v>1170.4100000000001</v>
      </c>
    </row>
    <row r="1323" spans="2:3" x14ac:dyDescent="0.35">
      <c r="B1323" s="1413">
        <v>45657</v>
      </c>
      <c r="C1323" s="1414">
        <v>1170.4100000000001</v>
      </c>
    </row>
    <row r="1324" spans="2:3" x14ac:dyDescent="0.35">
      <c r="B1324" s="1413">
        <v>45658</v>
      </c>
      <c r="C1324" s="1414">
        <v>1170.4100000000001</v>
      </c>
    </row>
    <row r="1325" spans="2:3" x14ac:dyDescent="0.35">
      <c r="B1325" s="1413">
        <v>45659</v>
      </c>
      <c r="C1325" s="1414">
        <v>1162.1199999999999</v>
      </c>
    </row>
    <row r="1326" spans="2:3" x14ac:dyDescent="0.35">
      <c r="B1326" s="1413">
        <v>45660</v>
      </c>
      <c r="C1326" s="1414">
        <v>1165.8800000000001</v>
      </c>
    </row>
    <row r="1327" spans="2:3" x14ac:dyDescent="0.35">
      <c r="B1327" s="1413">
        <v>45661</v>
      </c>
      <c r="C1327" s="1414">
        <v>1165.8800000000001</v>
      </c>
    </row>
    <row r="1328" spans="2:3" x14ac:dyDescent="0.35">
      <c r="B1328" s="1413">
        <v>45662</v>
      </c>
      <c r="C1328" s="1414">
        <v>1165.8800000000001</v>
      </c>
    </row>
    <row r="1329" spans="2:3" x14ac:dyDescent="0.35">
      <c r="B1329" s="1413">
        <v>45663</v>
      </c>
      <c r="C1329" s="1414">
        <v>1165.0899999999999</v>
      </c>
    </row>
    <row r="1330" spans="2:3" x14ac:dyDescent="0.35">
      <c r="B1330" s="1413">
        <v>45664</v>
      </c>
      <c r="C1330" s="1414">
        <v>1164.3699999999999</v>
      </c>
    </row>
    <row r="1331" spans="2:3" x14ac:dyDescent="0.35">
      <c r="B1331" s="1413">
        <v>45665</v>
      </c>
      <c r="C1331" s="1414">
        <v>1164.72</v>
      </c>
    </row>
    <row r="1332" spans="2:3" x14ac:dyDescent="0.35">
      <c r="B1332" s="1413">
        <v>45666</v>
      </c>
      <c r="C1332" s="1414">
        <v>1164.19</v>
      </c>
    </row>
    <row r="1333" spans="2:3" x14ac:dyDescent="0.35">
      <c r="B1333" s="1413">
        <v>45667</v>
      </c>
      <c r="C1333" s="1414">
        <v>1164.01</v>
      </c>
    </row>
    <row r="1334" spans="2:3" x14ac:dyDescent="0.35">
      <c r="B1334" s="1413">
        <v>45668</v>
      </c>
      <c r="C1334" s="1414">
        <v>1164.01</v>
      </c>
    </row>
    <row r="1335" spans="2:3" x14ac:dyDescent="0.35">
      <c r="B1335" s="1413">
        <v>45669</v>
      </c>
      <c r="C1335" s="1414">
        <v>1164.01</v>
      </c>
    </row>
    <row r="1336" spans="2:3" x14ac:dyDescent="0.35">
      <c r="B1336" s="1413">
        <v>45670</v>
      </c>
      <c r="C1336" s="1414">
        <v>1163.21</v>
      </c>
    </row>
    <row r="1337" spans="2:3" x14ac:dyDescent="0.35">
      <c r="B1337" s="1413">
        <v>45671</v>
      </c>
      <c r="C1337" s="1414">
        <v>1162.93</v>
      </c>
    </row>
    <row r="1338" spans="2:3" x14ac:dyDescent="0.35">
      <c r="B1338" s="1413">
        <v>45672</v>
      </c>
      <c r="C1338" s="1414">
        <v>1164.05</v>
      </c>
    </row>
    <row r="1339" spans="2:3" x14ac:dyDescent="0.35">
      <c r="B1339" s="1413">
        <v>45673</v>
      </c>
      <c r="C1339" s="1414">
        <v>1166.03</v>
      </c>
    </row>
    <row r="1340" spans="2:3" x14ac:dyDescent="0.35">
      <c r="B1340" s="1413">
        <v>45674</v>
      </c>
      <c r="C1340" s="1414">
        <v>1165.8399999999999</v>
      </c>
    </row>
    <row r="1341" spans="2:3" x14ac:dyDescent="0.35">
      <c r="B1341" s="1413">
        <v>45675</v>
      </c>
      <c r="C1341" s="1414">
        <v>1165.8399999999999</v>
      </c>
    </row>
    <row r="1342" spans="2:3" x14ac:dyDescent="0.35">
      <c r="B1342" s="1413">
        <v>45676</v>
      </c>
      <c r="C1342" s="1414">
        <v>1165.8399999999999</v>
      </c>
    </row>
    <row r="1343" spans="2:3" x14ac:dyDescent="0.35">
      <c r="B1343" s="1413">
        <v>45677</v>
      </c>
      <c r="C1343" s="1414">
        <v>1165.9000000000001</v>
      </c>
    </row>
    <row r="1344" spans="2:3" x14ac:dyDescent="0.35">
      <c r="B1344" s="1413">
        <v>45678</v>
      </c>
      <c r="C1344" s="1414">
        <v>1167.6099999999999</v>
      </c>
    </row>
    <row r="1345" spans="2:3" x14ac:dyDescent="0.35">
      <c r="B1345" s="1413">
        <v>45679</v>
      </c>
      <c r="C1345" s="1414">
        <v>1172.67</v>
      </c>
    </row>
    <row r="1346" spans="2:3" x14ac:dyDescent="0.35">
      <c r="B1346" s="1413">
        <v>45680</v>
      </c>
      <c r="C1346" s="1414">
        <v>1167.3499999999999</v>
      </c>
    </row>
    <row r="1347" spans="2:3" x14ac:dyDescent="0.35">
      <c r="B1347" s="1413">
        <v>45681</v>
      </c>
      <c r="C1347" s="1414">
        <v>1155.75</v>
      </c>
    </row>
    <row r="1348" spans="2:3" x14ac:dyDescent="0.35">
      <c r="B1348" s="1413">
        <v>45682</v>
      </c>
      <c r="C1348" s="1414">
        <v>1155.75</v>
      </c>
    </row>
    <row r="1349" spans="2:3" x14ac:dyDescent="0.35">
      <c r="B1349" s="1413">
        <v>45683</v>
      </c>
      <c r="C1349" s="1414">
        <v>1155.75</v>
      </c>
    </row>
    <row r="1350" spans="2:3" x14ac:dyDescent="0.35">
      <c r="B1350" s="1413">
        <v>45684</v>
      </c>
      <c r="C1350" s="1414">
        <v>1162.22</v>
      </c>
    </row>
    <row r="1351" spans="2:3" x14ac:dyDescent="0.35">
      <c r="B1351" s="1413">
        <v>45685</v>
      </c>
      <c r="C1351" s="1414">
        <v>1161.3800000000001</v>
      </c>
    </row>
    <row r="1352" spans="2:3" x14ac:dyDescent="0.35">
      <c r="B1352" s="1413">
        <v>45686</v>
      </c>
      <c r="C1352" s="1414">
        <v>1163.3599999999999</v>
      </c>
    </row>
    <row r="1353" spans="2:3" x14ac:dyDescent="0.35">
      <c r="B1353" s="1413">
        <v>45687</v>
      </c>
      <c r="C1353" s="1414">
        <v>1164.8900000000001</v>
      </c>
    </row>
    <row r="1354" spans="2:3" x14ac:dyDescent="0.35">
      <c r="B1354" s="1413">
        <v>45688</v>
      </c>
      <c r="C1354" s="1414">
        <v>1164.79</v>
      </c>
    </row>
    <row r="1355" spans="2:3" x14ac:dyDescent="0.35">
      <c r="B1355" s="1413">
        <v>45689</v>
      </c>
      <c r="C1355" s="1414">
        <v>1164.79</v>
      </c>
    </row>
    <row r="1356" spans="2:3" x14ac:dyDescent="0.35">
      <c r="B1356" s="1413">
        <v>45690</v>
      </c>
      <c r="C1356" s="1414">
        <v>1164.79</v>
      </c>
    </row>
    <row r="1357" spans="2:3" x14ac:dyDescent="0.35">
      <c r="B1357" s="1413">
        <v>45691</v>
      </c>
      <c r="C1357" s="1414">
        <v>1178.82</v>
      </c>
    </row>
    <row r="1358" spans="2:3" x14ac:dyDescent="0.35">
      <c r="B1358" s="1413">
        <v>45692</v>
      </c>
      <c r="C1358" s="1414">
        <v>1188</v>
      </c>
    </row>
    <row r="1359" spans="2:3" x14ac:dyDescent="0.35">
      <c r="B1359" s="1413">
        <v>45693</v>
      </c>
      <c r="C1359" s="1414">
        <v>1191.94</v>
      </c>
    </row>
    <row r="1360" spans="2:3" x14ac:dyDescent="0.35">
      <c r="B1360" s="1413">
        <v>45694</v>
      </c>
      <c r="C1360" s="1414">
        <v>1189.03</v>
      </c>
    </row>
    <row r="1361" spans="2:3" x14ac:dyDescent="0.35">
      <c r="B1361" s="1413">
        <v>45695</v>
      </c>
      <c r="C1361" s="1414">
        <v>1194.47</v>
      </c>
    </row>
    <row r="1362" spans="2:3" x14ac:dyDescent="0.35">
      <c r="B1362" s="1413">
        <v>45696</v>
      </c>
      <c r="C1362" s="1414">
        <v>1194.47</v>
      </c>
    </row>
    <row r="1363" spans="2:3" x14ac:dyDescent="0.35">
      <c r="B1363" s="1413">
        <v>45697</v>
      </c>
      <c r="C1363" s="1414">
        <v>1194.47</v>
      </c>
    </row>
    <row r="1364" spans="2:3" x14ac:dyDescent="0.35">
      <c r="B1364" s="1413">
        <v>45698</v>
      </c>
      <c r="C1364" s="1414">
        <v>1184.07</v>
      </c>
    </row>
    <row r="1365" spans="2:3" x14ac:dyDescent="0.35">
      <c r="B1365" s="1413">
        <v>45699</v>
      </c>
      <c r="C1365" s="1414">
        <v>1180.8499999999999</v>
      </c>
    </row>
    <row r="1366" spans="2:3" x14ac:dyDescent="0.35">
      <c r="B1366" s="1413">
        <v>45700</v>
      </c>
      <c r="C1366" s="1414">
        <v>1186.3499999999999</v>
      </c>
    </row>
    <row r="1367" spans="2:3" x14ac:dyDescent="0.35">
      <c r="B1367" s="1413">
        <v>45701</v>
      </c>
      <c r="C1367" s="1414">
        <v>1187.8900000000001</v>
      </c>
    </row>
    <row r="1368" spans="2:3" x14ac:dyDescent="0.35">
      <c r="B1368" s="1413">
        <v>45702</v>
      </c>
      <c r="C1368" s="1414">
        <v>1183.8800000000001</v>
      </c>
    </row>
    <row r="1369" spans="2:3" x14ac:dyDescent="0.35">
      <c r="B1369" s="1413">
        <v>45703</v>
      </c>
      <c r="C1369" s="1414">
        <v>1183.8800000000001</v>
      </c>
    </row>
    <row r="1370" spans="2:3" x14ac:dyDescent="0.35">
      <c r="B1370" s="1413">
        <v>45704</v>
      </c>
      <c r="C1370" s="1414">
        <v>1183.8800000000001</v>
      </c>
    </row>
    <row r="1371" spans="2:3" x14ac:dyDescent="0.35">
      <c r="B1371" s="1413">
        <v>45705</v>
      </c>
      <c r="C1371" s="1414">
        <v>1210.0899999999999</v>
      </c>
    </row>
    <row r="1372" spans="2:3" x14ac:dyDescent="0.35">
      <c r="B1372" s="1413">
        <v>45706</v>
      </c>
      <c r="C1372" s="1414">
        <v>1203.1600000000001</v>
      </c>
    </row>
    <row r="1373" spans="2:3" x14ac:dyDescent="0.35">
      <c r="B1373" s="1413">
        <v>45707</v>
      </c>
      <c r="C1373" s="1414">
        <v>1201.8599999999999</v>
      </c>
    </row>
    <row r="1374" spans="2:3" x14ac:dyDescent="0.35">
      <c r="B1374" s="1413">
        <v>45708</v>
      </c>
      <c r="C1374" s="1414">
        <v>1206.06</v>
      </c>
    </row>
    <row r="1375" spans="2:3" x14ac:dyDescent="0.35">
      <c r="B1375" s="1413">
        <v>45709</v>
      </c>
      <c r="C1375" s="1414">
        <v>1205.8800000000001</v>
      </c>
    </row>
    <row r="1376" spans="2:3" x14ac:dyDescent="0.35">
      <c r="B1376" s="1413">
        <v>45710</v>
      </c>
      <c r="C1376" s="1414">
        <v>1205.8800000000001</v>
      </c>
    </row>
    <row r="1377" spans="2:3" x14ac:dyDescent="0.35">
      <c r="B1377" s="1413">
        <v>45711</v>
      </c>
      <c r="C1377" s="1414">
        <v>1205.8800000000001</v>
      </c>
    </row>
    <row r="1378" spans="2:3" x14ac:dyDescent="0.35">
      <c r="B1378" s="1413">
        <v>45712</v>
      </c>
      <c r="C1378" s="1414">
        <v>1207.48</v>
      </c>
    </row>
    <row r="1379" spans="2:3" x14ac:dyDescent="0.35">
      <c r="B1379" s="1413">
        <v>45713</v>
      </c>
      <c r="C1379" s="1414">
        <v>1211.96</v>
      </c>
    </row>
    <row r="1380" spans="2:3" x14ac:dyDescent="0.35">
      <c r="B1380" s="1413">
        <v>45714</v>
      </c>
      <c r="C1380" s="1414">
        <v>1211.04</v>
      </c>
    </row>
    <row r="1381" spans="2:3" x14ac:dyDescent="0.35">
      <c r="B1381" s="1413">
        <v>45715</v>
      </c>
      <c r="C1381" s="1414">
        <v>1215.29</v>
      </c>
    </row>
    <row r="1382" spans="2:3" x14ac:dyDescent="0.35">
      <c r="B1382" s="1413">
        <v>45716</v>
      </c>
      <c r="C1382" s="1414">
        <v>1228.48</v>
      </c>
    </row>
    <row r="1383" spans="2:3" x14ac:dyDescent="0.35">
      <c r="B1383" s="1413">
        <v>45717</v>
      </c>
      <c r="C1383" s="1414">
        <v>1228.48</v>
      </c>
    </row>
    <row r="1384" spans="2:3" x14ac:dyDescent="0.35">
      <c r="B1384" s="1413">
        <v>45718</v>
      </c>
      <c r="C1384" s="1414">
        <v>1228.48</v>
      </c>
    </row>
    <row r="1385" spans="2:3" x14ac:dyDescent="0.35">
      <c r="B1385" s="1413">
        <v>45719</v>
      </c>
      <c r="C1385" s="1414">
        <v>1228.48</v>
      </c>
    </row>
    <row r="1386" spans="2:3" x14ac:dyDescent="0.35">
      <c r="B1386" s="1413">
        <v>45720</v>
      </c>
      <c r="C1386" s="1414">
        <v>1228.48</v>
      </c>
    </row>
    <row r="1387" spans="2:3" x14ac:dyDescent="0.35">
      <c r="B1387" s="1413">
        <v>45721</v>
      </c>
      <c r="C1387" s="1414">
        <v>1235.31</v>
      </c>
    </row>
    <row r="1388" spans="2:3" x14ac:dyDescent="0.35">
      <c r="B1388" s="1413">
        <v>45722</v>
      </c>
      <c r="C1388" s="1414">
        <v>1237.8599999999999</v>
      </c>
    </row>
    <row r="1389" spans="2:3" x14ac:dyDescent="0.35">
      <c r="B1389" s="1413">
        <v>45723</v>
      </c>
      <c r="C1389" s="1414">
        <v>1221.93</v>
      </c>
    </row>
    <row r="1390" spans="2:3" x14ac:dyDescent="0.35">
      <c r="B1390" s="1413">
        <v>45724</v>
      </c>
      <c r="C1390" s="1414">
        <v>1221.93</v>
      </c>
    </row>
    <row r="1391" spans="2:3" x14ac:dyDescent="0.35">
      <c r="B1391" s="1413">
        <v>45725</v>
      </c>
      <c r="C1391" s="1414">
        <v>1221.93</v>
      </c>
    </row>
    <row r="1392" spans="2:3" x14ac:dyDescent="0.35">
      <c r="B1392" s="1413">
        <v>45726</v>
      </c>
      <c r="C1392" s="1414">
        <v>1228.92</v>
      </c>
    </row>
    <row r="1393" spans="2:3" x14ac:dyDescent="0.35">
      <c r="B1393" s="1413">
        <v>45727</v>
      </c>
      <c r="C1393" s="1414">
        <v>1230.3800000000001</v>
      </c>
    </row>
    <row r="1394" spans="2:3" x14ac:dyDescent="0.35">
      <c r="B1394" s="1413">
        <v>45728</v>
      </c>
      <c r="C1394" s="1414">
        <v>1229.3399999999999</v>
      </c>
    </row>
    <row r="1395" spans="2:3" x14ac:dyDescent="0.35">
      <c r="B1395" s="1413">
        <v>45729</v>
      </c>
      <c r="C1395" s="1414">
        <v>1233.55</v>
      </c>
    </row>
    <row r="1396" spans="2:3" x14ac:dyDescent="0.35">
      <c r="B1396" s="1413">
        <v>45730</v>
      </c>
      <c r="C1396" s="1414">
        <v>1237.78</v>
      </c>
    </row>
    <row r="1397" spans="2:3" x14ac:dyDescent="0.35">
      <c r="B1397" s="1413">
        <v>45731</v>
      </c>
      <c r="C1397" s="1414">
        <v>1237.78</v>
      </c>
    </row>
    <row r="1398" spans="2:3" x14ac:dyDescent="0.35">
      <c r="B1398" s="1413">
        <v>45732</v>
      </c>
      <c r="C1398" s="1414">
        <v>1237.78</v>
      </c>
    </row>
    <row r="1399" spans="2:3" x14ac:dyDescent="0.35">
      <c r="B1399" s="1413">
        <v>45733</v>
      </c>
      <c r="C1399" s="1414">
        <v>1250.5899999999999</v>
      </c>
    </row>
    <row r="1400" spans="2:3" x14ac:dyDescent="0.35">
      <c r="B1400" s="1413">
        <v>45734</v>
      </c>
      <c r="C1400" s="1414" t="s">
        <v>988</v>
      </c>
    </row>
    <row r="1401" spans="2:3" x14ac:dyDescent="0.35">
      <c r="B1401" s="1413">
        <v>45735</v>
      </c>
      <c r="C1401" s="1414" t="s">
        <v>989</v>
      </c>
    </row>
    <row r="1402" spans="2:3" x14ac:dyDescent="0.35">
      <c r="B1402" s="1413">
        <v>45736</v>
      </c>
      <c r="C1402" s="1414" t="s">
        <v>990</v>
      </c>
    </row>
    <row r="1403" spans="2:3" x14ac:dyDescent="0.35">
      <c r="B1403" s="1413">
        <v>45737</v>
      </c>
      <c r="C1403" s="1414">
        <v>1287.22</v>
      </c>
    </row>
    <row r="1404" spans="2:3" x14ac:dyDescent="0.35">
      <c r="B1404" s="1413">
        <v>45738</v>
      </c>
      <c r="C1404" s="1414">
        <v>1287.22</v>
      </c>
    </row>
    <row r="1405" spans="2:3" x14ac:dyDescent="0.35">
      <c r="B1405" s="1413">
        <v>45739</v>
      </c>
      <c r="C1405" s="1414">
        <v>1287.22</v>
      </c>
    </row>
    <row r="1406" spans="2:3" x14ac:dyDescent="0.35">
      <c r="B1406" s="1413">
        <v>45740</v>
      </c>
      <c r="C1406" s="1414">
        <v>1287.22</v>
      </c>
    </row>
    <row r="1407" spans="2:3" x14ac:dyDescent="0.35">
      <c r="B1407" s="1413">
        <v>45741</v>
      </c>
      <c r="C1407" s="1414">
        <v>1294.3</v>
      </c>
    </row>
    <row r="1408" spans="2:3" x14ac:dyDescent="0.35">
      <c r="B1408" s="1413">
        <v>45742</v>
      </c>
      <c r="C1408" s="1414">
        <v>1295.6300000000001</v>
      </c>
    </row>
    <row r="1409" spans="2:3" x14ac:dyDescent="0.35">
      <c r="B1409" s="1413">
        <v>45743</v>
      </c>
      <c r="C1409" s="1414">
        <v>1292.29</v>
      </c>
    </row>
    <row r="1410" spans="2:3" x14ac:dyDescent="0.35">
      <c r="B1410" s="1413">
        <v>45744</v>
      </c>
      <c r="C1410" s="1414">
        <v>1302.44</v>
      </c>
    </row>
    <row r="1411" spans="2:3" x14ac:dyDescent="0.35">
      <c r="B1411" s="1413">
        <v>45745</v>
      </c>
      <c r="C1411" s="1414">
        <v>1302.44</v>
      </c>
    </row>
    <row r="1412" spans="2:3" x14ac:dyDescent="0.35">
      <c r="B1412" s="1413">
        <v>45746</v>
      </c>
      <c r="C1412" s="1414">
        <v>1302.44</v>
      </c>
    </row>
    <row r="1413" spans="2:3" x14ac:dyDescent="0.35">
      <c r="B1413" s="1413">
        <v>45747</v>
      </c>
      <c r="C1413" s="1414">
        <v>1313.97</v>
      </c>
    </row>
    <row r="1414" spans="2:3" x14ac:dyDescent="0.35">
      <c r="B1414" s="1413">
        <v>45748</v>
      </c>
      <c r="C1414" s="1414">
        <v>1314.47</v>
      </c>
    </row>
    <row r="1415" spans="2:3" x14ac:dyDescent="0.35">
      <c r="B1415" s="1413">
        <v>45749</v>
      </c>
      <c r="C1415" s="1414">
        <v>1314.47</v>
      </c>
    </row>
    <row r="1416" spans="2:3" x14ac:dyDescent="0.35">
      <c r="B1416" s="1413">
        <v>45750</v>
      </c>
      <c r="C1416" s="1414">
        <v>1319.42</v>
      </c>
    </row>
    <row r="1417" spans="2:3" x14ac:dyDescent="0.35">
      <c r="B1417" s="1413">
        <v>45751</v>
      </c>
      <c r="C1417" s="1414">
        <v>1340.44</v>
      </c>
    </row>
    <row r="1418" spans="2:3" x14ac:dyDescent="0.35">
      <c r="B1418" s="1413">
        <v>45752</v>
      </c>
      <c r="C1418" s="1414">
        <v>1340.44</v>
      </c>
    </row>
    <row r="1419" spans="2:3" x14ac:dyDescent="0.35">
      <c r="B1419" s="1413">
        <v>45753</v>
      </c>
      <c r="C1419" s="1414">
        <v>1340.44</v>
      </c>
    </row>
    <row r="1420" spans="2:3" x14ac:dyDescent="0.35">
      <c r="B1420" s="1413">
        <v>45754</v>
      </c>
      <c r="C1420" s="1414">
        <v>1370.35</v>
      </c>
    </row>
    <row r="1421" spans="2:3" x14ac:dyDescent="0.35">
      <c r="B1421" s="1413">
        <v>45755</v>
      </c>
      <c r="C1421" s="1414">
        <v>1376.58</v>
      </c>
    </row>
    <row r="1422" spans="2:3" x14ac:dyDescent="0.35">
      <c r="B1422" s="1413">
        <v>45756</v>
      </c>
      <c r="C1422" s="1414">
        <v>1341.72</v>
      </c>
    </row>
    <row r="1423" spans="2:3" x14ac:dyDescent="0.35">
      <c r="B1423" s="1413">
        <v>45757</v>
      </c>
      <c r="C1423" s="1414">
        <v>1364.01</v>
      </c>
    </row>
    <row r="1424" spans="2:3" x14ac:dyDescent="0.35">
      <c r="B1424" s="1413">
        <v>45758</v>
      </c>
      <c r="C1424" s="1414">
        <v>1333.33</v>
      </c>
    </row>
    <row r="1425" spans="2:3" x14ac:dyDescent="0.35">
      <c r="B1425" s="1413">
        <v>45759</v>
      </c>
      <c r="C1425" s="1414">
        <v>1333.33</v>
      </c>
    </row>
    <row r="1426" spans="2:3" x14ac:dyDescent="0.35">
      <c r="B1426" s="1413">
        <v>45760</v>
      </c>
      <c r="C1426" s="1414">
        <v>1333.33</v>
      </c>
    </row>
    <row r="1427" spans="2:3" x14ac:dyDescent="0.35">
      <c r="B1427" s="1413">
        <v>45761</v>
      </c>
      <c r="C1427" s="1414">
        <v>1253.4000000000001</v>
      </c>
    </row>
    <row r="1428" spans="2:3" x14ac:dyDescent="0.35">
      <c r="B1428" s="1413">
        <v>45762</v>
      </c>
      <c r="C1428" s="1414">
        <v>1237.9000000000001</v>
      </c>
    </row>
    <row r="1429" spans="2:3" x14ac:dyDescent="0.35">
      <c r="B1429" s="1413">
        <v>45763</v>
      </c>
      <c r="C1429" s="1414">
        <v>1165.93</v>
      </c>
    </row>
    <row r="1430" spans="2:3" x14ac:dyDescent="0.35">
      <c r="B1430" s="1413">
        <v>45764</v>
      </c>
      <c r="C1430" s="1414">
        <v>1165.93</v>
      </c>
    </row>
    <row r="1431" spans="2:3" x14ac:dyDescent="0.35">
      <c r="B1431" s="1413">
        <v>45765</v>
      </c>
      <c r="C1431" s="1414">
        <v>1165.93</v>
      </c>
    </row>
    <row r="1432" spans="2:3" x14ac:dyDescent="0.35">
      <c r="B1432" s="1413">
        <v>45766</v>
      </c>
      <c r="C1432" s="1414">
        <v>1165.93</v>
      </c>
    </row>
    <row r="1433" spans="2:3" x14ac:dyDescent="0.35">
      <c r="B1433" s="1413">
        <v>45767</v>
      </c>
      <c r="C1433" s="1414">
        <v>1165.93</v>
      </c>
    </row>
    <row r="1434" spans="2:3" x14ac:dyDescent="0.35">
      <c r="B1434" s="1413">
        <v>45768</v>
      </c>
      <c r="C1434" s="1414">
        <v>1122.08</v>
      </c>
    </row>
    <row r="1435" spans="2:3" x14ac:dyDescent="0.35">
      <c r="B1435" s="1413">
        <v>45769</v>
      </c>
      <c r="C1435" s="1414">
        <v>1140.3800000000001</v>
      </c>
    </row>
    <row r="1436" spans="2:3" x14ac:dyDescent="0.35">
      <c r="B1436" s="1413">
        <v>45770</v>
      </c>
      <c r="C1436" s="1414">
        <v>1168</v>
      </c>
    </row>
    <row r="1437" spans="2:3" x14ac:dyDescent="0.35">
      <c r="B1437" s="1413">
        <v>45771</v>
      </c>
      <c r="C1437" s="1414">
        <v>1186.53</v>
      </c>
    </row>
    <row r="1438" spans="2:3" x14ac:dyDescent="0.35">
      <c r="B1438" s="1413">
        <v>45772</v>
      </c>
      <c r="C1438" s="1414">
        <v>1184.24</v>
      </c>
    </row>
    <row r="1439" spans="2:3" x14ac:dyDescent="0.35">
      <c r="B1439" s="1413">
        <v>45773</v>
      </c>
      <c r="C1439" s="1414">
        <v>1184.24</v>
      </c>
    </row>
    <row r="1440" spans="2:3" x14ac:dyDescent="0.35">
      <c r="B1440" s="1413">
        <v>45774</v>
      </c>
      <c r="C1440" s="1414">
        <v>1184.24</v>
      </c>
    </row>
    <row r="1441" spans="2:3" x14ac:dyDescent="0.35">
      <c r="B1441" s="1413">
        <v>45775</v>
      </c>
      <c r="C1441" s="1414">
        <v>1176.55</v>
      </c>
    </row>
    <row r="1442" spans="2:3" x14ac:dyDescent="0.35">
      <c r="B1442" s="1413">
        <v>45776</v>
      </c>
      <c r="C1442" s="1414">
        <v>1173.1500000000001</v>
      </c>
    </row>
    <row r="1443" spans="2:3" x14ac:dyDescent="0.35">
      <c r="B1443" s="1413">
        <v>45777</v>
      </c>
      <c r="C1443" s="1414">
        <v>1183.3699999999999</v>
      </c>
    </row>
    <row r="1444" spans="2:3" x14ac:dyDescent="0.35">
      <c r="B1444" s="1413">
        <v>45778</v>
      </c>
      <c r="C1444" s="1414">
        <v>1183.3699999999999</v>
      </c>
    </row>
    <row r="1445" spans="2:3" x14ac:dyDescent="0.35">
      <c r="B1445" s="1413">
        <v>45779</v>
      </c>
      <c r="C1445" s="1414">
        <v>1183.3699999999999</v>
      </c>
    </row>
    <row r="1446" spans="2:3" x14ac:dyDescent="0.35">
      <c r="B1446" s="1413">
        <v>45780</v>
      </c>
      <c r="C1446" s="1414">
        <v>1183.3699999999999</v>
      </c>
    </row>
    <row r="1447" spans="2:3" x14ac:dyDescent="0.35">
      <c r="B1447" s="1413">
        <v>45781</v>
      </c>
      <c r="C1447" s="1414">
        <v>1183.3699999999999</v>
      </c>
    </row>
    <row r="1448" spans="2:3" x14ac:dyDescent="0.35">
      <c r="B1448" s="1413">
        <v>45782</v>
      </c>
      <c r="C1448" s="1414">
        <v>1202.92</v>
      </c>
    </row>
    <row r="1449" spans="2:3" x14ac:dyDescent="0.35">
      <c r="B1449" s="1413">
        <v>45783</v>
      </c>
      <c r="C1449" s="1414">
        <v>1199.6099999999999</v>
      </c>
    </row>
    <row r="1450" spans="2:3" x14ac:dyDescent="0.35">
      <c r="B1450" s="1413">
        <v>45784</v>
      </c>
      <c r="C1450" s="1414">
        <v>1156.07</v>
      </c>
    </row>
    <row r="1451" spans="2:3" x14ac:dyDescent="0.35">
      <c r="B1451" s="1413">
        <v>45785</v>
      </c>
      <c r="C1451" s="1414">
        <v>1143.32</v>
      </c>
    </row>
    <row r="1452" spans="2:3" x14ac:dyDescent="0.35">
      <c r="B1452" s="1413">
        <v>45786</v>
      </c>
      <c r="C1452" s="1414">
        <v>1144.1099999999999</v>
      </c>
    </row>
    <row r="1453" spans="2:3" x14ac:dyDescent="0.35">
      <c r="B1453" s="1413">
        <v>45787</v>
      </c>
      <c r="C1453" s="1414">
        <v>1144.1099999999999</v>
      </c>
    </row>
    <row r="1454" spans="2:3" x14ac:dyDescent="0.35">
      <c r="B1454" s="1413">
        <v>45788</v>
      </c>
      <c r="C1454" s="1414">
        <v>1144.1099999999999</v>
      </c>
    </row>
    <row r="1455" spans="2:3" x14ac:dyDescent="0.35">
      <c r="B1455" s="1413">
        <v>45789</v>
      </c>
      <c r="C1455" s="1414">
        <v>1141.2</v>
      </c>
    </row>
    <row r="1456" spans="2:3" x14ac:dyDescent="0.35">
      <c r="B1456" s="1413">
        <v>45790</v>
      </c>
      <c r="C1456" s="1414">
        <v>1140.92</v>
      </c>
    </row>
    <row r="1457" spans="2:3" x14ac:dyDescent="0.35">
      <c r="B1457" s="1413">
        <v>45791</v>
      </c>
      <c r="C1457" s="1414">
        <v>1140.92</v>
      </c>
    </row>
    <row r="1458" spans="2:3" x14ac:dyDescent="0.35">
      <c r="B1458" s="1413">
        <v>45792</v>
      </c>
      <c r="C1458" s="1414">
        <v>1140.92</v>
      </c>
    </row>
    <row r="1459" spans="2:3" x14ac:dyDescent="0.35">
      <c r="B1459" s="1413">
        <v>45793</v>
      </c>
      <c r="C1459" s="1414">
        <v>1155.1199999999999</v>
      </c>
    </row>
    <row r="1460" spans="2:3" x14ac:dyDescent="0.35">
      <c r="B1460" s="1413">
        <v>45794</v>
      </c>
      <c r="C1460" s="1414">
        <v>1155.1199999999999</v>
      </c>
    </row>
    <row r="1461" spans="2:3" x14ac:dyDescent="0.35">
      <c r="B1461" s="1413">
        <v>45795</v>
      </c>
      <c r="C1461" s="1414">
        <v>1155.1199999999999</v>
      </c>
    </row>
    <row r="1462" spans="2:3" x14ac:dyDescent="0.35">
      <c r="B1462" s="1413">
        <v>45796</v>
      </c>
      <c r="C1462" s="1414">
        <v>1148.77</v>
      </c>
    </row>
    <row r="1463" spans="2:3" x14ac:dyDescent="0.35">
      <c r="B1463" s="1413">
        <v>45797</v>
      </c>
      <c r="C1463" s="1414">
        <v>1153.33</v>
      </c>
    </row>
    <row r="1464" spans="2:3" x14ac:dyDescent="0.35">
      <c r="B1464" s="1413">
        <v>45798</v>
      </c>
      <c r="C1464" s="1414">
        <v>1148.8</v>
      </c>
    </row>
    <row r="1465" spans="2:3" x14ac:dyDescent="0.35">
      <c r="B1465" s="1413">
        <v>45799</v>
      </c>
      <c r="C1465" s="1414">
        <v>1143.49</v>
      </c>
    </row>
    <row r="1466" spans="2:3" x14ac:dyDescent="0.35">
      <c r="B1466" s="1413">
        <v>45800</v>
      </c>
      <c r="C1466" s="1414">
        <v>1143.32</v>
      </c>
    </row>
    <row r="1467" spans="2:3" x14ac:dyDescent="0.35">
      <c r="B1467" s="1413">
        <v>45801</v>
      </c>
      <c r="C1467" s="1414">
        <v>1143.32</v>
      </c>
    </row>
    <row r="1468" spans="2:3" x14ac:dyDescent="0.35">
      <c r="B1468" s="1413">
        <v>45802</v>
      </c>
      <c r="C1468" s="1414">
        <v>1143.32</v>
      </c>
    </row>
    <row r="1469" spans="2:3" x14ac:dyDescent="0.35">
      <c r="B1469" s="1413">
        <v>45803</v>
      </c>
      <c r="C1469" s="1414">
        <v>1145.42</v>
      </c>
    </row>
    <row r="1470" spans="2:3" x14ac:dyDescent="0.35">
      <c r="B1470" s="1413">
        <v>45804</v>
      </c>
      <c r="C1470" s="1414">
        <v>1161.3</v>
      </c>
    </row>
    <row r="1471" spans="2:3" x14ac:dyDescent="0.35">
      <c r="B1471" s="1413">
        <v>45805</v>
      </c>
      <c r="C1471" s="1414">
        <v>1164.8</v>
      </c>
    </row>
    <row r="1472" spans="2:3" x14ac:dyDescent="0.35">
      <c r="B1472" s="1413">
        <v>45806</v>
      </c>
      <c r="C1472" s="1414">
        <v>1181.9000000000001</v>
      </c>
    </row>
    <row r="1473" spans="2:3" x14ac:dyDescent="0.35">
      <c r="B1473" s="1413">
        <v>45807</v>
      </c>
      <c r="C1473" s="1414">
        <v>1191.72</v>
      </c>
    </row>
    <row r="1474" spans="2:3" x14ac:dyDescent="0.35">
      <c r="B1474" s="1413">
        <v>45808</v>
      </c>
      <c r="C1474" s="1414">
        <v>1191.72</v>
      </c>
    </row>
    <row r="1475" spans="2:3" x14ac:dyDescent="0.35">
      <c r="B1475" s="1413">
        <v>45809</v>
      </c>
      <c r="C1475" s="1414">
        <v>1191.72</v>
      </c>
    </row>
    <row r="1476" spans="2:3" x14ac:dyDescent="0.35">
      <c r="B1476" s="1413">
        <v>45810</v>
      </c>
      <c r="C1476" s="1414">
        <v>1183.78</v>
      </c>
    </row>
    <row r="1477" spans="2:3" x14ac:dyDescent="0.35">
      <c r="B1477" s="1413">
        <v>45811</v>
      </c>
      <c r="C1477" s="1414">
        <v>1189.67</v>
      </c>
    </row>
    <row r="1478" spans="2:3" x14ac:dyDescent="0.35">
      <c r="B1478" s="1413">
        <v>45812</v>
      </c>
      <c r="C1478" s="1414">
        <v>1193.22</v>
      </c>
    </row>
    <row r="1479" spans="2:3" x14ac:dyDescent="0.35">
      <c r="B1479" s="1413">
        <v>45813</v>
      </c>
      <c r="C1479" s="1414">
        <v>1192.3800000000001</v>
      </c>
    </row>
    <row r="1480" spans="2:3" x14ac:dyDescent="0.35">
      <c r="B1480" s="1413">
        <v>45814</v>
      </c>
      <c r="C1480" s="1414">
        <v>1192.4000000000001</v>
      </c>
    </row>
    <row r="1481" spans="2:3" x14ac:dyDescent="0.35">
      <c r="B1481" s="1413">
        <v>45815</v>
      </c>
      <c r="C1481" s="1414">
        <v>1192.4000000000001</v>
      </c>
    </row>
    <row r="1482" spans="2:3" x14ac:dyDescent="0.35">
      <c r="B1482" s="1413">
        <v>45816</v>
      </c>
      <c r="C1482" s="1414">
        <v>1192.4000000000001</v>
      </c>
    </row>
    <row r="1483" spans="2:3" x14ac:dyDescent="0.35">
      <c r="B1483" s="1413">
        <v>45817</v>
      </c>
      <c r="C1483" s="1414">
        <v>1192.1600000000001</v>
      </c>
    </row>
    <row r="1484" spans="2:3" x14ac:dyDescent="0.35">
      <c r="B1484" s="1413">
        <v>45818</v>
      </c>
      <c r="C1484" s="1414">
        <v>1189.44</v>
      </c>
    </row>
    <row r="1485" spans="2:3" x14ac:dyDescent="0.35">
      <c r="B1485" s="1413">
        <v>45819</v>
      </c>
      <c r="C1485" s="1414">
        <v>1186.93</v>
      </c>
    </row>
    <row r="1486" spans="2:3" x14ac:dyDescent="0.35">
      <c r="B1486" s="1413">
        <v>45820</v>
      </c>
      <c r="C1486" s="1414">
        <v>1186.51</v>
      </c>
    </row>
    <row r="1487" spans="2:3" x14ac:dyDescent="0.35">
      <c r="B1487" s="1413">
        <v>45821</v>
      </c>
      <c r="C1487" s="1414">
        <v>1191.74</v>
      </c>
    </row>
    <row r="1488" spans="2:3" x14ac:dyDescent="0.35">
      <c r="B1488" s="1413">
        <v>45822</v>
      </c>
      <c r="C1488" s="1414">
        <v>1191.74</v>
      </c>
    </row>
    <row r="1489" spans="2:3" x14ac:dyDescent="0.35">
      <c r="B1489" s="1413">
        <v>45823</v>
      </c>
      <c r="C1489" s="1414">
        <v>1191.74</v>
      </c>
    </row>
    <row r="1490" spans="2:3" x14ac:dyDescent="0.35">
      <c r="B1490" s="1413">
        <v>45824</v>
      </c>
      <c r="C1490" s="1414">
        <v>1191.06</v>
      </c>
    </row>
    <row r="1491" spans="2:3" x14ac:dyDescent="0.35">
      <c r="B1491" s="1413">
        <v>45825</v>
      </c>
      <c r="C1491" s="1414">
        <v>1190.22</v>
      </c>
    </row>
    <row r="1492" spans="2:3" x14ac:dyDescent="0.35">
      <c r="B1492" s="1413">
        <v>45826</v>
      </c>
      <c r="C1492" s="1414">
        <v>1167.07</v>
      </c>
    </row>
    <row r="1493" spans="2:3" x14ac:dyDescent="0.35">
      <c r="B1493" s="1413">
        <v>45827</v>
      </c>
      <c r="C1493" s="1414">
        <v>1174.03</v>
      </c>
    </row>
    <row r="1494" spans="2:3" x14ac:dyDescent="0.35">
      <c r="B1494" s="1413">
        <v>45828</v>
      </c>
      <c r="C1494" s="1414">
        <v>1174.03</v>
      </c>
    </row>
    <row r="1495" spans="2:3" x14ac:dyDescent="0.35">
      <c r="B1495" s="1413">
        <v>45829</v>
      </c>
      <c r="C1495" s="1414">
        <v>1174.03</v>
      </c>
    </row>
    <row r="1496" spans="2:3" x14ac:dyDescent="0.35">
      <c r="B1496" s="1413">
        <v>45830</v>
      </c>
      <c r="C1496" s="1414">
        <v>1174.03</v>
      </c>
    </row>
    <row r="1497" spans="2:3" x14ac:dyDescent="0.35">
      <c r="B1497" s="1413">
        <v>45831</v>
      </c>
      <c r="C1497" s="1414">
        <v>1185.1500000000001</v>
      </c>
    </row>
    <row r="1498" spans="2:3" x14ac:dyDescent="0.35">
      <c r="B1498" s="1413">
        <v>45832</v>
      </c>
      <c r="C1498" s="1414">
        <v>1184.49</v>
      </c>
    </row>
    <row r="1499" spans="2:3" x14ac:dyDescent="0.35">
      <c r="B1499" s="1413">
        <v>45833</v>
      </c>
      <c r="C1499" s="1414">
        <v>1196.43</v>
      </c>
    </row>
    <row r="1500" spans="2:3" x14ac:dyDescent="0.35">
      <c r="B1500" s="1413">
        <v>45834</v>
      </c>
      <c r="C1500" s="1414">
        <v>1199.28</v>
      </c>
    </row>
    <row r="1501" spans="2:3" x14ac:dyDescent="0.35">
      <c r="B1501" s="1413">
        <v>45835</v>
      </c>
      <c r="C1501" s="1414">
        <v>1197.54</v>
      </c>
    </row>
    <row r="1502" spans="2:3" x14ac:dyDescent="0.35">
      <c r="B1502" s="1413">
        <v>45836</v>
      </c>
      <c r="C1502" s="1414">
        <v>1197.54</v>
      </c>
    </row>
    <row r="1503" spans="2:3" x14ac:dyDescent="0.35">
      <c r="B1503" s="1413">
        <v>45837</v>
      </c>
      <c r="C1503" s="1414">
        <v>1197.54</v>
      </c>
    </row>
    <row r="1504" spans="2:3" x14ac:dyDescent="0.35">
      <c r="B1504" s="1413">
        <v>45838</v>
      </c>
      <c r="C1504" s="1414">
        <v>1211.0999999999999</v>
      </c>
    </row>
    <row r="1505" spans="2:3" x14ac:dyDescent="0.35">
      <c r="B1505" s="1413">
        <v>45839</v>
      </c>
      <c r="C1505" s="1414">
        <v>1232.83</v>
      </c>
    </row>
    <row r="1506" spans="2:3" x14ac:dyDescent="0.35">
      <c r="B1506" s="1413">
        <v>45840</v>
      </c>
      <c r="C1506" s="1414">
        <v>1238.5999999999999</v>
      </c>
    </row>
    <row r="1507" spans="2:3" x14ac:dyDescent="0.35">
      <c r="B1507" s="1413">
        <v>45841</v>
      </c>
      <c r="C1507" s="1414">
        <v>1238.3699999999999</v>
      </c>
    </row>
    <row r="1508" spans="2:3" x14ac:dyDescent="0.35">
      <c r="B1508" s="1413">
        <v>45842</v>
      </c>
      <c r="C1508" s="1414">
        <v>1246.92</v>
      </c>
    </row>
    <row r="1509" spans="2:3" x14ac:dyDescent="0.35">
      <c r="B1509" s="1413">
        <v>45843</v>
      </c>
      <c r="C1509" s="1414">
        <v>1246.92</v>
      </c>
    </row>
    <row r="1510" spans="2:3" x14ac:dyDescent="0.35">
      <c r="B1510" s="1413">
        <v>45844</v>
      </c>
      <c r="C1510" s="1414">
        <v>1246.92</v>
      </c>
    </row>
    <row r="1511" spans="2:3" x14ac:dyDescent="0.35">
      <c r="B1511" s="1413">
        <v>45845</v>
      </c>
      <c r="C1511" s="1414">
        <v>1276.44</v>
      </c>
    </row>
    <row r="1512" spans="2:3" x14ac:dyDescent="0.35">
      <c r="B1512" s="1413">
        <v>45846</v>
      </c>
      <c r="C1512" s="1414">
        <v>1259.0899999999999</v>
      </c>
    </row>
    <row r="1513" spans="2:3" x14ac:dyDescent="0.35">
      <c r="B1513" s="1413">
        <v>45847</v>
      </c>
      <c r="C1513" s="1414">
        <v>1259.0899999999999</v>
      </c>
    </row>
    <row r="1514" spans="2:3" x14ac:dyDescent="0.35">
      <c r="B1514" s="1413">
        <v>45848</v>
      </c>
      <c r="C1514" s="1414">
        <v>1267.8699999999999</v>
      </c>
    </row>
    <row r="1515" spans="2:3" x14ac:dyDescent="0.35">
      <c r="B1515" s="1413">
        <v>45849</v>
      </c>
      <c r="C1515" s="1414">
        <v>1269.0999999999999</v>
      </c>
    </row>
    <row r="1516" spans="2:3" x14ac:dyDescent="0.35">
      <c r="B1516" s="1413">
        <v>45850</v>
      </c>
      <c r="C1516" s="1414">
        <v>1269.0999999999999</v>
      </c>
    </row>
    <row r="1517" spans="2:3" x14ac:dyDescent="0.35">
      <c r="B1517" s="1413">
        <v>45851</v>
      </c>
      <c r="C1517" s="1414">
        <v>1269.0999999999999</v>
      </c>
    </row>
    <row r="1518" spans="2:3" x14ac:dyDescent="0.35">
      <c r="B1518" s="1413">
        <v>45852</v>
      </c>
      <c r="C1518" s="1414">
        <v>1295.8399999999999</v>
      </c>
    </row>
    <row r="1519" spans="2:3" x14ac:dyDescent="0.35">
      <c r="B1519" s="1413">
        <v>45853</v>
      </c>
      <c r="C1519" s="1414">
        <v>1276.07</v>
      </c>
    </row>
    <row r="1520" spans="2:3" x14ac:dyDescent="0.35">
      <c r="B1520" s="1413">
        <v>45854</v>
      </c>
      <c r="C1520" s="1414">
        <v>1269.99</v>
      </c>
    </row>
    <row r="1521" spans="2:3" x14ac:dyDescent="0.35">
      <c r="B1521" s="1413">
        <v>45855</v>
      </c>
      <c r="C1521" s="1414">
        <v>1280.96</v>
      </c>
    </row>
    <row r="1522" spans="2:3" x14ac:dyDescent="0.35">
      <c r="B1522" s="1413">
        <v>45856</v>
      </c>
      <c r="C1522" s="1414">
        <v>1292.8699999999999</v>
      </c>
    </row>
    <row r="1523" spans="2:3" x14ac:dyDescent="0.35">
      <c r="B1523" s="1413">
        <v>45857</v>
      </c>
      <c r="C1523" s="1414">
        <v>1292.8699999999999</v>
      </c>
    </row>
    <row r="1524" spans="2:3" x14ac:dyDescent="0.35">
      <c r="B1524" s="1413">
        <v>45858</v>
      </c>
      <c r="C1524" s="1414">
        <v>1292.8699999999999</v>
      </c>
    </row>
    <row r="1525" spans="2:3" x14ac:dyDescent="0.35">
      <c r="B1525" s="1413">
        <v>45859</v>
      </c>
      <c r="C1525" s="1414">
        <v>1281.33</v>
      </c>
    </row>
    <row r="1526" spans="2:3" x14ac:dyDescent="0.35">
      <c r="B1526" s="1413">
        <v>45860</v>
      </c>
      <c r="C1526" s="1414">
        <v>1260.71</v>
      </c>
    </row>
    <row r="1527" spans="2:3" x14ac:dyDescent="0.35">
      <c r="B1527" s="1413">
        <v>45861</v>
      </c>
      <c r="C1527" s="1414">
        <v>1264.6500000000001</v>
      </c>
    </row>
    <row r="1528" spans="2:3" x14ac:dyDescent="0.35">
      <c r="B1528" s="1413">
        <v>45862</v>
      </c>
      <c r="C1528" s="1414">
        <v>1272.9100000000001</v>
      </c>
    </row>
    <row r="1529" spans="2:3" x14ac:dyDescent="0.35">
      <c r="B1529" s="1413">
        <v>45863</v>
      </c>
      <c r="C1529" s="1414">
        <v>1285.98</v>
      </c>
    </row>
    <row r="1530" spans="2:3" x14ac:dyDescent="0.35">
      <c r="B1530" s="1413">
        <v>45864</v>
      </c>
      <c r="C1530" s="1414">
        <v>1285.98</v>
      </c>
    </row>
    <row r="1531" spans="2:3" x14ac:dyDescent="0.35">
      <c r="B1531" s="1413">
        <v>45865</v>
      </c>
      <c r="C1531" s="1414">
        <v>1285.98</v>
      </c>
    </row>
    <row r="1532" spans="2:3" x14ac:dyDescent="0.35">
      <c r="B1532" s="1413">
        <v>45866</v>
      </c>
      <c r="C1532" s="1414">
        <v>1296.25</v>
      </c>
    </row>
    <row r="1533" spans="2:3" x14ac:dyDescent="0.35">
      <c r="B1533" s="1413">
        <v>45867</v>
      </c>
      <c r="C1533" s="1414">
        <v>1294.45</v>
      </c>
    </row>
    <row r="1534" spans="2:3" x14ac:dyDescent="0.35">
      <c r="B1534" s="1413">
        <v>45868</v>
      </c>
      <c r="C1534" s="1414">
        <v>1322.36</v>
      </c>
    </row>
    <row r="1535" spans="2:3" x14ac:dyDescent="0.35">
      <c r="B1535" s="1413">
        <v>45869</v>
      </c>
      <c r="C1535" s="1414">
        <v>1359.76</v>
      </c>
    </row>
    <row r="1536" spans="2:3" x14ac:dyDescent="0.35">
      <c r="B1536" s="1413">
        <v>45870</v>
      </c>
      <c r="C1536" s="1414">
        <v>1357.56</v>
      </c>
    </row>
    <row r="1537" spans="2:3" x14ac:dyDescent="0.35">
      <c r="B1537" s="1413">
        <v>45871</v>
      </c>
      <c r="C1537" s="1414">
        <v>1357.56</v>
      </c>
    </row>
    <row r="1538" spans="2:3" x14ac:dyDescent="0.35">
      <c r="B1538" s="1413">
        <v>45872</v>
      </c>
      <c r="C1538" s="1414">
        <v>1357.56</v>
      </c>
    </row>
    <row r="1539" spans="2:3" x14ac:dyDescent="0.35">
      <c r="B1539" s="1413">
        <v>45873</v>
      </c>
      <c r="C1539" s="1414">
        <v>1356.15</v>
      </c>
    </row>
    <row r="1540" spans="2:3" x14ac:dyDescent="0.35">
      <c r="B1540" s="1413">
        <v>45874</v>
      </c>
      <c r="C1540" s="1414">
        <v>1344.27</v>
      </c>
    </row>
    <row r="1541" spans="2:3" x14ac:dyDescent="0.35">
      <c r="B1541" s="1413">
        <v>45875</v>
      </c>
      <c r="C1541" s="1414">
        <v>1334.88</v>
      </c>
    </row>
    <row r="1542" spans="2:3" x14ac:dyDescent="0.35">
      <c r="B1542" s="1413">
        <v>45876</v>
      </c>
      <c r="C1542" s="1414">
        <v>1327.8</v>
      </c>
    </row>
    <row r="1543" spans="2:3" x14ac:dyDescent="0.35">
      <c r="B1543" s="1413">
        <v>45877</v>
      </c>
      <c r="C1543" s="1414">
        <v>1332.23</v>
      </c>
    </row>
    <row r="1544" spans="2:3" x14ac:dyDescent="0.35">
      <c r="B1544" s="1413">
        <v>45878</v>
      </c>
      <c r="C1544" s="1414">
        <v>1332.23</v>
      </c>
    </row>
    <row r="1545" spans="2:3" x14ac:dyDescent="0.35">
      <c r="B1545" s="1413">
        <v>45879</v>
      </c>
      <c r="C1545" s="1414">
        <v>1332.23</v>
      </c>
    </row>
    <row r="1546" spans="2:3" x14ac:dyDescent="0.35">
      <c r="B1546" s="1413">
        <v>45880</v>
      </c>
      <c r="C1546" s="1414">
        <v>1324.65</v>
      </c>
    </row>
    <row r="1547" spans="2:3" x14ac:dyDescent="0.35">
      <c r="B1547" s="1413">
        <v>45881</v>
      </c>
      <c r="C1547" s="1414">
        <v>1323.46</v>
      </c>
    </row>
    <row r="1548" spans="2:3" x14ac:dyDescent="0.35">
      <c r="B1548" s="1413">
        <v>45882</v>
      </c>
      <c r="C1548" s="1414">
        <v>1325.5</v>
      </c>
    </row>
    <row r="1549" spans="2:3" x14ac:dyDescent="0.35">
      <c r="B1549" s="1413">
        <v>45883</v>
      </c>
      <c r="C1549" s="1414">
        <v>1308.1300000000001</v>
      </c>
    </row>
    <row r="1550" spans="2:3" x14ac:dyDescent="0.35">
      <c r="B1550" s="1413">
        <v>45884</v>
      </c>
      <c r="C1550" s="1414">
        <v>1308.1300000000001</v>
      </c>
    </row>
    <row r="1551" spans="2:3" x14ac:dyDescent="0.35">
      <c r="B1551" s="1413">
        <v>45885</v>
      </c>
      <c r="C1551" s="1414">
        <v>1308.1300000000001</v>
      </c>
    </row>
    <row r="1552" spans="2:3" x14ac:dyDescent="0.35">
      <c r="B1552" s="1413">
        <v>45886</v>
      </c>
      <c r="C1552" s="1414">
        <v>1308.1300000000001</v>
      </c>
    </row>
    <row r="1553" spans="2:3" x14ac:dyDescent="0.35">
      <c r="B1553" s="1413">
        <v>45887</v>
      </c>
      <c r="C1553" s="1414">
        <v>1301.06</v>
      </c>
    </row>
    <row r="1554" spans="2:3" x14ac:dyDescent="0.35">
      <c r="B1554" s="1413">
        <v>45888</v>
      </c>
      <c r="C1554" s="1414">
        <v>1297.02</v>
      </c>
    </row>
    <row r="1555" spans="2:3" x14ac:dyDescent="0.35">
      <c r="B1555" s="1413">
        <v>45889</v>
      </c>
      <c r="C1555" s="1414">
        <v>1309.5999999999999</v>
      </c>
    </row>
    <row r="1556" spans="2:3" x14ac:dyDescent="0.35">
      <c r="B1556" s="1413">
        <v>45890</v>
      </c>
      <c r="C1556" s="1414">
        <v>1321.87</v>
      </c>
    </row>
    <row r="1557" spans="2:3" x14ac:dyDescent="0.35">
      <c r="B1557" s="1413">
        <v>45891</v>
      </c>
      <c r="C1557" s="1414">
        <v>1329.08</v>
      </c>
    </row>
    <row r="1558" spans="2:3" x14ac:dyDescent="0.35">
      <c r="B1558" s="1413">
        <v>45892</v>
      </c>
      <c r="C1558" s="1414">
        <v>1329.08</v>
      </c>
    </row>
    <row r="1559" spans="2:3" x14ac:dyDescent="0.35">
      <c r="B1559" s="1413">
        <v>45893</v>
      </c>
      <c r="C1559" s="1414">
        <v>1329.08</v>
      </c>
    </row>
    <row r="1560" spans="2:3" x14ac:dyDescent="0.35">
      <c r="B1560" s="1413">
        <v>45894</v>
      </c>
      <c r="C1560" s="1414">
        <v>1362.22</v>
      </c>
    </row>
    <row r="1561" spans="2:3" x14ac:dyDescent="0.35">
      <c r="B1561" s="1413">
        <v>45895</v>
      </c>
      <c r="C1561" s="1414">
        <v>1352.46</v>
      </c>
    </row>
    <row r="1562" spans="2:3" x14ac:dyDescent="0.35">
      <c r="B1562" s="1413">
        <v>45896</v>
      </c>
      <c r="C1562" s="1414">
        <v>1357.27</v>
      </c>
    </row>
    <row r="1563" spans="2:3" x14ac:dyDescent="0.35">
      <c r="B1563" s="1413">
        <v>45897</v>
      </c>
      <c r="C1563" s="1414">
        <v>1344.05</v>
      </c>
    </row>
    <row r="1564" spans="2:3" x14ac:dyDescent="0.35">
      <c r="B1564" s="1413">
        <v>45898</v>
      </c>
      <c r="C1564" s="1414">
        <v>1357.34</v>
      </c>
    </row>
    <row r="1565" spans="2:3" x14ac:dyDescent="0.35">
      <c r="B1565" s="1413">
        <v>45899</v>
      </c>
      <c r="C1565" s="1414">
        <v>1357.34</v>
      </c>
    </row>
    <row r="1566" spans="2:3" x14ac:dyDescent="0.35">
      <c r="B1566" s="1413">
        <v>45900</v>
      </c>
      <c r="C1566" s="1414">
        <v>1357.34</v>
      </c>
    </row>
    <row r="1567" spans="2:3" x14ac:dyDescent="0.35">
      <c r="B1567" s="1413">
        <v>45901</v>
      </c>
      <c r="C1567" s="1414">
        <v>1376.49</v>
      </c>
    </row>
    <row r="1568" spans="2:3" x14ac:dyDescent="0.35">
      <c r="B1568" s="1413">
        <v>45902</v>
      </c>
      <c r="C1568" s="1414">
        <v>1365.62</v>
      </c>
    </row>
    <row r="1569" spans="2:3" x14ac:dyDescent="0.35">
      <c r="B1569" s="1413">
        <v>45903</v>
      </c>
      <c r="C1569" s="1414">
        <v>1370.14</v>
      </c>
    </row>
    <row r="1570" spans="2:3" x14ac:dyDescent="0.35">
      <c r="B1570" s="1413">
        <v>45904</v>
      </c>
      <c r="C1570" s="1414">
        <v>1378.31</v>
      </c>
    </row>
    <row r="1571" spans="2:3" x14ac:dyDescent="0.35">
      <c r="B1571" s="1413">
        <v>45905</v>
      </c>
      <c r="C1571" s="1414">
        <v>1383.33</v>
      </c>
    </row>
    <row r="1572" spans="2:3" x14ac:dyDescent="0.35">
      <c r="B1572" s="1413">
        <v>45906</v>
      </c>
      <c r="C1572" s="1414">
        <v>1383.33</v>
      </c>
    </row>
    <row r="1573" spans="2:3" x14ac:dyDescent="0.35">
      <c r="B1573" s="1413">
        <v>45907</v>
      </c>
      <c r="C1573" s="1414">
        <v>1383.33</v>
      </c>
    </row>
    <row r="1574" spans="2:3" x14ac:dyDescent="0.35">
      <c r="B1574" s="1413">
        <v>45908</v>
      </c>
      <c r="C1574" s="1414">
        <v>1434.92</v>
      </c>
    </row>
    <row r="1575" spans="2:3" x14ac:dyDescent="0.35">
      <c r="B1575" s="1413">
        <v>45909</v>
      </c>
      <c r="C1575" s="1414">
        <v>1430.74</v>
      </c>
    </row>
    <row r="1576" spans="2:3" x14ac:dyDescent="0.35">
      <c r="B1576" s="1413">
        <v>45910</v>
      </c>
      <c r="C1576" s="1414">
        <v>1428.49</v>
      </c>
    </row>
    <row r="1577" spans="2:3" x14ac:dyDescent="0.35">
      <c r="B1577" s="1413">
        <v>45911</v>
      </c>
      <c r="C1577" s="1414">
        <v>1451.12</v>
      </c>
    </row>
    <row r="1578" spans="2:3" x14ac:dyDescent="0.35">
      <c r="B1578" s="1413">
        <v>45912</v>
      </c>
      <c r="C1578" s="1414">
        <v>1468.46</v>
      </c>
    </row>
    <row r="1579" spans="2:3" x14ac:dyDescent="0.35">
      <c r="B1579" s="1413">
        <v>45913</v>
      </c>
      <c r="C1579" s="1414">
        <v>1468.46</v>
      </c>
    </row>
    <row r="1580" spans="2:3" x14ac:dyDescent="0.35">
      <c r="B1580" s="1413">
        <v>45914</v>
      </c>
      <c r="C1580" s="1414">
        <v>1468.46</v>
      </c>
    </row>
    <row r="1581" spans="2:3" x14ac:dyDescent="0.35">
      <c r="B1581" s="1413">
        <v>45915</v>
      </c>
      <c r="C1581" s="1414">
        <v>1488.06</v>
      </c>
    </row>
    <row r="1582" spans="2:3" x14ac:dyDescent="0.35">
      <c r="B1582" s="1413">
        <v>45916</v>
      </c>
      <c r="C1582" s="1414">
        <v>1469.91</v>
      </c>
    </row>
    <row r="1583" spans="2:3" x14ac:dyDescent="0.35">
      <c r="B1583" s="1413">
        <v>45917</v>
      </c>
      <c r="C1583" s="1414">
        <v>1486.47</v>
      </c>
    </row>
    <row r="1584" spans="2:3" x14ac:dyDescent="0.35">
      <c r="B1584" s="1413">
        <v>45918</v>
      </c>
      <c r="C1584" s="1414">
        <v>1535.4</v>
      </c>
    </row>
    <row r="1585" spans="2:3" x14ac:dyDescent="0.35">
      <c r="B1585" s="1413">
        <v>45919</v>
      </c>
      <c r="C1585" s="1414">
        <v>1551.03</v>
      </c>
    </row>
    <row r="1586" spans="2:3" x14ac:dyDescent="0.35">
      <c r="B1586" s="1413">
        <v>45920</v>
      </c>
      <c r="C1586" s="1414">
        <v>1551.03</v>
      </c>
    </row>
    <row r="1587" spans="2:3" x14ac:dyDescent="0.35">
      <c r="B1587" s="1413">
        <v>45921</v>
      </c>
      <c r="C1587" s="1414">
        <v>1551.03</v>
      </c>
    </row>
    <row r="1588" spans="2:3" x14ac:dyDescent="0.35">
      <c r="B1588" s="1413">
        <v>45922</v>
      </c>
      <c r="C1588" s="1414">
        <v>1427.51</v>
      </c>
    </row>
    <row r="1589" spans="2:3" x14ac:dyDescent="0.35">
      <c r="B1589" s="1413">
        <v>45923</v>
      </c>
      <c r="C1589" s="1414">
        <v>1405.02</v>
      </c>
    </row>
    <row r="1590" spans="2:3" x14ac:dyDescent="0.35">
      <c r="B1590" s="1413">
        <v>45924</v>
      </c>
      <c r="C1590" s="1414">
        <v>1369.47</v>
      </c>
    </row>
    <row r="1591" spans="2:3" x14ac:dyDescent="0.35">
      <c r="B1591" s="1413">
        <v>45925</v>
      </c>
      <c r="C1591" s="1414">
        <v>1380.13</v>
      </c>
    </row>
    <row r="1592" spans="2:3" x14ac:dyDescent="0.35">
      <c r="B1592" s="1413">
        <v>45926</v>
      </c>
      <c r="C1592" s="1414">
        <v>1431.44</v>
      </c>
    </row>
    <row r="1593" spans="2:3" x14ac:dyDescent="0.35">
      <c r="B1593" s="1413">
        <v>45927</v>
      </c>
      <c r="C1593" s="1414">
        <v>1431.44</v>
      </c>
    </row>
    <row r="1594" spans="2:3" x14ac:dyDescent="0.35">
      <c r="B1594" s="1413">
        <v>45928</v>
      </c>
      <c r="C1594" s="1414">
        <v>1431.44</v>
      </c>
    </row>
    <row r="1595" spans="2:3" x14ac:dyDescent="0.35">
      <c r="B1595" s="1413">
        <v>45929</v>
      </c>
      <c r="C1595" s="1414">
        <v>1454.91</v>
      </c>
    </row>
    <row r="1596" spans="2:3" x14ac:dyDescent="0.35">
      <c r="B1596" s="1413">
        <v>45930</v>
      </c>
      <c r="C1596" s="1414">
        <v>1494.02</v>
      </c>
    </row>
    <row r="1597" spans="2:3" x14ac:dyDescent="0.35">
      <c r="B1597" s="1413">
        <v>45931</v>
      </c>
      <c r="C1597" s="1414">
        <v>1523</v>
      </c>
    </row>
    <row r="1598" spans="2:3" x14ac:dyDescent="0.35">
      <c r="B1598" s="1413">
        <v>45932</v>
      </c>
      <c r="C1598" s="1414">
        <v>1500</v>
      </c>
    </row>
    <row r="1599" spans="2:3" x14ac:dyDescent="0.35">
      <c r="B1599" s="1413">
        <v>45933</v>
      </c>
      <c r="C1599" s="1414">
        <v>1498.81</v>
      </c>
    </row>
    <row r="1600" spans="2:3" x14ac:dyDescent="0.35">
      <c r="B1600" s="1413">
        <v>45934</v>
      </c>
      <c r="C1600" s="1414">
        <v>1498.81</v>
      </c>
    </row>
    <row r="1601" spans="2:3" x14ac:dyDescent="0.35">
      <c r="B1601" s="1413">
        <v>45935</v>
      </c>
      <c r="C1601" s="1414">
        <v>1498.81</v>
      </c>
    </row>
    <row r="1602" spans="2:3" x14ac:dyDescent="0.35">
      <c r="B1602" s="1413">
        <v>45936</v>
      </c>
      <c r="C1602" s="1414">
        <v>1499.11</v>
      </c>
    </row>
    <row r="1603" spans="2:3" x14ac:dyDescent="0.35">
      <c r="B1603" s="1413">
        <v>45937</v>
      </c>
      <c r="C1603" s="1414">
        <v>1533.95</v>
      </c>
    </row>
    <row r="1604" spans="2:3" x14ac:dyDescent="0.35">
      <c r="B1604" s="1413">
        <v>45938</v>
      </c>
      <c r="C1604" s="1414">
        <v>1527.95</v>
      </c>
    </row>
    <row r="1605" spans="2:3" x14ac:dyDescent="0.35">
      <c r="B1605" s="1413">
        <v>45939</v>
      </c>
      <c r="C1605" s="1414">
        <v>1440.81</v>
      </c>
    </row>
    <row r="1606" spans="2:3" x14ac:dyDescent="0.35">
      <c r="B1606" s="1413">
        <v>45940</v>
      </c>
      <c r="C1606" s="1414">
        <v>1440.81</v>
      </c>
    </row>
    <row r="1607" spans="2:3" x14ac:dyDescent="0.35">
      <c r="B1607" s="1413">
        <v>45941</v>
      </c>
      <c r="C1607" s="1414">
        <v>1440.81</v>
      </c>
    </row>
    <row r="1608" spans="2:3" x14ac:dyDescent="0.35">
      <c r="B1608" s="1413">
        <v>45942</v>
      </c>
      <c r="C1608" s="1414">
        <v>1440.81</v>
      </c>
    </row>
    <row r="1609" spans="2:3" x14ac:dyDescent="0.35">
      <c r="B1609" s="1413">
        <v>45943</v>
      </c>
      <c r="C1609" s="1414">
        <v>1409.92</v>
      </c>
    </row>
    <row r="1610" spans="2:3" x14ac:dyDescent="0.35">
      <c r="B1610" s="1413">
        <v>45944</v>
      </c>
      <c r="C1610" s="1414">
        <v>1454.99</v>
      </c>
    </row>
    <row r="1611" spans="2:3" x14ac:dyDescent="0.35">
      <c r="B1611" s="1413">
        <v>45945</v>
      </c>
      <c r="C1611" s="1414">
        <v>1441.77</v>
      </c>
    </row>
    <row r="1612" spans="2:3" x14ac:dyDescent="0.35">
      <c r="B1612" s="1413">
        <v>45946</v>
      </c>
      <c r="C1612" s="1414">
        <v>1473.52</v>
      </c>
    </row>
    <row r="1613" spans="2:3" x14ac:dyDescent="0.35">
      <c r="B1613" s="1413">
        <v>45947</v>
      </c>
      <c r="C1613" s="1414">
        <v>1541.49</v>
      </c>
    </row>
    <row r="1614" spans="2:3" x14ac:dyDescent="0.35">
      <c r="B1614" s="1413">
        <v>45948</v>
      </c>
      <c r="C1614" s="1414">
        <v>1541.49</v>
      </c>
    </row>
    <row r="1615" spans="2:3" x14ac:dyDescent="0.35">
      <c r="B1615" s="1413">
        <v>45949</v>
      </c>
      <c r="C1615" s="1414">
        <v>1541.49</v>
      </c>
    </row>
    <row r="1616" spans="2:3" x14ac:dyDescent="0.35">
      <c r="B1616" s="1413">
        <v>45950</v>
      </c>
      <c r="C1616" s="1414">
        <v>1552.82</v>
      </c>
    </row>
    <row r="1617" spans="2:3" x14ac:dyDescent="0.35">
      <c r="B1617" s="1413">
        <v>45951</v>
      </c>
      <c r="C1617" s="1414">
        <v>1591.57</v>
      </c>
    </row>
    <row r="1618" spans="2:3" x14ac:dyDescent="0.35">
      <c r="B1618" s="1413">
        <v>45952</v>
      </c>
      <c r="C1618" s="1414">
        <v>1592.99</v>
      </c>
    </row>
    <row r="1619" spans="2:3" x14ac:dyDescent="0.35">
      <c r="B1619" s="1413">
        <v>45953</v>
      </c>
      <c r="C1619" s="1414">
        <v>1533.7</v>
      </c>
    </row>
    <row r="1620" spans="2:3" x14ac:dyDescent="0.35">
      <c r="B1620" s="1413">
        <v>45954</v>
      </c>
      <c r="C1620" s="1414">
        <v>1549.44</v>
      </c>
    </row>
    <row r="1621" spans="2:3" x14ac:dyDescent="0.35">
      <c r="B1621" s="1413">
        <v>45955</v>
      </c>
      <c r="C1621" s="1414">
        <v>1549.44</v>
      </c>
    </row>
    <row r="1622" spans="2:3" x14ac:dyDescent="0.35">
      <c r="B1622" s="1413">
        <v>45956</v>
      </c>
      <c r="C1622" s="1414">
        <v>1549.44</v>
      </c>
    </row>
    <row r="1623" spans="2:3" x14ac:dyDescent="0.35">
      <c r="B1623" s="1413">
        <v>45957</v>
      </c>
      <c r="C1623" s="1414">
        <v>1440.79</v>
      </c>
    </row>
    <row r="1624" spans="2:3" x14ac:dyDescent="0.35">
      <c r="B1624" s="1413">
        <v>45958</v>
      </c>
      <c r="C1624" s="1414">
        <v>1477.87</v>
      </c>
    </row>
    <row r="1625" spans="2:3" x14ac:dyDescent="0.35">
      <c r="B1625" s="1413">
        <v>45959</v>
      </c>
      <c r="C1625" s="1414">
        <v>1475.21</v>
      </c>
    </row>
    <row r="1626" spans="2:3" x14ac:dyDescent="0.35">
      <c r="B1626" s="1413">
        <v>45960</v>
      </c>
      <c r="C1626" s="1414">
        <v>1470.6</v>
      </c>
    </row>
    <row r="1627" spans="2:3" x14ac:dyDescent="0.35">
      <c r="B1627" s="1413">
        <v>45961</v>
      </c>
      <c r="C1627" s="1414">
        <v>1477.46</v>
      </c>
    </row>
    <row r="1628" spans="2:3" x14ac:dyDescent="0.35">
      <c r="B1628" s="1413">
        <v>45962</v>
      </c>
      <c r="C1628" s="1414">
        <v>1477.46</v>
      </c>
    </row>
    <row r="1629" spans="2:3" x14ac:dyDescent="0.35">
      <c r="B1629" s="1413">
        <v>45963</v>
      </c>
      <c r="C1629" s="1414">
        <v>1477.46</v>
      </c>
    </row>
    <row r="1630" spans="2:3" x14ac:dyDescent="0.35">
      <c r="B1630" s="1413">
        <v>45964</v>
      </c>
      <c r="C1630" s="1414">
        <v>1500.47</v>
      </c>
    </row>
    <row r="1631" spans="2:3" x14ac:dyDescent="0.35">
      <c r="B1631" s="1413">
        <v>45965</v>
      </c>
      <c r="C1631" s="1414">
        <v>1495.58</v>
      </c>
    </row>
    <row r="1632" spans="2:3" x14ac:dyDescent="0.35">
      <c r="B1632" s="1413">
        <v>45966</v>
      </c>
      <c r="C1632" s="1414">
        <v>1478.74</v>
      </c>
    </row>
    <row r="1633" spans="2:3" x14ac:dyDescent="0.35">
      <c r="B1633" s="1413">
        <v>45967</v>
      </c>
      <c r="C1633" s="1414">
        <v>1480.23</v>
      </c>
    </row>
    <row r="1634" spans="2:3" x14ac:dyDescent="0.35">
      <c r="B1634" s="1413">
        <v>45968</v>
      </c>
      <c r="C1634" s="1414">
        <v>1454.69</v>
      </c>
    </row>
    <row r="1635" spans="2:3" x14ac:dyDescent="0.35">
      <c r="B1635" s="1413">
        <v>45969</v>
      </c>
      <c r="C1635" s="1414">
        <v>1454.69</v>
      </c>
    </row>
    <row r="1636" spans="2:3" x14ac:dyDescent="0.35">
      <c r="B1636" s="1413">
        <v>45970</v>
      </c>
      <c r="C1636" s="1414">
        <v>1454.69</v>
      </c>
    </row>
    <row r="1637" spans="2:3" x14ac:dyDescent="0.35">
      <c r="B1637" s="1413">
        <v>45971</v>
      </c>
      <c r="C1637" s="1414">
        <v>1458.18</v>
      </c>
    </row>
    <row r="1638" spans="2:3" x14ac:dyDescent="0.35">
      <c r="B1638" s="1413">
        <v>45972</v>
      </c>
      <c r="C1638" s="1414">
        <v>1455.43</v>
      </c>
    </row>
    <row r="1639" spans="2:3" x14ac:dyDescent="0.35">
      <c r="B1639" s="1413">
        <v>45973</v>
      </c>
      <c r="C1639" s="1414">
        <v>1451.89</v>
      </c>
    </row>
    <row r="1640" spans="2:3" x14ac:dyDescent="0.35">
      <c r="B1640" s="1413">
        <v>45974</v>
      </c>
      <c r="C1640" s="1414">
        <v>1462.04</v>
      </c>
    </row>
    <row r="1641" spans="2:3" x14ac:dyDescent="0.35">
      <c r="B1641" s="1413">
        <v>45975</v>
      </c>
      <c r="C1641" s="1414">
        <v>1451.17</v>
      </c>
    </row>
    <row r="1642" spans="2:3" x14ac:dyDescent="0.35">
      <c r="B1642" s="1413">
        <v>45976</v>
      </c>
      <c r="C1642" s="1414">
        <v>1451.17</v>
      </c>
    </row>
    <row r="1643" spans="2:3" x14ac:dyDescent="0.35">
      <c r="B1643" s="1413">
        <v>45977</v>
      </c>
      <c r="C1643" s="1414">
        <v>1451.17</v>
      </c>
    </row>
    <row r="1644" spans="2:3" x14ac:dyDescent="0.35">
      <c r="B1644" s="1413">
        <v>45978</v>
      </c>
      <c r="C1644" s="1414">
        <v>1448.93</v>
      </c>
    </row>
    <row r="1645" spans="2:3" x14ac:dyDescent="0.35">
      <c r="B1645" s="1413">
        <v>45979</v>
      </c>
      <c r="C1645" s="1414">
        <v>1440.51</v>
      </c>
    </row>
    <row r="1646" spans="2:3" x14ac:dyDescent="0.35">
      <c r="B1646" s="1413">
        <v>45980</v>
      </c>
      <c r="C1646" s="1414">
        <v>1441.13</v>
      </c>
    </row>
    <row r="1647" spans="2:3" x14ac:dyDescent="0.35">
      <c r="B1647" s="1413">
        <v>45981</v>
      </c>
      <c r="C1647" s="1414">
        <v>1452.76</v>
      </c>
    </row>
    <row r="1648" spans="2:3" x14ac:dyDescent="0.35">
      <c r="B1648" s="1413">
        <v>45982</v>
      </c>
      <c r="C1648" s="1414">
        <v>1460.35</v>
      </c>
    </row>
    <row r="1649" spans="2:3" x14ac:dyDescent="0.35">
      <c r="B1649" s="1413">
        <v>45983</v>
      </c>
      <c r="C1649" s="1414">
        <v>1460.35</v>
      </c>
    </row>
    <row r="1650" spans="2:3" x14ac:dyDescent="0.35">
      <c r="B1650" s="1413">
        <v>45984</v>
      </c>
      <c r="C1650" s="1414">
        <v>1460.35</v>
      </c>
    </row>
    <row r="1651" spans="2:3" x14ac:dyDescent="0.35">
      <c r="B1651" s="1413">
        <v>45985</v>
      </c>
      <c r="C1651" s="1414">
        <v>1460.35</v>
      </c>
    </row>
    <row r="1652" spans="2:3" x14ac:dyDescent="0.35">
      <c r="B1652" s="1413">
        <v>45986</v>
      </c>
      <c r="C1652" s="1414">
        <v>1480.68</v>
      </c>
    </row>
    <row r="1653" spans="2:3" x14ac:dyDescent="0.35">
      <c r="B1653" s="1413">
        <v>45987</v>
      </c>
      <c r="C1653" s="1414">
        <v>1487.55</v>
      </c>
    </row>
    <row r="1654" spans="2:3" x14ac:dyDescent="0.35">
      <c r="B1654" s="1413">
        <v>45988</v>
      </c>
      <c r="C1654" s="1414">
        <v>1481.82</v>
      </c>
    </row>
    <row r="1655" spans="2:3" x14ac:dyDescent="0.35">
      <c r="B1655" s="1413">
        <v>45989</v>
      </c>
      <c r="C1655" s="1414">
        <v>1476.42</v>
      </c>
    </row>
    <row r="1656" spans="2:3" x14ac:dyDescent="0.35">
      <c r="B1656" s="1413">
        <v>45990</v>
      </c>
      <c r="C1656" s="1414">
        <v>1476.42</v>
      </c>
    </row>
    <row r="1657" spans="2:3" x14ac:dyDescent="0.35">
      <c r="B1657" s="1413">
        <v>45991</v>
      </c>
      <c r="C1657" s="1414">
        <v>1476.42</v>
      </c>
    </row>
    <row r="1658" spans="2:3" x14ac:dyDescent="0.35">
      <c r="B1658" s="1413">
        <v>45992</v>
      </c>
      <c r="C1658" s="1414">
        <v>1475.23</v>
      </c>
    </row>
    <row r="1659" spans="2:3" x14ac:dyDescent="0.35">
      <c r="B1659" s="1413">
        <v>45993</v>
      </c>
      <c r="C1659" s="1414">
        <v>1477.35</v>
      </c>
    </row>
    <row r="1660" spans="2:3" x14ac:dyDescent="0.35">
      <c r="B1660" s="1413">
        <v>45994</v>
      </c>
      <c r="C1660" s="1414">
        <v>1470.3</v>
      </c>
    </row>
    <row r="1661" spans="2:3" x14ac:dyDescent="0.35">
      <c r="B1661" s="1413">
        <v>45995</v>
      </c>
      <c r="C1661" s="1414">
        <v>1470</v>
      </c>
    </row>
    <row r="1662" spans="2:3" x14ac:dyDescent="0.35">
      <c r="B1662" s="1413">
        <v>45996</v>
      </c>
      <c r="C1662" s="1414">
        <v>1474.54</v>
      </c>
    </row>
    <row r="1663" spans="2:3" x14ac:dyDescent="0.35">
      <c r="B1663" s="1413">
        <v>45997</v>
      </c>
      <c r="C1663" s="1414">
        <v>1474.54</v>
      </c>
    </row>
    <row r="1664" spans="2:3" x14ac:dyDescent="0.35">
      <c r="B1664" s="1413">
        <v>45998</v>
      </c>
      <c r="C1664" s="1414">
        <v>1474.54</v>
      </c>
    </row>
    <row r="1665" spans="2:3" x14ac:dyDescent="0.35">
      <c r="B1665" s="1413">
        <v>45999</v>
      </c>
      <c r="C1665" s="1414">
        <v>1474.54</v>
      </c>
    </row>
    <row r="1666" spans="2:3" x14ac:dyDescent="0.35">
      <c r="B1666" s="1413">
        <v>46000</v>
      </c>
      <c r="C1666" s="1414">
        <v>1468.72</v>
      </c>
    </row>
    <row r="1667" spans="2:3" x14ac:dyDescent="0.35">
      <c r="B1667" s="1413">
        <v>46001</v>
      </c>
      <c r="C1667" s="1414">
        <v>1471.35</v>
      </c>
    </row>
    <row r="1668" spans="2:3" x14ac:dyDescent="0.35">
      <c r="B1668" s="1413">
        <v>46002</v>
      </c>
      <c r="C1668" s="1414">
        <v>1476.11</v>
      </c>
    </row>
    <row r="1669" spans="2:3" x14ac:dyDescent="0.35">
      <c r="B1669" s="1413">
        <v>46003</v>
      </c>
      <c r="C1669" s="1414">
        <v>1478.73</v>
      </c>
    </row>
    <row r="1670" spans="2:3" x14ac:dyDescent="0.35">
      <c r="B1670" s="1413">
        <v>46004</v>
      </c>
      <c r="C1670" s="1414">
        <v>1492.01</v>
      </c>
    </row>
    <row r="1671" spans="2:3" x14ac:dyDescent="0.35">
      <c r="B1671" s="1413">
        <v>46005</v>
      </c>
      <c r="C1671" s="1414">
        <v>1504.3</v>
      </c>
    </row>
    <row r="1672" spans="2:3" x14ac:dyDescent="0.35">
      <c r="B1672" s="1413">
        <v>46006</v>
      </c>
      <c r="C1672" s="1414">
        <v>1514.14</v>
      </c>
    </row>
    <row r="1673" spans="2:3" x14ac:dyDescent="0.35">
      <c r="B1673" s="1413">
        <v>46007</v>
      </c>
      <c r="C1673" s="1414">
        <v>1498.58</v>
      </c>
    </row>
    <row r="1674" spans="2:3" x14ac:dyDescent="0.35">
      <c r="B1674" s="1413">
        <v>46008</v>
      </c>
      <c r="C1674" s="1414">
        <v>1494.62</v>
      </c>
    </row>
    <row r="1675" spans="2:3" x14ac:dyDescent="0.35">
      <c r="B1675" s="1413">
        <v>46009</v>
      </c>
      <c r="C1675" s="1414">
        <v>1498.58</v>
      </c>
    </row>
    <row r="1676" spans="2:3" x14ac:dyDescent="0.35">
      <c r="B1676" s="1413">
        <v>46010</v>
      </c>
      <c r="C1676" s="1414">
        <v>1494.62</v>
      </c>
    </row>
    <row r="1677" spans="2:3" x14ac:dyDescent="0.35">
      <c r="B1677" s="1413">
        <v>46011</v>
      </c>
      <c r="C1677" s="1414">
        <v>1494.62</v>
      </c>
    </row>
    <row r="1678" spans="2:3" x14ac:dyDescent="0.35">
      <c r="B1678" s="1413">
        <v>46012</v>
      </c>
      <c r="C1678" s="1414">
        <v>1494.62</v>
      </c>
    </row>
    <row r="1679" spans="2:3" x14ac:dyDescent="0.35">
      <c r="B1679" s="1413">
        <v>46013</v>
      </c>
      <c r="C1679" s="1414">
        <v>1493.06</v>
      </c>
    </row>
    <row r="1680" spans="2:3" x14ac:dyDescent="0.35">
      <c r="B1680" s="1413">
        <v>46014</v>
      </c>
      <c r="C1680" s="1414">
        <v>1479.44</v>
      </c>
    </row>
    <row r="1681" spans="2:3" x14ac:dyDescent="0.35">
      <c r="B1681" s="1413">
        <v>46015</v>
      </c>
      <c r="C1681" s="1414">
        <v>1481.63</v>
      </c>
    </row>
    <row r="1682" spans="2:3" x14ac:dyDescent="0.35">
      <c r="B1682" s="1413">
        <v>46016</v>
      </c>
      <c r="C1682" s="1414">
        <v>1481.63</v>
      </c>
    </row>
    <row r="1683" spans="2:3" x14ac:dyDescent="0.35">
      <c r="B1683" s="1413">
        <v>46017</v>
      </c>
      <c r="C1683" s="1414">
        <v>1486.11</v>
      </c>
    </row>
    <row r="1684" spans="2:3" x14ac:dyDescent="0.35">
      <c r="B1684" s="1413">
        <v>46018</v>
      </c>
      <c r="C1684" s="1414">
        <v>1486.11</v>
      </c>
    </row>
    <row r="1685" spans="2:3" x14ac:dyDescent="0.35">
      <c r="B1685" s="1413">
        <v>46019</v>
      </c>
      <c r="C1685" s="1414">
        <v>1486.11</v>
      </c>
    </row>
    <row r="1686" spans="2:3" x14ac:dyDescent="0.35">
      <c r="B1686" s="1413">
        <v>46020</v>
      </c>
      <c r="C1686" s="1414">
        <v>1484.35</v>
      </c>
    </row>
    <row r="1687" spans="2:3" x14ac:dyDescent="0.35">
      <c r="B1687" s="1413">
        <v>46021</v>
      </c>
      <c r="C1687" s="1414">
        <v>1480.74</v>
      </c>
    </row>
    <row r="1688" spans="2:3" x14ac:dyDescent="0.35">
      <c r="B1688" s="1413">
        <v>46022</v>
      </c>
      <c r="C1688" s="1414">
        <v>1480.74</v>
      </c>
    </row>
    <row r="1689" spans="2:3" x14ac:dyDescent="0.35">
      <c r="B1689" s="1413">
        <v>46023</v>
      </c>
      <c r="C1689" s="1414">
        <v>1480.74</v>
      </c>
    </row>
    <row r="1690" spans="2:3" x14ac:dyDescent="0.35">
      <c r="B1690" s="1413">
        <v>46024</v>
      </c>
      <c r="C1690" s="1414">
        <v>1506.21</v>
      </c>
    </row>
    <row r="1691" spans="2:3" x14ac:dyDescent="0.35">
      <c r="B1691" s="1413">
        <v>46025</v>
      </c>
      <c r="C1691" s="1414">
        <v>1506.21</v>
      </c>
    </row>
    <row r="1692" spans="2:3" x14ac:dyDescent="0.35">
      <c r="B1692" s="1413">
        <v>46026</v>
      </c>
      <c r="C1692" s="1414">
        <v>1506.21</v>
      </c>
    </row>
    <row r="1693" spans="2:3" x14ac:dyDescent="0.35">
      <c r="B1693" s="1413">
        <v>46027</v>
      </c>
      <c r="C1693" s="1414">
        <v>1501.49</v>
      </c>
    </row>
    <row r="1694" spans="2:3" x14ac:dyDescent="0.35">
      <c r="B1694" s="1413">
        <v>46028</v>
      </c>
      <c r="C1694" s="1414">
        <v>1498.06</v>
      </c>
    </row>
    <row r="1695" spans="2:3" x14ac:dyDescent="0.35">
      <c r="B1695" s="1413">
        <v>46029</v>
      </c>
      <c r="C1695" s="1414">
        <v>1494.56</v>
      </c>
    </row>
    <row r="1696" spans="2:3" x14ac:dyDescent="0.35">
      <c r="B1696" s="1413">
        <v>46030</v>
      </c>
      <c r="C1696" s="1414">
        <v>1494.11</v>
      </c>
    </row>
    <row r="1697" spans="2:3" x14ac:dyDescent="0.35">
      <c r="B1697" s="1413">
        <v>46031</v>
      </c>
      <c r="C1697" s="1414">
        <v>1489.42</v>
      </c>
    </row>
    <row r="1698" spans="2:3" x14ac:dyDescent="0.35">
      <c r="B1698" s="1413">
        <v>46032</v>
      </c>
      <c r="C1698" s="1414">
        <v>1489.42</v>
      </c>
    </row>
    <row r="1699" spans="2:3" x14ac:dyDescent="0.35">
      <c r="B1699" s="1413">
        <v>46033</v>
      </c>
      <c r="C1699" s="1414">
        <v>1489.42</v>
      </c>
    </row>
    <row r="1700" spans="2:3" x14ac:dyDescent="0.35">
      <c r="B1700" s="1413">
        <v>46034</v>
      </c>
      <c r="C1700" s="1414">
        <v>1487.89</v>
      </c>
    </row>
    <row r="1701" spans="2:3" x14ac:dyDescent="0.35">
      <c r="B1701" s="1413">
        <v>46035</v>
      </c>
      <c r="C1701" s="1414">
        <v>1487.11</v>
      </c>
    </row>
    <row r="1702" spans="2:3" x14ac:dyDescent="0.35">
      <c r="B1702" s="1413">
        <v>46036</v>
      </c>
      <c r="C1702" s="1414">
        <v>1481.74</v>
      </c>
    </row>
    <row r="1703" spans="2:3" x14ac:dyDescent="0.35">
      <c r="B1703" s="1413">
        <v>46037</v>
      </c>
      <c r="C1703" s="1414">
        <v>1473.83</v>
      </c>
    </row>
    <row r="1704" spans="2:3" x14ac:dyDescent="0.35">
      <c r="B1704" s="1413">
        <v>46038</v>
      </c>
      <c r="C1704" s="1414">
        <v>1472.15</v>
      </c>
    </row>
    <row r="1705" spans="2:3" x14ac:dyDescent="0.35">
      <c r="B1705" s="1413">
        <v>46039</v>
      </c>
      <c r="C1705" s="1414">
        <v>1472.15</v>
      </c>
    </row>
    <row r="1706" spans="2:3" x14ac:dyDescent="0.35">
      <c r="B1706" s="1413">
        <v>46040</v>
      </c>
      <c r="C1706" s="1414">
        <v>1472.15</v>
      </c>
    </row>
    <row r="1707" spans="2:3" x14ac:dyDescent="0.35">
      <c r="B1707" s="1413">
        <v>46041</v>
      </c>
      <c r="C1707" s="1414">
        <v>1466.7</v>
      </c>
    </row>
    <row r="1708" spans="2:3" x14ac:dyDescent="0.35">
      <c r="B1708" s="1413">
        <v>46042</v>
      </c>
      <c r="C1708" s="1414">
        <v>1471.72</v>
      </c>
    </row>
    <row r="1709" spans="2:3" x14ac:dyDescent="0.35">
      <c r="B1709" s="1413">
        <v>46043</v>
      </c>
      <c r="C1709" s="1414">
        <v>1463.7</v>
      </c>
    </row>
    <row r="1710" spans="2:3" x14ac:dyDescent="0.35">
      <c r="B1710" s="1413">
        <v>46044</v>
      </c>
      <c r="C1710" s="1414">
        <v>1458.81</v>
      </c>
    </row>
    <row r="1711" spans="2:3" x14ac:dyDescent="0.35">
      <c r="B1711" s="1413">
        <v>46045</v>
      </c>
      <c r="C1711" s="1414">
        <v>1469.38</v>
      </c>
    </row>
    <row r="1712" spans="2:3" x14ac:dyDescent="0.35">
      <c r="B1712" s="1413">
        <v>46046</v>
      </c>
      <c r="C1712" s="1414">
        <v>1469.38</v>
      </c>
    </row>
    <row r="1713" spans="2:3" x14ac:dyDescent="0.35">
      <c r="B1713" s="1413">
        <v>46047</v>
      </c>
      <c r="C1713" s="1414">
        <v>1469.38</v>
      </c>
    </row>
    <row r="1714" spans="2:3" x14ac:dyDescent="0.35">
      <c r="B1714" s="1413">
        <v>46048</v>
      </c>
      <c r="C1714" s="1414">
        <v>1468.93</v>
      </c>
    </row>
    <row r="1715" spans="2:3" x14ac:dyDescent="0.35">
      <c r="B1715" s="1413">
        <v>46049</v>
      </c>
      <c r="C1715" s="1414">
        <v>1464.66</v>
      </c>
    </row>
    <row r="1716" spans="2:3" x14ac:dyDescent="0.35">
      <c r="B1716" s="1413">
        <v>46050</v>
      </c>
      <c r="C1716" s="1414">
        <v>1462.35</v>
      </c>
    </row>
    <row r="1717" spans="2:3" x14ac:dyDescent="0.35">
      <c r="B1717" s="1413">
        <v>46051</v>
      </c>
      <c r="C1717" s="1414">
        <v>1458.88</v>
      </c>
    </row>
    <row r="1718" spans="2:3" x14ac:dyDescent="0.35">
      <c r="B1718" s="1413">
        <v>46052</v>
      </c>
      <c r="C1718" s="1414">
        <v>1460.32</v>
      </c>
    </row>
    <row r="1719" spans="2:3" x14ac:dyDescent="0.35">
      <c r="B1719" s="1413">
        <v>46053</v>
      </c>
      <c r="C1719" s="1414">
        <v>1460.32</v>
      </c>
    </row>
    <row r="1720" spans="2:3" x14ac:dyDescent="0.35">
      <c r="B1720" s="1413">
        <v>46054</v>
      </c>
      <c r="C1720" s="1414">
        <v>1460.32</v>
      </c>
    </row>
    <row r="1721" spans="2:3" x14ac:dyDescent="0.35">
      <c r="B1721" s="1413">
        <v>46055</v>
      </c>
      <c r="C1721" s="1414">
        <v>1450.23</v>
      </c>
    </row>
    <row r="1722" spans="2:3" x14ac:dyDescent="0.35">
      <c r="B1722" s="1413">
        <v>46056</v>
      </c>
      <c r="C1722" s="1414">
        <v>1460.38</v>
      </c>
    </row>
    <row r="1723" spans="2:3" x14ac:dyDescent="0.35">
      <c r="B1723" s="1413">
        <v>46057</v>
      </c>
      <c r="C1723" s="1414">
        <v>1457.29</v>
      </c>
    </row>
    <row r="1724" spans="2:3" x14ac:dyDescent="0.35">
      <c r="B1724" s="1413">
        <v>46058</v>
      </c>
      <c r="C1724" s="1414">
        <v>1460.8</v>
      </c>
    </row>
    <row r="1725" spans="2:3" x14ac:dyDescent="0.35">
      <c r="B1725" s="1413">
        <v>46059</v>
      </c>
      <c r="C1725" s="1414">
        <v>1447.99</v>
      </c>
    </row>
    <row r="1726" spans="2:3" x14ac:dyDescent="0.35">
      <c r="B1726" s="1413">
        <v>46060</v>
      </c>
      <c r="C1726" s="1414">
        <v>1447.99</v>
      </c>
    </row>
    <row r="1727" spans="2:3" x14ac:dyDescent="0.35">
      <c r="B1727" s="1413">
        <v>46061</v>
      </c>
      <c r="C1727" s="1414">
        <v>1447.99</v>
      </c>
    </row>
    <row r="1728" spans="2:3" x14ac:dyDescent="0.35">
      <c r="B1728" s="1413">
        <v>46062</v>
      </c>
      <c r="C1728" s="1414">
        <v>1447.99</v>
      </c>
    </row>
    <row r="1729" spans="2:3" x14ac:dyDescent="0.35">
      <c r="B1729" s="1413">
        <v>46063</v>
      </c>
      <c r="C1729" s="1414">
        <v>1432.85</v>
      </c>
    </row>
    <row r="1730" spans="2:3" x14ac:dyDescent="0.35">
      <c r="B1730" s="1413">
        <v>46064</v>
      </c>
      <c r="C1730" s="1414">
        <v>1431.68</v>
      </c>
    </row>
    <row r="1731" spans="2:3" x14ac:dyDescent="0.35">
      <c r="B1731" s="1413">
        <v>46065</v>
      </c>
      <c r="C1731" s="1414">
        <v>1417.81</v>
      </c>
    </row>
    <row r="1732" spans="2:3" x14ac:dyDescent="0.35">
      <c r="B1732" s="1413">
        <v>46066</v>
      </c>
      <c r="C1732" s="1414">
        <v>1423.6</v>
      </c>
    </row>
    <row r="1733" spans="2:3" x14ac:dyDescent="0.35">
      <c r="B1733" s="1413">
        <v>46067</v>
      </c>
      <c r="C1733" s="1414">
        <v>1423.6</v>
      </c>
    </row>
    <row r="1734" spans="2:3" x14ac:dyDescent="0.35">
      <c r="B1734" s="1413">
        <v>46068</v>
      </c>
      <c r="C1734" s="1414">
        <v>1423.6</v>
      </c>
    </row>
    <row r="1735" spans="2:3" x14ac:dyDescent="0.35">
      <c r="B1735" s="1413">
        <v>46069</v>
      </c>
      <c r="C1735" s="1414">
        <v>1423.6</v>
      </c>
    </row>
    <row r="1736" spans="2:3" x14ac:dyDescent="0.35">
      <c r="B1736" s="1413">
        <v>46070</v>
      </c>
      <c r="C1736" s="1414">
        <v>1423.6</v>
      </c>
    </row>
    <row r="1737" spans="2:3" x14ac:dyDescent="0.35">
      <c r="B1737" s="1413">
        <v>46071</v>
      </c>
      <c r="C1737" s="1414">
        <v>1415.69</v>
      </c>
    </row>
    <row r="1738" spans="2:3" x14ac:dyDescent="0.35">
      <c r="B1738" s="1413">
        <v>46072</v>
      </c>
      <c r="C1738" s="1414">
        <v>1409.07</v>
      </c>
    </row>
    <row r="1739" spans="2:3" x14ac:dyDescent="0.35">
      <c r="B1739" s="1413">
        <v>46073</v>
      </c>
      <c r="C1739" s="1414">
        <v>1402.08</v>
      </c>
    </row>
    <row r="1740" spans="2:3" x14ac:dyDescent="0.35">
      <c r="B1740" s="1413">
        <v>46074</v>
      </c>
      <c r="C1740" s="1414">
        <v>1402.08</v>
      </c>
    </row>
    <row r="1741" spans="2:3" x14ac:dyDescent="0.35">
      <c r="B1741" s="1413">
        <v>46075</v>
      </c>
      <c r="C1741" s="1414">
        <v>1402.08</v>
      </c>
    </row>
    <row r="1742" spans="2:3" x14ac:dyDescent="0.35">
      <c r="B1742" s="1413">
        <v>46076</v>
      </c>
      <c r="C1742" s="1414">
        <v>1394.84</v>
      </c>
    </row>
    <row r="1743" spans="2:3" x14ac:dyDescent="0.35">
      <c r="B1743" s="1413">
        <v>46077</v>
      </c>
      <c r="C1743" s="1414">
        <v>1405.08</v>
      </c>
    </row>
    <row r="1744" spans="2:3" x14ac:dyDescent="0.35">
      <c r="B1744" s="1413">
        <v>46078</v>
      </c>
      <c r="C1744" s="1414">
        <v>1425.86</v>
      </c>
    </row>
    <row r="1745" spans="2:3" x14ac:dyDescent="0.35">
      <c r="B1745" s="1413">
        <v>46079</v>
      </c>
      <c r="C1745" s="1414">
        <v>1437.58</v>
      </c>
    </row>
    <row r="1746" spans="2:3" x14ac:dyDescent="0.35">
      <c r="B1746" s="1413">
        <v>46080</v>
      </c>
      <c r="C1746" s="1414">
        <v>1419.54</v>
      </c>
    </row>
    <row r="1747" spans="2:3" x14ac:dyDescent="0.35">
      <c r="B1747" s="1413">
        <v>46081</v>
      </c>
      <c r="C1747" s="1414">
        <v>1419.54</v>
      </c>
    </row>
    <row r="1748" spans="2:3" x14ac:dyDescent="0.35">
      <c r="B1748" s="1413">
        <v>46082</v>
      </c>
      <c r="C1748" s="1414">
        <v>1419.54</v>
      </c>
    </row>
    <row r="1749" spans="2:3" x14ac:dyDescent="0.35">
      <c r="B1749" s="1413">
        <v>46083</v>
      </c>
      <c r="C1749" s="1414">
        <v>1413.54</v>
      </c>
    </row>
    <row r="1750" spans="2:3" x14ac:dyDescent="0.35">
      <c r="B1750" s="1413">
        <v>46084</v>
      </c>
      <c r="C1750" s="1414">
        <v>1434.11</v>
      </c>
    </row>
    <row r="1751" spans="2:3" x14ac:dyDescent="0.35">
      <c r="B1751" s="1413">
        <v>46085</v>
      </c>
      <c r="C1751" s="1414">
        <v>1427.7</v>
      </c>
    </row>
    <row r="1752" spans="2:3" x14ac:dyDescent="0.35">
      <c r="B1752" s="1413">
        <v>46086</v>
      </c>
      <c r="C1752" s="1414">
        <v>1433.21</v>
      </c>
    </row>
    <row r="1753" spans="2:3" x14ac:dyDescent="0.35">
      <c r="B1753" s="1413">
        <v>46087</v>
      </c>
      <c r="C1753" s="1414">
        <v>1437.53</v>
      </c>
    </row>
    <row r="1754" spans="2:3" x14ac:dyDescent="0.35">
      <c r="B1754" s="1413">
        <v>46088</v>
      </c>
      <c r="C1754" s="1414">
        <v>1437.53</v>
      </c>
    </row>
    <row r="1755" spans="2:3" x14ac:dyDescent="0.35">
      <c r="B1755" s="1413">
        <v>46089</v>
      </c>
      <c r="C1755" s="1414">
        <v>1437.53</v>
      </c>
    </row>
    <row r="1756" spans="2:3" x14ac:dyDescent="0.35">
      <c r="B1756" s="1413">
        <v>46090</v>
      </c>
      <c r="C1756" s="1414">
        <v>1430.17</v>
      </c>
    </row>
    <row r="1757" spans="2:3" x14ac:dyDescent="0.35">
      <c r="B1757" s="1413">
        <v>46091</v>
      </c>
      <c r="C1757" s="1414">
        <v>1422.12</v>
      </c>
    </row>
    <row r="1758" spans="2:3" x14ac:dyDescent="0.35">
      <c r="B1758" s="1413">
        <v>46092</v>
      </c>
      <c r="C1758" s="1414">
        <v>1413.8</v>
      </c>
    </row>
    <row r="1759" spans="2:3" x14ac:dyDescent="0.35">
      <c r="B1759" s="1413">
        <v>46093</v>
      </c>
      <c r="C1759" s="1414">
        <v>1415.52</v>
      </c>
    </row>
    <row r="1760" spans="2:3" x14ac:dyDescent="0.35">
      <c r="B1760" s="1413">
        <v>46094</v>
      </c>
      <c r="C1760" s="1414">
        <v>1424.34</v>
      </c>
    </row>
    <row r="1761" spans="2:3" x14ac:dyDescent="0.35">
      <c r="B1761" s="1413">
        <v>46095</v>
      </c>
      <c r="C1761" s="1414">
        <v>1424.34</v>
      </c>
    </row>
    <row r="1762" spans="2:3" x14ac:dyDescent="0.35">
      <c r="B1762" s="1413">
        <v>46096</v>
      </c>
      <c r="C1762" s="1414">
        <v>1424.34</v>
      </c>
    </row>
    <row r="1763" spans="2:3" x14ac:dyDescent="0.35">
      <c r="B1763" s="1413">
        <v>46097</v>
      </c>
      <c r="C1763" s="1414">
        <v>1424.92</v>
      </c>
    </row>
    <row r="1764" spans="2:3" x14ac:dyDescent="0.35">
      <c r="B1764" s="1413">
        <v>46098</v>
      </c>
      <c r="C1764" s="1414">
        <v>1417.3</v>
      </c>
    </row>
    <row r="1765" spans="2:3" x14ac:dyDescent="0.35">
      <c r="B1765" s="1413">
        <v>46099</v>
      </c>
      <c r="C1765" s="1414">
        <v>1420.38</v>
      </c>
    </row>
    <row r="1766" spans="2:3" x14ac:dyDescent="0.35">
      <c r="B1766" s="1413">
        <v>46100</v>
      </c>
      <c r="C1766" s="1414">
        <v>1421.08</v>
      </c>
    </row>
    <row r="1767" spans="2:3" x14ac:dyDescent="0.35">
      <c r="B1767" s="1413">
        <v>46101</v>
      </c>
      <c r="C1767" s="1414">
        <v>1422.13</v>
      </c>
    </row>
    <row r="1768" spans="2:3" x14ac:dyDescent="0.35">
      <c r="B1768" s="1413">
        <v>46102</v>
      </c>
      <c r="C1768" s="1414">
        <v>1422.13</v>
      </c>
    </row>
    <row r="1769" spans="2:3" x14ac:dyDescent="0.35">
      <c r="B1769" s="1413">
        <v>46103</v>
      </c>
      <c r="C1769" s="1414">
        <v>1422.13</v>
      </c>
    </row>
    <row r="1770" spans="2:3" x14ac:dyDescent="0.35">
      <c r="B1770" s="1413">
        <v>46104</v>
      </c>
      <c r="C1770" s="1414">
        <v>1415.68</v>
      </c>
    </row>
    <row r="1771" spans="2:3" x14ac:dyDescent="0.35">
      <c r="B1771" s="1413">
        <v>46105</v>
      </c>
      <c r="C1771" s="1414">
        <v>1415.68</v>
      </c>
    </row>
    <row r="1772" spans="2:3" x14ac:dyDescent="0.35">
      <c r="B1772" s="1413">
        <v>46106</v>
      </c>
      <c r="C1772" s="1414">
        <v>1404.55</v>
      </c>
    </row>
    <row r="1773" spans="2:3" x14ac:dyDescent="0.35">
      <c r="B1773" s="1413">
        <v>46107</v>
      </c>
      <c r="C1773" s="1414">
        <v>1401.28</v>
      </c>
    </row>
    <row r="1774" spans="2:3" x14ac:dyDescent="0.35">
      <c r="B1774" s="1413">
        <v>46108</v>
      </c>
      <c r="C1774" s="1414">
        <v>1429.73</v>
      </c>
    </row>
    <row r="1775" spans="2:3" x14ac:dyDescent="0.35">
      <c r="B1775" s="1413">
        <v>46109</v>
      </c>
      <c r="C1775" s="1414">
        <v>1429.73</v>
      </c>
    </row>
    <row r="1776" spans="2:3" x14ac:dyDescent="0.35">
      <c r="B1776" s="1413">
        <v>46110</v>
      </c>
      <c r="C1776" s="1414">
        <v>1429.73</v>
      </c>
    </row>
    <row r="1777" spans="2:3" x14ac:dyDescent="0.35">
      <c r="B1777" s="1413">
        <v>46111</v>
      </c>
      <c r="C1777" s="1414">
        <v>1432.51</v>
      </c>
    </row>
    <row r="1778" spans="2:3" x14ac:dyDescent="0.35">
      <c r="B1778" s="1413">
        <v>46112</v>
      </c>
      <c r="C1778" s="1414">
        <v>1422.84</v>
      </c>
    </row>
    <row r="1779" spans="2:3" x14ac:dyDescent="0.35">
      <c r="B1779" s="1413">
        <v>46113</v>
      </c>
      <c r="C1779" s="1414">
        <v>1434.04</v>
      </c>
    </row>
    <row r="1780" spans="2:3" x14ac:dyDescent="0.35">
      <c r="B1780" s="1413">
        <v>46114</v>
      </c>
      <c r="C1780" s="1414">
        <v>1434.04</v>
      </c>
    </row>
    <row r="1781" spans="2:3" x14ac:dyDescent="0.35">
      <c r="B1781" s="1413">
        <v>46115</v>
      </c>
      <c r="C1781" s="1414">
        <v>1434.04</v>
      </c>
    </row>
    <row r="1782" spans="2:3" x14ac:dyDescent="0.35">
      <c r="B1782" s="1413">
        <v>46116</v>
      </c>
      <c r="C1782" s="1414">
        <v>1434.04</v>
      </c>
    </row>
    <row r="1783" spans="2:3" x14ac:dyDescent="0.35">
      <c r="B1783" s="1413">
        <v>46117</v>
      </c>
      <c r="C1783" s="1414">
        <v>1434.04</v>
      </c>
    </row>
    <row r="1784" spans="2:3" x14ac:dyDescent="0.35">
      <c r="B1784" s="1413">
        <v>46118</v>
      </c>
      <c r="C1784" s="1414">
        <v>1429.57</v>
      </c>
    </row>
    <row r="1785" spans="2:3" x14ac:dyDescent="0.35">
      <c r="B1785" s="1413">
        <v>46119</v>
      </c>
      <c r="C1785" s="1414">
        <v>1430.16</v>
      </c>
    </row>
    <row r="1786" spans="2:3" x14ac:dyDescent="0.35">
      <c r="B1786" s="1413">
        <v>46120</v>
      </c>
      <c r="C1786" s="1414">
        <v>1424.45</v>
      </c>
    </row>
    <row r="1787" spans="2:3" x14ac:dyDescent="0.35">
      <c r="B1787" s="1413">
        <v>46121</v>
      </c>
      <c r="C1787" s="1414">
        <v>1420.86</v>
      </c>
    </row>
    <row r="1788" spans="2:3" x14ac:dyDescent="0.35">
      <c r="B1788" s="1413">
        <v>46122</v>
      </c>
      <c r="C1788" s="1414">
        <v>1412.5</v>
      </c>
    </row>
    <row r="1789" spans="2:3" x14ac:dyDescent="0.35">
      <c r="B1789" s="1413">
        <v>46123</v>
      </c>
      <c r="C1789" s="1414">
        <v>1412.5</v>
      </c>
    </row>
    <row r="1790" spans="2:3" x14ac:dyDescent="0.35">
      <c r="B1790" s="1413">
        <v>46124</v>
      </c>
      <c r="C1790" s="1414">
        <v>1412.5</v>
      </c>
    </row>
    <row r="1791" spans="2:3" x14ac:dyDescent="0.35">
      <c r="B1791" s="1413">
        <v>46125</v>
      </c>
      <c r="C1791" s="1414">
        <v>1404.47</v>
      </c>
    </row>
    <row r="1792" spans="2:3" x14ac:dyDescent="0.35">
      <c r="B1792" s="1413">
        <v>46126</v>
      </c>
      <c r="C1792" s="1414">
        <v>1412.09</v>
      </c>
    </row>
    <row r="1793" spans="2:3" x14ac:dyDescent="0.35">
      <c r="B1793" s="1413">
        <v>46127</v>
      </c>
      <c r="C1793" s="1414">
        <v>1398.53</v>
      </c>
    </row>
    <row r="1794" spans="2:3" x14ac:dyDescent="0.35">
      <c r="B1794" s="1413">
        <v>46128</v>
      </c>
      <c r="C1794" s="1414">
        <v>1406.23</v>
      </c>
    </row>
    <row r="1795" spans="2:3" x14ac:dyDescent="0.35">
      <c r="B1795" s="1413">
        <v>46129</v>
      </c>
      <c r="C1795" s="1414">
        <v>1412.53</v>
      </c>
    </row>
    <row r="1796" spans="2:3" x14ac:dyDescent="0.35">
      <c r="B1796" s="1413">
        <v>46130</v>
      </c>
      <c r="C1796" s="1414">
        <v>1412.53</v>
      </c>
    </row>
    <row r="1797" spans="2:3" x14ac:dyDescent="0.35">
      <c r="B1797" s="1413">
        <v>46131</v>
      </c>
      <c r="C1797" s="1414">
        <v>1412.53</v>
      </c>
    </row>
    <row r="1798" spans="2:3" x14ac:dyDescent="0.35">
      <c r="B1798" s="1413">
        <v>46132</v>
      </c>
      <c r="C1798" s="1414">
        <v>1414.73</v>
      </c>
    </row>
    <row r="1799" spans="2:3" x14ac:dyDescent="0.35">
      <c r="B1799" s="1413">
        <v>46133</v>
      </c>
      <c r="C1799" s="1414">
        <v>1414.42</v>
      </c>
    </row>
    <row r="1800" spans="2:3" x14ac:dyDescent="0.35">
      <c r="B1800" s="1413">
        <v>46134</v>
      </c>
      <c r="C1800" s="1414">
        <v>1419.84</v>
      </c>
    </row>
    <row r="1801" spans="2:3" x14ac:dyDescent="0.35">
      <c r="B1801" s="1413">
        <v>46135</v>
      </c>
      <c r="C1801" s="1414">
        <v>1424.4</v>
      </c>
    </row>
    <row r="1802" spans="2:3" x14ac:dyDescent="0.35">
      <c r="B1802" s="1413">
        <v>46136</v>
      </c>
      <c r="C1802" s="1414">
        <v>1438.34</v>
      </c>
    </row>
    <row r="1803" spans="2:3" x14ac:dyDescent="0.35">
      <c r="B1803" s="1413">
        <v>46137</v>
      </c>
      <c r="C1803" s="1414">
        <v>1438.34</v>
      </c>
    </row>
    <row r="1804" spans="2:3" x14ac:dyDescent="0.35">
      <c r="B1804" s="1413">
        <v>46138</v>
      </c>
      <c r="C1804" s="1414">
        <v>1438.34</v>
      </c>
    </row>
    <row r="1805" spans="2:3" x14ac:dyDescent="0.35">
      <c r="B1805" s="1413">
        <v>46139</v>
      </c>
      <c r="C1805" s="1414">
        <v>1461.73</v>
      </c>
    </row>
    <row r="1806" spans="2:3" x14ac:dyDescent="0.35">
      <c r="B1806" s="1413">
        <v>46140</v>
      </c>
      <c r="C1806" s="1414">
        <v>1447.18</v>
      </c>
    </row>
    <row r="1807" spans="2:3" x14ac:dyDescent="0.35">
      <c r="B1807" s="1413">
        <v>46141</v>
      </c>
      <c r="C1807" s="1414">
        <v>1435.6</v>
      </c>
    </row>
    <row r="1808" spans="2:3" x14ac:dyDescent="0.35">
      <c r="B1808" s="1413">
        <v>46142</v>
      </c>
      <c r="C1808" s="1414">
        <v>1442.43</v>
      </c>
    </row>
    <row r="1809" spans="2:3" x14ac:dyDescent="0.35">
      <c r="B1809" s="1413"/>
      <c r="C1809" s="1414"/>
    </row>
    <row r="1810" spans="2:3" x14ac:dyDescent="0.35">
      <c r="B1810" s="1413"/>
      <c r="C1810" s="1414"/>
    </row>
    <row r="1811" spans="2:3" x14ac:dyDescent="0.35">
      <c r="B1811" s="1413"/>
      <c r="C1811" s="1414"/>
    </row>
  </sheetData>
  <mergeCells count="1">
    <mergeCell ref="B2:C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9645-7FF2-484F-B164-118C2F0F6B14}">
  <sheetPr codeName="Hoja9"/>
  <dimension ref="A1:C28"/>
  <sheetViews>
    <sheetView workbookViewId="0"/>
  </sheetViews>
  <sheetFormatPr defaultColWidth="11.453125" defaultRowHeight="14.5" x14ac:dyDescent="0.35"/>
  <cols>
    <col min="1" max="1" width="21" bestFit="1" customWidth="1"/>
  </cols>
  <sheetData>
    <row r="1" spans="1:3" x14ac:dyDescent="0.35">
      <c r="A1" s="65" t="s">
        <v>805</v>
      </c>
      <c r="C1" s="67" t="s">
        <v>60</v>
      </c>
    </row>
    <row r="2" spans="1:3" x14ac:dyDescent="0.35">
      <c r="A2" s="67" t="s">
        <v>53</v>
      </c>
      <c r="C2" s="67" t="s">
        <v>61</v>
      </c>
    </row>
    <row r="3" spans="1:3" x14ac:dyDescent="0.35">
      <c r="A3" s="67" t="s">
        <v>57</v>
      </c>
      <c r="C3" s="67"/>
    </row>
    <row r="4" spans="1:3" x14ac:dyDescent="0.35">
      <c r="A4" s="67" t="s">
        <v>54</v>
      </c>
      <c r="C4" s="67"/>
    </row>
    <row r="5" spans="1:3" x14ac:dyDescent="0.35">
      <c r="A5" s="67" t="s">
        <v>55</v>
      </c>
      <c r="C5" s="67"/>
    </row>
    <row r="6" spans="1:3" x14ac:dyDescent="0.35">
      <c r="A6" s="67" t="s">
        <v>56</v>
      </c>
    </row>
    <row r="7" spans="1:3" x14ac:dyDescent="0.35">
      <c r="A7" s="67" t="s">
        <v>58</v>
      </c>
    </row>
    <row r="8" spans="1:3" x14ac:dyDescent="0.35">
      <c r="A8" s="67" t="s">
        <v>59</v>
      </c>
    </row>
    <row r="9" spans="1:3" x14ac:dyDescent="0.35">
      <c r="A9" s="67" t="s">
        <v>62</v>
      </c>
    </row>
    <row r="10" spans="1:3" x14ac:dyDescent="0.35">
      <c r="A10" s="67" t="s">
        <v>63</v>
      </c>
    </row>
    <row r="11" spans="1:3" x14ac:dyDescent="0.35">
      <c r="A11" s="67" t="s">
        <v>806</v>
      </c>
    </row>
    <row r="12" spans="1:3" x14ac:dyDescent="0.35">
      <c r="A12" s="67" t="s">
        <v>65</v>
      </c>
    </row>
    <row r="13" spans="1:3" x14ac:dyDescent="0.35">
      <c r="A13" s="67" t="s">
        <v>64</v>
      </c>
    </row>
    <row r="14" spans="1:3" x14ac:dyDescent="0.35">
      <c r="A14" s="67" t="s">
        <v>66</v>
      </c>
    </row>
    <row r="15" spans="1:3" x14ac:dyDescent="0.35">
      <c r="A15" s="67" t="s">
        <v>67</v>
      </c>
    </row>
    <row r="16" spans="1:3" x14ac:dyDescent="0.35">
      <c r="A16" s="67" t="s">
        <v>131</v>
      </c>
    </row>
    <row r="17" spans="1:1" x14ac:dyDescent="0.35">
      <c r="A17" s="67" t="s">
        <v>69</v>
      </c>
    </row>
    <row r="18" spans="1:1" x14ac:dyDescent="0.35">
      <c r="A18" s="67" t="s">
        <v>130</v>
      </c>
    </row>
    <row r="19" spans="1:1" x14ac:dyDescent="0.35">
      <c r="A19" s="67" t="s">
        <v>68</v>
      </c>
    </row>
    <row r="20" spans="1:1" x14ac:dyDescent="0.35">
      <c r="A20" s="67" t="s">
        <v>132</v>
      </c>
    </row>
    <row r="21" spans="1:1" x14ac:dyDescent="0.35">
      <c r="A21" s="67" t="s">
        <v>807</v>
      </c>
    </row>
    <row r="22" spans="1:1" x14ac:dyDescent="0.35">
      <c r="A22" s="67" t="s">
        <v>808</v>
      </c>
    </row>
    <row r="23" spans="1:1" x14ac:dyDescent="0.35">
      <c r="A23" s="67" t="s">
        <v>809</v>
      </c>
    </row>
    <row r="24" spans="1:1" x14ac:dyDescent="0.35">
      <c r="A24" s="67"/>
    </row>
    <row r="25" spans="1:1" x14ac:dyDescent="0.35">
      <c r="A25" s="67"/>
    </row>
    <row r="26" spans="1:1" x14ac:dyDescent="0.35">
      <c r="A26" s="67"/>
    </row>
    <row r="27" spans="1:1" x14ac:dyDescent="0.35">
      <c r="A27" s="67"/>
    </row>
    <row r="28" spans="1:1" x14ac:dyDescent="0.35">
      <c r="A28" s="6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b8146b-4687-4c21-8073-28304239b282" xsi:nil="true"/>
    <lcf76f155ced4ddcb4097134ff3c332f xmlns="ab6a9574-441b-4d3f-8a90-150a156684c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9CEA585CBBC74FBBAE7EC15B2535DB" ma:contentTypeVersion="15" ma:contentTypeDescription="Crear nuevo documento." ma:contentTypeScope="" ma:versionID="474b61d5669b68012e3d1e6e947b14c3">
  <xsd:schema xmlns:xsd="http://www.w3.org/2001/XMLSchema" xmlns:xs="http://www.w3.org/2001/XMLSchema" xmlns:p="http://schemas.microsoft.com/office/2006/metadata/properties" xmlns:ns2="ab6a9574-441b-4d3f-8a90-150a156684ce" xmlns:ns3="2bb8146b-4687-4c21-8073-28304239b282" targetNamespace="http://schemas.microsoft.com/office/2006/metadata/properties" ma:root="true" ma:fieldsID="a656512dc2552b322f0f22619fc2ce3a" ns2:_="" ns3:_="">
    <xsd:import namespace="ab6a9574-441b-4d3f-8a90-150a156684ce"/>
    <xsd:import namespace="2bb8146b-4687-4c21-8073-28304239b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a9574-441b-4d3f-8a90-150a15668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8146b-4687-4c21-8073-28304239b28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fae0a55-0688-47a5-9a7f-e84b45e7d6a0}" ma:internalName="TaxCatchAll" ma:showField="CatchAllData" ma:web="2bb8146b-4687-4c21-8073-28304239b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842FF8-88A4-4F38-B0D1-D9603871B9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C1E32B-54FC-4418-B34C-16D54CB7E270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</ds:schemaRefs>
</ds:datastoreItem>
</file>

<file path=customXml/itemProps3.xml><?xml version="1.0" encoding="utf-8"?>
<ds:datastoreItem xmlns:ds="http://schemas.openxmlformats.org/officeDocument/2006/customXml" ds:itemID="{1150CD9A-110B-4870-87B5-7860A9AAD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a9574-441b-4d3f-8a90-150a156684ce"/>
    <ds:schemaRef ds:uri="2bb8146b-4687-4c21-8073-28304239b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32</vt:i4>
      </vt:variant>
    </vt:vector>
  </HeadingPairs>
  <TitlesOfParts>
    <vt:vector size="57" baseType="lpstr">
      <vt:lpstr>HOJA DE OBRA</vt:lpstr>
      <vt:lpstr>Resumen General</vt:lpstr>
      <vt:lpstr>Resumen Pto #1</vt:lpstr>
      <vt:lpstr>Certificados</vt:lpstr>
      <vt:lpstr>Facturacion</vt:lpstr>
      <vt:lpstr>Resumen Pto #2</vt:lpstr>
      <vt:lpstr>Cert. Pto. 01</vt:lpstr>
      <vt:lpstr>Cert. Pto. 02</vt:lpstr>
      <vt:lpstr>Cash Flow</vt:lpstr>
      <vt:lpstr>M.O. HOR</vt:lpstr>
      <vt:lpstr>M.O. ALB </vt:lpstr>
      <vt:lpstr>M.O. ELE</vt:lpstr>
      <vt:lpstr>M.O. PLOME</vt:lpstr>
      <vt:lpstr>Contratistas</vt:lpstr>
      <vt:lpstr>Preventivo Vta</vt:lpstr>
      <vt:lpstr>P. Costo</vt:lpstr>
      <vt:lpstr>01</vt:lpstr>
      <vt:lpstr>GGBB</vt:lpstr>
      <vt:lpstr>C. Gestión Pto #1</vt:lpstr>
      <vt:lpstr>C. Gestión Pto #2</vt:lpstr>
      <vt:lpstr>Indice CAC</vt:lpstr>
      <vt:lpstr>01 (2)</vt:lpstr>
      <vt:lpstr>Cta Cte GDR</vt:lpstr>
      <vt:lpstr>TC USD MEP</vt:lpstr>
      <vt:lpstr>Listas</vt:lpstr>
      <vt:lpstr>abr.25</vt:lpstr>
      <vt:lpstr>dic.24</vt:lpstr>
      <vt:lpstr>dic.25</vt:lpstr>
      <vt:lpstr>ene.25</vt:lpstr>
      <vt:lpstr>ene.26</vt:lpstr>
      <vt:lpstr>feb.25</vt:lpstr>
      <vt:lpstr>jul.25</vt:lpstr>
      <vt:lpstr>jun.25</vt:lpstr>
      <vt:lpstr>mar.25</vt:lpstr>
      <vt:lpstr>may.25</vt:lpstr>
      <vt:lpstr>nov.25</vt:lpstr>
      <vt:lpstr>oct.25</vt:lpstr>
      <vt:lpstr>'01'!Print_Area</vt:lpstr>
      <vt:lpstr>'01 (2)'!Print_Area</vt:lpstr>
      <vt:lpstr>'Cert. Pto. 01'!Print_Area</vt:lpstr>
      <vt:lpstr>'Cert. Pto. 02'!Print_Area</vt:lpstr>
      <vt:lpstr>Certificados!Print_Area</vt:lpstr>
      <vt:lpstr>'Cta Cte GDR'!Print_Area</vt:lpstr>
      <vt:lpstr>Facturacion!Print_Area</vt:lpstr>
      <vt:lpstr>'M.O. ALB '!Print_Area</vt:lpstr>
      <vt:lpstr>'M.O. ELE'!Print_Area</vt:lpstr>
      <vt:lpstr>'M.O. HOR'!Print_Area</vt:lpstr>
      <vt:lpstr>'M.O. PLOME'!Print_Area</vt:lpstr>
      <vt:lpstr>'P. Costo'!Print_Area</vt:lpstr>
      <vt:lpstr>'Preventivo Vta'!Print_Area</vt:lpstr>
      <vt:lpstr>'01'!Print_Titles</vt:lpstr>
      <vt:lpstr>'01 (2)'!Print_Titles</vt:lpstr>
      <vt:lpstr>'Cert. Pto. 01'!Print_Titles</vt:lpstr>
      <vt:lpstr>'Cert. Pto. 02'!Print_Titles</vt:lpstr>
      <vt:lpstr>'P. Costo'!Print_Titles</vt:lpstr>
      <vt:lpstr>'Preventivo Vta'!Print_Titles</vt:lpstr>
      <vt:lpstr>sep.25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Rebeca</dc:creator>
  <cp:keywords/>
  <dc:description/>
  <cp:lastModifiedBy>Pedro Pagliaricci</cp:lastModifiedBy>
  <cp:revision/>
  <cp:lastPrinted>2025-10-02T18:28:42Z</cp:lastPrinted>
  <dcterms:created xsi:type="dcterms:W3CDTF">2022-09-08T13:59:40Z</dcterms:created>
  <dcterms:modified xsi:type="dcterms:W3CDTF">2026-06-11T13:09:36Z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0x010100AE9CEA585CBBC74FBBAE7EC15B2535DB</vt:lpwstr>
  </property>
  <property fmtid="{D5CDD505-2E9C-101B-9397-08002B2CF9AE}" pid="3" name="MediaServiceImageTags">
    <vt:lpwstr/>
  </property>
</Properties>
</file>