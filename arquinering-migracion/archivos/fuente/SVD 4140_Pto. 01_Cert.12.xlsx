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ARQUINERING SRL\Oficina Tecnica - Documentos\1. Obras en Curso\12. SVD 4140\01. El Salvador 4140\09. Certificados de avance de obra\Pto 01 - Hormigón (finalizado)\"/>
    </mc:Choice>
  </mc:AlternateContent>
  <xr:revisionPtr revIDLastSave="0" documentId="13_ncr:1_{944C3A57-E2E7-4B2B-9C2C-06C4C450A075}" xr6:coauthVersionLast="47" xr6:coauthVersionMax="47" xr10:uidLastSave="{00000000-0000-0000-0000-000000000000}"/>
  <bookViews>
    <workbookView xWindow="-120" yWindow="-120" windowWidth="29040" windowHeight="15720" firstSheet="8" activeTab="11" xr2:uid="{250B93F4-F0FF-4613-A308-19649844FF57}"/>
  </bookViews>
  <sheets>
    <sheet name="SVD 4140_Pto. 01_Cert. 01" sheetId="6" r:id="rId1"/>
    <sheet name="SVD 4140_Pto. 01_Cert. 2" sheetId="7" r:id="rId2"/>
    <sheet name="SVD 4140_Pto. 01_Cert. 3" sheetId="8" r:id="rId3"/>
    <sheet name="SVD 4140_Pto. 01_Cert. 4" sheetId="11" r:id="rId4"/>
    <sheet name="SVD 4140_Pto. 01_Cert. 5" sheetId="12" r:id="rId5"/>
    <sheet name="SVD 4140_Pto. 01_Cert. 6" sheetId="13" r:id="rId6"/>
    <sheet name="SVD 4140_Pto. 01_Cert. 7" sheetId="14" r:id="rId7"/>
    <sheet name="SVD 4140_Pto. 01_Cert. 8" sheetId="15" r:id="rId8"/>
    <sheet name="SVD 4140_Pto. 01_Cert. 9" sheetId="16" r:id="rId9"/>
    <sheet name="SVD 4140_Pto. 01_Cert. 10" sheetId="17" r:id="rId10"/>
    <sheet name="SVD 4140_Pto. 01_Cert. 11" sheetId="18" r:id="rId11"/>
    <sheet name="SVD 4140_Pto. 01_Cert. 12" sheetId="19" r:id="rId12"/>
  </sheets>
  <definedNames>
    <definedName name="\0">#REF!</definedName>
    <definedName name="\c">#REF!</definedName>
    <definedName name="\E">#REF!</definedName>
    <definedName name="\i">#REF!</definedName>
    <definedName name="\j">#REF!</definedName>
    <definedName name="\m">#REF!</definedName>
    <definedName name="\P" localSheetId="0">#REF!</definedName>
    <definedName name="\P" localSheetId="9">#REF!</definedName>
    <definedName name="\P" localSheetId="10">#REF!</definedName>
    <definedName name="\P" localSheetId="11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6">#REF!</definedName>
    <definedName name="\P" localSheetId="7">#REF!</definedName>
    <definedName name="\P" localSheetId="8">#REF!</definedName>
    <definedName name="\P">#REF!</definedName>
    <definedName name="\r">#N/A</definedName>
    <definedName name="\x">#REF!</definedName>
    <definedName name="\z">#REF!</definedName>
    <definedName name="__________ben1" localSheetId="0">#REF!</definedName>
    <definedName name="__________ben1" localSheetId="9">#REF!</definedName>
    <definedName name="__________ben1" localSheetId="10">#REF!</definedName>
    <definedName name="__________ben1" localSheetId="11">#REF!</definedName>
    <definedName name="__________ben1" localSheetId="1">#REF!</definedName>
    <definedName name="__________ben1" localSheetId="2">#REF!</definedName>
    <definedName name="__________ben1" localSheetId="3">#REF!</definedName>
    <definedName name="__________ben1" localSheetId="4">#REF!</definedName>
    <definedName name="__________ben1" localSheetId="5">#REF!</definedName>
    <definedName name="__________ben1" localSheetId="6">#REF!</definedName>
    <definedName name="__________ben1" localSheetId="7">#REF!</definedName>
    <definedName name="__________ben1" localSheetId="8">#REF!</definedName>
    <definedName name="__________ben1">#REF!</definedName>
    <definedName name="__________ben10" localSheetId="0">#REF!</definedName>
    <definedName name="__________ben10" localSheetId="9">#REF!</definedName>
    <definedName name="__________ben10" localSheetId="10">#REF!</definedName>
    <definedName name="__________ben10" localSheetId="11">#REF!</definedName>
    <definedName name="__________ben10" localSheetId="1">#REF!</definedName>
    <definedName name="__________ben10" localSheetId="2">#REF!</definedName>
    <definedName name="__________ben10" localSheetId="3">#REF!</definedName>
    <definedName name="__________ben10" localSheetId="4">#REF!</definedName>
    <definedName name="__________ben10" localSheetId="5">#REF!</definedName>
    <definedName name="__________ben10" localSheetId="6">#REF!</definedName>
    <definedName name="__________ben10" localSheetId="7">#REF!</definedName>
    <definedName name="__________ben10" localSheetId="8">#REF!</definedName>
    <definedName name="__________ben10">#REF!</definedName>
    <definedName name="__________ben15" localSheetId="0">#REF!</definedName>
    <definedName name="__________ben15" localSheetId="9">#REF!</definedName>
    <definedName name="__________ben15" localSheetId="10">#REF!</definedName>
    <definedName name="__________ben15" localSheetId="11">#REF!</definedName>
    <definedName name="__________ben15" localSheetId="1">#REF!</definedName>
    <definedName name="__________ben15" localSheetId="2">#REF!</definedName>
    <definedName name="__________ben15" localSheetId="3">#REF!</definedName>
    <definedName name="__________ben15" localSheetId="4">#REF!</definedName>
    <definedName name="__________ben15" localSheetId="5">#REF!</definedName>
    <definedName name="__________ben15" localSheetId="6">#REF!</definedName>
    <definedName name="__________ben15" localSheetId="7">#REF!</definedName>
    <definedName name="__________ben15" localSheetId="8">#REF!</definedName>
    <definedName name="__________ben15">#REF!</definedName>
    <definedName name="__________BEN2">#REF!</definedName>
    <definedName name="__________ben20" localSheetId="0">#REF!</definedName>
    <definedName name="__________ben20" localSheetId="9">#REF!</definedName>
    <definedName name="__________ben20" localSheetId="10">#REF!</definedName>
    <definedName name="__________ben20" localSheetId="11">#REF!</definedName>
    <definedName name="__________ben20" localSheetId="1">#REF!</definedName>
    <definedName name="__________ben20" localSheetId="2">#REF!</definedName>
    <definedName name="__________ben20" localSheetId="3">#REF!</definedName>
    <definedName name="__________ben20" localSheetId="4">#REF!</definedName>
    <definedName name="__________ben20" localSheetId="5">#REF!</definedName>
    <definedName name="__________ben20" localSheetId="6">#REF!</definedName>
    <definedName name="__________ben20" localSheetId="7">#REF!</definedName>
    <definedName name="__________ben20" localSheetId="8">#REF!</definedName>
    <definedName name="__________ben20">#REF!</definedName>
    <definedName name="__________ben25" localSheetId="0">#REF!</definedName>
    <definedName name="__________ben25" localSheetId="9">#REF!</definedName>
    <definedName name="__________ben25" localSheetId="10">#REF!</definedName>
    <definedName name="__________ben25" localSheetId="11">#REF!</definedName>
    <definedName name="__________ben25" localSheetId="1">#REF!</definedName>
    <definedName name="__________ben25" localSheetId="2">#REF!</definedName>
    <definedName name="__________ben25" localSheetId="3">#REF!</definedName>
    <definedName name="__________ben25" localSheetId="4">#REF!</definedName>
    <definedName name="__________ben25" localSheetId="5">#REF!</definedName>
    <definedName name="__________ben25" localSheetId="6">#REF!</definedName>
    <definedName name="__________ben25" localSheetId="7">#REF!</definedName>
    <definedName name="__________ben25" localSheetId="8">#REF!</definedName>
    <definedName name="__________ben25">#REF!</definedName>
    <definedName name="__________BEN3" localSheetId="0">#REF!</definedName>
    <definedName name="__________BEN3" localSheetId="9">#REF!</definedName>
    <definedName name="__________BEN3" localSheetId="10">#REF!</definedName>
    <definedName name="__________BEN3" localSheetId="11">#REF!</definedName>
    <definedName name="__________BEN3" localSheetId="1">#REF!</definedName>
    <definedName name="__________BEN3" localSheetId="2">#REF!</definedName>
    <definedName name="__________BEN3" localSheetId="3">#REF!</definedName>
    <definedName name="__________BEN3" localSheetId="4">#REF!</definedName>
    <definedName name="__________BEN3" localSheetId="5">#REF!</definedName>
    <definedName name="__________BEN3" localSheetId="6">#REF!</definedName>
    <definedName name="__________BEN3" localSheetId="7">#REF!</definedName>
    <definedName name="__________BEN3" localSheetId="8">#REF!</definedName>
    <definedName name="__________BEN3">#REF!</definedName>
    <definedName name="__________BEN4" localSheetId="0">#REF!</definedName>
    <definedName name="__________BEN4" localSheetId="9">#REF!</definedName>
    <definedName name="__________BEN4" localSheetId="10">#REF!</definedName>
    <definedName name="__________BEN4" localSheetId="11">#REF!</definedName>
    <definedName name="__________BEN4" localSheetId="1">#REF!</definedName>
    <definedName name="__________BEN4" localSheetId="2">#REF!</definedName>
    <definedName name="__________BEN4" localSheetId="3">#REF!</definedName>
    <definedName name="__________BEN4" localSheetId="4">#REF!</definedName>
    <definedName name="__________BEN4" localSheetId="5">#REF!</definedName>
    <definedName name="__________BEN4" localSheetId="6">#REF!</definedName>
    <definedName name="__________BEN4" localSheetId="7">#REF!</definedName>
    <definedName name="__________BEN4" localSheetId="8">#REF!</definedName>
    <definedName name="__________BEN4">#REF!</definedName>
    <definedName name="__________ben5" localSheetId="0">#REF!</definedName>
    <definedName name="__________ben5" localSheetId="9">#REF!</definedName>
    <definedName name="__________ben5" localSheetId="10">#REF!</definedName>
    <definedName name="__________ben5" localSheetId="11">#REF!</definedName>
    <definedName name="__________ben5" localSheetId="1">#REF!</definedName>
    <definedName name="__________ben5" localSheetId="2">#REF!</definedName>
    <definedName name="__________ben5" localSheetId="3">#REF!</definedName>
    <definedName name="__________ben5" localSheetId="4">#REF!</definedName>
    <definedName name="__________ben5" localSheetId="5">#REF!</definedName>
    <definedName name="__________ben5" localSheetId="6">#REF!</definedName>
    <definedName name="__________ben5" localSheetId="7">#REF!</definedName>
    <definedName name="__________ben5" localSheetId="8">#REF!</definedName>
    <definedName name="__________ben5">#REF!</definedName>
    <definedName name="_________ben1" localSheetId="0">#REF!</definedName>
    <definedName name="_________ben1" localSheetId="9">#REF!</definedName>
    <definedName name="_________ben1" localSheetId="10">#REF!</definedName>
    <definedName name="_________ben1" localSheetId="11">#REF!</definedName>
    <definedName name="_________ben1" localSheetId="1">#REF!</definedName>
    <definedName name="_________ben1" localSheetId="2">#REF!</definedName>
    <definedName name="_________ben1" localSheetId="3">#REF!</definedName>
    <definedName name="_________ben1" localSheetId="4">#REF!</definedName>
    <definedName name="_________ben1" localSheetId="5">#REF!</definedName>
    <definedName name="_________ben1" localSheetId="6">#REF!</definedName>
    <definedName name="_________ben1" localSheetId="7">#REF!</definedName>
    <definedName name="_________ben1" localSheetId="8">#REF!</definedName>
    <definedName name="_________ben1">#REF!</definedName>
    <definedName name="_________ben10" localSheetId="0">#REF!</definedName>
    <definedName name="_________ben10" localSheetId="9">#REF!</definedName>
    <definedName name="_________ben10" localSheetId="10">#REF!</definedName>
    <definedName name="_________ben10" localSheetId="11">#REF!</definedName>
    <definedName name="_________ben10" localSheetId="1">#REF!</definedName>
    <definedName name="_________ben10" localSheetId="2">#REF!</definedName>
    <definedName name="_________ben10" localSheetId="3">#REF!</definedName>
    <definedName name="_________ben10" localSheetId="4">#REF!</definedName>
    <definedName name="_________ben10" localSheetId="5">#REF!</definedName>
    <definedName name="_________ben10" localSheetId="6">#REF!</definedName>
    <definedName name="_________ben10" localSheetId="7">#REF!</definedName>
    <definedName name="_________ben10" localSheetId="8">#REF!</definedName>
    <definedName name="_________ben10">#REF!</definedName>
    <definedName name="_________ben15" localSheetId="0">#REF!</definedName>
    <definedName name="_________ben15" localSheetId="9">#REF!</definedName>
    <definedName name="_________ben15" localSheetId="10">#REF!</definedName>
    <definedName name="_________ben15" localSheetId="11">#REF!</definedName>
    <definedName name="_________ben15" localSheetId="1">#REF!</definedName>
    <definedName name="_________ben15" localSheetId="2">#REF!</definedName>
    <definedName name="_________ben15" localSheetId="3">#REF!</definedName>
    <definedName name="_________ben15" localSheetId="4">#REF!</definedName>
    <definedName name="_________ben15" localSheetId="5">#REF!</definedName>
    <definedName name="_________ben15" localSheetId="6">#REF!</definedName>
    <definedName name="_________ben15" localSheetId="7">#REF!</definedName>
    <definedName name="_________ben15" localSheetId="8">#REF!</definedName>
    <definedName name="_________ben15">#REF!</definedName>
    <definedName name="_________BEN2">#REF!</definedName>
    <definedName name="_________ben20" localSheetId="0">#REF!</definedName>
    <definedName name="_________ben20" localSheetId="9">#REF!</definedName>
    <definedName name="_________ben20" localSheetId="10">#REF!</definedName>
    <definedName name="_________ben20" localSheetId="11">#REF!</definedName>
    <definedName name="_________ben20" localSheetId="1">#REF!</definedName>
    <definedName name="_________ben20" localSheetId="2">#REF!</definedName>
    <definedName name="_________ben20" localSheetId="3">#REF!</definedName>
    <definedName name="_________ben20" localSheetId="4">#REF!</definedName>
    <definedName name="_________ben20" localSheetId="5">#REF!</definedName>
    <definedName name="_________ben20" localSheetId="6">#REF!</definedName>
    <definedName name="_________ben20" localSheetId="7">#REF!</definedName>
    <definedName name="_________ben20" localSheetId="8">#REF!</definedName>
    <definedName name="_________ben20">#REF!</definedName>
    <definedName name="_________ben25" localSheetId="0">#REF!</definedName>
    <definedName name="_________ben25" localSheetId="9">#REF!</definedName>
    <definedName name="_________ben25" localSheetId="10">#REF!</definedName>
    <definedName name="_________ben25" localSheetId="11">#REF!</definedName>
    <definedName name="_________ben25" localSheetId="1">#REF!</definedName>
    <definedName name="_________ben25" localSheetId="2">#REF!</definedName>
    <definedName name="_________ben25" localSheetId="3">#REF!</definedName>
    <definedName name="_________ben25" localSheetId="4">#REF!</definedName>
    <definedName name="_________ben25" localSheetId="5">#REF!</definedName>
    <definedName name="_________ben25" localSheetId="6">#REF!</definedName>
    <definedName name="_________ben25" localSheetId="7">#REF!</definedName>
    <definedName name="_________ben25" localSheetId="8">#REF!</definedName>
    <definedName name="_________ben25">#REF!</definedName>
    <definedName name="_________BEN3" localSheetId="0">#REF!</definedName>
    <definedName name="_________BEN3" localSheetId="9">#REF!</definedName>
    <definedName name="_________BEN3" localSheetId="10">#REF!</definedName>
    <definedName name="_________BEN3" localSheetId="11">#REF!</definedName>
    <definedName name="_________BEN3" localSheetId="1">#REF!</definedName>
    <definedName name="_________BEN3" localSheetId="2">#REF!</definedName>
    <definedName name="_________BEN3" localSheetId="3">#REF!</definedName>
    <definedName name="_________BEN3" localSheetId="4">#REF!</definedName>
    <definedName name="_________BEN3" localSheetId="5">#REF!</definedName>
    <definedName name="_________BEN3" localSheetId="6">#REF!</definedName>
    <definedName name="_________BEN3" localSheetId="7">#REF!</definedName>
    <definedName name="_________BEN3" localSheetId="8">#REF!</definedName>
    <definedName name="_________BEN3">#REF!</definedName>
    <definedName name="_________BEN4" localSheetId="0">#REF!</definedName>
    <definedName name="_________BEN4" localSheetId="9">#REF!</definedName>
    <definedName name="_________BEN4" localSheetId="10">#REF!</definedName>
    <definedName name="_________BEN4" localSheetId="11">#REF!</definedName>
    <definedName name="_________BEN4" localSheetId="1">#REF!</definedName>
    <definedName name="_________BEN4" localSheetId="2">#REF!</definedName>
    <definedName name="_________BEN4" localSheetId="3">#REF!</definedName>
    <definedName name="_________BEN4" localSheetId="4">#REF!</definedName>
    <definedName name="_________BEN4" localSheetId="5">#REF!</definedName>
    <definedName name="_________BEN4" localSheetId="6">#REF!</definedName>
    <definedName name="_________BEN4" localSheetId="7">#REF!</definedName>
    <definedName name="_________BEN4" localSheetId="8">#REF!</definedName>
    <definedName name="_________BEN4">#REF!</definedName>
    <definedName name="_________ben5" localSheetId="0">#REF!</definedName>
    <definedName name="_________ben5" localSheetId="9">#REF!</definedName>
    <definedName name="_________ben5" localSheetId="10">#REF!</definedName>
    <definedName name="_________ben5" localSheetId="11">#REF!</definedName>
    <definedName name="_________ben5" localSheetId="1">#REF!</definedName>
    <definedName name="_________ben5" localSheetId="2">#REF!</definedName>
    <definedName name="_________ben5" localSheetId="3">#REF!</definedName>
    <definedName name="_________ben5" localSheetId="4">#REF!</definedName>
    <definedName name="_________ben5" localSheetId="5">#REF!</definedName>
    <definedName name="_________ben5" localSheetId="6">#REF!</definedName>
    <definedName name="_________ben5" localSheetId="7">#REF!</definedName>
    <definedName name="_________ben5" localSheetId="8">#REF!</definedName>
    <definedName name="_________ben5">#REF!</definedName>
    <definedName name="________ben1" localSheetId="0">#REF!</definedName>
    <definedName name="________ben1" localSheetId="9">#REF!</definedName>
    <definedName name="________ben1" localSheetId="10">#REF!</definedName>
    <definedName name="________ben1" localSheetId="11">#REF!</definedName>
    <definedName name="________ben1" localSheetId="1">#REF!</definedName>
    <definedName name="________ben1" localSheetId="2">#REF!</definedName>
    <definedName name="________ben1" localSheetId="3">#REF!</definedName>
    <definedName name="________ben1" localSheetId="4">#REF!</definedName>
    <definedName name="________ben1" localSheetId="5">#REF!</definedName>
    <definedName name="________ben1" localSheetId="6">#REF!</definedName>
    <definedName name="________ben1" localSheetId="7">#REF!</definedName>
    <definedName name="________ben1" localSheetId="8">#REF!</definedName>
    <definedName name="________ben1">#REF!</definedName>
    <definedName name="________ben10" localSheetId="0">#REF!</definedName>
    <definedName name="________ben10" localSheetId="9">#REF!</definedName>
    <definedName name="________ben10" localSheetId="10">#REF!</definedName>
    <definedName name="________ben10" localSheetId="11">#REF!</definedName>
    <definedName name="________ben10" localSheetId="1">#REF!</definedName>
    <definedName name="________ben10" localSheetId="2">#REF!</definedName>
    <definedName name="________ben10" localSheetId="3">#REF!</definedName>
    <definedName name="________ben10" localSheetId="4">#REF!</definedName>
    <definedName name="________ben10" localSheetId="5">#REF!</definedName>
    <definedName name="________ben10" localSheetId="6">#REF!</definedName>
    <definedName name="________ben10" localSheetId="7">#REF!</definedName>
    <definedName name="________ben10" localSheetId="8">#REF!</definedName>
    <definedName name="________ben10">#REF!</definedName>
    <definedName name="________ben15" localSheetId="0">#REF!</definedName>
    <definedName name="________ben15" localSheetId="9">#REF!</definedName>
    <definedName name="________ben15" localSheetId="10">#REF!</definedName>
    <definedName name="________ben15" localSheetId="11">#REF!</definedName>
    <definedName name="________ben15" localSheetId="1">#REF!</definedName>
    <definedName name="________ben15" localSheetId="2">#REF!</definedName>
    <definedName name="________ben15" localSheetId="3">#REF!</definedName>
    <definedName name="________ben15" localSheetId="4">#REF!</definedName>
    <definedName name="________ben15" localSheetId="5">#REF!</definedName>
    <definedName name="________ben15" localSheetId="6">#REF!</definedName>
    <definedName name="________ben15" localSheetId="7">#REF!</definedName>
    <definedName name="________ben15" localSheetId="8">#REF!</definedName>
    <definedName name="________ben15">#REF!</definedName>
    <definedName name="________BEN2">#REF!</definedName>
    <definedName name="________ben20" localSheetId="0">#REF!</definedName>
    <definedName name="________ben20" localSheetId="9">#REF!</definedName>
    <definedName name="________ben20" localSheetId="10">#REF!</definedName>
    <definedName name="________ben20" localSheetId="11">#REF!</definedName>
    <definedName name="________ben20" localSheetId="1">#REF!</definedName>
    <definedName name="________ben20" localSheetId="2">#REF!</definedName>
    <definedName name="________ben20" localSheetId="3">#REF!</definedName>
    <definedName name="________ben20" localSheetId="4">#REF!</definedName>
    <definedName name="________ben20" localSheetId="5">#REF!</definedName>
    <definedName name="________ben20" localSheetId="6">#REF!</definedName>
    <definedName name="________ben20" localSheetId="7">#REF!</definedName>
    <definedName name="________ben20" localSheetId="8">#REF!</definedName>
    <definedName name="________ben20">#REF!</definedName>
    <definedName name="________ben25" localSheetId="0">#REF!</definedName>
    <definedName name="________ben25" localSheetId="9">#REF!</definedName>
    <definedName name="________ben25" localSheetId="10">#REF!</definedName>
    <definedName name="________ben25" localSheetId="11">#REF!</definedName>
    <definedName name="________ben25" localSheetId="1">#REF!</definedName>
    <definedName name="________ben25" localSheetId="2">#REF!</definedName>
    <definedName name="________ben25" localSheetId="3">#REF!</definedName>
    <definedName name="________ben25" localSheetId="4">#REF!</definedName>
    <definedName name="________ben25" localSheetId="5">#REF!</definedName>
    <definedName name="________ben25" localSheetId="6">#REF!</definedName>
    <definedName name="________ben25" localSheetId="7">#REF!</definedName>
    <definedName name="________ben25" localSheetId="8">#REF!</definedName>
    <definedName name="________ben25">#REF!</definedName>
    <definedName name="________BEN3" localSheetId="0">#REF!</definedName>
    <definedName name="________BEN3" localSheetId="9">#REF!</definedName>
    <definedName name="________BEN3" localSheetId="10">#REF!</definedName>
    <definedName name="________BEN3" localSheetId="11">#REF!</definedName>
    <definedName name="________BEN3" localSheetId="1">#REF!</definedName>
    <definedName name="________BEN3" localSheetId="2">#REF!</definedName>
    <definedName name="________BEN3" localSheetId="3">#REF!</definedName>
    <definedName name="________BEN3" localSheetId="4">#REF!</definedName>
    <definedName name="________BEN3" localSheetId="5">#REF!</definedName>
    <definedName name="________BEN3" localSheetId="6">#REF!</definedName>
    <definedName name="________BEN3" localSheetId="7">#REF!</definedName>
    <definedName name="________BEN3" localSheetId="8">#REF!</definedName>
    <definedName name="________BEN3">#REF!</definedName>
    <definedName name="________BEN4" localSheetId="0">#REF!</definedName>
    <definedName name="________BEN4" localSheetId="9">#REF!</definedName>
    <definedName name="________BEN4" localSheetId="10">#REF!</definedName>
    <definedName name="________BEN4" localSheetId="11">#REF!</definedName>
    <definedName name="________BEN4" localSheetId="1">#REF!</definedName>
    <definedName name="________BEN4" localSheetId="2">#REF!</definedName>
    <definedName name="________BEN4" localSheetId="3">#REF!</definedName>
    <definedName name="________BEN4" localSheetId="4">#REF!</definedName>
    <definedName name="________BEN4" localSheetId="5">#REF!</definedName>
    <definedName name="________BEN4" localSheetId="6">#REF!</definedName>
    <definedName name="________BEN4" localSheetId="7">#REF!</definedName>
    <definedName name="________BEN4" localSheetId="8">#REF!</definedName>
    <definedName name="________BEN4">#REF!</definedName>
    <definedName name="________ben5" localSheetId="0">#REF!</definedName>
    <definedName name="________ben5" localSheetId="9">#REF!</definedName>
    <definedName name="________ben5" localSheetId="10">#REF!</definedName>
    <definedName name="________ben5" localSheetId="11">#REF!</definedName>
    <definedName name="________ben5" localSheetId="1">#REF!</definedName>
    <definedName name="________ben5" localSheetId="2">#REF!</definedName>
    <definedName name="________ben5" localSheetId="3">#REF!</definedName>
    <definedName name="________ben5" localSheetId="4">#REF!</definedName>
    <definedName name="________ben5" localSheetId="5">#REF!</definedName>
    <definedName name="________ben5" localSheetId="6">#REF!</definedName>
    <definedName name="________ben5" localSheetId="7">#REF!</definedName>
    <definedName name="________ben5" localSheetId="8">#REF!</definedName>
    <definedName name="________ben5">#REF!</definedName>
    <definedName name="________tu3" localSheetId="0">#REF!</definedName>
    <definedName name="________tu3" localSheetId="9">#REF!</definedName>
    <definedName name="________tu3" localSheetId="10">#REF!</definedName>
    <definedName name="________tu3" localSheetId="11">#REF!</definedName>
    <definedName name="________tu3" localSheetId="1">#REF!</definedName>
    <definedName name="________tu3" localSheetId="2">#REF!</definedName>
    <definedName name="________tu3" localSheetId="3">#REF!</definedName>
    <definedName name="________tu3" localSheetId="4">#REF!</definedName>
    <definedName name="________tu3" localSheetId="5">#REF!</definedName>
    <definedName name="________tu3" localSheetId="6">#REF!</definedName>
    <definedName name="________tu3" localSheetId="7">#REF!</definedName>
    <definedName name="________tu3" localSheetId="8">#REF!</definedName>
    <definedName name="________tu3">#REF!</definedName>
    <definedName name="_______ben1" localSheetId="0">#REF!</definedName>
    <definedName name="_______ben1" localSheetId="9">#REF!</definedName>
    <definedName name="_______ben1" localSheetId="10">#REF!</definedName>
    <definedName name="_______ben1" localSheetId="11">#REF!</definedName>
    <definedName name="_______ben1" localSheetId="1">#REF!</definedName>
    <definedName name="_______ben1" localSheetId="2">#REF!</definedName>
    <definedName name="_______ben1" localSheetId="3">#REF!</definedName>
    <definedName name="_______ben1" localSheetId="4">#REF!</definedName>
    <definedName name="_______ben1" localSheetId="5">#REF!</definedName>
    <definedName name="_______ben1" localSheetId="6">#REF!</definedName>
    <definedName name="_______ben1" localSheetId="7">#REF!</definedName>
    <definedName name="_______ben1" localSheetId="8">#REF!</definedName>
    <definedName name="_______ben1">#REF!</definedName>
    <definedName name="_______ben10" localSheetId="0">#REF!</definedName>
    <definedName name="_______ben10" localSheetId="9">#REF!</definedName>
    <definedName name="_______ben10" localSheetId="10">#REF!</definedName>
    <definedName name="_______ben10" localSheetId="11">#REF!</definedName>
    <definedName name="_______ben10" localSheetId="1">#REF!</definedName>
    <definedName name="_______ben10" localSheetId="2">#REF!</definedName>
    <definedName name="_______ben10" localSheetId="3">#REF!</definedName>
    <definedName name="_______ben10" localSheetId="4">#REF!</definedName>
    <definedName name="_______ben10" localSheetId="5">#REF!</definedName>
    <definedName name="_______ben10" localSheetId="6">#REF!</definedName>
    <definedName name="_______ben10" localSheetId="7">#REF!</definedName>
    <definedName name="_______ben10" localSheetId="8">#REF!</definedName>
    <definedName name="_______ben10">#REF!</definedName>
    <definedName name="_______ben15" localSheetId="0">#REF!</definedName>
    <definedName name="_______ben15" localSheetId="9">#REF!</definedName>
    <definedName name="_______ben15" localSheetId="10">#REF!</definedName>
    <definedName name="_______ben15" localSheetId="11">#REF!</definedName>
    <definedName name="_______ben15" localSheetId="1">#REF!</definedName>
    <definedName name="_______ben15" localSheetId="2">#REF!</definedName>
    <definedName name="_______ben15" localSheetId="3">#REF!</definedName>
    <definedName name="_______ben15" localSheetId="4">#REF!</definedName>
    <definedName name="_______ben15" localSheetId="5">#REF!</definedName>
    <definedName name="_______ben15" localSheetId="6">#REF!</definedName>
    <definedName name="_______ben15" localSheetId="7">#REF!</definedName>
    <definedName name="_______ben15" localSheetId="8">#REF!</definedName>
    <definedName name="_______ben15">#REF!</definedName>
    <definedName name="_______BEN2">#REF!</definedName>
    <definedName name="_______ben20" localSheetId="0">#REF!</definedName>
    <definedName name="_______ben20" localSheetId="9">#REF!</definedName>
    <definedName name="_______ben20" localSheetId="10">#REF!</definedName>
    <definedName name="_______ben20" localSheetId="11">#REF!</definedName>
    <definedName name="_______ben20" localSheetId="1">#REF!</definedName>
    <definedName name="_______ben20" localSheetId="2">#REF!</definedName>
    <definedName name="_______ben20" localSheetId="3">#REF!</definedName>
    <definedName name="_______ben20" localSheetId="4">#REF!</definedName>
    <definedName name="_______ben20" localSheetId="5">#REF!</definedName>
    <definedName name="_______ben20" localSheetId="6">#REF!</definedName>
    <definedName name="_______ben20" localSheetId="7">#REF!</definedName>
    <definedName name="_______ben20" localSheetId="8">#REF!</definedName>
    <definedName name="_______ben20">#REF!</definedName>
    <definedName name="_______ben25" localSheetId="0">#REF!</definedName>
    <definedName name="_______ben25" localSheetId="9">#REF!</definedName>
    <definedName name="_______ben25" localSheetId="10">#REF!</definedName>
    <definedName name="_______ben25" localSheetId="11">#REF!</definedName>
    <definedName name="_______ben25" localSheetId="1">#REF!</definedName>
    <definedName name="_______ben25" localSheetId="2">#REF!</definedName>
    <definedName name="_______ben25" localSheetId="3">#REF!</definedName>
    <definedName name="_______ben25" localSheetId="4">#REF!</definedName>
    <definedName name="_______ben25" localSheetId="5">#REF!</definedName>
    <definedName name="_______ben25" localSheetId="6">#REF!</definedName>
    <definedName name="_______ben25" localSheetId="7">#REF!</definedName>
    <definedName name="_______ben25" localSheetId="8">#REF!</definedName>
    <definedName name="_______ben25">#REF!</definedName>
    <definedName name="_______BEN3" localSheetId="0">#REF!</definedName>
    <definedName name="_______BEN3" localSheetId="9">#REF!</definedName>
    <definedName name="_______BEN3" localSheetId="10">#REF!</definedName>
    <definedName name="_______BEN3" localSheetId="11">#REF!</definedName>
    <definedName name="_______BEN3" localSheetId="1">#REF!</definedName>
    <definedName name="_______BEN3" localSheetId="2">#REF!</definedName>
    <definedName name="_______BEN3" localSheetId="3">#REF!</definedName>
    <definedName name="_______BEN3" localSheetId="4">#REF!</definedName>
    <definedName name="_______BEN3" localSheetId="5">#REF!</definedName>
    <definedName name="_______BEN3" localSheetId="6">#REF!</definedName>
    <definedName name="_______BEN3" localSheetId="7">#REF!</definedName>
    <definedName name="_______BEN3" localSheetId="8">#REF!</definedName>
    <definedName name="_______BEN3">#REF!</definedName>
    <definedName name="_______BEN4" localSheetId="0">#REF!</definedName>
    <definedName name="_______BEN4" localSheetId="9">#REF!</definedName>
    <definedName name="_______BEN4" localSheetId="10">#REF!</definedName>
    <definedName name="_______BEN4" localSheetId="11">#REF!</definedName>
    <definedName name="_______BEN4" localSheetId="1">#REF!</definedName>
    <definedName name="_______BEN4" localSheetId="2">#REF!</definedName>
    <definedName name="_______BEN4" localSheetId="3">#REF!</definedName>
    <definedName name="_______BEN4" localSheetId="4">#REF!</definedName>
    <definedName name="_______BEN4" localSheetId="5">#REF!</definedName>
    <definedName name="_______BEN4" localSheetId="6">#REF!</definedName>
    <definedName name="_______BEN4" localSheetId="7">#REF!</definedName>
    <definedName name="_______BEN4" localSheetId="8">#REF!</definedName>
    <definedName name="_______BEN4">#REF!</definedName>
    <definedName name="_______ben5" localSheetId="0">#REF!</definedName>
    <definedName name="_______ben5" localSheetId="9">#REF!</definedName>
    <definedName name="_______ben5" localSheetId="10">#REF!</definedName>
    <definedName name="_______ben5" localSheetId="11">#REF!</definedName>
    <definedName name="_______ben5" localSheetId="1">#REF!</definedName>
    <definedName name="_______ben5" localSheetId="2">#REF!</definedName>
    <definedName name="_______ben5" localSheetId="3">#REF!</definedName>
    <definedName name="_______ben5" localSheetId="4">#REF!</definedName>
    <definedName name="_______ben5" localSheetId="5">#REF!</definedName>
    <definedName name="_______ben5" localSheetId="6">#REF!</definedName>
    <definedName name="_______ben5" localSheetId="7">#REF!</definedName>
    <definedName name="_______ben5" localSheetId="8">#REF!</definedName>
    <definedName name="_______ben5">#REF!</definedName>
    <definedName name="_______tu3" localSheetId="0">#REF!</definedName>
    <definedName name="_______tu3" localSheetId="9">#REF!</definedName>
    <definedName name="_______tu3" localSheetId="10">#REF!</definedName>
    <definedName name="_______tu3" localSheetId="11">#REF!</definedName>
    <definedName name="_______tu3" localSheetId="1">#REF!</definedName>
    <definedName name="_______tu3" localSheetId="2">#REF!</definedName>
    <definedName name="_______tu3" localSheetId="3">#REF!</definedName>
    <definedName name="_______tu3" localSheetId="4">#REF!</definedName>
    <definedName name="_______tu3" localSheetId="5">#REF!</definedName>
    <definedName name="_______tu3" localSheetId="6">#REF!</definedName>
    <definedName name="_______tu3" localSheetId="7">#REF!</definedName>
    <definedName name="_______tu3" localSheetId="8">#REF!</definedName>
    <definedName name="_______tu3">#REF!</definedName>
    <definedName name="______ben1" localSheetId="0">#REF!</definedName>
    <definedName name="______ben1" localSheetId="9">#REF!</definedName>
    <definedName name="______ben1" localSheetId="10">#REF!</definedName>
    <definedName name="______ben1" localSheetId="11">#REF!</definedName>
    <definedName name="______ben1" localSheetId="1">#REF!</definedName>
    <definedName name="______ben1" localSheetId="2">#REF!</definedName>
    <definedName name="______ben1" localSheetId="3">#REF!</definedName>
    <definedName name="______ben1" localSheetId="4">#REF!</definedName>
    <definedName name="______ben1" localSheetId="5">#REF!</definedName>
    <definedName name="______ben1" localSheetId="6">#REF!</definedName>
    <definedName name="______ben1" localSheetId="7">#REF!</definedName>
    <definedName name="______ben1" localSheetId="8">#REF!</definedName>
    <definedName name="______ben1">#REF!</definedName>
    <definedName name="______ben10" localSheetId="0">#REF!</definedName>
    <definedName name="______ben10" localSheetId="9">#REF!</definedName>
    <definedName name="______ben10" localSheetId="10">#REF!</definedName>
    <definedName name="______ben10" localSheetId="11">#REF!</definedName>
    <definedName name="______ben10" localSheetId="1">#REF!</definedName>
    <definedName name="______ben10" localSheetId="2">#REF!</definedName>
    <definedName name="______ben10" localSheetId="3">#REF!</definedName>
    <definedName name="______ben10" localSheetId="4">#REF!</definedName>
    <definedName name="______ben10" localSheetId="5">#REF!</definedName>
    <definedName name="______ben10" localSheetId="6">#REF!</definedName>
    <definedName name="______ben10" localSheetId="7">#REF!</definedName>
    <definedName name="______ben10" localSheetId="8">#REF!</definedName>
    <definedName name="______ben10">#REF!</definedName>
    <definedName name="______ben15" localSheetId="0">#REF!</definedName>
    <definedName name="______ben15" localSheetId="9">#REF!</definedName>
    <definedName name="______ben15" localSheetId="10">#REF!</definedName>
    <definedName name="______ben15" localSheetId="11">#REF!</definedName>
    <definedName name="______ben15" localSheetId="1">#REF!</definedName>
    <definedName name="______ben15" localSheetId="2">#REF!</definedName>
    <definedName name="______ben15" localSheetId="3">#REF!</definedName>
    <definedName name="______ben15" localSheetId="4">#REF!</definedName>
    <definedName name="______ben15" localSheetId="5">#REF!</definedName>
    <definedName name="______ben15" localSheetId="6">#REF!</definedName>
    <definedName name="______ben15" localSheetId="7">#REF!</definedName>
    <definedName name="______ben15" localSheetId="8">#REF!</definedName>
    <definedName name="______ben15">#REF!</definedName>
    <definedName name="______BEN2">#REF!</definedName>
    <definedName name="______ben20" localSheetId="0">#REF!</definedName>
    <definedName name="______ben20" localSheetId="9">#REF!</definedName>
    <definedName name="______ben20" localSheetId="10">#REF!</definedName>
    <definedName name="______ben20" localSheetId="11">#REF!</definedName>
    <definedName name="______ben20" localSheetId="1">#REF!</definedName>
    <definedName name="______ben20" localSheetId="2">#REF!</definedName>
    <definedName name="______ben20" localSheetId="3">#REF!</definedName>
    <definedName name="______ben20" localSheetId="4">#REF!</definedName>
    <definedName name="______ben20" localSheetId="5">#REF!</definedName>
    <definedName name="______ben20" localSheetId="6">#REF!</definedName>
    <definedName name="______ben20" localSheetId="7">#REF!</definedName>
    <definedName name="______ben20" localSheetId="8">#REF!</definedName>
    <definedName name="______ben20">#REF!</definedName>
    <definedName name="______ben25" localSheetId="0">#REF!</definedName>
    <definedName name="______ben25" localSheetId="9">#REF!</definedName>
    <definedName name="______ben25" localSheetId="10">#REF!</definedName>
    <definedName name="______ben25" localSheetId="11">#REF!</definedName>
    <definedName name="______ben25" localSheetId="1">#REF!</definedName>
    <definedName name="______ben25" localSheetId="2">#REF!</definedName>
    <definedName name="______ben25" localSheetId="3">#REF!</definedName>
    <definedName name="______ben25" localSheetId="4">#REF!</definedName>
    <definedName name="______ben25" localSheetId="5">#REF!</definedName>
    <definedName name="______ben25" localSheetId="6">#REF!</definedName>
    <definedName name="______ben25" localSheetId="7">#REF!</definedName>
    <definedName name="______ben25" localSheetId="8">#REF!</definedName>
    <definedName name="______ben25">#REF!</definedName>
    <definedName name="______BEN3" localSheetId="0">#REF!</definedName>
    <definedName name="______BEN3" localSheetId="9">#REF!</definedName>
    <definedName name="______BEN3" localSheetId="10">#REF!</definedName>
    <definedName name="______BEN3" localSheetId="11">#REF!</definedName>
    <definedName name="______BEN3" localSheetId="1">#REF!</definedName>
    <definedName name="______BEN3" localSheetId="2">#REF!</definedName>
    <definedName name="______BEN3" localSheetId="3">#REF!</definedName>
    <definedName name="______BEN3" localSheetId="4">#REF!</definedName>
    <definedName name="______BEN3" localSheetId="5">#REF!</definedName>
    <definedName name="______BEN3" localSheetId="6">#REF!</definedName>
    <definedName name="______BEN3" localSheetId="7">#REF!</definedName>
    <definedName name="______BEN3" localSheetId="8">#REF!</definedName>
    <definedName name="______BEN3">#REF!</definedName>
    <definedName name="______BEN4" localSheetId="0">#REF!</definedName>
    <definedName name="______BEN4" localSheetId="9">#REF!</definedName>
    <definedName name="______BEN4" localSheetId="10">#REF!</definedName>
    <definedName name="______BEN4" localSheetId="11">#REF!</definedName>
    <definedName name="______BEN4" localSheetId="1">#REF!</definedName>
    <definedName name="______BEN4" localSheetId="2">#REF!</definedName>
    <definedName name="______BEN4" localSheetId="3">#REF!</definedName>
    <definedName name="______BEN4" localSheetId="4">#REF!</definedName>
    <definedName name="______BEN4" localSheetId="5">#REF!</definedName>
    <definedName name="______BEN4" localSheetId="6">#REF!</definedName>
    <definedName name="______BEN4" localSheetId="7">#REF!</definedName>
    <definedName name="______BEN4" localSheetId="8">#REF!</definedName>
    <definedName name="______BEN4">#REF!</definedName>
    <definedName name="______ben5" localSheetId="0">#REF!</definedName>
    <definedName name="______ben5" localSheetId="9">#REF!</definedName>
    <definedName name="______ben5" localSheetId="10">#REF!</definedName>
    <definedName name="______ben5" localSheetId="11">#REF!</definedName>
    <definedName name="______ben5" localSheetId="1">#REF!</definedName>
    <definedName name="______ben5" localSheetId="2">#REF!</definedName>
    <definedName name="______ben5" localSheetId="3">#REF!</definedName>
    <definedName name="______ben5" localSheetId="4">#REF!</definedName>
    <definedName name="______ben5" localSheetId="5">#REF!</definedName>
    <definedName name="______ben5" localSheetId="6">#REF!</definedName>
    <definedName name="______ben5" localSheetId="7">#REF!</definedName>
    <definedName name="______ben5" localSheetId="8">#REF!</definedName>
    <definedName name="______ben5">#REF!</definedName>
    <definedName name="______tu3" localSheetId="0">#REF!</definedName>
    <definedName name="______tu3" localSheetId="9">#REF!</definedName>
    <definedName name="______tu3" localSheetId="10">#REF!</definedName>
    <definedName name="______tu3" localSheetId="11">#REF!</definedName>
    <definedName name="______tu3" localSheetId="1">#REF!</definedName>
    <definedName name="______tu3" localSheetId="2">#REF!</definedName>
    <definedName name="______tu3" localSheetId="3">#REF!</definedName>
    <definedName name="______tu3" localSheetId="4">#REF!</definedName>
    <definedName name="______tu3" localSheetId="5">#REF!</definedName>
    <definedName name="______tu3" localSheetId="6">#REF!</definedName>
    <definedName name="______tu3" localSheetId="7">#REF!</definedName>
    <definedName name="______tu3" localSheetId="8">#REF!</definedName>
    <definedName name="______tu3">#REF!</definedName>
    <definedName name="_____ben1" localSheetId="0">#REF!</definedName>
    <definedName name="_____ben1" localSheetId="9">#REF!</definedName>
    <definedName name="_____ben1" localSheetId="10">#REF!</definedName>
    <definedName name="_____ben1" localSheetId="11">#REF!</definedName>
    <definedName name="_____ben1" localSheetId="1">#REF!</definedName>
    <definedName name="_____ben1" localSheetId="2">#REF!</definedName>
    <definedName name="_____ben1" localSheetId="3">#REF!</definedName>
    <definedName name="_____ben1" localSheetId="4">#REF!</definedName>
    <definedName name="_____ben1" localSheetId="5">#REF!</definedName>
    <definedName name="_____ben1" localSheetId="6">#REF!</definedName>
    <definedName name="_____ben1" localSheetId="7">#REF!</definedName>
    <definedName name="_____ben1" localSheetId="8">#REF!</definedName>
    <definedName name="_____ben1">#REF!</definedName>
    <definedName name="_____ben10" localSheetId="0">#REF!</definedName>
    <definedName name="_____ben10" localSheetId="9">#REF!</definedName>
    <definedName name="_____ben10" localSheetId="10">#REF!</definedName>
    <definedName name="_____ben10" localSheetId="11">#REF!</definedName>
    <definedName name="_____ben10" localSheetId="1">#REF!</definedName>
    <definedName name="_____ben10" localSheetId="2">#REF!</definedName>
    <definedName name="_____ben10" localSheetId="3">#REF!</definedName>
    <definedName name="_____ben10" localSheetId="4">#REF!</definedName>
    <definedName name="_____ben10" localSheetId="5">#REF!</definedName>
    <definedName name="_____ben10" localSheetId="6">#REF!</definedName>
    <definedName name="_____ben10" localSheetId="7">#REF!</definedName>
    <definedName name="_____ben10" localSheetId="8">#REF!</definedName>
    <definedName name="_____ben10">#REF!</definedName>
    <definedName name="_____ben15" localSheetId="0">#REF!</definedName>
    <definedName name="_____ben15" localSheetId="9">#REF!</definedName>
    <definedName name="_____ben15" localSheetId="10">#REF!</definedName>
    <definedName name="_____ben15" localSheetId="11">#REF!</definedName>
    <definedName name="_____ben15" localSheetId="1">#REF!</definedName>
    <definedName name="_____ben15" localSheetId="2">#REF!</definedName>
    <definedName name="_____ben15" localSheetId="3">#REF!</definedName>
    <definedName name="_____ben15" localSheetId="4">#REF!</definedName>
    <definedName name="_____ben15" localSheetId="5">#REF!</definedName>
    <definedName name="_____ben15" localSheetId="6">#REF!</definedName>
    <definedName name="_____ben15" localSheetId="7">#REF!</definedName>
    <definedName name="_____ben15" localSheetId="8">#REF!</definedName>
    <definedName name="_____ben15">#REF!</definedName>
    <definedName name="_____BEN2">#REF!</definedName>
    <definedName name="_____ben20" localSheetId="0">#REF!</definedName>
    <definedName name="_____ben20" localSheetId="9">#REF!</definedName>
    <definedName name="_____ben20" localSheetId="10">#REF!</definedName>
    <definedName name="_____ben20" localSheetId="11">#REF!</definedName>
    <definedName name="_____ben20" localSheetId="1">#REF!</definedName>
    <definedName name="_____ben20" localSheetId="2">#REF!</definedName>
    <definedName name="_____ben20" localSheetId="3">#REF!</definedName>
    <definedName name="_____ben20" localSheetId="4">#REF!</definedName>
    <definedName name="_____ben20" localSheetId="5">#REF!</definedName>
    <definedName name="_____ben20" localSheetId="6">#REF!</definedName>
    <definedName name="_____ben20" localSheetId="7">#REF!</definedName>
    <definedName name="_____ben20" localSheetId="8">#REF!</definedName>
    <definedName name="_____ben20">#REF!</definedName>
    <definedName name="_____ben25" localSheetId="0">#REF!</definedName>
    <definedName name="_____ben25" localSheetId="9">#REF!</definedName>
    <definedName name="_____ben25" localSheetId="10">#REF!</definedName>
    <definedName name="_____ben25" localSheetId="11">#REF!</definedName>
    <definedName name="_____ben25" localSheetId="1">#REF!</definedName>
    <definedName name="_____ben25" localSheetId="2">#REF!</definedName>
    <definedName name="_____ben25" localSheetId="3">#REF!</definedName>
    <definedName name="_____ben25" localSheetId="4">#REF!</definedName>
    <definedName name="_____ben25" localSheetId="5">#REF!</definedName>
    <definedName name="_____ben25" localSheetId="6">#REF!</definedName>
    <definedName name="_____ben25" localSheetId="7">#REF!</definedName>
    <definedName name="_____ben25" localSheetId="8">#REF!</definedName>
    <definedName name="_____ben25">#REF!</definedName>
    <definedName name="_____BEN3" localSheetId="0">#REF!</definedName>
    <definedName name="_____BEN3" localSheetId="9">#REF!</definedName>
    <definedName name="_____BEN3" localSheetId="10">#REF!</definedName>
    <definedName name="_____BEN3" localSheetId="11">#REF!</definedName>
    <definedName name="_____BEN3" localSheetId="1">#REF!</definedName>
    <definedName name="_____BEN3" localSheetId="2">#REF!</definedName>
    <definedName name="_____BEN3" localSheetId="3">#REF!</definedName>
    <definedName name="_____BEN3" localSheetId="4">#REF!</definedName>
    <definedName name="_____BEN3" localSheetId="5">#REF!</definedName>
    <definedName name="_____BEN3" localSheetId="6">#REF!</definedName>
    <definedName name="_____BEN3" localSheetId="7">#REF!</definedName>
    <definedName name="_____BEN3" localSheetId="8">#REF!</definedName>
    <definedName name="_____BEN3">#REF!</definedName>
    <definedName name="_____BEN4" localSheetId="0">#REF!</definedName>
    <definedName name="_____BEN4" localSheetId="9">#REF!</definedName>
    <definedName name="_____BEN4" localSheetId="10">#REF!</definedName>
    <definedName name="_____BEN4" localSheetId="11">#REF!</definedName>
    <definedName name="_____BEN4" localSheetId="1">#REF!</definedName>
    <definedName name="_____BEN4" localSheetId="2">#REF!</definedName>
    <definedName name="_____BEN4" localSheetId="3">#REF!</definedName>
    <definedName name="_____BEN4" localSheetId="4">#REF!</definedName>
    <definedName name="_____BEN4" localSheetId="5">#REF!</definedName>
    <definedName name="_____BEN4" localSheetId="6">#REF!</definedName>
    <definedName name="_____BEN4" localSheetId="7">#REF!</definedName>
    <definedName name="_____BEN4" localSheetId="8">#REF!</definedName>
    <definedName name="_____BEN4">#REF!</definedName>
    <definedName name="_____ben5" localSheetId="0">#REF!</definedName>
    <definedName name="_____ben5" localSheetId="9">#REF!</definedName>
    <definedName name="_____ben5" localSheetId="10">#REF!</definedName>
    <definedName name="_____ben5" localSheetId="11">#REF!</definedName>
    <definedName name="_____ben5" localSheetId="1">#REF!</definedName>
    <definedName name="_____ben5" localSheetId="2">#REF!</definedName>
    <definedName name="_____ben5" localSheetId="3">#REF!</definedName>
    <definedName name="_____ben5" localSheetId="4">#REF!</definedName>
    <definedName name="_____ben5" localSheetId="5">#REF!</definedName>
    <definedName name="_____ben5" localSheetId="6">#REF!</definedName>
    <definedName name="_____ben5" localSheetId="7">#REF!</definedName>
    <definedName name="_____ben5" localSheetId="8">#REF!</definedName>
    <definedName name="_____ben5">#REF!</definedName>
    <definedName name="_____tu3" localSheetId="0">#REF!</definedName>
    <definedName name="_____tu3" localSheetId="9">#REF!</definedName>
    <definedName name="_____tu3" localSheetId="10">#REF!</definedName>
    <definedName name="_____tu3" localSheetId="11">#REF!</definedName>
    <definedName name="_____tu3" localSheetId="1">#REF!</definedName>
    <definedName name="_____tu3" localSheetId="2">#REF!</definedName>
    <definedName name="_____tu3" localSheetId="3">#REF!</definedName>
    <definedName name="_____tu3" localSheetId="4">#REF!</definedName>
    <definedName name="_____tu3" localSheetId="5">#REF!</definedName>
    <definedName name="_____tu3" localSheetId="6">#REF!</definedName>
    <definedName name="_____tu3" localSheetId="7">#REF!</definedName>
    <definedName name="_____tu3" localSheetId="8">#REF!</definedName>
    <definedName name="_____tu3">#REF!</definedName>
    <definedName name="____ben1" localSheetId="0">#REF!</definedName>
    <definedName name="____ben1" localSheetId="9">#REF!</definedName>
    <definedName name="____ben1" localSheetId="10">#REF!</definedName>
    <definedName name="____ben1" localSheetId="11">#REF!</definedName>
    <definedName name="____ben1" localSheetId="1">#REF!</definedName>
    <definedName name="____ben1" localSheetId="2">#REF!</definedName>
    <definedName name="____ben1" localSheetId="3">#REF!</definedName>
    <definedName name="____ben1" localSheetId="4">#REF!</definedName>
    <definedName name="____ben1" localSheetId="5">#REF!</definedName>
    <definedName name="____ben1" localSheetId="6">#REF!</definedName>
    <definedName name="____ben1" localSheetId="7">#REF!</definedName>
    <definedName name="____ben1" localSheetId="8">#REF!</definedName>
    <definedName name="____ben1">#REF!</definedName>
    <definedName name="____ben10" localSheetId="0">#REF!</definedName>
    <definedName name="____ben10" localSheetId="9">#REF!</definedName>
    <definedName name="____ben10" localSheetId="10">#REF!</definedName>
    <definedName name="____ben10" localSheetId="11">#REF!</definedName>
    <definedName name="____ben10" localSheetId="1">#REF!</definedName>
    <definedName name="____ben10" localSheetId="2">#REF!</definedName>
    <definedName name="____ben10" localSheetId="3">#REF!</definedName>
    <definedName name="____ben10" localSheetId="4">#REF!</definedName>
    <definedName name="____ben10" localSheetId="5">#REF!</definedName>
    <definedName name="____ben10" localSheetId="6">#REF!</definedName>
    <definedName name="____ben10" localSheetId="7">#REF!</definedName>
    <definedName name="____ben10" localSheetId="8">#REF!</definedName>
    <definedName name="____ben10">#REF!</definedName>
    <definedName name="____ben15" localSheetId="0">#REF!</definedName>
    <definedName name="____ben15" localSheetId="9">#REF!</definedName>
    <definedName name="____ben15" localSheetId="10">#REF!</definedName>
    <definedName name="____ben15" localSheetId="11">#REF!</definedName>
    <definedName name="____ben15" localSheetId="1">#REF!</definedName>
    <definedName name="____ben15" localSheetId="2">#REF!</definedName>
    <definedName name="____ben15" localSheetId="3">#REF!</definedName>
    <definedName name="____ben15" localSheetId="4">#REF!</definedName>
    <definedName name="____ben15" localSheetId="5">#REF!</definedName>
    <definedName name="____ben15" localSheetId="6">#REF!</definedName>
    <definedName name="____ben15" localSheetId="7">#REF!</definedName>
    <definedName name="____ben15" localSheetId="8">#REF!</definedName>
    <definedName name="____ben15">#REF!</definedName>
    <definedName name="____BEN2">#REF!</definedName>
    <definedName name="____ben20" localSheetId="0">#REF!</definedName>
    <definedName name="____ben20" localSheetId="9">#REF!</definedName>
    <definedName name="____ben20" localSheetId="10">#REF!</definedName>
    <definedName name="____ben20" localSheetId="11">#REF!</definedName>
    <definedName name="____ben20" localSheetId="1">#REF!</definedName>
    <definedName name="____ben20" localSheetId="2">#REF!</definedName>
    <definedName name="____ben20" localSheetId="3">#REF!</definedName>
    <definedName name="____ben20" localSheetId="4">#REF!</definedName>
    <definedName name="____ben20" localSheetId="5">#REF!</definedName>
    <definedName name="____ben20" localSheetId="6">#REF!</definedName>
    <definedName name="____ben20" localSheetId="7">#REF!</definedName>
    <definedName name="____ben20" localSheetId="8">#REF!</definedName>
    <definedName name="____ben20">#REF!</definedName>
    <definedName name="____ben25" localSheetId="0">#REF!</definedName>
    <definedName name="____ben25" localSheetId="9">#REF!</definedName>
    <definedName name="____ben25" localSheetId="10">#REF!</definedName>
    <definedName name="____ben25" localSheetId="11">#REF!</definedName>
    <definedName name="____ben25" localSheetId="1">#REF!</definedName>
    <definedName name="____ben25" localSheetId="2">#REF!</definedName>
    <definedName name="____ben25" localSheetId="3">#REF!</definedName>
    <definedName name="____ben25" localSheetId="4">#REF!</definedName>
    <definedName name="____ben25" localSheetId="5">#REF!</definedName>
    <definedName name="____ben25" localSheetId="6">#REF!</definedName>
    <definedName name="____ben25" localSheetId="7">#REF!</definedName>
    <definedName name="____ben25" localSheetId="8">#REF!</definedName>
    <definedName name="____ben25">#REF!</definedName>
    <definedName name="____BEN3" localSheetId="0">#REF!</definedName>
    <definedName name="____BEN3" localSheetId="9">#REF!</definedName>
    <definedName name="____BEN3" localSheetId="10">#REF!</definedName>
    <definedName name="____BEN3" localSheetId="11">#REF!</definedName>
    <definedName name="____BEN3" localSheetId="1">#REF!</definedName>
    <definedName name="____BEN3" localSheetId="2">#REF!</definedName>
    <definedName name="____BEN3" localSheetId="3">#REF!</definedName>
    <definedName name="____BEN3" localSheetId="4">#REF!</definedName>
    <definedName name="____BEN3" localSheetId="5">#REF!</definedName>
    <definedName name="____BEN3" localSheetId="6">#REF!</definedName>
    <definedName name="____BEN3" localSheetId="7">#REF!</definedName>
    <definedName name="____BEN3" localSheetId="8">#REF!</definedName>
    <definedName name="____BEN3">#REF!</definedName>
    <definedName name="____BEN4" localSheetId="0">#REF!</definedName>
    <definedName name="____BEN4" localSheetId="9">#REF!</definedName>
    <definedName name="____BEN4" localSheetId="10">#REF!</definedName>
    <definedName name="____BEN4" localSheetId="11">#REF!</definedName>
    <definedName name="____BEN4" localSheetId="1">#REF!</definedName>
    <definedName name="____BEN4" localSheetId="2">#REF!</definedName>
    <definedName name="____BEN4" localSheetId="3">#REF!</definedName>
    <definedName name="____BEN4" localSheetId="4">#REF!</definedName>
    <definedName name="____BEN4" localSheetId="5">#REF!</definedName>
    <definedName name="____BEN4" localSheetId="6">#REF!</definedName>
    <definedName name="____BEN4" localSheetId="7">#REF!</definedName>
    <definedName name="____BEN4" localSheetId="8">#REF!</definedName>
    <definedName name="____BEN4">#REF!</definedName>
    <definedName name="____ben5" localSheetId="0">#REF!</definedName>
    <definedName name="____ben5" localSheetId="9">#REF!</definedName>
    <definedName name="____ben5" localSheetId="10">#REF!</definedName>
    <definedName name="____ben5" localSheetId="11">#REF!</definedName>
    <definedName name="____ben5" localSheetId="1">#REF!</definedName>
    <definedName name="____ben5" localSheetId="2">#REF!</definedName>
    <definedName name="____ben5" localSheetId="3">#REF!</definedName>
    <definedName name="____ben5" localSheetId="4">#REF!</definedName>
    <definedName name="____ben5" localSheetId="5">#REF!</definedName>
    <definedName name="____ben5" localSheetId="6">#REF!</definedName>
    <definedName name="____ben5" localSheetId="7">#REF!</definedName>
    <definedName name="____ben5" localSheetId="8">#REF!</definedName>
    <definedName name="____ben5">#REF!</definedName>
    <definedName name="____tu3" localSheetId="0">#REF!</definedName>
    <definedName name="____tu3" localSheetId="9">#REF!</definedName>
    <definedName name="____tu3" localSheetId="10">#REF!</definedName>
    <definedName name="____tu3" localSheetId="11">#REF!</definedName>
    <definedName name="____tu3" localSheetId="1">#REF!</definedName>
    <definedName name="____tu3" localSheetId="2">#REF!</definedName>
    <definedName name="____tu3" localSheetId="3">#REF!</definedName>
    <definedName name="____tu3" localSheetId="4">#REF!</definedName>
    <definedName name="____tu3" localSheetId="5">#REF!</definedName>
    <definedName name="____tu3" localSheetId="6">#REF!</definedName>
    <definedName name="____tu3" localSheetId="7">#REF!</definedName>
    <definedName name="____tu3" localSheetId="8">#REF!</definedName>
    <definedName name="____tu3">#REF!</definedName>
    <definedName name="___ben1" localSheetId="0">#REF!</definedName>
    <definedName name="___ben1" localSheetId="9">#REF!</definedName>
    <definedName name="___ben1" localSheetId="10">#REF!</definedName>
    <definedName name="___ben1" localSheetId="11">#REF!</definedName>
    <definedName name="___ben1" localSheetId="1">#REF!</definedName>
    <definedName name="___ben1" localSheetId="2">#REF!</definedName>
    <definedName name="___ben1" localSheetId="3">#REF!</definedName>
    <definedName name="___ben1" localSheetId="4">#REF!</definedName>
    <definedName name="___ben1" localSheetId="5">#REF!</definedName>
    <definedName name="___ben1" localSheetId="6">#REF!</definedName>
    <definedName name="___ben1" localSheetId="7">#REF!</definedName>
    <definedName name="___ben1" localSheetId="8">#REF!</definedName>
    <definedName name="___ben1">#REF!</definedName>
    <definedName name="___ben10" localSheetId="0">#REF!</definedName>
    <definedName name="___ben10" localSheetId="9">#REF!</definedName>
    <definedName name="___ben10" localSheetId="10">#REF!</definedName>
    <definedName name="___ben10" localSheetId="11">#REF!</definedName>
    <definedName name="___ben10" localSheetId="1">#REF!</definedName>
    <definedName name="___ben10" localSheetId="2">#REF!</definedName>
    <definedName name="___ben10" localSheetId="3">#REF!</definedName>
    <definedName name="___ben10" localSheetId="4">#REF!</definedName>
    <definedName name="___ben10" localSheetId="5">#REF!</definedName>
    <definedName name="___ben10" localSheetId="6">#REF!</definedName>
    <definedName name="___ben10" localSheetId="7">#REF!</definedName>
    <definedName name="___ben10" localSheetId="8">#REF!</definedName>
    <definedName name="___ben10">#REF!</definedName>
    <definedName name="___ben15" localSheetId="0">#REF!</definedName>
    <definedName name="___ben15" localSheetId="9">#REF!</definedName>
    <definedName name="___ben15" localSheetId="10">#REF!</definedName>
    <definedName name="___ben15" localSheetId="11">#REF!</definedName>
    <definedName name="___ben15" localSheetId="1">#REF!</definedName>
    <definedName name="___ben15" localSheetId="2">#REF!</definedName>
    <definedName name="___ben15" localSheetId="3">#REF!</definedName>
    <definedName name="___ben15" localSheetId="4">#REF!</definedName>
    <definedName name="___ben15" localSheetId="5">#REF!</definedName>
    <definedName name="___ben15" localSheetId="6">#REF!</definedName>
    <definedName name="___ben15" localSheetId="7">#REF!</definedName>
    <definedName name="___ben15" localSheetId="8">#REF!</definedName>
    <definedName name="___ben15">#REF!</definedName>
    <definedName name="___BEN2">#REF!</definedName>
    <definedName name="___ben20" localSheetId="0">#REF!</definedName>
    <definedName name="___ben20" localSheetId="9">#REF!</definedName>
    <definedName name="___ben20" localSheetId="10">#REF!</definedName>
    <definedName name="___ben20" localSheetId="11">#REF!</definedName>
    <definedName name="___ben20" localSheetId="1">#REF!</definedName>
    <definedName name="___ben20" localSheetId="2">#REF!</definedName>
    <definedName name="___ben20" localSheetId="3">#REF!</definedName>
    <definedName name="___ben20" localSheetId="4">#REF!</definedName>
    <definedName name="___ben20" localSheetId="5">#REF!</definedName>
    <definedName name="___ben20" localSheetId="6">#REF!</definedName>
    <definedName name="___ben20" localSheetId="7">#REF!</definedName>
    <definedName name="___ben20" localSheetId="8">#REF!</definedName>
    <definedName name="___ben20">#REF!</definedName>
    <definedName name="___ben25" localSheetId="0">#REF!</definedName>
    <definedName name="___ben25" localSheetId="9">#REF!</definedName>
    <definedName name="___ben25" localSheetId="10">#REF!</definedName>
    <definedName name="___ben25" localSheetId="11">#REF!</definedName>
    <definedName name="___ben25" localSheetId="1">#REF!</definedName>
    <definedName name="___ben25" localSheetId="2">#REF!</definedName>
    <definedName name="___ben25" localSheetId="3">#REF!</definedName>
    <definedName name="___ben25" localSheetId="4">#REF!</definedName>
    <definedName name="___ben25" localSheetId="5">#REF!</definedName>
    <definedName name="___ben25" localSheetId="6">#REF!</definedName>
    <definedName name="___ben25" localSheetId="7">#REF!</definedName>
    <definedName name="___ben25" localSheetId="8">#REF!</definedName>
    <definedName name="___ben25">#REF!</definedName>
    <definedName name="___BEN3" localSheetId="0">#REF!</definedName>
    <definedName name="___BEN3" localSheetId="9">#REF!</definedName>
    <definedName name="___BEN3" localSheetId="10">#REF!</definedName>
    <definedName name="___BEN3" localSheetId="11">#REF!</definedName>
    <definedName name="___BEN3" localSheetId="1">#REF!</definedName>
    <definedName name="___BEN3" localSheetId="2">#REF!</definedName>
    <definedName name="___BEN3" localSheetId="3">#REF!</definedName>
    <definedName name="___BEN3" localSheetId="4">#REF!</definedName>
    <definedName name="___BEN3" localSheetId="5">#REF!</definedName>
    <definedName name="___BEN3" localSheetId="6">#REF!</definedName>
    <definedName name="___BEN3" localSheetId="7">#REF!</definedName>
    <definedName name="___BEN3" localSheetId="8">#REF!</definedName>
    <definedName name="___BEN3">#REF!</definedName>
    <definedName name="___BEN4" localSheetId="0">#REF!</definedName>
    <definedName name="___BEN4" localSheetId="9">#REF!</definedName>
    <definedName name="___BEN4" localSheetId="10">#REF!</definedName>
    <definedName name="___BEN4" localSheetId="11">#REF!</definedName>
    <definedName name="___BEN4" localSheetId="1">#REF!</definedName>
    <definedName name="___BEN4" localSheetId="2">#REF!</definedName>
    <definedName name="___BEN4" localSheetId="3">#REF!</definedName>
    <definedName name="___BEN4" localSheetId="4">#REF!</definedName>
    <definedName name="___BEN4" localSheetId="5">#REF!</definedName>
    <definedName name="___BEN4" localSheetId="6">#REF!</definedName>
    <definedName name="___BEN4" localSheetId="7">#REF!</definedName>
    <definedName name="___BEN4" localSheetId="8">#REF!</definedName>
    <definedName name="___BEN4">#REF!</definedName>
    <definedName name="___ben5" localSheetId="0">#REF!</definedName>
    <definedName name="___ben5" localSheetId="9">#REF!</definedName>
    <definedName name="___ben5" localSheetId="10">#REF!</definedName>
    <definedName name="___ben5" localSheetId="11">#REF!</definedName>
    <definedName name="___ben5" localSheetId="1">#REF!</definedName>
    <definedName name="___ben5" localSheetId="2">#REF!</definedName>
    <definedName name="___ben5" localSheetId="3">#REF!</definedName>
    <definedName name="___ben5" localSheetId="4">#REF!</definedName>
    <definedName name="___ben5" localSheetId="5">#REF!</definedName>
    <definedName name="___ben5" localSheetId="6">#REF!</definedName>
    <definedName name="___ben5" localSheetId="7">#REF!</definedName>
    <definedName name="___ben5" localSheetId="8">#REF!</definedName>
    <definedName name="___ben5">#REF!</definedName>
    <definedName name="___tu3" localSheetId="0">#REF!</definedName>
    <definedName name="___tu3" localSheetId="9">#REF!</definedName>
    <definedName name="___tu3" localSheetId="10">#REF!</definedName>
    <definedName name="___tu3" localSheetId="11">#REF!</definedName>
    <definedName name="___tu3" localSheetId="1">#REF!</definedName>
    <definedName name="___tu3" localSheetId="2">#REF!</definedName>
    <definedName name="___tu3" localSheetId="3">#REF!</definedName>
    <definedName name="___tu3" localSheetId="4">#REF!</definedName>
    <definedName name="___tu3" localSheetId="5">#REF!</definedName>
    <definedName name="___tu3" localSheetId="6">#REF!</definedName>
    <definedName name="___tu3" localSheetId="7">#REF!</definedName>
    <definedName name="___tu3" localSheetId="8">#REF!</definedName>
    <definedName name="___tu3">#REF!</definedName>
    <definedName name="__ben1" localSheetId="0">#REF!</definedName>
    <definedName name="__ben1" localSheetId="9">#REF!</definedName>
    <definedName name="__ben1" localSheetId="10">#REF!</definedName>
    <definedName name="__ben1" localSheetId="11">#REF!</definedName>
    <definedName name="__ben1" localSheetId="1">#REF!</definedName>
    <definedName name="__ben1" localSheetId="2">#REF!</definedName>
    <definedName name="__ben1" localSheetId="3">#REF!</definedName>
    <definedName name="__ben1" localSheetId="4">#REF!</definedName>
    <definedName name="__ben1" localSheetId="5">#REF!</definedName>
    <definedName name="__ben1" localSheetId="6">#REF!</definedName>
    <definedName name="__ben1" localSheetId="7">#REF!</definedName>
    <definedName name="__ben1" localSheetId="8">#REF!</definedName>
    <definedName name="__ben1">#REF!</definedName>
    <definedName name="__ben10" localSheetId="0">#REF!</definedName>
    <definedName name="__ben10" localSheetId="9">#REF!</definedName>
    <definedName name="__ben10" localSheetId="10">#REF!</definedName>
    <definedName name="__ben10" localSheetId="11">#REF!</definedName>
    <definedName name="__ben10" localSheetId="1">#REF!</definedName>
    <definedName name="__ben10" localSheetId="2">#REF!</definedName>
    <definedName name="__ben10" localSheetId="3">#REF!</definedName>
    <definedName name="__ben10" localSheetId="4">#REF!</definedName>
    <definedName name="__ben10" localSheetId="5">#REF!</definedName>
    <definedName name="__ben10" localSheetId="6">#REF!</definedName>
    <definedName name="__ben10" localSheetId="7">#REF!</definedName>
    <definedName name="__ben10" localSheetId="8">#REF!</definedName>
    <definedName name="__ben10">#REF!</definedName>
    <definedName name="__ben15" localSheetId="0">#REF!</definedName>
    <definedName name="__ben15" localSheetId="9">#REF!</definedName>
    <definedName name="__ben15" localSheetId="10">#REF!</definedName>
    <definedName name="__ben15" localSheetId="11">#REF!</definedName>
    <definedName name="__ben15" localSheetId="1">#REF!</definedName>
    <definedName name="__ben15" localSheetId="2">#REF!</definedName>
    <definedName name="__ben15" localSheetId="3">#REF!</definedName>
    <definedName name="__ben15" localSheetId="4">#REF!</definedName>
    <definedName name="__ben15" localSheetId="5">#REF!</definedName>
    <definedName name="__ben15" localSheetId="6">#REF!</definedName>
    <definedName name="__ben15" localSheetId="7">#REF!</definedName>
    <definedName name="__ben15" localSheetId="8">#REF!</definedName>
    <definedName name="__ben15">#REF!</definedName>
    <definedName name="__BEN2">#REF!</definedName>
    <definedName name="__ben20" localSheetId="0">#REF!</definedName>
    <definedName name="__ben20" localSheetId="9">#REF!</definedName>
    <definedName name="__ben20" localSheetId="10">#REF!</definedName>
    <definedName name="__ben20" localSheetId="11">#REF!</definedName>
    <definedName name="__ben20" localSheetId="1">#REF!</definedName>
    <definedName name="__ben20" localSheetId="2">#REF!</definedName>
    <definedName name="__ben20" localSheetId="3">#REF!</definedName>
    <definedName name="__ben20" localSheetId="4">#REF!</definedName>
    <definedName name="__ben20" localSheetId="5">#REF!</definedName>
    <definedName name="__ben20" localSheetId="6">#REF!</definedName>
    <definedName name="__ben20" localSheetId="7">#REF!</definedName>
    <definedName name="__ben20" localSheetId="8">#REF!</definedName>
    <definedName name="__ben20">#REF!</definedName>
    <definedName name="__ben25" localSheetId="0">#REF!</definedName>
    <definedName name="__ben25" localSheetId="9">#REF!</definedName>
    <definedName name="__ben25" localSheetId="10">#REF!</definedName>
    <definedName name="__ben25" localSheetId="11">#REF!</definedName>
    <definedName name="__ben25" localSheetId="1">#REF!</definedName>
    <definedName name="__ben25" localSheetId="2">#REF!</definedName>
    <definedName name="__ben25" localSheetId="3">#REF!</definedName>
    <definedName name="__ben25" localSheetId="4">#REF!</definedName>
    <definedName name="__ben25" localSheetId="5">#REF!</definedName>
    <definedName name="__ben25" localSheetId="6">#REF!</definedName>
    <definedName name="__ben25" localSheetId="7">#REF!</definedName>
    <definedName name="__ben25" localSheetId="8">#REF!</definedName>
    <definedName name="__ben25">#REF!</definedName>
    <definedName name="__BEN3" localSheetId="0">#REF!</definedName>
    <definedName name="__BEN3" localSheetId="9">#REF!</definedName>
    <definedName name="__BEN3" localSheetId="10">#REF!</definedName>
    <definedName name="__BEN3" localSheetId="11">#REF!</definedName>
    <definedName name="__BEN3" localSheetId="1">#REF!</definedName>
    <definedName name="__BEN3" localSheetId="2">#REF!</definedName>
    <definedName name="__BEN3" localSheetId="3">#REF!</definedName>
    <definedName name="__BEN3" localSheetId="4">#REF!</definedName>
    <definedName name="__BEN3" localSheetId="5">#REF!</definedName>
    <definedName name="__BEN3" localSheetId="6">#REF!</definedName>
    <definedName name="__BEN3" localSheetId="7">#REF!</definedName>
    <definedName name="__BEN3" localSheetId="8">#REF!</definedName>
    <definedName name="__BEN3">#REF!</definedName>
    <definedName name="__BEN4" localSheetId="0">#REF!</definedName>
    <definedName name="__BEN4" localSheetId="9">#REF!</definedName>
    <definedName name="__BEN4" localSheetId="10">#REF!</definedName>
    <definedName name="__BEN4" localSheetId="11">#REF!</definedName>
    <definedName name="__BEN4" localSheetId="1">#REF!</definedName>
    <definedName name="__BEN4" localSheetId="2">#REF!</definedName>
    <definedName name="__BEN4" localSheetId="3">#REF!</definedName>
    <definedName name="__BEN4" localSheetId="4">#REF!</definedName>
    <definedName name="__BEN4" localSheetId="5">#REF!</definedName>
    <definedName name="__BEN4" localSheetId="6">#REF!</definedName>
    <definedName name="__BEN4" localSheetId="7">#REF!</definedName>
    <definedName name="__BEN4" localSheetId="8">#REF!</definedName>
    <definedName name="__BEN4">#REF!</definedName>
    <definedName name="__ben5" localSheetId="0">#REF!</definedName>
    <definedName name="__ben5" localSheetId="9">#REF!</definedName>
    <definedName name="__ben5" localSheetId="10">#REF!</definedName>
    <definedName name="__ben5" localSheetId="11">#REF!</definedName>
    <definedName name="__ben5" localSheetId="1">#REF!</definedName>
    <definedName name="__ben5" localSheetId="2">#REF!</definedName>
    <definedName name="__ben5" localSheetId="3">#REF!</definedName>
    <definedName name="__ben5" localSheetId="4">#REF!</definedName>
    <definedName name="__ben5" localSheetId="5">#REF!</definedName>
    <definedName name="__ben5" localSheetId="6">#REF!</definedName>
    <definedName name="__ben5" localSheetId="7">#REF!</definedName>
    <definedName name="__ben5" localSheetId="8">#REF!</definedName>
    <definedName name="__ben5">#REF!</definedName>
    <definedName name="__HJJ2">#REF!</definedName>
    <definedName name="__tu3" localSheetId="0">#REF!</definedName>
    <definedName name="__tu3" localSheetId="9">#REF!</definedName>
    <definedName name="__tu3" localSheetId="10">#REF!</definedName>
    <definedName name="__tu3" localSheetId="11">#REF!</definedName>
    <definedName name="__tu3" localSheetId="1">#REF!</definedName>
    <definedName name="__tu3" localSheetId="2">#REF!</definedName>
    <definedName name="__tu3" localSheetId="3">#REF!</definedName>
    <definedName name="__tu3" localSheetId="4">#REF!</definedName>
    <definedName name="__tu3" localSheetId="5">#REF!</definedName>
    <definedName name="__tu3" localSheetId="6">#REF!</definedName>
    <definedName name="__tu3" localSheetId="7">#REF!</definedName>
    <definedName name="__tu3" localSheetId="8">#REF!</definedName>
    <definedName name="__tu3">#REF!</definedName>
    <definedName name="_3FLE">#REF!</definedName>
    <definedName name="_6PRINT_AREA">#REF!</definedName>
    <definedName name="_ben1" localSheetId="0">#REF!</definedName>
    <definedName name="_ben1" localSheetId="9">#REF!</definedName>
    <definedName name="_ben1" localSheetId="10">#REF!</definedName>
    <definedName name="_ben1" localSheetId="11">#REF!</definedName>
    <definedName name="_ben1" localSheetId="1">#REF!</definedName>
    <definedName name="_ben1" localSheetId="2">#REF!</definedName>
    <definedName name="_ben1" localSheetId="3">#REF!</definedName>
    <definedName name="_ben1" localSheetId="4">#REF!</definedName>
    <definedName name="_ben1" localSheetId="5">#REF!</definedName>
    <definedName name="_ben1" localSheetId="6">#REF!</definedName>
    <definedName name="_ben1" localSheetId="7">#REF!</definedName>
    <definedName name="_ben1" localSheetId="8">#REF!</definedName>
    <definedName name="_ben1">#REF!</definedName>
    <definedName name="_ben10" localSheetId="0">#REF!</definedName>
    <definedName name="_ben10" localSheetId="9">#REF!</definedName>
    <definedName name="_ben10" localSheetId="10">#REF!</definedName>
    <definedName name="_ben10" localSheetId="11">#REF!</definedName>
    <definedName name="_ben10" localSheetId="1">#REF!</definedName>
    <definedName name="_ben10" localSheetId="2">#REF!</definedName>
    <definedName name="_ben10" localSheetId="3">#REF!</definedName>
    <definedName name="_ben10" localSheetId="4">#REF!</definedName>
    <definedName name="_ben10" localSheetId="5">#REF!</definedName>
    <definedName name="_ben10" localSheetId="6">#REF!</definedName>
    <definedName name="_ben10" localSheetId="7">#REF!</definedName>
    <definedName name="_ben10" localSheetId="8">#REF!</definedName>
    <definedName name="_ben10">#REF!</definedName>
    <definedName name="_ben15" localSheetId="0">#REF!</definedName>
    <definedName name="_ben15" localSheetId="9">#REF!</definedName>
    <definedName name="_ben15" localSheetId="10">#REF!</definedName>
    <definedName name="_ben15" localSheetId="11">#REF!</definedName>
    <definedName name="_ben15" localSheetId="1">#REF!</definedName>
    <definedName name="_ben15" localSheetId="2">#REF!</definedName>
    <definedName name="_ben15" localSheetId="3">#REF!</definedName>
    <definedName name="_ben15" localSheetId="4">#REF!</definedName>
    <definedName name="_ben15" localSheetId="5">#REF!</definedName>
    <definedName name="_ben15" localSheetId="6">#REF!</definedName>
    <definedName name="_ben15" localSheetId="7">#REF!</definedName>
    <definedName name="_ben15" localSheetId="8">#REF!</definedName>
    <definedName name="_ben15">#REF!</definedName>
    <definedName name="_BEN2">#REF!</definedName>
    <definedName name="_ben20" localSheetId="0">#REF!</definedName>
    <definedName name="_ben20" localSheetId="9">#REF!</definedName>
    <definedName name="_ben20" localSheetId="10">#REF!</definedName>
    <definedName name="_ben20" localSheetId="11">#REF!</definedName>
    <definedName name="_ben20" localSheetId="1">#REF!</definedName>
    <definedName name="_ben20" localSheetId="2">#REF!</definedName>
    <definedName name="_ben20" localSheetId="3">#REF!</definedName>
    <definedName name="_ben20" localSheetId="4">#REF!</definedName>
    <definedName name="_ben20" localSheetId="5">#REF!</definedName>
    <definedName name="_ben20" localSheetId="6">#REF!</definedName>
    <definedName name="_ben20" localSheetId="7">#REF!</definedName>
    <definedName name="_ben20" localSheetId="8">#REF!</definedName>
    <definedName name="_ben20">#REF!</definedName>
    <definedName name="_ben21" localSheetId="0">#REF!</definedName>
    <definedName name="_ben21" localSheetId="9">#REF!</definedName>
    <definedName name="_ben21" localSheetId="10">#REF!</definedName>
    <definedName name="_ben21" localSheetId="11">#REF!</definedName>
    <definedName name="_ben21" localSheetId="1">#REF!</definedName>
    <definedName name="_ben21" localSheetId="2">#REF!</definedName>
    <definedName name="_ben21" localSheetId="3">#REF!</definedName>
    <definedName name="_ben21" localSheetId="4">#REF!</definedName>
    <definedName name="_ben21" localSheetId="5">#REF!</definedName>
    <definedName name="_ben21" localSheetId="6">#REF!</definedName>
    <definedName name="_ben21" localSheetId="7">#REF!</definedName>
    <definedName name="_ben21" localSheetId="8">#REF!</definedName>
    <definedName name="_ben21">#REF!</definedName>
    <definedName name="_ben25" localSheetId="0">#REF!</definedName>
    <definedName name="_ben25" localSheetId="9">#REF!</definedName>
    <definedName name="_ben25" localSheetId="10">#REF!</definedName>
    <definedName name="_ben25" localSheetId="11">#REF!</definedName>
    <definedName name="_ben25" localSheetId="1">#REF!</definedName>
    <definedName name="_ben25" localSheetId="2">#REF!</definedName>
    <definedName name="_ben25" localSheetId="3">#REF!</definedName>
    <definedName name="_ben25" localSheetId="4">#REF!</definedName>
    <definedName name="_ben25" localSheetId="5">#REF!</definedName>
    <definedName name="_ben25" localSheetId="6">#REF!</definedName>
    <definedName name="_ben25" localSheetId="7">#REF!</definedName>
    <definedName name="_ben25" localSheetId="8">#REF!</definedName>
    <definedName name="_ben25">#REF!</definedName>
    <definedName name="_ben29" localSheetId="0">#REF!</definedName>
    <definedName name="_ben29" localSheetId="9">#REF!</definedName>
    <definedName name="_ben29" localSheetId="10">#REF!</definedName>
    <definedName name="_ben29" localSheetId="11">#REF!</definedName>
    <definedName name="_ben29" localSheetId="1">#REF!</definedName>
    <definedName name="_ben29" localSheetId="2">#REF!</definedName>
    <definedName name="_ben29" localSheetId="3">#REF!</definedName>
    <definedName name="_ben29" localSheetId="4">#REF!</definedName>
    <definedName name="_ben29" localSheetId="5">#REF!</definedName>
    <definedName name="_ben29" localSheetId="6">#REF!</definedName>
    <definedName name="_ben29" localSheetId="7">#REF!</definedName>
    <definedName name="_ben29" localSheetId="8">#REF!</definedName>
    <definedName name="_ben29">#REF!</definedName>
    <definedName name="_BEN3" localSheetId="0">#REF!</definedName>
    <definedName name="_BEN3" localSheetId="9">#REF!</definedName>
    <definedName name="_BEN3" localSheetId="10">#REF!</definedName>
    <definedName name="_BEN3" localSheetId="11">#REF!</definedName>
    <definedName name="_BEN3" localSheetId="1">#REF!</definedName>
    <definedName name="_BEN3" localSheetId="2">#REF!</definedName>
    <definedName name="_BEN3" localSheetId="3">#REF!</definedName>
    <definedName name="_BEN3" localSheetId="4">#REF!</definedName>
    <definedName name="_BEN3" localSheetId="5">#REF!</definedName>
    <definedName name="_BEN3" localSheetId="6">#REF!</definedName>
    <definedName name="_BEN3" localSheetId="7">#REF!</definedName>
    <definedName name="_BEN3" localSheetId="8">#REF!</definedName>
    <definedName name="_BEN3">#REF!</definedName>
    <definedName name="_ben30" localSheetId="0">#REF!</definedName>
    <definedName name="_ben30" localSheetId="9">#REF!</definedName>
    <definedName name="_ben30" localSheetId="10">#REF!</definedName>
    <definedName name="_ben30" localSheetId="11">#REF!</definedName>
    <definedName name="_ben30" localSheetId="1">#REF!</definedName>
    <definedName name="_ben30" localSheetId="2">#REF!</definedName>
    <definedName name="_ben30" localSheetId="3">#REF!</definedName>
    <definedName name="_ben30" localSheetId="4">#REF!</definedName>
    <definedName name="_ben30" localSheetId="5">#REF!</definedName>
    <definedName name="_ben30" localSheetId="6">#REF!</definedName>
    <definedName name="_ben30" localSheetId="7">#REF!</definedName>
    <definedName name="_ben30" localSheetId="8">#REF!</definedName>
    <definedName name="_ben30">#REF!</definedName>
    <definedName name="_BEN4" localSheetId="0">#REF!</definedName>
    <definedName name="_BEN4" localSheetId="9">#REF!</definedName>
    <definedName name="_BEN4" localSheetId="10">#REF!</definedName>
    <definedName name="_BEN4" localSheetId="11">#REF!</definedName>
    <definedName name="_BEN4" localSheetId="1">#REF!</definedName>
    <definedName name="_BEN4" localSheetId="2">#REF!</definedName>
    <definedName name="_BEN4" localSheetId="3">#REF!</definedName>
    <definedName name="_BEN4" localSheetId="4">#REF!</definedName>
    <definedName name="_BEN4" localSheetId="5">#REF!</definedName>
    <definedName name="_BEN4" localSheetId="6">#REF!</definedName>
    <definedName name="_BEN4" localSheetId="7">#REF!</definedName>
    <definedName name="_BEN4" localSheetId="8">#REF!</definedName>
    <definedName name="_BEN4">#REF!</definedName>
    <definedName name="_ben5" localSheetId="0">#REF!</definedName>
    <definedName name="_ben5" localSheetId="9">#REF!</definedName>
    <definedName name="_ben5" localSheetId="10">#REF!</definedName>
    <definedName name="_ben5" localSheetId="11">#REF!</definedName>
    <definedName name="_ben5" localSheetId="1">#REF!</definedName>
    <definedName name="_ben5" localSheetId="2">#REF!</definedName>
    <definedName name="_ben5" localSheetId="3">#REF!</definedName>
    <definedName name="_ben5" localSheetId="4">#REF!</definedName>
    <definedName name="_ben5" localSheetId="5">#REF!</definedName>
    <definedName name="_ben5" localSheetId="6">#REF!</definedName>
    <definedName name="_ben5" localSheetId="7">#REF!</definedName>
    <definedName name="_ben5" localSheetId="8">#REF!</definedName>
    <definedName name="_ben5">#REF!</definedName>
    <definedName name="_ben52" localSheetId="0">#REF!</definedName>
    <definedName name="_ben52" localSheetId="9">#REF!</definedName>
    <definedName name="_ben52" localSheetId="10">#REF!</definedName>
    <definedName name="_ben52" localSheetId="11">#REF!</definedName>
    <definedName name="_ben52" localSheetId="1">#REF!</definedName>
    <definedName name="_ben52" localSheetId="2">#REF!</definedName>
    <definedName name="_ben52" localSheetId="3">#REF!</definedName>
    <definedName name="_ben52" localSheetId="4">#REF!</definedName>
    <definedName name="_ben52" localSheetId="5">#REF!</definedName>
    <definedName name="_ben52" localSheetId="6">#REF!</definedName>
    <definedName name="_ben52" localSheetId="7">#REF!</definedName>
    <definedName name="_ben52" localSheetId="8">#REF!</definedName>
    <definedName name="_ben52">#REF!</definedName>
    <definedName name="_d2" hidden="1">{"NORMAL",#N/A,FALSE,"02"}</definedName>
    <definedName name="_f" hidden="1">{"DECIMAL",#N/A,FALSE,"02"}</definedName>
    <definedName name="_Fill" localSheetId="0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0" hidden="1">'SVD 4140_Pto. 01_Cert. 01'!$B$10:$G$58</definedName>
    <definedName name="_xlnm._FilterDatabase" localSheetId="9" hidden="1">'SVD 4140_Pto. 01_Cert. 10'!$B$10:$G$58</definedName>
    <definedName name="_xlnm._FilterDatabase" localSheetId="10" hidden="1">'SVD 4140_Pto. 01_Cert. 11'!$B$10:$G$58</definedName>
    <definedName name="_xlnm._FilterDatabase" localSheetId="11" hidden="1">'SVD 4140_Pto. 01_Cert. 12'!$B$10:$G$58</definedName>
    <definedName name="_xlnm._FilterDatabase" localSheetId="1" hidden="1">'SVD 4140_Pto. 01_Cert. 2'!$B$10:$G$58</definedName>
    <definedName name="_xlnm._FilterDatabase" localSheetId="2" hidden="1">'SVD 4140_Pto. 01_Cert. 3'!$B$10:$G$58</definedName>
    <definedName name="_xlnm._FilterDatabase" localSheetId="3" hidden="1">'SVD 4140_Pto. 01_Cert. 4'!$B$10:$G$58</definedName>
    <definedName name="_xlnm._FilterDatabase" localSheetId="4" hidden="1">'SVD 4140_Pto. 01_Cert. 5'!$B$10:$G$58</definedName>
    <definedName name="_xlnm._FilterDatabase" localSheetId="5" hidden="1">'SVD 4140_Pto. 01_Cert. 6'!$B$10:$G$58</definedName>
    <definedName name="_xlnm._FilterDatabase" localSheetId="6" hidden="1">'SVD 4140_Pto. 01_Cert. 7'!$B$10:$G$58</definedName>
    <definedName name="_xlnm._FilterDatabase" localSheetId="7" hidden="1">'SVD 4140_Pto. 01_Cert. 8'!$B$10:$G$58</definedName>
    <definedName name="_xlnm._FilterDatabase" localSheetId="8" hidden="1">'SVD 4140_Pto. 01_Cert. 9'!$B$10:$G$58</definedName>
    <definedName name="_GoBack" localSheetId="0">'SVD 4140_Pto. 01_Cert. 01'!#REF!</definedName>
    <definedName name="_GoBack" localSheetId="9">'SVD 4140_Pto. 01_Cert. 10'!#REF!</definedName>
    <definedName name="_GoBack" localSheetId="10">'SVD 4140_Pto. 01_Cert. 11'!#REF!</definedName>
    <definedName name="_GoBack" localSheetId="11">'SVD 4140_Pto. 01_Cert. 12'!#REF!</definedName>
    <definedName name="_GoBack" localSheetId="1">'SVD 4140_Pto. 01_Cert. 2'!#REF!</definedName>
    <definedName name="_GoBack" localSheetId="2">'SVD 4140_Pto. 01_Cert. 3'!#REF!</definedName>
    <definedName name="_GoBack" localSheetId="3">'SVD 4140_Pto. 01_Cert. 4'!#REF!</definedName>
    <definedName name="_GoBack" localSheetId="4">'SVD 4140_Pto. 01_Cert. 5'!#REF!</definedName>
    <definedName name="_GoBack" localSheetId="5">'SVD 4140_Pto. 01_Cert. 6'!#REF!</definedName>
    <definedName name="_GoBack" localSheetId="6">'SVD 4140_Pto. 01_Cert. 7'!#REF!</definedName>
    <definedName name="_GoBack" localSheetId="7">'SVD 4140_Pto. 01_Cert. 8'!#REF!</definedName>
    <definedName name="_GoBack" localSheetId="8">'SVD 4140_Pto. 01_Cert. 9'!#REF!</definedName>
    <definedName name="_HJJ2">#REF!</definedName>
    <definedName name="_Key1" hidden="1">#REF!</definedName>
    <definedName name="_KH170">#REF!</definedName>
    <definedName name="_MatMult_A" localSheetId="0" hidden="1">#REF!</definedName>
    <definedName name="_MatMult_A" localSheetId="9" hidden="1">#REF!</definedName>
    <definedName name="_MatMult_A" localSheetId="10" hidden="1">#REF!</definedName>
    <definedName name="_MatMult_A" localSheetId="11" hidden="1">#REF!</definedName>
    <definedName name="_MatMult_A" localSheetId="1" hidden="1">#REF!</definedName>
    <definedName name="_MatMult_A" localSheetId="2" hidden="1">#REF!</definedName>
    <definedName name="_MatMult_A" localSheetId="3" hidden="1">#REF!</definedName>
    <definedName name="_MatMult_A" localSheetId="4" hidden="1">#REF!</definedName>
    <definedName name="_MatMult_A" localSheetId="5" hidden="1">#REF!</definedName>
    <definedName name="_MatMult_A" localSheetId="6" hidden="1">#REF!</definedName>
    <definedName name="_MatMult_A" localSheetId="7" hidden="1">#REF!</definedName>
    <definedName name="_MatMult_A" localSheetId="8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0">'SVD 4140_Pto. 01_Cert. 01'!#REF!</definedName>
    <definedName name="_Toc502326724" localSheetId="9">'SVD 4140_Pto. 01_Cert. 10'!#REF!</definedName>
    <definedName name="_Toc502326724" localSheetId="10">'SVD 4140_Pto. 01_Cert. 11'!#REF!</definedName>
    <definedName name="_Toc502326724" localSheetId="11">'SVD 4140_Pto. 01_Cert. 12'!#REF!</definedName>
    <definedName name="_Toc502326724" localSheetId="1">'SVD 4140_Pto. 01_Cert. 2'!#REF!</definedName>
    <definedName name="_Toc502326724" localSheetId="2">'SVD 4140_Pto. 01_Cert. 3'!#REF!</definedName>
    <definedName name="_Toc502326724" localSheetId="3">'SVD 4140_Pto. 01_Cert. 4'!#REF!</definedName>
    <definedName name="_Toc502326724" localSheetId="4">'SVD 4140_Pto. 01_Cert. 5'!#REF!</definedName>
    <definedName name="_Toc502326724" localSheetId="5">'SVD 4140_Pto. 01_Cert. 6'!#REF!</definedName>
    <definedName name="_Toc502326724" localSheetId="6">'SVD 4140_Pto. 01_Cert. 7'!#REF!</definedName>
    <definedName name="_Toc502326724" localSheetId="7">'SVD 4140_Pto. 01_Cert. 8'!#REF!</definedName>
    <definedName name="_Toc502326724" localSheetId="8">'SVD 4140_Pto. 01_Cert. 9'!#REF!</definedName>
    <definedName name="_Toc502326725" localSheetId="0">'SVD 4140_Pto. 01_Cert. 01'!#REF!</definedName>
    <definedName name="_Toc502326725" localSheetId="9">'SVD 4140_Pto. 01_Cert. 10'!#REF!</definedName>
    <definedName name="_Toc502326725" localSheetId="10">'SVD 4140_Pto. 01_Cert. 11'!#REF!</definedName>
    <definedName name="_Toc502326725" localSheetId="11">'SVD 4140_Pto. 01_Cert. 12'!#REF!</definedName>
    <definedName name="_Toc502326725" localSheetId="1">'SVD 4140_Pto. 01_Cert. 2'!#REF!</definedName>
    <definedName name="_Toc502326725" localSheetId="2">'SVD 4140_Pto. 01_Cert. 3'!#REF!</definedName>
    <definedName name="_Toc502326725" localSheetId="3">'SVD 4140_Pto. 01_Cert. 4'!#REF!</definedName>
    <definedName name="_Toc502326725" localSheetId="4">'SVD 4140_Pto. 01_Cert. 5'!#REF!</definedName>
    <definedName name="_Toc502326725" localSheetId="5">'SVD 4140_Pto. 01_Cert. 6'!#REF!</definedName>
    <definedName name="_Toc502326725" localSheetId="6">'SVD 4140_Pto. 01_Cert. 7'!#REF!</definedName>
    <definedName name="_Toc502326725" localSheetId="7">'SVD 4140_Pto. 01_Cert. 8'!#REF!</definedName>
    <definedName name="_Toc502326725" localSheetId="8">'SVD 4140_Pto. 01_Cert. 9'!#REF!</definedName>
    <definedName name="_Toc502326726" localSheetId="0">'SVD 4140_Pto. 01_Cert. 01'!#REF!</definedName>
    <definedName name="_Toc502326726" localSheetId="9">'SVD 4140_Pto. 01_Cert. 10'!#REF!</definedName>
    <definedName name="_Toc502326726" localSheetId="10">'SVD 4140_Pto. 01_Cert. 11'!#REF!</definedName>
    <definedName name="_Toc502326726" localSheetId="11">'SVD 4140_Pto. 01_Cert. 12'!#REF!</definedName>
    <definedName name="_Toc502326726" localSheetId="1">'SVD 4140_Pto. 01_Cert. 2'!#REF!</definedName>
    <definedName name="_Toc502326726" localSheetId="2">'SVD 4140_Pto. 01_Cert. 3'!#REF!</definedName>
    <definedName name="_Toc502326726" localSheetId="3">'SVD 4140_Pto. 01_Cert. 4'!#REF!</definedName>
    <definedName name="_Toc502326726" localSheetId="4">'SVD 4140_Pto. 01_Cert. 5'!#REF!</definedName>
    <definedName name="_Toc502326726" localSheetId="5">'SVD 4140_Pto. 01_Cert. 6'!#REF!</definedName>
    <definedName name="_Toc502326726" localSheetId="6">'SVD 4140_Pto. 01_Cert. 7'!#REF!</definedName>
    <definedName name="_Toc502326726" localSheetId="7">'SVD 4140_Pto. 01_Cert. 8'!#REF!</definedName>
    <definedName name="_Toc502326726" localSheetId="8">'SVD 4140_Pto. 01_Cert. 9'!#REF!</definedName>
    <definedName name="_tu3" localSheetId="0">#REF!</definedName>
    <definedName name="_tu3" localSheetId="9">#REF!</definedName>
    <definedName name="_tu3" localSheetId="10">#REF!</definedName>
    <definedName name="_tu3" localSheetId="11">#REF!</definedName>
    <definedName name="_tu3" localSheetId="1">#REF!</definedName>
    <definedName name="_tu3" localSheetId="2">#REF!</definedName>
    <definedName name="_tu3" localSheetId="3">#REF!</definedName>
    <definedName name="_tu3" localSheetId="4">#REF!</definedName>
    <definedName name="_tu3" localSheetId="5">#REF!</definedName>
    <definedName name="_tu3" localSheetId="6">#REF!</definedName>
    <definedName name="_tu3" localSheetId="7">#REF!</definedName>
    <definedName name="_tu3" localSheetId="8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0">#REF!</definedName>
    <definedName name="A_impresión_IM" localSheetId="9">#REF!</definedName>
    <definedName name="A_impresión_IM" localSheetId="10">#REF!</definedName>
    <definedName name="A_impresión_IM" localSheetId="11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0">L2C1:L372C15</definedName>
    <definedName name="Adecuación" localSheetId="9">L2C1:L372C15</definedName>
    <definedName name="Adecuación" localSheetId="10">L2C1:L372C15</definedName>
    <definedName name="Adecuación" localSheetId="11">L2C1:L372C15</definedName>
    <definedName name="Adecuación" localSheetId="1">L2C1:L372C15</definedName>
    <definedName name="Adecuación" localSheetId="2">L2C1:L372C15</definedName>
    <definedName name="Adecuación" localSheetId="3">L2C1:L372C15</definedName>
    <definedName name="Adecuación" localSheetId="4">L2C1:L372C15</definedName>
    <definedName name="Adecuación" localSheetId="5">L2C1:L372C15</definedName>
    <definedName name="Adecuación" localSheetId="6">L2C1:L372C15</definedName>
    <definedName name="Adecuación" localSheetId="7">L2C1:L372C15</definedName>
    <definedName name="Adecuación" localSheetId="8">L2C1:L372C15</definedName>
    <definedName name="Adecuación">L2C1:L372C15</definedName>
    <definedName name="ADICT">#REF!</definedName>
    <definedName name="ADICT1">#REF!</definedName>
    <definedName name="aeir">#REF!</definedName>
    <definedName name="AIML">#REF!</definedName>
    <definedName name="AISS">#REF!</definedName>
    <definedName name="ALFA">#REF!</definedName>
    <definedName name="alfa_s">#REF!</definedName>
    <definedName name="alfa_s_c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>#REF!</definedName>
    <definedName name="aMEcolumnas">#REF!</definedName>
    <definedName name="aMEcortepasto">#REF!</definedName>
    <definedName name="AMECT">#REF!</definedName>
    <definedName name="aMEdemolicion">#REF!</definedName>
    <definedName name="aMEdesembanque">#REF!</definedName>
    <definedName name="aMEdren">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>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>#REF!</definedName>
    <definedName name="Ana_Ed_3">#REF!</definedName>
    <definedName name="Ana_Edi_1">#REF!</definedName>
    <definedName name="Ana_Edi_2">#REF!</definedName>
    <definedName name="Ana_Edi_2_Var">#REF!</definedName>
    <definedName name="Ana_Edi_3_Var">#REF!</definedName>
    <definedName name="Ana_OEX">#REF!</definedName>
    <definedName name="Ana_Resumen">#REF!</definedName>
    <definedName name="ANAE1">#REF!</definedName>
    <definedName name="analiprecios" localSheetId="0">#REF!</definedName>
    <definedName name="analiprecios" localSheetId="9">#REF!</definedName>
    <definedName name="analiprecios" localSheetId="10">#REF!</definedName>
    <definedName name="analiprecios" localSheetId="11">#REF!</definedName>
    <definedName name="analiprecios" localSheetId="1">#REF!</definedName>
    <definedName name="analiprecios" localSheetId="2">#REF!</definedName>
    <definedName name="analiprecios" localSheetId="3">#REF!</definedName>
    <definedName name="analiprecios" localSheetId="4">#REF!</definedName>
    <definedName name="analiprecios" localSheetId="5">#REF!</definedName>
    <definedName name="analiprecios" localSheetId="6">#REF!</definedName>
    <definedName name="analiprecios" localSheetId="7">#REF!</definedName>
    <definedName name="analiprecios" localSheetId="8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0">#REF!</definedName>
    <definedName name="analisisequipo" localSheetId="9">#REF!</definedName>
    <definedName name="analisisequipo" localSheetId="10">#REF!</definedName>
    <definedName name="analisisequipo" localSheetId="11">#REF!</definedName>
    <definedName name="analisisequipo" localSheetId="1">#REF!</definedName>
    <definedName name="analisisequipo" localSheetId="2">#REF!</definedName>
    <definedName name="analisisequipo" localSheetId="3">#REF!</definedName>
    <definedName name="analisisequipo" localSheetId="4">#REF!</definedName>
    <definedName name="analisisequipo" localSheetId="5">#REF!</definedName>
    <definedName name="analisisequipo" localSheetId="6">#REF!</definedName>
    <definedName name="analisisequipo" localSheetId="7">#REF!</definedName>
    <definedName name="analisisequipo" localSheetId="8">#REF!</definedName>
    <definedName name="analisisequipo">#REF!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_xlnm.Print_Area" localSheetId="0">'SVD 4140_Pto. 01_Cert. 01'!$A$1:$P$69</definedName>
    <definedName name="_xlnm.Print_Area" localSheetId="9">'SVD 4140_Pto. 01_Cert. 10'!$A$1:$P$66</definedName>
    <definedName name="_xlnm.Print_Area" localSheetId="10">'SVD 4140_Pto. 01_Cert. 11'!$A$1:$P$70</definedName>
    <definedName name="_xlnm.Print_Area" localSheetId="11">'SVD 4140_Pto. 01_Cert. 12'!$A$1:$P$70</definedName>
    <definedName name="_xlnm.Print_Area" localSheetId="1">'SVD 4140_Pto. 01_Cert. 2'!$A$1:$P$69</definedName>
    <definedName name="_xlnm.Print_Area" localSheetId="2">'SVD 4140_Pto. 01_Cert. 3'!$A$1:$P$66</definedName>
    <definedName name="_xlnm.Print_Area" localSheetId="3">'SVD 4140_Pto. 01_Cert. 4'!$A$1:$P$66</definedName>
    <definedName name="_xlnm.Print_Area" localSheetId="4">'SVD 4140_Pto. 01_Cert. 5'!$A$1:$P$66</definedName>
    <definedName name="_xlnm.Print_Area" localSheetId="5">'SVD 4140_Pto. 01_Cert. 6'!$A$1:$P$66</definedName>
    <definedName name="_xlnm.Print_Area" localSheetId="6">'SVD 4140_Pto. 01_Cert. 7'!$A$1:$P$66</definedName>
    <definedName name="_xlnm.Print_Area" localSheetId="7">'SVD 4140_Pto. 01_Cert. 8'!$A$1:$P$66</definedName>
    <definedName name="_xlnm.Print_Area" localSheetId="8">'SVD 4140_Pto. 01_Cert. 9'!$A$1:$P$66</definedName>
    <definedName name="_xlnm.Print_Area">#REF!</definedName>
    <definedName name="AREA1">#REF!</definedName>
    <definedName name="AREA2">#REF!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>#REF!</definedName>
    <definedName name="ARRC">#REF!</definedName>
    <definedName name="ARREM">#REF!</definedName>
    <definedName name="ARREP">#REF!</definedName>
    <definedName name="arriba">#REF!</definedName>
    <definedName name="ARRRR">#REF!</definedName>
    <definedName name="ARSC">#REF!</definedName>
    <definedName name="ARSCE">#REF!</definedName>
    <definedName name="ARSDA">#REF!</definedName>
    <definedName name="ARSEC">#REF!</definedName>
    <definedName name="ARSED">#REF!</definedName>
    <definedName name="ARSEM">#REF!</definedName>
    <definedName name="ARSEP">#REF!</definedName>
    <definedName name="ARSLE">#REF!</definedName>
    <definedName name="ARSNA">#REF!</definedName>
    <definedName name="ART">#REF!</definedName>
    <definedName name="ART_Cargo_Fijo">#REF!</definedName>
    <definedName name="aruno">#REF!</definedName>
    <definedName name="as">#REF!</definedName>
    <definedName name="asd" localSheetId="0">L2C1:L372C15</definedName>
    <definedName name="asd" localSheetId="9">L2C1:L372C15</definedName>
    <definedName name="asd" localSheetId="10">L2C1:L372C15</definedName>
    <definedName name="asd" localSheetId="11">L2C1:L372C15</definedName>
    <definedName name="asd" localSheetId="1">L2C1:L372C15</definedName>
    <definedName name="asd" localSheetId="2">L2C1:L372C15</definedName>
    <definedName name="asd" localSheetId="3">L2C1:L372C15</definedName>
    <definedName name="asd" localSheetId="4">L2C1:L372C15</definedName>
    <definedName name="asd" localSheetId="5">L2C1:L372C15</definedName>
    <definedName name="asd" localSheetId="6">L2C1:L372C15</definedName>
    <definedName name="asd" localSheetId="7">L2C1:L372C15</definedName>
    <definedName name="asd" localSheetId="8">L2C1:L372C15</definedName>
    <definedName name="asd">L2C1:L372C15</definedName>
    <definedName name="asdaaa">#REF!</definedName>
    <definedName name="ASDAASD" localSheetId="0">L2C1:L372C15</definedName>
    <definedName name="ASDAASD" localSheetId="9">L2C1:L372C15</definedName>
    <definedName name="ASDAASD" localSheetId="10">L2C1:L372C15</definedName>
    <definedName name="ASDAASD" localSheetId="11">L2C1:L372C15</definedName>
    <definedName name="ASDAASD" localSheetId="1">L2C1:L372C15</definedName>
    <definedName name="ASDAASD" localSheetId="2">L2C1:L372C15</definedName>
    <definedName name="ASDAASD" localSheetId="3">L2C1:L372C15</definedName>
    <definedName name="ASDAASD" localSheetId="4">L2C1:L372C15</definedName>
    <definedName name="ASDAASD" localSheetId="5">L2C1:L372C15</definedName>
    <definedName name="ASDAASD" localSheetId="6">L2C1:L372C15</definedName>
    <definedName name="ASDAASD" localSheetId="7">L2C1:L372C15</definedName>
    <definedName name="ASDAASD" localSheetId="8">L2C1:L372C15</definedName>
    <definedName name="ASDAASD">L2C1:L372C15</definedName>
    <definedName name="asdis">#REF!</definedName>
    <definedName name="asew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>#REF!</definedName>
    <definedName name="BASEABELSON">#REF!</definedName>
    <definedName name="_xlnm.Database">#REF!</definedName>
    <definedName name="BASEINSU" localSheetId="0">L2C1:L372C15</definedName>
    <definedName name="BASEINSU" localSheetId="9">L2C1:L372C15</definedName>
    <definedName name="BASEINSU" localSheetId="10">L2C1:L372C15</definedName>
    <definedName name="BASEINSU" localSheetId="11">L2C1:L372C15</definedName>
    <definedName name="BASEINSU" localSheetId="1">L2C1:L372C15</definedName>
    <definedName name="BASEINSU" localSheetId="2">L2C1:L372C15</definedName>
    <definedName name="BASEINSU" localSheetId="3">L2C1:L372C15</definedName>
    <definedName name="BASEINSU" localSheetId="4">L2C1:L372C15</definedName>
    <definedName name="BASEINSU" localSheetId="5">L2C1:L372C15</definedName>
    <definedName name="BASEINSU" localSheetId="6">L2C1:L372C15</definedName>
    <definedName name="BASEINSU" localSheetId="7">L2C1:L372C15</definedName>
    <definedName name="BASEINSU" localSheetId="8">L2C1:L372C15</definedName>
    <definedName name="BASEINSU">L2C1:L372C15</definedName>
    <definedName name="baseinsumos" localSheetId="0">L2C1:L372C15</definedName>
    <definedName name="baseinsumos" localSheetId="9">L2C1:L372C15</definedName>
    <definedName name="baseinsumos" localSheetId="10">L2C1:L372C15</definedName>
    <definedName name="baseinsumos" localSheetId="11">L2C1:L372C15</definedName>
    <definedName name="baseinsumos" localSheetId="1">L2C1:L372C15</definedName>
    <definedName name="baseinsumos" localSheetId="2">L2C1:L372C15</definedName>
    <definedName name="baseinsumos" localSheetId="3">L2C1:L372C15</definedName>
    <definedName name="baseinsumos" localSheetId="4">L2C1:L372C15</definedName>
    <definedName name="baseinsumos" localSheetId="5">L2C1:L372C15</definedName>
    <definedName name="baseinsumos" localSheetId="6">L2C1:L372C15</definedName>
    <definedName name="baseinsumos" localSheetId="7">L2C1:L372C15</definedName>
    <definedName name="baseinsumos" localSheetId="8">L2C1:L372C15</definedName>
    <definedName name="baseinsumos">L2C1:L372C15</definedName>
    <definedName name="be">#REF!</definedName>
    <definedName name="Beg_Bal">#REF!</definedName>
    <definedName name="bene" localSheetId="0">#REF!</definedName>
    <definedName name="bene" localSheetId="9">#REF!</definedName>
    <definedName name="bene" localSheetId="10">#REF!</definedName>
    <definedName name="bene" localSheetId="11">#REF!</definedName>
    <definedName name="bene" localSheetId="1">#REF!</definedName>
    <definedName name="bene" localSheetId="2">#REF!</definedName>
    <definedName name="bene" localSheetId="3">#REF!</definedName>
    <definedName name="bene" localSheetId="4">#REF!</definedName>
    <definedName name="bene" localSheetId="5">#REF!</definedName>
    <definedName name="bene" localSheetId="6">#REF!</definedName>
    <definedName name="bene" localSheetId="7">#REF!</definedName>
    <definedName name="bene" localSheetId="8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0">L2C1:L372C15</definedName>
    <definedName name="BI" localSheetId="9">L2C1:L372C15</definedName>
    <definedName name="BI" localSheetId="10">L2C1:L372C15</definedName>
    <definedName name="BI" localSheetId="11">L2C1:L372C15</definedName>
    <definedName name="BI" localSheetId="1">L2C1:L372C15</definedName>
    <definedName name="BI" localSheetId="2">L2C1:L372C15</definedName>
    <definedName name="BI" localSheetId="3">L2C1:L372C15</definedName>
    <definedName name="BI" localSheetId="4">L2C1:L372C15</definedName>
    <definedName name="BI" localSheetId="5">L2C1:L372C15</definedName>
    <definedName name="BI" localSheetId="6">L2C1:L372C15</definedName>
    <definedName name="BI" localSheetId="7">L2C1:L372C15</definedName>
    <definedName name="BI" localSheetId="8">L2C1:L372C15</definedName>
    <definedName name="BI">L2C1:L372C15</definedName>
    <definedName name="bloque20x20x40">#REF!</definedName>
    <definedName name="br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>#REF!</definedName>
    <definedName name="CalidadAcero">#REF!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>#REF!</definedName>
    <definedName name="carlosa">#REF!</definedName>
    <definedName name="carlosar">#REF!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>#REF!</definedName>
    <definedName name="CE1_">#REF!</definedName>
    <definedName name="CE2_">#REF!</definedName>
    <definedName name="CE3_">#REF!</definedName>
    <definedName name="CEBE">#REF!</definedName>
    <definedName name="CECF">#REF!</definedName>
    <definedName name="CEGG">#REF!</definedName>
    <definedName name="CEIM">#REF!</definedName>
    <definedName name="ceme">#REF!</definedName>
    <definedName name="cemento">#REF!</definedName>
    <definedName name="CEMR">#REF!</definedName>
    <definedName name="CEo">#REF!</definedName>
    <definedName name="Certificado2" localSheetId="0">#REF!</definedName>
    <definedName name="Certificado2" localSheetId="9">#REF!</definedName>
    <definedName name="Certificado2" localSheetId="10">#REF!</definedName>
    <definedName name="Certificado2" localSheetId="11">#REF!</definedName>
    <definedName name="Certificado2" localSheetId="1">#REF!</definedName>
    <definedName name="Certificado2" localSheetId="2">#REF!</definedName>
    <definedName name="Certificado2" localSheetId="3">#REF!</definedName>
    <definedName name="Certificado2" localSheetId="4">#REF!</definedName>
    <definedName name="Certificado2" localSheetId="5">#REF!</definedName>
    <definedName name="Certificado2" localSheetId="6">#REF!</definedName>
    <definedName name="Certificado2" localSheetId="7">#REF!</definedName>
    <definedName name="Certificado2" localSheetId="8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>#REF!</definedName>
    <definedName name="CIEA">#REF!</definedName>
    <definedName name="CIEE">#REF!</definedName>
    <definedName name="CIEF">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>#REF!</definedName>
    <definedName name="CM1_">#REF!</definedName>
    <definedName name="CM3_">#REF!</definedName>
    <definedName name="CM4_">#REF!</definedName>
    <definedName name="CMA">#REF!</definedName>
    <definedName name="CMAX">#REF!</definedName>
    <definedName name="CMMO">#REF!</definedName>
    <definedName name="CMO">#REF!</definedName>
    <definedName name="CMOE">#REF!</definedName>
    <definedName name="CMP">#REF!</definedName>
    <definedName name="CMZ">#REF!</definedName>
    <definedName name="codigoanalisis">#REF!</definedName>
    <definedName name="codigoformulas">#REF!</definedName>
    <definedName name="codigoinsumos">#REF!</definedName>
    <definedName name="codigoitems">#REF!</definedName>
    <definedName name="codigomat">#REF!</definedName>
    <definedName name="CodigoParametrico">#REF!</definedName>
    <definedName name="coef" localSheetId="0">#REF!</definedName>
    <definedName name="coef" localSheetId="9">#REF!</definedName>
    <definedName name="coef" localSheetId="10">#REF!</definedName>
    <definedName name="coef" localSheetId="11">#REF!</definedName>
    <definedName name="coef" localSheetId="1">#REF!</definedName>
    <definedName name="coef" localSheetId="2">#REF!</definedName>
    <definedName name="coef" localSheetId="3">#REF!</definedName>
    <definedName name="coef" localSheetId="4">#REF!</definedName>
    <definedName name="coef" localSheetId="5">#REF!</definedName>
    <definedName name="coef" localSheetId="6">#REF!</definedName>
    <definedName name="coef" localSheetId="7">#REF!</definedName>
    <definedName name="coef" localSheetId="8">#REF!</definedName>
    <definedName name="coef">#REF!</definedName>
    <definedName name="Coef_GG_B_I">#REF!</definedName>
    <definedName name="columna">#REF!</definedName>
    <definedName name="COLUMNAS">#REF!</definedName>
    <definedName name="Comb">#REF!</definedName>
    <definedName name="Combinaciones_cargas">#REF!</definedName>
    <definedName name="COMPANIA">#REF!</definedName>
    <definedName name="COMPUTO">#REF!</definedName>
    <definedName name="COMPUTOS">#REF!</definedName>
    <definedName name="Constante_de_los_Gases">#REF!</definedName>
    <definedName name="constantes">#REF!</definedName>
    <definedName name="Consumo">#REF!</definedName>
    <definedName name="Contribucion_Patronal_s_Decreto_2641">#REF!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>#REF!</definedName>
    <definedName name="coti4">#REF!</definedName>
    <definedName name="Cotizador_automatico_del_pedido.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0">#REF!</definedName>
    <definedName name="d" localSheetId="9">#REF!</definedName>
    <definedName name="d" localSheetId="10">#REF!</definedName>
    <definedName name="d" localSheetId="11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>#REF!</definedName>
    <definedName name="d.10">#REF!</definedName>
    <definedName name="d.12">#REF!</definedName>
    <definedName name="d.16">#REF!</definedName>
    <definedName name="d.20">#REF!</definedName>
    <definedName name="d.25">#REF!</definedName>
    <definedName name="d.6">#REF!</definedName>
    <definedName name="d.8">#REF!</definedName>
    <definedName name="Data">#REF!</definedName>
    <definedName name="DATOS">#REF!</definedName>
    <definedName name="DCC">#REF!</definedName>
    <definedName name="ddlim">#REF!</definedName>
    <definedName name="decimal" hidden="1">{"DECIMAL",#N/A,FALSE,"02"}</definedName>
    <definedName name="Decreto_2641_02">#REF!</definedName>
    <definedName name="DEESP">#REF!</definedName>
    <definedName name="DELTA">#N/A</definedName>
    <definedName name="DenominacionAcero">#REF!</definedName>
    <definedName name="DenominacioPerfiles">#REF!</definedName>
    <definedName name="Descuentos">#REF!</definedName>
    <definedName name="Descuentos2">#REF!</definedName>
    <definedName name="Desperdicio_Armadura">#REF!</definedName>
    <definedName name="Destino_Edificio">#REF!</definedName>
    <definedName name="Detalle" hidden="1">{"NORMAL",#N/A,FALSE,"02"}</definedName>
    <definedName name="dF">#REF!</definedName>
    <definedName name="dfgsgsg">#REF!</definedName>
    <definedName name="DHDAM">#REF!</definedName>
    <definedName name="DHDD">#REF!</definedName>
    <definedName name="DHDDA">#REF!</definedName>
    <definedName name="DHDDB">#REF!</definedName>
    <definedName name="DHDDE">#REF!</definedName>
    <definedName name="DHDEM">#REF!</definedName>
    <definedName name="DHDPO">#REF!</definedName>
    <definedName name="DHMPO">#REF!</definedName>
    <definedName name="DIAMETROS">#REF!</definedName>
    <definedName name="Diámetros_y_Espesores_de_P.V.C.">#REF!</definedName>
    <definedName name="Dias_Enfermedad">#REF!</definedName>
    <definedName name="Diesel">#REF!</definedName>
    <definedName name="dil">#REF!</definedName>
    <definedName name="DINTS">#REF!</definedName>
    <definedName name="dlim">#REF!</definedName>
    <definedName name="DMPGR">#REF!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>#REF!</definedName>
    <definedName name="DTHDABM">#REF!</definedName>
    <definedName name="DTHDAPM">#REF!</definedName>
    <definedName name="DTHDBPM">#REF!</definedName>
    <definedName name="DTHPDCO">#REF!</definedName>
    <definedName name="DTHPDDA">#REF!</definedName>
    <definedName name="DTHPDDB">#REF!</definedName>
    <definedName name="DTHPGCO">#REF!</definedName>
    <definedName name="DTHPMBM">#REF!</definedName>
    <definedName name="DVDD">#REF!</definedName>
    <definedName name="DVDEM">#REF!</definedName>
    <definedName name="DVEM">#REF!</definedName>
    <definedName name="E">#N/A</definedName>
    <definedName name="EASP">#REF!</definedName>
    <definedName name="Ee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>#REF!</definedName>
    <definedName name="EncabezadoAnalisis">#REF!</definedName>
    <definedName name="End_Bal">#REF!</definedName>
    <definedName name="ENERGIA">#REF!</definedName>
    <definedName name="ENREUTAB">#REF!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>#REF!</definedName>
    <definedName name="EXAPI">#REF!</definedName>
    <definedName name="EXAS">#REF!</definedName>
    <definedName name="EXAZ">#REF!</definedName>
    <definedName name="EXBE">#REF!</definedName>
    <definedName name="EXCD">#REF!</definedName>
    <definedName name="EXCM">#REF!</definedName>
    <definedName name="EXCT">#REF!</definedName>
    <definedName name="EXESP">#REF!</definedName>
    <definedName name="EXLP">#REF!</definedName>
    <definedName name="EXLS">#REF!</definedName>
    <definedName name="EXNC">#REF!</definedName>
    <definedName name="EXNP">#REF!</definedName>
    <definedName name="EXPOSICION">#REF!</definedName>
    <definedName name="EXPZ">#REF!</definedName>
    <definedName name="EXSP">#REF!</definedName>
    <definedName name="Extra_Pay">#REF!</definedName>
    <definedName name="EY">#N/A</definedName>
    <definedName name="FASES">#N/A</definedName>
    <definedName name="FCT">#REF!</definedName>
    <definedName name="Fe">#REF!</definedName>
    <definedName name="Fecha">#REF!</definedName>
    <definedName name="FF">#REF!</definedName>
    <definedName name="ffdfsd">#REF!</definedName>
    <definedName name="fi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>#REF!</definedName>
    <definedName name="formula_analisis">#REF!</definedName>
    <definedName name="formula_formula">#REF!</definedName>
    <definedName name="Fórmula_General_para_Determinación_de_f">#REF!</definedName>
    <definedName name="formula_insumo">#REF!</definedName>
    <definedName name="formula_presupuesto">#REF!</definedName>
    <definedName name="formula_rubro">#REF!</definedName>
    <definedName name="formulapatron">#REF!</definedName>
    <definedName name="formulas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>#REF!</definedName>
    <definedName name="guarderia" localSheetId="0">#REF!</definedName>
    <definedName name="guarderia" localSheetId="9">#REF!</definedName>
    <definedName name="guarderia" localSheetId="10">#REF!</definedName>
    <definedName name="guarderia" localSheetId="11">#REF!</definedName>
    <definedName name="guarderia" localSheetId="1">#REF!</definedName>
    <definedName name="guarderia" localSheetId="2">#REF!</definedName>
    <definedName name="guarderia" localSheetId="3">#REF!</definedName>
    <definedName name="guarderia" localSheetId="4">#REF!</definedName>
    <definedName name="guarderia" localSheetId="5">#REF!</definedName>
    <definedName name="guarderia" localSheetId="6">#REF!</definedName>
    <definedName name="guarderia" localSheetId="7">#REF!</definedName>
    <definedName name="guarderia" localSheetId="8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>#REF!</definedName>
    <definedName name="HAADC">#REF!</definedName>
    <definedName name="HAADE">#REF!</definedName>
    <definedName name="HAADL">#REF!</definedName>
    <definedName name="HAADT">#REF!</definedName>
    <definedName name="HAADV">#REF!</definedName>
    <definedName name="HAAP">#REF!</definedName>
    <definedName name="HAAT">#REF!</definedName>
    <definedName name="HAAV">#REF!</definedName>
    <definedName name="HACAB">#REF!</definedName>
    <definedName name="HACABCP">#REF!</definedName>
    <definedName name="HACABE">#REF!</definedName>
    <definedName name="HACABEE">#REF!</definedName>
    <definedName name="HACABLA">#REF!</definedName>
    <definedName name="HACABLB">#REF!</definedName>
    <definedName name="HACAC">#REF!</definedName>
    <definedName name="HACACT">#REF!</definedName>
    <definedName name="HACAE">#REF!</definedName>
    <definedName name="HACAL">#REF!</definedName>
    <definedName name="HACALF">#REF!</definedName>
    <definedName name="HACAP">#REF!</definedName>
    <definedName name="HACAT">#REF!</definedName>
    <definedName name="HACATS">#REF!</definedName>
    <definedName name="HACAV">#REF!</definedName>
    <definedName name="HACAVF">#REF!</definedName>
    <definedName name="HACHE">#N/A</definedName>
    <definedName name="HACLB">#REF!</definedName>
    <definedName name="HACLD">#REF!</definedName>
    <definedName name="HACTLB">#REF!</definedName>
    <definedName name="HACTLD">#REF!</definedName>
    <definedName name="HAEL">#REF!</definedName>
    <definedName name="HAEMPSA">#REF!</definedName>
    <definedName name="HAEMZA">#REF!</definedName>
    <definedName name="HAET">#REF!</definedName>
    <definedName name="HAETBCP">#REF!</definedName>
    <definedName name="HAETS">#REF!</definedName>
    <definedName name="HAEV">#REF!</definedName>
    <definedName name="HAMH">#REF!</definedName>
    <definedName name="HAPC">#REF!</definedName>
    <definedName name="HAPL">#REF!</definedName>
    <definedName name="HAPV">#REF!</definedName>
    <definedName name="HAREM">#REF!</definedName>
    <definedName name="HARHE">#REF!</definedName>
    <definedName name="HATF">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>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>#REF!</definedName>
    <definedName name="HORM">#REF!</definedName>
    <definedName name="HORMA">#REF!</definedName>
    <definedName name="HP">#REF!</definedName>
    <definedName name="HR">#REF!</definedName>
    <definedName name="Hs">#REF!</definedName>
    <definedName name="HTR">#REF!</definedName>
    <definedName name="Huno">#REF!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>#REF!</definedName>
    <definedName name="Jornal_Basico_Oficial">#REF!</definedName>
    <definedName name="Jornal_Basico_Oficial_Especializado">#REF!</definedName>
    <definedName name="JP">#REF!</definedName>
    <definedName name="JT">#REF!</definedName>
    <definedName name="JUBI">#REF!</definedName>
    <definedName name="K" localSheetId="0">#REF!</definedName>
    <definedName name="K" localSheetId="9">#REF!</definedName>
    <definedName name="K" localSheetId="10">#REF!</definedName>
    <definedName name="K" localSheetId="11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8">#REF!</definedName>
    <definedName name="K">#REF!</definedName>
    <definedName name="kh">#REF!</definedName>
    <definedName name="kha">#REF!</definedName>
    <definedName name="l" localSheetId="0">#REF!</definedName>
    <definedName name="l" localSheetId="9">#REF!</definedName>
    <definedName name="l" localSheetId="10">#REF!</definedName>
    <definedName name="l" localSheetId="11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8">#REF!</definedName>
    <definedName name="l">#REF!</definedName>
    <definedName name="LA">#N/A</definedName>
    <definedName name="Last_Row">#N/A</definedName>
    <definedName name="LB">#N/A</definedName>
    <definedName name="LCPCB">#REF!</definedName>
    <definedName name="LCPCI06">#REF!</definedName>
    <definedName name="LCPCID12">#REF!</definedName>
    <definedName name="LCPCR">#REF!</definedName>
    <definedName name="LCPCRE">#REF!</definedName>
    <definedName name="LCPCV">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>#REF!</definedName>
    <definedName name="MAABY">#REF!</definedName>
    <definedName name="MAALC">#REF!</definedName>
    <definedName name="MAALH">#REF!</definedName>
    <definedName name="MAALHP">#REF!</definedName>
    <definedName name="MAALV">#REF!</definedName>
    <definedName name="MAAP">#REF!</definedName>
    <definedName name="MAAPY">#REF!</definedName>
    <definedName name="MABBC">#REF!</definedName>
    <definedName name="MABBY">#REF!</definedName>
    <definedName name="MABLC">#REF!</definedName>
    <definedName name="MABLH">#REF!</definedName>
    <definedName name="MABLHP">#REF!</definedName>
    <definedName name="MABLV">#REF!</definedName>
    <definedName name="MABP">#REF!</definedName>
    <definedName name="MABPY">#REF!</definedName>
    <definedName name="MACBC">#REF!</definedName>
    <definedName name="MACBY">#REF!</definedName>
    <definedName name="MACLC">#REF!</definedName>
    <definedName name="MACLH">#REF!</definedName>
    <definedName name="MACLHP">#REF!</definedName>
    <definedName name="MACLV">#REF!</definedName>
    <definedName name="MACPLY">#REF!</definedName>
    <definedName name="MACPY">#REF!</definedName>
    <definedName name="MACV">#REF!</definedName>
    <definedName name="mad">#REF!</definedName>
    <definedName name="MADLH">#REF!</definedName>
    <definedName name="MAEJ">#REF!</definedName>
    <definedName name="MAENM">#REF!</definedName>
    <definedName name="MAMPOSTERIA">#REF!</definedName>
    <definedName name="MANOBRA">#N/A</definedName>
    <definedName name="manodeo">#REF!</definedName>
    <definedName name="manodeobra" localSheetId="0">#REF!</definedName>
    <definedName name="manodeobra" localSheetId="9">#REF!</definedName>
    <definedName name="manodeobra" localSheetId="10">#REF!</definedName>
    <definedName name="manodeobra" localSheetId="11">#REF!</definedName>
    <definedName name="manodeobra" localSheetId="1">#REF!</definedName>
    <definedName name="manodeobra" localSheetId="2">#REF!</definedName>
    <definedName name="manodeobra" localSheetId="3">#REF!</definedName>
    <definedName name="manodeobra" localSheetId="4">#REF!</definedName>
    <definedName name="manodeobra" localSheetId="5">#REF!</definedName>
    <definedName name="manodeobra" localSheetId="6">#REF!</definedName>
    <definedName name="manodeobra" localSheetId="7">#REF!</definedName>
    <definedName name="manodeobra" localSheetId="8">#REF!</definedName>
    <definedName name="manodeobra">#REF!</definedName>
    <definedName name="MAPBC">#REF!</definedName>
    <definedName name="MAPBY">#REF!</definedName>
    <definedName name="MAPJ">#REF!</definedName>
    <definedName name="MAPLC">#REF!</definedName>
    <definedName name="MAPLH">#REF!</definedName>
    <definedName name="MAPLHP">#REF!</definedName>
    <definedName name="MAPLV">#REF!</definedName>
    <definedName name="MAPPY">#REF!</definedName>
    <definedName name="MAR">#REF!</definedName>
    <definedName name="MARHD">#REF!</definedName>
    <definedName name="MARHH">#REF!</definedName>
    <definedName name="MARHM">#REF!</definedName>
    <definedName name="MARHR">#REF!</definedName>
    <definedName name="MARHT">#REF!</definedName>
    <definedName name="MARLA">#REF!</definedName>
    <definedName name="MARLB">#REF!</definedName>
    <definedName name="MARP">#REF!</definedName>
    <definedName name="mat">#REF!</definedName>
    <definedName name="materiales">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>#REF!</definedName>
    <definedName name="MMCCA">#REF!</definedName>
    <definedName name="MMCDE">#REF!</definedName>
    <definedName name="MMDMA">#REF!</definedName>
    <definedName name="MMDMC">#REF!</definedName>
    <definedName name="MMDMD">#REF!</definedName>
    <definedName name="MMDME">#REF!</definedName>
    <definedName name="MMDMP">#REF!</definedName>
    <definedName name="MMDMT">#REF!</definedName>
    <definedName name="MMDMV">#REF!</definedName>
    <definedName name="mmm">#REF!</definedName>
    <definedName name="MMRC">#REF!</definedName>
    <definedName name="MMVC">#REF!</definedName>
    <definedName name="Monto_Certif.">#REF!</definedName>
    <definedName name="MOREGAS">#REF!</definedName>
    <definedName name="mov">#REF!</definedName>
    <definedName name="movilizacion">#REF!</definedName>
    <definedName name="MQ">#REF!</definedName>
    <definedName name="MSAP">#REF!</definedName>
    <definedName name="MSAS">#REF!</definedName>
    <definedName name="MSLS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>#REF!</definedName>
    <definedName name="nago">#REF!</definedName>
    <definedName name="NEW">#REF!</definedName>
    <definedName name="NEW_E1">#REF!</definedName>
    <definedName name="Normal">#REF!</definedName>
    <definedName name="NRO">#REF!</definedName>
    <definedName name="Nro_Pisos">#REF!</definedName>
    <definedName name="NUEVAHOJA">#REF!</definedName>
    <definedName name="Num_Pmt_Per_Year">#REF!</definedName>
    <definedName name="Number_of_Payments">MATCH(0.01,End_Bal,-1)+1</definedName>
    <definedName name="Numero_Unidades_Funcionales">#REF!</definedName>
    <definedName name="OBR">#REF!</definedName>
    <definedName name="Obra">#REF!</definedName>
    <definedName name="OBRA__CASA_LOUZAN" localSheetId="0">#REF!</definedName>
    <definedName name="OBRA__CASA_LOUZAN" localSheetId="9">#REF!</definedName>
    <definedName name="OBRA__CASA_LOUZAN" localSheetId="10">#REF!</definedName>
    <definedName name="OBRA__CASA_LOUZAN" localSheetId="11">#REF!</definedName>
    <definedName name="OBRA__CASA_LOUZAN" localSheetId="1">#REF!</definedName>
    <definedName name="OBRA__CASA_LOUZAN" localSheetId="2">#REF!</definedName>
    <definedName name="OBRA__CASA_LOUZAN" localSheetId="3">#REF!</definedName>
    <definedName name="OBRA__CASA_LOUZAN" localSheetId="4">#REF!</definedName>
    <definedName name="OBRA__CASA_LOUZAN" localSheetId="5">#REF!</definedName>
    <definedName name="OBRA__CASA_LOUZAN" localSheetId="6">#REF!</definedName>
    <definedName name="OBRA__CASA_LOUZAN" localSheetId="7">#REF!</definedName>
    <definedName name="OBRA__CASA_LOUZAN" localSheetId="8">#REF!</definedName>
    <definedName name="OBRA__CASA_LOUZAN">#REF!</definedName>
    <definedName name="OBRA_DE_TOMA">#REF!</definedName>
    <definedName name="OFER">#REF!</definedName>
    <definedName name="ofEspecial">#REF!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0">#REF!</definedName>
    <definedName name="PASE" localSheetId="9">#REF!</definedName>
    <definedName name="PASE" localSheetId="10">#REF!</definedName>
    <definedName name="PASE" localSheetId="11">#REF!</definedName>
    <definedName name="PASE" localSheetId="1">#REF!</definedName>
    <definedName name="PASE" localSheetId="2">#REF!</definedName>
    <definedName name="PASE" localSheetId="3">#REF!</definedName>
    <definedName name="PASE" localSheetId="4">#REF!</definedName>
    <definedName name="PASE" localSheetId="5">#REF!</definedName>
    <definedName name="PASE" localSheetId="6">#REF!</definedName>
    <definedName name="PASE" localSheetId="7">#REF!</definedName>
    <definedName name="PASE" localSheetId="8">#REF!</definedName>
    <definedName name="PASE">#REF!</definedName>
    <definedName name="paso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DATE(YEAR(Loan_Start),MONTH(Loan_Start)+Payment_Number,DAY(Loan_Start))</definedName>
    <definedName name="PEESC">#REF!</definedName>
    <definedName name="pepe">#REF!</definedName>
    <definedName name="PerfilC" comment="PERFIL C">#REF!</definedName>
    <definedName name="perfiles">#REF!</definedName>
    <definedName name="Pern.">#REF!</definedName>
    <definedName name="pf">#REF!</definedName>
    <definedName name="PIAM">#REF!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>#REF!</definedName>
    <definedName name="Plazo_de_obra">#REF!</definedName>
    <definedName name="Plazo_Obra">#REF!</definedName>
    <definedName name="Plus">#REF!</definedName>
    <definedName name="Plus_No_Remunerativo">#REF!</definedName>
    <definedName name="Plus_No_Remunerativo_Ayudante">#REF!</definedName>
    <definedName name="Plus_No_Remunerativo_Oficial">#REF!</definedName>
    <definedName name="Plus_No_Remunerativo_Oficial_Especializado">#REF!</definedName>
    <definedName name="Pmax">#REF!</definedName>
    <definedName name="PNA">#REF!</definedName>
    <definedName name="PNAV">#REF!</definedName>
    <definedName name="PNL">#REF!</definedName>
    <definedName name="PNP">#REF!</definedName>
    <definedName name="POficial">#REF!</definedName>
    <definedName name="Pp">#REF!</definedName>
    <definedName name="PPA">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>#REF!</definedName>
    <definedName name="PRECIO">#REF!</definedName>
    <definedName name="PRECIO_TOTAL">#REF!</definedName>
    <definedName name="premerreadec">#REF!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0">#REF!</definedName>
    <definedName name="PRESUP" localSheetId="9">#REF!</definedName>
    <definedName name="PRESUP" localSheetId="10">#REF!</definedName>
    <definedName name="PRESUP" localSheetId="11">#REF!</definedName>
    <definedName name="PRESUP" localSheetId="1">#REF!</definedName>
    <definedName name="PRESUP" localSheetId="2">#REF!</definedName>
    <definedName name="PRESUP" localSheetId="3">#REF!</definedName>
    <definedName name="PRESUP" localSheetId="4">#REF!</definedName>
    <definedName name="PRESUP" localSheetId="5">#REF!</definedName>
    <definedName name="PRESUP" localSheetId="6">#REF!</definedName>
    <definedName name="PRESUP" localSheetId="7">#REF!</definedName>
    <definedName name="PRESUP" localSheetId="8">#REF!</definedName>
    <definedName name="PRESUP">#REF!</definedName>
    <definedName name="presuporcentaje" localSheetId="0">#REF!</definedName>
    <definedName name="presuporcentaje" localSheetId="9">#REF!</definedName>
    <definedName name="presuporcentaje" localSheetId="10">#REF!</definedName>
    <definedName name="presuporcentaje" localSheetId="11">#REF!</definedName>
    <definedName name="presuporcentaje" localSheetId="1">#REF!</definedName>
    <definedName name="presuporcentaje" localSheetId="2">#REF!</definedName>
    <definedName name="presuporcentaje" localSheetId="3">#REF!</definedName>
    <definedName name="presuporcentaje" localSheetId="4">#REF!</definedName>
    <definedName name="presuporcentaje" localSheetId="5">#REF!</definedName>
    <definedName name="presuporcentaje" localSheetId="6">#REF!</definedName>
    <definedName name="presuporcentaje" localSheetId="7">#REF!</definedName>
    <definedName name="presuporcentaje" localSheetId="8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PRINT_AREA_MI">#REF!</definedName>
    <definedName name="Print_Area_Reset">OFFSET(Full_Print,0,0,Last_Row)</definedName>
    <definedName name="printercanal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hidden="1">{"DECIMAL",#N/A,FALSE,"02"}</definedName>
    <definedName name="Prof_fund">#REF!</definedName>
    <definedName name="Prof_Tensor">#REF!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0">L2C1:L372C15</definedName>
    <definedName name="rangobase" localSheetId="9">L2C1:L372C15</definedName>
    <definedName name="rangobase" localSheetId="10">L2C1:L372C15</definedName>
    <definedName name="rangobase" localSheetId="11">L2C1:L372C15</definedName>
    <definedName name="rangobase" localSheetId="1">L2C1:L372C15</definedName>
    <definedName name="rangobase" localSheetId="2">L2C1:L372C15</definedName>
    <definedName name="rangobase" localSheetId="3">L2C1:L372C15</definedName>
    <definedName name="rangobase" localSheetId="4">L2C1:L372C15</definedName>
    <definedName name="rangobase" localSheetId="5">L2C1:L372C15</definedName>
    <definedName name="rangobase" localSheetId="6">L2C1:L372C15</definedName>
    <definedName name="rangobase" localSheetId="7">L2C1:L372C15</definedName>
    <definedName name="rangobase" localSheetId="8">L2C1:L372C15</definedName>
    <definedName name="rangobase">L2C1:L372C15</definedName>
    <definedName name="rangoformulas">#REF!</definedName>
    <definedName name="RB" localSheetId="0">L2C1:L372C15</definedName>
    <definedName name="RB" localSheetId="9">L2C1:L372C15</definedName>
    <definedName name="RB" localSheetId="10">L2C1:L372C15</definedName>
    <definedName name="RB" localSheetId="11">L2C1:L372C15</definedName>
    <definedName name="RB" localSheetId="1">L2C1:L372C15</definedName>
    <definedName name="RB" localSheetId="2">L2C1:L372C15</definedName>
    <definedName name="RB" localSheetId="3">L2C1:L372C15</definedName>
    <definedName name="RB" localSheetId="4">L2C1:L372C15</definedName>
    <definedName name="RB" localSheetId="5">L2C1:L372C15</definedName>
    <definedName name="RB" localSheetId="6">L2C1:L372C15</definedName>
    <definedName name="RB" localSheetId="7">L2C1:L372C15</definedName>
    <definedName name="RB" localSheetId="8">L2C1:L372C15</definedName>
    <definedName name="RB">L2C1:L372C15</definedName>
    <definedName name="RBASE" localSheetId="0">L2C1:L372C15</definedName>
    <definedName name="RBASE" localSheetId="9">L2C1:L372C15</definedName>
    <definedName name="RBASE" localSheetId="10">L2C1:L372C15</definedName>
    <definedName name="RBASE" localSheetId="11">L2C1:L372C15</definedName>
    <definedName name="RBASE" localSheetId="1">L2C1:L372C15</definedName>
    <definedName name="RBASE" localSheetId="2">L2C1:L372C15</definedName>
    <definedName name="RBASE" localSheetId="3">L2C1:L372C15</definedName>
    <definedName name="RBASE" localSheetId="4">L2C1:L372C15</definedName>
    <definedName name="RBASE" localSheetId="5">L2C1:L372C15</definedName>
    <definedName name="RBASE" localSheetId="6">L2C1:L372C15</definedName>
    <definedName name="RBASE" localSheetId="7">L2C1:L372C15</definedName>
    <definedName name="RBASE" localSheetId="8">L2C1:L372C15</definedName>
    <definedName name="RBASE">L2C1:L372C15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>#REF!</definedName>
    <definedName name="RSARL">#REF!</definedName>
    <definedName name="RSAZCE">#REF!</definedName>
    <definedName name="RSAZM">#REF!</definedName>
    <definedName name="RSCOL">#REF!</definedName>
    <definedName name="RSLD">#REF!</definedName>
    <definedName name="RSPD">#REF!</definedName>
    <definedName name="RSPZM">#REF!</definedName>
    <definedName name="ryrc">#REF!</definedName>
    <definedName name="ryrr">#REF!</definedName>
    <definedName name="S">#REF!</definedName>
    <definedName name="sa" localSheetId="0" hidden="1">#REF!</definedName>
    <definedName name="sa" localSheetId="9" hidden="1">#REF!</definedName>
    <definedName name="sa" localSheetId="10" hidden="1">#REF!</definedName>
    <definedName name="sa" localSheetId="11" hidden="1">#REF!</definedName>
    <definedName name="sa" localSheetId="1" hidden="1">#REF!</definedName>
    <definedName name="sa" localSheetId="2" hidden="1">#REF!</definedName>
    <definedName name="sa" localSheetId="3" hidden="1">#REF!</definedName>
    <definedName name="sa" localSheetId="4" hidden="1">#REF!</definedName>
    <definedName name="sa" localSheetId="5" hidden="1">#REF!</definedName>
    <definedName name="sa" localSheetId="6" hidden="1">#REF!</definedName>
    <definedName name="sa" localSheetId="7" hidden="1">#REF!</definedName>
    <definedName name="sa" localSheetId="8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>#REF!</definedName>
    <definedName name="SECCIONES_DIV">#REF!</definedName>
    <definedName name="SEG">#REF!</definedName>
    <definedName name="SEGUNDA">#REF!</definedName>
    <definedName name="Seguro_de_Vida_Obligatorio">#REF!</definedName>
    <definedName name="SIG__">#N/A</definedName>
    <definedName name="SIG2__">#N/A</definedName>
    <definedName name="sigmabk">#REF!</definedName>
    <definedName name="sigmabk_c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UBTOTAL">#REF!</definedName>
    <definedName name="Sueldo_Anual_Complementario">#REF!</definedName>
    <definedName name="Suelo">#REF!</definedName>
    <definedName name="SumaItems">#REF!</definedName>
    <definedName name="Summary">#REF!</definedName>
    <definedName name="Sup_Cubierta">#REF!</definedName>
    <definedName name="Sup_Lote">#REF!</definedName>
    <definedName name="Sup_Proyecto">#REF!</definedName>
    <definedName name="Sup_Terreno">#REF!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>#REF!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>#REF!</definedName>
    <definedName name="TITULOS">#REF!</definedName>
    <definedName name="TITULOS_A_IMPRIMIR">#REF!</definedName>
    <definedName name="_xlnm.Print_Titles" localSheetId="0">'SVD 4140_Pto. 01_Cert. 01'!$8:$8</definedName>
    <definedName name="_xlnm.Print_Titles" localSheetId="9">'SVD 4140_Pto. 01_Cert. 10'!$8:$8</definedName>
    <definedName name="_xlnm.Print_Titles" localSheetId="10">'SVD 4140_Pto. 01_Cert. 11'!$8:$8</definedName>
    <definedName name="_xlnm.Print_Titles" localSheetId="11">'SVD 4140_Pto. 01_Cert. 12'!$8:$8</definedName>
    <definedName name="_xlnm.Print_Titles" localSheetId="1">'SVD 4140_Pto. 01_Cert. 2'!$8:$8</definedName>
    <definedName name="_xlnm.Print_Titles" localSheetId="2">'SVD 4140_Pto. 01_Cert. 3'!$8:$8</definedName>
    <definedName name="_xlnm.Print_Titles" localSheetId="3">'SVD 4140_Pto. 01_Cert. 4'!$8:$8</definedName>
    <definedName name="_xlnm.Print_Titles" localSheetId="4">'SVD 4140_Pto. 01_Cert. 5'!$8:$8</definedName>
    <definedName name="_xlnm.Print_Titles" localSheetId="5">'SVD 4140_Pto. 01_Cert. 6'!$8:$8</definedName>
    <definedName name="_xlnm.Print_Titles" localSheetId="6">'SVD 4140_Pto. 01_Cert. 7'!$8:$8</definedName>
    <definedName name="_xlnm.Print_Titles" localSheetId="7">'SVD 4140_Pto. 01_Cert. 8'!$8:$8</definedName>
    <definedName name="_xlnm.Print_Titles" localSheetId="8">'SVD 4140_Pto. 01_Cert. 9'!$8:$8</definedName>
    <definedName name="_xlnm.Print_Titles">#REF!</definedName>
    <definedName name="Títulos_a_imprimir_IM" localSheetId="0">#REF!</definedName>
    <definedName name="Títulos_a_imprimir_IM" localSheetId="9">#REF!</definedName>
    <definedName name="Títulos_a_imprimir_IM" localSheetId="10">#REF!</definedName>
    <definedName name="Títulos_a_imprimir_IM" localSheetId="11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 localSheetId="4">#REF!</definedName>
    <definedName name="Títulos_a_imprimir_IM" localSheetId="5">#REF!</definedName>
    <definedName name="Títulos_a_imprimir_IM" localSheetId="6">#REF!</definedName>
    <definedName name="Títulos_a_imprimir_IM" localSheetId="7">#REF!</definedName>
    <definedName name="Títulos_a_imprimir_IM" localSheetId="8">#REF!</definedName>
    <definedName name="Títulos_a_imprimir_IM">#REF!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9">Scheduled_Payment+Extra_Payment</definedName>
    <definedName name="Total_Payment" localSheetId="10">Scheduled_Payment+Extra_Payment</definedName>
    <definedName name="Total_Payment" localSheetId="11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4">Scheduled_Payment+Extra_Payment</definedName>
    <definedName name="Total_Payment" localSheetId="5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 localSheetId="8">Scheduled_Payment+Extra_Payment</definedName>
    <definedName name="Total_Payment">Scheduled_Payment+Extra_Payment</definedName>
    <definedName name="TOTAL_SISTEMA_DE_ACUEDUCTOS_A_PRECIO_FINAL">#REF!</definedName>
    <definedName name="totalcert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>#REF!</definedName>
    <definedName name="UOCRA">#REF!</definedName>
    <definedName name="UOCRA_Cargo_Fijo">#REF!</definedName>
    <definedName name="UPN">#REF!</definedName>
    <definedName name="USD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0">#REF!</definedName>
    <definedName name="valoresequipo" localSheetId="9">#REF!</definedName>
    <definedName name="valoresequipo" localSheetId="10">#REF!</definedName>
    <definedName name="valoresequipo" localSheetId="11">#REF!</definedName>
    <definedName name="valoresequipo" localSheetId="1">#REF!</definedName>
    <definedName name="valoresequipo" localSheetId="2">#REF!</definedName>
    <definedName name="valoresequipo" localSheetId="3">#REF!</definedName>
    <definedName name="valoresequipo" localSheetId="4">#REF!</definedName>
    <definedName name="valoresequipo" localSheetId="5">#REF!</definedName>
    <definedName name="valoresequipo" localSheetId="6">#REF!</definedName>
    <definedName name="valoresequipo" localSheetId="7">#REF!</definedName>
    <definedName name="valoresequipo" localSheetId="8">#REF!</definedName>
    <definedName name="valoresequipo">#REF!</definedName>
    <definedName name="Values_Entered">IF(Loan_Amount*Interest_Rate*Loan_Years*Loan_Start&gt;0,1,0)</definedName>
    <definedName name="vaponeo">#REF!</definedName>
    <definedName name="varmco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hidden="1">{"NORMAL",#N/A,FALSE,"02"}</definedName>
    <definedName name="we" localSheetId="0">#REF!</definedName>
    <definedName name="we" localSheetId="9">#REF!</definedName>
    <definedName name="we" localSheetId="10">#REF!</definedName>
    <definedName name="we" localSheetId="11">#REF!</definedName>
    <definedName name="we" localSheetId="1">#REF!</definedName>
    <definedName name="we" localSheetId="2">#REF!</definedName>
    <definedName name="we" localSheetId="3">#REF!</definedName>
    <definedName name="we" localSheetId="4">#REF!</definedName>
    <definedName name="we" localSheetId="5">#REF!</definedName>
    <definedName name="we" localSheetId="6">#REF!</definedName>
    <definedName name="we" localSheetId="7">#REF!</definedName>
    <definedName name="we" localSheetId="8">#REF!</definedName>
    <definedName name="we">#REF!</definedName>
    <definedName name="wrn.02INFORME." hidden="1">{"NORMAL",#N/A,FALSE,"02"}</definedName>
    <definedName name="wrn.DECIMAL." hidden="1">{"DECIMAL",#N/A,FALSE,"02"}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hidden="1">{"DECIMAL",#N/A,FALSE,"02"}</definedName>
    <definedName name="XXX" hidden="1">{"NORMAL",#N/A,FALSE,"02"}</definedName>
    <definedName name="z">#REF!</definedName>
    <definedName name="Z_3EF0D3E3_8069_11D6_A032_005004A43871_.wvu.PrintTitle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3" i="19" l="1"/>
  <c r="J12" i="19"/>
  <c r="J13" i="19"/>
  <c r="M13" i="19" s="1"/>
  <c r="J14" i="19"/>
  <c r="J15" i="19"/>
  <c r="J16" i="19"/>
  <c r="J17" i="19"/>
  <c r="J18" i="19"/>
  <c r="J19" i="19"/>
  <c r="M19" i="19" s="1"/>
  <c r="J20" i="19"/>
  <c r="L20" i="19" s="1"/>
  <c r="J22" i="19"/>
  <c r="M22" i="19" s="1"/>
  <c r="J23" i="19"/>
  <c r="L23" i="19" s="1"/>
  <c r="O23" i="19" s="1"/>
  <c r="J24" i="19"/>
  <c r="J26" i="19"/>
  <c r="J27" i="19"/>
  <c r="J28" i="19"/>
  <c r="J29" i="19"/>
  <c r="J30" i="19"/>
  <c r="J31" i="19"/>
  <c r="J32" i="19"/>
  <c r="L32" i="19" s="1"/>
  <c r="O32" i="19" s="1"/>
  <c r="J33" i="19"/>
  <c r="M33" i="19" s="1"/>
  <c r="J34" i="19"/>
  <c r="M34" i="19" s="1"/>
  <c r="J35" i="19"/>
  <c r="L35" i="19" s="1"/>
  <c r="J36" i="19"/>
  <c r="J37" i="19"/>
  <c r="M37" i="19" s="1"/>
  <c r="J38" i="19"/>
  <c r="J39" i="19"/>
  <c r="J40" i="19"/>
  <c r="J41" i="19"/>
  <c r="J42" i="19"/>
  <c r="J44" i="19"/>
  <c r="L44" i="19" s="1"/>
  <c r="J45" i="19"/>
  <c r="M45" i="19" s="1"/>
  <c r="J46" i="19"/>
  <c r="L46" i="19" s="1"/>
  <c r="J47" i="19"/>
  <c r="J48" i="19"/>
  <c r="J49" i="19"/>
  <c r="M49" i="19" s="1"/>
  <c r="J50" i="19"/>
  <c r="J51" i="19"/>
  <c r="J52" i="19"/>
  <c r="J53" i="19"/>
  <c r="J54" i="19"/>
  <c r="J55" i="19"/>
  <c r="L55" i="19" s="1"/>
  <c r="J56" i="19"/>
  <c r="L56" i="19" s="1"/>
  <c r="O56" i="19" s="1"/>
  <c r="J57" i="19"/>
  <c r="J60" i="19"/>
  <c r="L24" i="19"/>
  <c r="O24" i="19" s="1"/>
  <c r="M36" i="19"/>
  <c r="L48" i="19"/>
  <c r="L50" i="19"/>
  <c r="M32" i="19"/>
  <c r="M53" i="19"/>
  <c r="J11" i="19"/>
  <c r="N68" i="19"/>
  <c r="O63" i="19"/>
  <c r="N60" i="19"/>
  <c r="O69" i="19" s="1"/>
  <c r="M60" i="19"/>
  <c r="L60" i="19"/>
  <c r="G60" i="19"/>
  <c r="N56" i="19"/>
  <c r="G56" i="19"/>
  <c r="G55" i="19"/>
  <c r="H54" i="19"/>
  <c r="N53" i="19"/>
  <c r="G53" i="19"/>
  <c r="L52" i="19"/>
  <c r="G52" i="19"/>
  <c r="N51" i="19"/>
  <c r="M51" i="19"/>
  <c r="L51" i="19"/>
  <c r="G51" i="19"/>
  <c r="G50" i="19"/>
  <c r="N49" i="19"/>
  <c r="G49" i="19"/>
  <c r="G48" i="19"/>
  <c r="N47" i="19"/>
  <c r="M47" i="19"/>
  <c r="L47" i="19"/>
  <c r="G47" i="19"/>
  <c r="G46" i="19"/>
  <c r="N45" i="19"/>
  <c r="G45" i="19"/>
  <c r="G44" i="19"/>
  <c r="H43" i="19" s="1"/>
  <c r="M42" i="19"/>
  <c r="L42" i="19"/>
  <c r="O42" i="19" s="1"/>
  <c r="G42" i="19"/>
  <c r="N42" i="19" s="1"/>
  <c r="N41" i="19"/>
  <c r="M41" i="19"/>
  <c r="L41" i="19"/>
  <c r="G41" i="19"/>
  <c r="M40" i="19"/>
  <c r="L40" i="19"/>
  <c r="O40" i="19" s="1"/>
  <c r="G40" i="19"/>
  <c r="N40" i="19" s="1"/>
  <c r="N39" i="19"/>
  <c r="M39" i="19"/>
  <c r="L39" i="19"/>
  <c r="G39" i="19"/>
  <c r="M38" i="19"/>
  <c r="L38" i="19"/>
  <c r="O38" i="19" s="1"/>
  <c r="G38" i="19"/>
  <c r="N38" i="19" s="1"/>
  <c r="N37" i="19"/>
  <c r="G37" i="19"/>
  <c r="G36" i="19"/>
  <c r="N36" i="19" s="1"/>
  <c r="N35" i="19"/>
  <c r="M35" i="19"/>
  <c r="G35" i="19"/>
  <c r="G34" i="19"/>
  <c r="N34" i="19" s="1"/>
  <c r="N33" i="19"/>
  <c r="G33" i="19"/>
  <c r="G32" i="19"/>
  <c r="N32" i="19" s="1"/>
  <c r="N31" i="19"/>
  <c r="M31" i="19"/>
  <c r="L31" i="19"/>
  <c r="G31" i="19"/>
  <c r="M30" i="19"/>
  <c r="L30" i="19"/>
  <c r="O30" i="19" s="1"/>
  <c r="G30" i="19"/>
  <c r="N30" i="19" s="1"/>
  <c r="N29" i="19"/>
  <c r="M29" i="19"/>
  <c r="L29" i="19"/>
  <c r="G29" i="19"/>
  <c r="O29" i="19" s="1"/>
  <c r="M28" i="19"/>
  <c r="L28" i="19"/>
  <c r="O28" i="19" s="1"/>
  <c r="G28" i="19"/>
  <c r="N28" i="19" s="1"/>
  <c r="N27" i="19"/>
  <c r="M27" i="19"/>
  <c r="L27" i="19"/>
  <c r="G27" i="19"/>
  <c r="M26" i="19"/>
  <c r="L26" i="19"/>
  <c r="O26" i="19" s="1"/>
  <c r="G26" i="19"/>
  <c r="N26" i="19" s="1"/>
  <c r="H25" i="19"/>
  <c r="N24" i="19"/>
  <c r="G24" i="19"/>
  <c r="G23" i="19"/>
  <c r="N23" i="19" s="1"/>
  <c r="N22" i="19"/>
  <c r="G22" i="19"/>
  <c r="H21" i="19" s="1"/>
  <c r="G20" i="19"/>
  <c r="N19" i="19"/>
  <c r="G19" i="19"/>
  <c r="L18" i="19"/>
  <c r="G18" i="19"/>
  <c r="N17" i="19"/>
  <c r="M17" i="19"/>
  <c r="L17" i="19"/>
  <c r="O17" i="19" s="1"/>
  <c r="G17" i="19"/>
  <c r="L16" i="19"/>
  <c r="G16" i="19"/>
  <c r="N15" i="19"/>
  <c r="M15" i="19"/>
  <c r="L15" i="19"/>
  <c r="O15" i="19" s="1"/>
  <c r="G15" i="19"/>
  <c r="L14" i="19"/>
  <c r="G14" i="19"/>
  <c r="N13" i="19"/>
  <c r="G13" i="19"/>
  <c r="L12" i="19"/>
  <c r="G12" i="19"/>
  <c r="N11" i="19"/>
  <c r="M11" i="19"/>
  <c r="L11" i="19"/>
  <c r="O11" i="19" s="1"/>
  <c r="G11" i="19"/>
  <c r="J60" i="18"/>
  <c r="L60" i="18" s="1"/>
  <c r="G60" i="18"/>
  <c r="N60" i="18" s="1"/>
  <c r="O69" i="18" s="1"/>
  <c r="O39" i="19" l="1"/>
  <c r="M56" i="19"/>
  <c r="L19" i="19"/>
  <c r="O19" i="19" s="1"/>
  <c r="L34" i="19"/>
  <c r="O34" i="19" s="1"/>
  <c r="O27" i="19"/>
  <c r="O31" i="19"/>
  <c r="O50" i="19"/>
  <c r="L36" i="19"/>
  <c r="O36" i="19" s="1"/>
  <c r="O60" i="19"/>
  <c r="O35" i="19"/>
  <c r="O47" i="19"/>
  <c r="O51" i="19"/>
  <c r="L33" i="19"/>
  <c r="O33" i="19" s="1"/>
  <c r="L45" i="19"/>
  <c r="O45" i="19" s="1"/>
  <c r="L49" i="19"/>
  <c r="O49" i="19" s="1"/>
  <c r="L53" i="19"/>
  <c r="O53" i="19" s="1"/>
  <c r="L13" i="19"/>
  <c r="O13" i="19" s="1"/>
  <c r="L37" i="19"/>
  <c r="O37" i="19" s="1"/>
  <c r="O41" i="19"/>
  <c r="O46" i="19"/>
  <c r="O14" i="19"/>
  <c r="O18" i="19"/>
  <c r="O55" i="19"/>
  <c r="O48" i="19"/>
  <c r="O52" i="19"/>
  <c r="O12" i="19"/>
  <c r="O16" i="19"/>
  <c r="O20" i="19"/>
  <c r="L22" i="19"/>
  <c r="O22" i="19" s="1"/>
  <c r="M24" i="19"/>
  <c r="G57" i="19"/>
  <c r="M12" i="19"/>
  <c r="M14" i="19"/>
  <c r="M16" i="19"/>
  <c r="M18" i="19"/>
  <c r="M20" i="19"/>
  <c r="M57" i="19" s="1"/>
  <c r="M44" i="19"/>
  <c r="M46" i="19"/>
  <c r="M48" i="19"/>
  <c r="M50" i="19"/>
  <c r="M52" i="19"/>
  <c r="H10" i="19"/>
  <c r="N18" i="19"/>
  <c r="N44" i="19"/>
  <c r="N46" i="19"/>
  <c r="N48" i="19"/>
  <c r="N50" i="19"/>
  <c r="N52" i="19"/>
  <c r="N12" i="19"/>
  <c r="N14" i="19"/>
  <c r="N16" i="19"/>
  <c r="N20" i="19"/>
  <c r="M23" i="19"/>
  <c r="O44" i="19"/>
  <c r="M55" i="19"/>
  <c r="N55" i="19"/>
  <c r="O60" i="18"/>
  <c r="M60" i="18"/>
  <c r="N57" i="19" l="1"/>
  <c r="O67" i="19" s="1"/>
  <c r="O68" i="19" s="1"/>
  <c r="O70" i="19" s="1"/>
  <c r="O57" i="19"/>
  <c r="O58" i="19" s="1"/>
  <c r="H57" i="19"/>
  <c r="J12" i="18"/>
  <c r="J13" i="18"/>
  <c r="J14" i="18"/>
  <c r="J15" i="18"/>
  <c r="J16" i="18"/>
  <c r="J17" i="18"/>
  <c r="J18" i="18"/>
  <c r="J19" i="18"/>
  <c r="J20" i="18"/>
  <c r="J22" i="18"/>
  <c r="J23" i="18"/>
  <c r="J24" i="18"/>
  <c r="J26" i="18"/>
  <c r="J27" i="18"/>
  <c r="L27" i="18" s="1"/>
  <c r="J28" i="18"/>
  <c r="L28" i="18" s="1"/>
  <c r="J29" i="18"/>
  <c r="L29" i="18" s="1"/>
  <c r="J30" i="18"/>
  <c r="J31" i="18"/>
  <c r="L31" i="18" s="1"/>
  <c r="J32" i="18"/>
  <c r="L32" i="18" s="1"/>
  <c r="J33" i="18"/>
  <c r="L33" i="18" s="1"/>
  <c r="J34" i="18"/>
  <c r="J35" i="18"/>
  <c r="J36" i="18"/>
  <c r="J37" i="18"/>
  <c r="J38" i="18"/>
  <c r="L38" i="18" s="1"/>
  <c r="J39" i="18"/>
  <c r="L39" i="18" s="1"/>
  <c r="J40" i="18"/>
  <c r="L40" i="18" s="1"/>
  <c r="J41" i="18"/>
  <c r="J42" i="18"/>
  <c r="J44" i="18"/>
  <c r="J45" i="18"/>
  <c r="L45" i="18" s="1"/>
  <c r="J46" i="18"/>
  <c r="J47" i="18"/>
  <c r="L47" i="18" s="1"/>
  <c r="J48" i="18"/>
  <c r="J49" i="18"/>
  <c r="L49" i="18" s="1"/>
  <c r="J50" i="18"/>
  <c r="J51" i="18"/>
  <c r="L51" i="18" s="1"/>
  <c r="J52" i="18"/>
  <c r="J53" i="18"/>
  <c r="J55" i="18"/>
  <c r="L55" i="18" s="1"/>
  <c r="J56" i="18"/>
  <c r="L56" i="18" s="1"/>
  <c r="L53" i="18"/>
  <c r="J11" i="18"/>
  <c r="N68" i="18"/>
  <c r="O63" i="18"/>
  <c r="G56" i="18"/>
  <c r="G55" i="18"/>
  <c r="G53" i="18"/>
  <c r="G52" i="18"/>
  <c r="G51" i="18"/>
  <c r="G50" i="18"/>
  <c r="G49" i="18"/>
  <c r="G48" i="18"/>
  <c r="G47" i="18"/>
  <c r="G46" i="18"/>
  <c r="G45" i="18"/>
  <c r="G44" i="18"/>
  <c r="G42" i="18"/>
  <c r="N42" i="18" s="1"/>
  <c r="G41" i="18"/>
  <c r="N41" i="18" s="1"/>
  <c r="G40" i="18"/>
  <c r="N40" i="18" s="1"/>
  <c r="G39" i="18"/>
  <c r="M39" i="18" s="1"/>
  <c r="G38" i="18"/>
  <c r="N38" i="18" s="1"/>
  <c r="G37" i="18"/>
  <c r="N37" i="18" s="1"/>
  <c r="G36" i="18"/>
  <c r="N36" i="18" s="1"/>
  <c r="G35" i="18"/>
  <c r="N35" i="18" s="1"/>
  <c r="G34" i="18"/>
  <c r="N34" i="18" s="1"/>
  <c r="G33" i="18"/>
  <c r="N33" i="18" s="1"/>
  <c r="G32" i="18"/>
  <c r="N32" i="18" s="1"/>
  <c r="G31" i="18"/>
  <c r="L30" i="18"/>
  <c r="G30" i="18"/>
  <c r="N30" i="18" s="1"/>
  <c r="G29" i="18"/>
  <c r="N29" i="18" s="1"/>
  <c r="G28" i="18"/>
  <c r="N28" i="18" s="1"/>
  <c r="G27" i="18"/>
  <c r="G26" i="18"/>
  <c r="N26" i="18" s="1"/>
  <c r="G24" i="18"/>
  <c r="N24" i="18" s="1"/>
  <c r="G23" i="18"/>
  <c r="N23" i="18" s="1"/>
  <c r="G22" i="18"/>
  <c r="N22" i="18" s="1"/>
  <c r="G20" i="18"/>
  <c r="N20" i="18" s="1"/>
  <c r="G19" i="18"/>
  <c r="N19" i="18" s="1"/>
  <c r="G18" i="18"/>
  <c r="N18" i="18" s="1"/>
  <c r="G17" i="18"/>
  <c r="N17" i="18" s="1"/>
  <c r="G16" i="18"/>
  <c r="N16" i="18" s="1"/>
  <c r="G15" i="18"/>
  <c r="N15" i="18" s="1"/>
  <c r="G14" i="18"/>
  <c r="N14" i="18" s="1"/>
  <c r="G13" i="18"/>
  <c r="N13" i="18" s="1"/>
  <c r="G12" i="18"/>
  <c r="N12" i="18" s="1"/>
  <c r="G11" i="18"/>
  <c r="J13" i="17"/>
  <c r="J14" i="17"/>
  <c r="J15" i="17"/>
  <c r="J16" i="17"/>
  <c r="J17" i="17"/>
  <c r="J18" i="17"/>
  <c r="J19" i="17"/>
  <c r="J20" i="17"/>
  <c r="J22" i="17"/>
  <c r="J23" i="17"/>
  <c r="J24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4" i="17"/>
  <c r="J45" i="17"/>
  <c r="J46" i="17"/>
  <c r="J47" i="17"/>
  <c r="J48" i="17"/>
  <c r="J49" i="17"/>
  <c r="J50" i="17"/>
  <c r="J51" i="17"/>
  <c r="J52" i="17"/>
  <c r="J53" i="17"/>
  <c r="J55" i="17"/>
  <c r="J56" i="17"/>
  <c r="J12" i="17"/>
  <c r="J11" i="17"/>
  <c r="N65" i="17"/>
  <c r="O60" i="17"/>
  <c r="L56" i="17"/>
  <c r="G56" i="17"/>
  <c r="L55" i="17"/>
  <c r="G55" i="17"/>
  <c r="H54" i="17"/>
  <c r="L53" i="17"/>
  <c r="G53" i="17"/>
  <c r="L52" i="17"/>
  <c r="G52" i="17"/>
  <c r="L51" i="17"/>
  <c r="G51" i="17"/>
  <c r="L50" i="17"/>
  <c r="G50" i="17"/>
  <c r="L49" i="17"/>
  <c r="G49" i="17"/>
  <c r="L48" i="17"/>
  <c r="G48" i="17"/>
  <c r="L47" i="17"/>
  <c r="G47" i="17"/>
  <c r="L46" i="17"/>
  <c r="G46" i="17"/>
  <c r="L45" i="17"/>
  <c r="G45" i="17"/>
  <c r="L44" i="17"/>
  <c r="G44" i="17"/>
  <c r="H43" i="17"/>
  <c r="L42" i="17"/>
  <c r="G42" i="17"/>
  <c r="L41" i="17"/>
  <c r="G41" i="17"/>
  <c r="L40" i="17"/>
  <c r="G40" i="17"/>
  <c r="L39" i="17"/>
  <c r="G39" i="17"/>
  <c r="L38" i="17"/>
  <c r="G38" i="17"/>
  <c r="L37" i="17"/>
  <c r="G37" i="17"/>
  <c r="L36" i="17"/>
  <c r="G36" i="17"/>
  <c r="L35" i="17"/>
  <c r="G35" i="17"/>
  <c r="L34" i="17"/>
  <c r="G34" i="17"/>
  <c r="L33" i="17"/>
  <c r="G33" i="17"/>
  <c r="L32" i="17"/>
  <c r="G32" i="17"/>
  <c r="L31" i="17"/>
  <c r="G31" i="17"/>
  <c r="L30" i="17"/>
  <c r="G30" i="17"/>
  <c r="L29" i="17"/>
  <c r="G29" i="17"/>
  <c r="L28" i="17"/>
  <c r="G28" i="17"/>
  <c r="L27" i="17"/>
  <c r="G27" i="17"/>
  <c r="L26" i="17"/>
  <c r="G26" i="17"/>
  <c r="H25" i="17"/>
  <c r="L24" i="17"/>
  <c r="G24" i="17"/>
  <c r="L23" i="17"/>
  <c r="G23" i="17"/>
  <c r="L22" i="17"/>
  <c r="G22" i="17"/>
  <c r="H21" i="17"/>
  <c r="L20" i="17"/>
  <c r="G20" i="17"/>
  <c r="L19" i="17"/>
  <c r="G19" i="17"/>
  <c r="L18" i="17"/>
  <c r="G18" i="17"/>
  <c r="L17" i="17"/>
  <c r="G17" i="17"/>
  <c r="L16" i="17"/>
  <c r="G16" i="17"/>
  <c r="L15" i="17"/>
  <c r="G15" i="17"/>
  <c r="L14" i="17"/>
  <c r="G14" i="17"/>
  <c r="L13" i="17"/>
  <c r="G13" i="17"/>
  <c r="L12" i="17"/>
  <c r="G12" i="17"/>
  <c r="L11" i="17"/>
  <c r="G11" i="17"/>
  <c r="H10" i="17"/>
  <c r="L26" i="16"/>
  <c r="L23" i="16"/>
  <c r="J12" i="16"/>
  <c r="J13" i="16"/>
  <c r="J14" i="16"/>
  <c r="J15" i="16"/>
  <c r="J16" i="16"/>
  <c r="J17" i="16"/>
  <c r="J18" i="16"/>
  <c r="M18" i="16" s="1"/>
  <c r="J19" i="16"/>
  <c r="J20" i="16"/>
  <c r="J21" i="16"/>
  <c r="J22" i="16"/>
  <c r="J23" i="16"/>
  <c r="J24" i="16"/>
  <c r="J25" i="16"/>
  <c r="J26" i="16"/>
  <c r="J27" i="16"/>
  <c r="L27" i="16" s="1"/>
  <c r="O27" i="16" s="1"/>
  <c r="J28" i="16"/>
  <c r="J29" i="16"/>
  <c r="J30" i="16"/>
  <c r="J31" i="16"/>
  <c r="J32" i="16"/>
  <c r="J33" i="16"/>
  <c r="L33" i="16" s="1"/>
  <c r="J34" i="16"/>
  <c r="L34" i="16" s="1"/>
  <c r="J35" i="16"/>
  <c r="J36" i="16"/>
  <c r="J37" i="16"/>
  <c r="M37" i="16" s="1"/>
  <c r="J38" i="16"/>
  <c r="J39" i="16"/>
  <c r="M39" i="16" s="1"/>
  <c r="J40" i="16"/>
  <c r="J41" i="16"/>
  <c r="J42" i="16"/>
  <c r="L42" i="16" s="1"/>
  <c r="J43" i="16"/>
  <c r="J44" i="16"/>
  <c r="M44" i="16" s="1"/>
  <c r="J45" i="16"/>
  <c r="J46" i="16"/>
  <c r="J47" i="16"/>
  <c r="M47" i="16" s="1"/>
  <c r="J48" i="16"/>
  <c r="J49" i="16"/>
  <c r="M49" i="16" s="1"/>
  <c r="J50" i="16"/>
  <c r="J51" i="16"/>
  <c r="L51" i="16" s="1"/>
  <c r="O51" i="16" s="1"/>
  <c r="J52" i="16"/>
  <c r="J53" i="16"/>
  <c r="J54" i="16"/>
  <c r="J55" i="16"/>
  <c r="J56" i="16"/>
  <c r="L15" i="16"/>
  <c r="O15" i="16" s="1"/>
  <c r="M16" i="16"/>
  <c r="L29" i="16"/>
  <c r="O29" i="16" s="1"/>
  <c r="L36" i="16"/>
  <c r="M46" i="16"/>
  <c r="L50" i="16"/>
  <c r="M51" i="16"/>
  <c r="L56" i="16"/>
  <c r="O56" i="16" s="1"/>
  <c r="M35" i="16"/>
  <c r="J11" i="16"/>
  <c r="L11" i="16" s="1"/>
  <c r="O11" i="16" s="1"/>
  <c r="N65" i="16"/>
  <c r="O60" i="16"/>
  <c r="M60" i="16"/>
  <c r="N56" i="16"/>
  <c r="G56" i="16"/>
  <c r="L55" i="16"/>
  <c r="G55" i="16"/>
  <c r="H54" i="16" s="1"/>
  <c r="N53" i="16"/>
  <c r="M53" i="16"/>
  <c r="L53" i="16"/>
  <c r="O53" i="16" s="1"/>
  <c r="G53" i="16"/>
  <c r="L52" i="16"/>
  <c r="G52" i="16"/>
  <c r="N52" i="16" s="1"/>
  <c r="N51" i="16"/>
  <c r="G51" i="16"/>
  <c r="G50" i="16"/>
  <c r="N50" i="16" s="1"/>
  <c r="N49" i="16"/>
  <c r="G49" i="16"/>
  <c r="M48" i="16"/>
  <c r="G48" i="16"/>
  <c r="N48" i="16" s="1"/>
  <c r="N47" i="16"/>
  <c r="G47" i="16"/>
  <c r="G46" i="16"/>
  <c r="N46" i="16" s="1"/>
  <c r="N45" i="16"/>
  <c r="L45" i="16"/>
  <c r="O45" i="16" s="1"/>
  <c r="G45" i="16"/>
  <c r="G44" i="16"/>
  <c r="N44" i="16" s="1"/>
  <c r="H43" i="16"/>
  <c r="G42" i="16"/>
  <c r="N41" i="16"/>
  <c r="M41" i="16"/>
  <c r="L41" i="16"/>
  <c r="O41" i="16" s="1"/>
  <c r="G41" i="16"/>
  <c r="L40" i="16"/>
  <c r="G40" i="16"/>
  <c r="N39" i="16"/>
  <c r="G39" i="16"/>
  <c r="L38" i="16"/>
  <c r="G38" i="16"/>
  <c r="O38" i="16" s="1"/>
  <c r="N37" i="16"/>
  <c r="L37" i="16"/>
  <c r="O37" i="16" s="1"/>
  <c r="G37" i="16"/>
  <c r="G36" i="16"/>
  <c r="N35" i="16"/>
  <c r="G35" i="16"/>
  <c r="G34" i="16"/>
  <c r="N33" i="16"/>
  <c r="G33" i="16"/>
  <c r="L32" i="16"/>
  <c r="G32" i="16"/>
  <c r="N31" i="16"/>
  <c r="M31" i="16"/>
  <c r="L31" i="16"/>
  <c r="G31" i="16"/>
  <c r="L30" i="16"/>
  <c r="G30" i="16"/>
  <c r="N29" i="16"/>
  <c r="M29" i="16"/>
  <c r="G29" i="16"/>
  <c r="L28" i="16"/>
  <c r="G28" i="16"/>
  <c r="N27" i="16"/>
  <c r="M27" i="16"/>
  <c r="G27" i="16"/>
  <c r="G26" i="16"/>
  <c r="H25" i="16"/>
  <c r="N24" i="16"/>
  <c r="M24" i="16"/>
  <c r="L24" i="16"/>
  <c r="O24" i="16" s="1"/>
  <c r="G24" i="16"/>
  <c r="G23" i="16"/>
  <c r="N22" i="16"/>
  <c r="M22" i="16"/>
  <c r="L22" i="16"/>
  <c r="O22" i="16" s="1"/>
  <c r="G22" i="16"/>
  <c r="H21" i="16" s="1"/>
  <c r="L20" i="16"/>
  <c r="G20" i="16"/>
  <c r="N20" i="16" s="1"/>
  <c r="N19" i="16"/>
  <c r="L19" i="16"/>
  <c r="O19" i="16" s="1"/>
  <c r="G19" i="16"/>
  <c r="G18" i="16"/>
  <c r="N18" i="16" s="1"/>
  <c r="N17" i="16"/>
  <c r="L17" i="16"/>
  <c r="O17" i="16" s="1"/>
  <c r="G17" i="16"/>
  <c r="M17" i="16" s="1"/>
  <c r="G16" i="16"/>
  <c r="N16" i="16" s="1"/>
  <c r="N15" i="16"/>
  <c r="G15" i="16"/>
  <c r="M14" i="16"/>
  <c r="G14" i="16"/>
  <c r="N14" i="16" s="1"/>
  <c r="N13" i="16"/>
  <c r="L13" i="16"/>
  <c r="O13" i="16" s="1"/>
  <c r="G13" i="16"/>
  <c r="M12" i="16"/>
  <c r="G12" i="16"/>
  <c r="N12" i="16" s="1"/>
  <c r="N11" i="16"/>
  <c r="G11" i="16"/>
  <c r="G57" i="16" s="1"/>
  <c r="J12" i="15"/>
  <c r="L12" i="15" s="1"/>
  <c r="J13" i="15"/>
  <c r="J14" i="15"/>
  <c r="L14" i="15" s="1"/>
  <c r="J15" i="15"/>
  <c r="J16" i="15"/>
  <c r="L16" i="15" s="1"/>
  <c r="J17" i="15"/>
  <c r="J18" i="15"/>
  <c r="J19" i="15"/>
  <c r="J20" i="15"/>
  <c r="J22" i="15"/>
  <c r="L22" i="15" s="1"/>
  <c r="J23" i="15"/>
  <c r="L23" i="15" s="1"/>
  <c r="J24" i="15"/>
  <c r="J26" i="15"/>
  <c r="L26" i="15" s="1"/>
  <c r="J27" i="15"/>
  <c r="J28" i="15"/>
  <c r="L28" i="15" s="1"/>
  <c r="J29" i="15"/>
  <c r="J30" i="15"/>
  <c r="J31" i="15"/>
  <c r="J32" i="15"/>
  <c r="L32" i="15" s="1"/>
  <c r="J33" i="15"/>
  <c r="J34" i="15"/>
  <c r="L34" i="15" s="1"/>
  <c r="J35" i="15"/>
  <c r="L35" i="15" s="1"/>
  <c r="J36" i="15"/>
  <c r="L36" i="15" s="1"/>
  <c r="J37" i="15"/>
  <c r="J38" i="15"/>
  <c r="L38" i="15" s="1"/>
  <c r="J39" i="15"/>
  <c r="J40" i="15"/>
  <c r="L40" i="15" s="1"/>
  <c r="J41" i="15"/>
  <c r="J42" i="15"/>
  <c r="J44" i="15"/>
  <c r="J45" i="15"/>
  <c r="J46" i="15"/>
  <c r="L46" i="15" s="1"/>
  <c r="J47" i="15"/>
  <c r="L47" i="15" s="1"/>
  <c r="J48" i="15"/>
  <c r="J49" i="15"/>
  <c r="J50" i="15"/>
  <c r="L50" i="15" s="1"/>
  <c r="J51" i="15"/>
  <c r="J52" i="15"/>
  <c r="L52" i="15" s="1"/>
  <c r="J53" i="15"/>
  <c r="J55" i="15"/>
  <c r="J56" i="15"/>
  <c r="L56" i="15" s="1"/>
  <c r="L15" i="15"/>
  <c r="L17" i="15"/>
  <c r="L18" i="15"/>
  <c r="M24" i="15"/>
  <c r="L29" i="15"/>
  <c r="L31" i="15"/>
  <c r="L37" i="15"/>
  <c r="L41" i="15"/>
  <c r="L44" i="15"/>
  <c r="L51" i="15"/>
  <c r="L55" i="15"/>
  <c r="L20" i="15"/>
  <c r="J11" i="15"/>
  <c r="L11" i="15" s="1"/>
  <c r="N65" i="15"/>
  <c r="O60" i="15"/>
  <c r="M60" i="15"/>
  <c r="G57" i="15"/>
  <c r="N56" i="15"/>
  <c r="G56" i="15"/>
  <c r="G55" i="15"/>
  <c r="H54" i="15"/>
  <c r="L53" i="15"/>
  <c r="G53" i="15"/>
  <c r="G52" i="15"/>
  <c r="N52" i="15" s="1"/>
  <c r="G51" i="15"/>
  <c r="G50" i="15"/>
  <c r="N50" i="15" s="1"/>
  <c r="L49" i="15"/>
  <c r="G49" i="15"/>
  <c r="L48" i="15"/>
  <c r="G48" i="15"/>
  <c r="N48" i="15" s="1"/>
  <c r="G47" i="15"/>
  <c r="G46" i="15"/>
  <c r="N46" i="15" s="1"/>
  <c r="L45" i="15"/>
  <c r="G45" i="15"/>
  <c r="G44" i="15"/>
  <c r="N44" i="15" s="1"/>
  <c r="L42" i="15"/>
  <c r="G42" i="15"/>
  <c r="N41" i="15"/>
  <c r="G41" i="15"/>
  <c r="G40" i="15"/>
  <c r="N39" i="15"/>
  <c r="L39" i="15"/>
  <c r="G39" i="15"/>
  <c r="G38" i="15"/>
  <c r="N37" i="15"/>
  <c r="G37" i="15"/>
  <c r="G36" i="15"/>
  <c r="N35" i="15"/>
  <c r="G35" i="15"/>
  <c r="G34" i="15"/>
  <c r="N33" i="15"/>
  <c r="L33" i="15"/>
  <c r="G33" i="15"/>
  <c r="G32" i="15"/>
  <c r="N31" i="15"/>
  <c r="G31" i="15"/>
  <c r="L30" i="15"/>
  <c r="G30" i="15"/>
  <c r="N29" i="15"/>
  <c r="G29" i="15"/>
  <c r="G28" i="15"/>
  <c r="N27" i="15"/>
  <c r="L27" i="15"/>
  <c r="G27" i="15"/>
  <c r="G26" i="15"/>
  <c r="H25" i="15"/>
  <c r="N24" i="15"/>
  <c r="L24" i="15"/>
  <c r="G24" i="15"/>
  <c r="G23" i="15"/>
  <c r="H21" i="15" s="1"/>
  <c r="N22" i="15"/>
  <c r="G22" i="15"/>
  <c r="G20" i="15"/>
  <c r="N20" i="15" s="1"/>
  <c r="L19" i="15"/>
  <c r="G19" i="15"/>
  <c r="G18" i="15"/>
  <c r="N18" i="15" s="1"/>
  <c r="G17" i="15"/>
  <c r="G16" i="15"/>
  <c r="N16" i="15" s="1"/>
  <c r="G15" i="15"/>
  <c r="G14" i="15"/>
  <c r="N14" i="15" s="1"/>
  <c r="L13" i="15"/>
  <c r="G13" i="15"/>
  <c r="G12" i="15"/>
  <c r="N12" i="15" s="1"/>
  <c r="G11" i="15"/>
  <c r="H10" i="15" s="1"/>
  <c r="J12" i="14"/>
  <c r="J13" i="14"/>
  <c r="J14" i="14"/>
  <c r="J15" i="14"/>
  <c r="J16" i="14"/>
  <c r="J17" i="14"/>
  <c r="J18" i="14"/>
  <c r="J19" i="14"/>
  <c r="J20" i="14"/>
  <c r="J22" i="14"/>
  <c r="M22" i="14" s="1"/>
  <c r="J23" i="14"/>
  <c r="L23" i="14" s="1"/>
  <c r="J24" i="14"/>
  <c r="L24" i="14" s="1"/>
  <c r="O24" i="14" s="1"/>
  <c r="J26" i="14"/>
  <c r="L26" i="14" s="1"/>
  <c r="O26" i="14" s="1"/>
  <c r="J27" i="14"/>
  <c r="L27" i="14" s="1"/>
  <c r="J28" i="14"/>
  <c r="L28" i="14" s="1"/>
  <c r="J29" i="14"/>
  <c r="J30" i="14"/>
  <c r="J31" i="14"/>
  <c r="J32" i="14"/>
  <c r="J33" i="14"/>
  <c r="M33" i="14" s="1"/>
  <c r="J34" i="14"/>
  <c r="M34" i="14" s="1"/>
  <c r="J35" i="14"/>
  <c r="L35" i="14" s="1"/>
  <c r="J36" i="14"/>
  <c r="L36" i="14" s="1"/>
  <c r="J37" i="14"/>
  <c r="L37" i="14" s="1"/>
  <c r="J38" i="14"/>
  <c r="L38" i="14" s="1"/>
  <c r="O38" i="14" s="1"/>
  <c r="J39" i="14"/>
  <c r="L39" i="14" s="1"/>
  <c r="O39" i="14" s="1"/>
  <c r="J40" i="14"/>
  <c r="L40" i="14" s="1"/>
  <c r="J41" i="14"/>
  <c r="M41" i="14" s="1"/>
  <c r="J42" i="14"/>
  <c r="M42" i="14" s="1"/>
  <c r="J44" i="14"/>
  <c r="J45" i="14"/>
  <c r="J46" i="14"/>
  <c r="J47" i="14"/>
  <c r="J48" i="14"/>
  <c r="J49" i="14"/>
  <c r="J50" i="14"/>
  <c r="J51" i="14"/>
  <c r="L51" i="14" s="1"/>
  <c r="J52" i="14"/>
  <c r="J53" i="14"/>
  <c r="J55" i="14"/>
  <c r="L55" i="14" s="1"/>
  <c r="J56" i="14"/>
  <c r="L17" i="14"/>
  <c r="L18" i="14"/>
  <c r="O18" i="14" s="1"/>
  <c r="L20" i="14"/>
  <c r="L29" i="14"/>
  <c r="L30" i="14"/>
  <c r="O30" i="14" s="1"/>
  <c r="L45" i="14"/>
  <c r="O45" i="14" s="1"/>
  <c r="L46" i="14"/>
  <c r="L52" i="14"/>
  <c r="O52" i="14" s="1"/>
  <c r="L53" i="14"/>
  <c r="O53" i="14" s="1"/>
  <c r="L56" i="14"/>
  <c r="L12" i="14"/>
  <c r="M14" i="14"/>
  <c r="L31" i="14"/>
  <c r="L44" i="14"/>
  <c r="O44" i="14" s="1"/>
  <c r="L47" i="14"/>
  <c r="O47" i="14" s="1"/>
  <c r="J11" i="14"/>
  <c r="N65" i="14"/>
  <c r="O60" i="14"/>
  <c r="M60" i="14"/>
  <c r="G57" i="14"/>
  <c r="G56" i="14"/>
  <c r="N56" i="14" s="1"/>
  <c r="G55" i="14"/>
  <c r="H54" i="14"/>
  <c r="N53" i="14"/>
  <c r="G53" i="14"/>
  <c r="G52" i="14"/>
  <c r="N52" i="14" s="1"/>
  <c r="G51" i="14"/>
  <c r="N51" i="14" s="1"/>
  <c r="L50" i="14"/>
  <c r="G50" i="14"/>
  <c r="N50" i="14" s="1"/>
  <c r="L49" i="14"/>
  <c r="G49" i="14"/>
  <c r="N48" i="14"/>
  <c r="M48" i="14"/>
  <c r="L48" i="14"/>
  <c r="O48" i="14" s="1"/>
  <c r="G48" i="14"/>
  <c r="G47" i="14"/>
  <c r="N47" i="14" s="1"/>
  <c r="G46" i="14"/>
  <c r="N45" i="14"/>
  <c r="G45" i="14"/>
  <c r="G44" i="14"/>
  <c r="N44" i="14" s="1"/>
  <c r="H43" i="14"/>
  <c r="N42" i="14"/>
  <c r="G42" i="14"/>
  <c r="G41" i="14"/>
  <c r="N41" i="14" s="1"/>
  <c r="G40" i="14"/>
  <c r="N39" i="14"/>
  <c r="G39" i="14"/>
  <c r="G38" i="14"/>
  <c r="N38" i="14" s="1"/>
  <c r="G37" i="14"/>
  <c r="G36" i="14"/>
  <c r="N36" i="14" s="1"/>
  <c r="G35" i="14"/>
  <c r="N34" i="14"/>
  <c r="G34" i="14"/>
  <c r="L33" i="14"/>
  <c r="G33" i="14"/>
  <c r="N33" i="14" s="1"/>
  <c r="L32" i="14"/>
  <c r="G32" i="14"/>
  <c r="N31" i="14"/>
  <c r="G31" i="14"/>
  <c r="G30" i="14"/>
  <c r="N30" i="14" s="1"/>
  <c r="G29" i="14"/>
  <c r="G28" i="14"/>
  <c r="N28" i="14" s="1"/>
  <c r="G27" i="14"/>
  <c r="N26" i="14"/>
  <c r="G26" i="14"/>
  <c r="H25" i="14"/>
  <c r="G24" i="14"/>
  <c r="N24" i="14" s="1"/>
  <c r="G23" i="14"/>
  <c r="G22" i="14"/>
  <c r="N22" i="14" s="1"/>
  <c r="H21" i="14"/>
  <c r="G20" i="14"/>
  <c r="N19" i="14"/>
  <c r="L19" i="14"/>
  <c r="O19" i="14" s="1"/>
  <c r="G19" i="14"/>
  <c r="M19" i="14" s="1"/>
  <c r="G18" i="14"/>
  <c r="N18" i="14" s="1"/>
  <c r="G17" i="14"/>
  <c r="M16" i="14"/>
  <c r="G16" i="14"/>
  <c r="N16" i="14" s="1"/>
  <c r="L15" i="14"/>
  <c r="G15" i="14"/>
  <c r="N14" i="14"/>
  <c r="G14" i="14"/>
  <c r="N13" i="14"/>
  <c r="M13" i="14"/>
  <c r="L13" i="14"/>
  <c r="O13" i="14" s="1"/>
  <c r="G13" i="14"/>
  <c r="G12" i="14"/>
  <c r="N11" i="14"/>
  <c r="L11" i="14"/>
  <c r="O11" i="14" s="1"/>
  <c r="G11" i="14"/>
  <c r="M11" i="14" s="1"/>
  <c r="H10" i="14"/>
  <c r="H57" i="14" s="1"/>
  <c r="O62" i="14" s="1"/>
  <c r="O63" i="14" s="1"/>
  <c r="J12" i="13"/>
  <c r="J13" i="13"/>
  <c r="L13" i="13" s="1"/>
  <c r="J14" i="13"/>
  <c r="J15" i="13"/>
  <c r="J16" i="13"/>
  <c r="J17" i="13"/>
  <c r="J18" i="13"/>
  <c r="J19" i="13"/>
  <c r="L19" i="13" s="1"/>
  <c r="O19" i="13" s="1"/>
  <c r="J20" i="13"/>
  <c r="L20" i="13" s="1"/>
  <c r="J22" i="13"/>
  <c r="M22" i="13" s="1"/>
  <c r="J23" i="13"/>
  <c r="L23" i="13" s="1"/>
  <c r="J24" i="13"/>
  <c r="J26" i="13"/>
  <c r="J27" i="13"/>
  <c r="J28" i="13"/>
  <c r="J29" i="13"/>
  <c r="J30" i="13"/>
  <c r="J31" i="13"/>
  <c r="M31" i="13" s="1"/>
  <c r="J32" i="13"/>
  <c r="L32" i="13" s="1"/>
  <c r="J33" i="13"/>
  <c r="M33" i="13" s="1"/>
  <c r="J34" i="13"/>
  <c r="L34" i="13" s="1"/>
  <c r="J35" i="13"/>
  <c r="M35" i="13" s="1"/>
  <c r="J36" i="13"/>
  <c r="J37" i="13"/>
  <c r="L37" i="13" s="1"/>
  <c r="J38" i="13"/>
  <c r="J39" i="13"/>
  <c r="J40" i="13"/>
  <c r="J41" i="13"/>
  <c r="J42" i="13"/>
  <c r="J44" i="13"/>
  <c r="J45" i="13"/>
  <c r="J46" i="13"/>
  <c r="L46" i="13" s="1"/>
  <c r="J47" i="13"/>
  <c r="J48" i="13"/>
  <c r="J49" i="13"/>
  <c r="L49" i="13" s="1"/>
  <c r="J50" i="13"/>
  <c r="J51" i="13"/>
  <c r="J52" i="13"/>
  <c r="J53" i="13"/>
  <c r="J55" i="13"/>
  <c r="L55" i="13" s="1"/>
  <c r="J56" i="13"/>
  <c r="L56" i="13" s="1"/>
  <c r="O56" i="13" s="1"/>
  <c r="L14" i="13"/>
  <c r="L18" i="13"/>
  <c r="L27" i="13"/>
  <c r="L28" i="13"/>
  <c r="L36" i="13"/>
  <c r="L39" i="13"/>
  <c r="L40" i="13"/>
  <c r="L45" i="13"/>
  <c r="L52" i="13"/>
  <c r="L53" i="13"/>
  <c r="L26" i="13"/>
  <c r="L38" i="13"/>
  <c r="L44" i="13"/>
  <c r="L47" i="13"/>
  <c r="L50" i="13"/>
  <c r="J11" i="13"/>
  <c r="L11" i="13" s="1"/>
  <c r="N65" i="13"/>
  <c r="O60" i="13"/>
  <c r="M60" i="13"/>
  <c r="N56" i="13"/>
  <c r="G56" i="13"/>
  <c r="G55" i="13"/>
  <c r="H54" i="13" s="1"/>
  <c r="N53" i="13"/>
  <c r="G53" i="13"/>
  <c r="N52" i="13"/>
  <c r="G52" i="13"/>
  <c r="N51" i="13"/>
  <c r="L51" i="13"/>
  <c r="G51" i="13"/>
  <c r="N50" i="13"/>
  <c r="G50" i="13"/>
  <c r="N49" i="13"/>
  <c r="G49" i="13"/>
  <c r="N48" i="13"/>
  <c r="L48" i="13"/>
  <c r="G48" i="13"/>
  <c r="N47" i="13"/>
  <c r="G47" i="13"/>
  <c r="N46" i="13"/>
  <c r="G46" i="13"/>
  <c r="N45" i="13"/>
  <c r="G45" i="13"/>
  <c r="N44" i="13"/>
  <c r="G44" i="13"/>
  <c r="L42" i="13"/>
  <c r="G42" i="13"/>
  <c r="H25" i="13" s="1"/>
  <c r="N41" i="13"/>
  <c r="M41" i="13"/>
  <c r="L41" i="13"/>
  <c r="G41" i="13"/>
  <c r="G40" i="13"/>
  <c r="N39" i="13"/>
  <c r="M39" i="13"/>
  <c r="G39" i="13"/>
  <c r="G38" i="13"/>
  <c r="N37" i="13"/>
  <c r="G37" i="13"/>
  <c r="G36" i="13"/>
  <c r="N35" i="13"/>
  <c r="G35" i="13"/>
  <c r="G34" i="13"/>
  <c r="N33" i="13"/>
  <c r="G33" i="13"/>
  <c r="G32" i="13"/>
  <c r="N31" i="13"/>
  <c r="G31" i="13"/>
  <c r="L30" i="13"/>
  <c r="G30" i="13"/>
  <c r="N29" i="13"/>
  <c r="M29" i="13"/>
  <c r="L29" i="13"/>
  <c r="G29" i="13"/>
  <c r="G28" i="13"/>
  <c r="N27" i="13"/>
  <c r="M27" i="13"/>
  <c r="G27" i="13"/>
  <c r="G26" i="13"/>
  <c r="N24" i="13"/>
  <c r="M24" i="13"/>
  <c r="L24" i="13"/>
  <c r="O24" i="13" s="1"/>
  <c r="G24" i="13"/>
  <c r="G23" i="13"/>
  <c r="N22" i="13"/>
  <c r="G22" i="13"/>
  <c r="H21" i="13" s="1"/>
  <c r="N20" i="13"/>
  <c r="G20" i="13"/>
  <c r="N19" i="13"/>
  <c r="G19" i="13"/>
  <c r="N18" i="13"/>
  <c r="G18" i="13"/>
  <c r="N17" i="13"/>
  <c r="L17" i="13"/>
  <c r="O17" i="13" s="1"/>
  <c r="G17" i="13"/>
  <c r="M17" i="13" s="1"/>
  <c r="N16" i="13"/>
  <c r="L16" i="13"/>
  <c r="G16" i="13"/>
  <c r="M16" i="13" s="1"/>
  <c r="N15" i="13"/>
  <c r="L15" i="13"/>
  <c r="G15" i="13"/>
  <c r="N14" i="13"/>
  <c r="G14" i="13"/>
  <c r="N13" i="13"/>
  <c r="G13" i="13"/>
  <c r="N12" i="13"/>
  <c r="L12" i="13"/>
  <c r="G12" i="13"/>
  <c r="M12" i="13" s="1"/>
  <c r="N11" i="13"/>
  <c r="G11" i="13"/>
  <c r="G57" i="13" s="1"/>
  <c r="H10" i="13"/>
  <c r="J18" i="12"/>
  <c r="J44" i="12"/>
  <c r="N65" i="12"/>
  <c r="O60" i="12"/>
  <c r="M60" i="12"/>
  <c r="G56" i="12"/>
  <c r="G55" i="12"/>
  <c r="N53" i="12"/>
  <c r="G53" i="12"/>
  <c r="G52" i="12"/>
  <c r="N52" i="12" s="1"/>
  <c r="G51" i="12"/>
  <c r="G50" i="12"/>
  <c r="N50" i="12" s="1"/>
  <c r="G49" i="12"/>
  <c r="N48" i="12"/>
  <c r="G48" i="12"/>
  <c r="N47" i="12"/>
  <c r="G47" i="12"/>
  <c r="G46" i="12"/>
  <c r="N46" i="12" s="1"/>
  <c r="N45" i="12"/>
  <c r="G45" i="12"/>
  <c r="G44" i="12"/>
  <c r="N44" i="12" s="1"/>
  <c r="G42" i="12"/>
  <c r="N42" i="12" s="1"/>
  <c r="N41" i="12"/>
  <c r="G41" i="12"/>
  <c r="G40" i="12"/>
  <c r="N40" i="12" s="1"/>
  <c r="N39" i="12"/>
  <c r="G39" i="12"/>
  <c r="G38" i="12"/>
  <c r="N38" i="12" s="1"/>
  <c r="G37" i="12"/>
  <c r="N37" i="12" s="1"/>
  <c r="G36" i="12"/>
  <c r="N36" i="12" s="1"/>
  <c r="G35" i="12"/>
  <c r="G34" i="12"/>
  <c r="N34" i="12" s="1"/>
  <c r="N33" i="12"/>
  <c r="G33" i="12"/>
  <c r="G32" i="12"/>
  <c r="N32" i="12" s="1"/>
  <c r="N31" i="12"/>
  <c r="G31" i="12"/>
  <c r="G30" i="12"/>
  <c r="N30" i="12" s="1"/>
  <c r="G29" i="12"/>
  <c r="G28" i="12"/>
  <c r="N28" i="12" s="1"/>
  <c r="G27" i="12"/>
  <c r="G26" i="12"/>
  <c r="N26" i="12" s="1"/>
  <c r="N24" i="12"/>
  <c r="G24" i="12"/>
  <c r="G23" i="12"/>
  <c r="G22" i="12"/>
  <c r="N22" i="12" s="1"/>
  <c r="G20" i="12"/>
  <c r="N20" i="12" s="1"/>
  <c r="G19" i="12"/>
  <c r="N19" i="12" s="1"/>
  <c r="G18" i="12"/>
  <c r="N18" i="12" s="1"/>
  <c r="G17" i="12"/>
  <c r="G16" i="12"/>
  <c r="N16" i="12" s="1"/>
  <c r="G15" i="12"/>
  <c r="N14" i="12"/>
  <c r="G14" i="12"/>
  <c r="G13" i="12"/>
  <c r="N13" i="12" s="1"/>
  <c r="G12" i="12"/>
  <c r="N12" i="12" s="1"/>
  <c r="G11" i="12"/>
  <c r="N11" i="12" s="1"/>
  <c r="N65" i="11"/>
  <c r="O60" i="11"/>
  <c r="M60" i="11"/>
  <c r="G56" i="11"/>
  <c r="N56" i="11" s="1"/>
  <c r="G55" i="11"/>
  <c r="G53" i="11"/>
  <c r="G52" i="11"/>
  <c r="N52" i="11" s="1"/>
  <c r="G51" i="11"/>
  <c r="N51" i="11" s="1"/>
  <c r="G50" i="11"/>
  <c r="G49" i="11"/>
  <c r="G48" i="11"/>
  <c r="N48" i="11" s="1"/>
  <c r="G47" i="11"/>
  <c r="G46" i="11"/>
  <c r="N46" i="11" s="1"/>
  <c r="G45" i="11"/>
  <c r="G44" i="11"/>
  <c r="G42" i="11"/>
  <c r="N42" i="11" s="1"/>
  <c r="G41" i="11"/>
  <c r="G40" i="11"/>
  <c r="N40" i="11" s="1"/>
  <c r="G39" i="11"/>
  <c r="G38" i="11"/>
  <c r="G37" i="11"/>
  <c r="N37" i="11" s="1"/>
  <c r="G36" i="11"/>
  <c r="N36" i="11" s="1"/>
  <c r="G35" i="11"/>
  <c r="G34" i="11"/>
  <c r="N34" i="11" s="1"/>
  <c r="G33" i="11"/>
  <c r="N33" i="11" s="1"/>
  <c r="G32" i="11"/>
  <c r="N32" i="11" s="1"/>
  <c r="G31" i="11"/>
  <c r="G30" i="11"/>
  <c r="G29" i="11"/>
  <c r="N29" i="11" s="1"/>
  <c r="G28" i="11"/>
  <c r="G27" i="11"/>
  <c r="G26" i="11"/>
  <c r="N26" i="11" s="1"/>
  <c r="G24" i="11"/>
  <c r="G23" i="11"/>
  <c r="N23" i="11" s="1"/>
  <c r="G22" i="11"/>
  <c r="G20" i="11"/>
  <c r="N20" i="11" s="1"/>
  <c r="G19" i="11"/>
  <c r="G18" i="11"/>
  <c r="G17" i="11"/>
  <c r="G16" i="11"/>
  <c r="G15" i="11"/>
  <c r="G14" i="11"/>
  <c r="N14" i="11" s="1"/>
  <c r="G13" i="11"/>
  <c r="G12" i="11"/>
  <c r="N12" i="11" s="1"/>
  <c r="G11" i="11"/>
  <c r="N65" i="8"/>
  <c r="O60" i="8"/>
  <c r="M60" i="8"/>
  <c r="G56" i="8"/>
  <c r="N56" i="8" s="1"/>
  <c r="G55" i="8"/>
  <c r="H54" i="8" s="1"/>
  <c r="G53" i="8"/>
  <c r="G52" i="8"/>
  <c r="N52" i="8" s="1"/>
  <c r="G51" i="8"/>
  <c r="G50" i="8"/>
  <c r="N50" i="8" s="1"/>
  <c r="G49" i="8"/>
  <c r="G48" i="8"/>
  <c r="N48" i="8" s="1"/>
  <c r="G47" i="8"/>
  <c r="G46" i="8"/>
  <c r="N46" i="8" s="1"/>
  <c r="G45" i="8"/>
  <c r="G44" i="8"/>
  <c r="N44" i="8" s="1"/>
  <c r="G42" i="8"/>
  <c r="N42" i="8" s="1"/>
  <c r="G41" i="8"/>
  <c r="N41" i="8" s="1"/>
  <c r="G40" i="8"/>
  <c r="N40" i="8" s="1"/>
  <c r="G39" i="8"/>
  <c r="N39" i="8" s="1"/>
  <c r="G38" i="8"/>
  <c r="G37" i="8"/>
  <c r="G36" i="8"/>
  <c r="N36" i="8" s="1"/>
  <c r="G35" i="8"/>
  <c r="N35" i="8" s="1"/>
  <c r="G34" i="8"/>
  <c r="N34" i="8" s="1"/>
  <c r="G33" i="8"/>
  <c r="N33" i="8" s="1"/>
  <c r="G32" i="8"/>
  <c r="N32" i="8" s="1"/>
  <c r="G31" i="8"/>
  <c r="N31" i="8" s="1"/>
  <c r="G30" i="8"/>
  <c r="N30" i="8" s="1"/>
  <c r="G29" i="8"/>
  <c r="N29" i="8" s="1"/>
  <c r="G28" i="8"/>
  <c r="N28" i="8" s="1"/>
  <c r="G27" i="8"/>
  <c r="N27" i="8" s="1"/>
  <c r="G26" i="8"/>
  <c r="N26" i="8" s="1"/>
  <c r="G24" i="8"/>
  <c r="N24" i="8" s="1"/>
  <c r="G23" i="8"/>
  <c r="N23" i="8" s="1"/>
  <c r="G22" i="8"/>
  <c r="N22" i="8" s="1"/>
  <c r="G20" i="8"/>
  <c r="N20" i="8" s="1"/>
  <c r="G19" i="8"/>
  <c r="G18" i="8"/>
  <c r="N18" i="8" s="1"/>
  <c r="G17" i="8"/>
  <c r="G16" i="8"/>
  <c r="N16" i="8" s="1"/>
  <c r="G15" i="8"/>
  <c r="G14" i="8"/>
  <c r="N14" i="8" s="1"/>
  <c r="G13" i="8"/>
  <c r="G12" i="8"/>
  <c r="N12" i="8" s="1"/>
  <c r="G11" i="8"/>
  <c r="Q66" i="6"/>
  <c r="N66" i="7"/>
  <c r="O61" i="7"/>
  <c r="M61" i="7"/>
  <c r="G56" i="7"/>
  <c r="N56" i="7" s="1"/>
  <c r="G55" i="7"/>
  <c r="G53" i="7"/>
  <c r="N53" i="7" s="1"/>
  <c r="G52" i="7"/>
  <c r="N52" i="7" s="1"/>
  <c r="G51" i="7"/>
  <c r="N51" i="7" s="1"/>
  <c r="G50" i="7"/>
  <c r="N50" i="7" s="1"/>
  <c r="G49" i="7"/>
  <c r="N49" i="7" s="1"/>
  <c r="G48" i="7"/>
  <c r="G47" i="7"/>
  <c r="N47" i="7" s="1"/>
  <c r="G46" i="7"/>
  <c r="N46" i="7" s="1"/>
  <c r="G45" i="7"/>
  <c r="N45" i="7" s="1"/>
  <c r="G44" i="7"/>
  <c r="N44" i="7" s="1"/>
  <c r="G42" i="7"/>
  <c r="N42" i="7" s="1"/>
  <c r="G41" i="7"/>
  <c r="G40" i="7"/>
  <c r="G39" i="7"/>
  <c r="N39" i="7" s="1"/>
  <c r="G38" i="7"/>
  <c r="N38" i="7" s="1"/>
  <c r="G37" i="7"/>
  <c r="G36" i="7"/>
  <c r="G35" i="7"/>
  <c r="N35" i="7" s="1"/>
  <c r="G34" i="7"/>
  <c r="N34" i="7" s="1"/>
  <c r="G33" i="7"/>
  <c r="G32" i="7"/>
  <c r="N32" i="7" s="1"/>
  <c r="G31" i="7"/>
  <c r="N31" i="7" s="1"/>
  <c r="G30" i="7"/>
  <c r="N30" i="7" s="1"/>
  <c r="G29" i="7"/>
  <c r="N29" i="7" s="1"/>
  <c r="G28" i="7"/>
  <c r="G27" i="7"/>
  <c r="N27" i="7" s="1"/>
  <c r="G26" i="7"/>
  <c r="N26" i="7" s="1"/>
  <c r="G24" i="7"/>
  <c r="G23" i="7"/>
  <c r="N23" i="7" s="1"/>
  <c r="G22" i="7"/>
  <c r="N22" i="7" s="1"/>
  <c r="G20" i="7"/>
  <c r="N20" i="7" s="1"/>
  <c r="G19" i="7"/>
  <c r="N19" i="7" s="1"/>
  <c r="G18" i="7"/>
  <c r="N18" i="7" s="1"/>
  <c r="G17" i="7"/>
  <c r="G16" i="7"/>
  <c r="N16" i="7" s="1"/>
  <c r="G15" i="7"/>
  <c r="G14" i="7"/>
  <c r="N14" i="7" s="1"/>
  <c r="G13" i="7"/>
  <c r="G12" i="7"/>
  <c r="G11" i="7"/>
  <c r="N11" i="7" s="1"/>
  <c r="L11" i="6"/>
  <c r="J11" i="7" s="1"/>
  <c r="L11" i="7" s="1"/>
  <c r="J11" i="8" s="1"/>
  <c r="L11" i="8" s="1"/>
  <c r="J11" i="11" s="1"/>
  <c r="L11" i="11" s="1"/>
  <c r="J11" i="12" s="1"/>
  <c r="L12" i="6"/>
  <c r="J12" i="7" s="1"/>
  <c r="L12" i="7" s="1"/>
  <c r="J12" i="8" s="1"/>
  <c r="L12" i="8" s="1"/>
  <c r="J12" i="11" s="1"/>
  <c r="L13" i="6"/>
  <c r="J13" i="7" s="1"/>
  <c r="L14" i="6"/>
  <c r="J14" i="7" s="1"/>
  <c r="L15" i="6"/>
  <c r="J15" i="7" s="1"/>
  <c r="L15" i="7" s="1"/>
  <c r="J15" i="8" s="1"/>
  <c r="L15" i="8" s="1"/>
  <c r="J15" i="11" s="1"/>
  <c r="L15" i="11" s="1"/>
  <c r="J15" i="12" s="1"/>
  <c r="L15" i="12" s="1"/>
  <c r="L16" i="6"/>
  <c r="J16" i="7" s="1"/>
  <c r="L17" i="6"/>
  <c r="J17" i="7" s="1"/>
  <c r="L17" i="7" s="1"/>
  <c r="J17" i="8" s="1"/>
  <c r="L17" i="8" s="1"/>
  <c r="J17" i="11" s="1"/>
  <c r="L18" i="6"/>
  <c r="J18" i="7" s="1"/>
  <c r="L18" i="7" s="1"/>
  <c r="J18" i="8" s="1"/>
  <c r="L18" i="8" s="1"/>
  <c r="J18" i="11" s="1"/>
  <c r="L18" i="11" s="1"/>
  <c r="L19" i="6"/>
  <c r="J19" i="7" s="1"/>
  <c r="L19" i="7" s="1"/>
  <c r="L20" i="6"/>
  <c r="J20" i="7" s="1"/>
  <c r="L20" i="7" s="1"/>
  <c r="J20" i="8" s="1"/>
  <c r="L20" i="8" s="1"/>
  <c r="J20" i="11" s="1"/>
  <c r="L22" i="6"/>
  <c r="J22" i="7" s="1"/>
  <c r="L22" i="7" s="1"/>
  <c r="O22" i="7" s="1"/>
  <c r="L23" i="6"/>
  <c r="J23" i="7" s="1"/>
  <c r="L23" i="7" s="1"/>
  <c r="J23" i="8" s="1"/>
  <c r="L23" i="8" s="1"/>
  <c r="J23" i="11" s="1"/>
  <c r="L23" i="11" s="1"/>
  <c r="L24" i="6"/>
  <c r="J24" i="7" s="1"/>
  <c r="L24" i="7" s="1"/>
  <c r="J24" i="8" s="1"/>
  <c r="L26" i="6"/>
  <c r="J26" i="7" s="1"/>
  <c r="L26" i="7" s="1"/>
  <c r="J26" i="8" s="1"/>
  <c r="L26" i="8" s="1"/>
  <c r="J26" i="11" s="1"/>
  <c r="L26" i="11" s="1"/>
  <c r="O26" i="11" s="1"/>
  <c r="L27" i="6"/>
  <c r="J27" i="7" s="1"/>
  <c r="L27" i="7" s="1"/>
  <c r="J27" i="8" s="1"/>
  <c r="L27" i="8" s="1"/>
  <c r="J27" i="11" s="1"/>
  <c r="L27" i="11" s="1"/>
  <c r="J27" i="12" s="1"/>
  <c r="L27" i="12" s="1"/>
  <c r="L28" i="6"/>
  <c r="J28" i="7" s="1"/>
  <c r="L28" i="7" s="1"/>
  <c r="J28" i="8" s="1"/>
  <c r="L28" i="8" s="1"/>
  <c r="J28" i="11" s="1"/>
  <c r="L28" i="11" s="1"/>
  <c r="J28" i="12" s="1"/>
  <c r="L28" i="12" s="1"/>
  <c r="L29" i="6"/>
  <c r="J29" i="7" s="1"/>
  <c r="L29" i="7" s="1"/>
  <c r="J29" i="8" s="1"/>
  <c r="L29" i="8" s="1"/>
  <c r="J29" i="11" s="1"/>
  <c r="L29" i="11" s="1"/>
  <c r="O29" i="11" s="1"/>
  <c r="L30" i="6"/>
  <c r="J30" i="7" s="1"/>
  <c r="L31" i="6"/>
  <c r="J31" i="7" s="1"/>
  <c r="M31" i="7" s="1"/>
  <c r="L32" i="6"/>
  <c r="J32" i="7" s="1"/>
  <c r="L33" i="6"/>
  <c r="J33" i="7" s="1"/>
  <c r="L33" i="7" s="1"/>
  <c r="J33" i="8" s="1"/>
  <c r="L33" i="8" s="1"/>
  <c r="J33" i="11" s="1"/>
  <c r="L33" i="11" s="1"/>
  <c r="J33" i="12" s="1"/>
  <c r="L33" i="12" s="1"/>
  <c r="O33" i="12" s="1"/>
  <c r="L34" i="6"/>
  <c r="J34" i="7" s="1"/>
  <c r="L35" i="6"/>
  <c r="J35" i="7" s="1"/>
  <c r="L36" i="6"/>
  <c r="J36" i="7" s="1"/>
  <c r="L36" i="7" s="1"/>
  <c r="L37" i="6"/>
  <c r="J37" i="7" s="1"/>
  <c r="L37" i="7" s="1"/>
  <c r="L38" i="6"/>
  <c r="J38" i="7" s="1"/>
  <c r="L38" i="7" s="1"/>
  <c r="J38" i="8" s="1"/>
  <c r="L38" i="8" s="1"/>
  <c r="O38" i="8" s="1"/>
  <c r="L39" i="6"/>
  <c r="J39" i="7" s="1"/>
  <c r="L39" i="7" s="1"/>
  <c r="J39" i="8" s="1"/>
  <c r="M39" i="8" s="1"/>
  <c r="L40" i="6"/>
  <c r="J40" i="7" s="1"/>
  <c r="L40" i="7" s="1"/>
  <c r="J40" i="8" s="1"/>
  <c r="L40" i="8" s="1"/>
  <c r="J40" i="11" s="1"/>
  <c r="M40" i="11" s="1"/>
  <c r="L41" i="6"/>
  <c r="J41" i="7" s="1"/>
  <c r="L41" i="7" s="1"/>
  <c r="J41" i="8" s="1"/>
  <c r="L42" i="6"/>
  <c r="J42" i="7" s="1"/>
  <c r="L42" i="7" s="1"/>
  <c r="J42" i="8" s="1"/>
  <c r="L42" i="8" s="1"/>
  <c r="J42" i="11" s="1"/>
  <c r="L42" i="11" s="1"/>
  <c r="L45" i="6"/>
  <c r="J45" i="7" s="1"/>
  <c r="L46" i="6"/>
  <c r="J46" i="7" s="1"/>
  <c r="L47" i="6"/>
  <c r="J47" i="7" s="1"/>
  <c r="L47" i="7" s="1"/>
  <c r="L48" i="6"/>
  <c r="J48" i="7" s="1"/>
  <c r="L48" i="7" s="1"/>
  <c r="J48" i="8" s="1"/>
  <c r="L48" i="8" s="1"/>
  <c r="J48" i="11" s="1"/>
  <c r="L48" i="11" s="1"/>
  <c r="L49" i="6"/>
  <c r="J49" i="7" s="1"/>
  <c r="L49" i="7" s="1"/>
  <c r="O49" i="7" s="1"/>
  <c r="L50" i="6"/>
  <c r="J50" i="7" s="1"/>
  <c r="L51" i="6"/>
  <c r="J51" i="7" s="1"/>
  <c r="L51" i="7" s="1"/>
  <c r="J51" i="8" s="1"/>
  <c r="L52" i="6"/>
  <c r="J52" i="7" s="1"/>
  <c r="L52" i="7" s="1"/>
  <c r="J52" i="8" s="1"/>
  <c r="L52" i="8" s="1"/>
  <c r="J52" i="11" s="1"/>
  <c r="L52" i="11" s="1"/>
  <c r="J52" i="12" s="1"/>
  <c r="L52" i="12" s="1"/>
  <c r="L53" i="6"/>
  <c r="J53" i="7" s="1"/>
  <c r="L53" i="7" s="1"/>
  <c r="J53" i="8" s="1"/>
  <c r="L55" i="6"/>
  <c r="J55" i="7" s="1"/>
  <c r="L55" i="7" s="1"/>
  <c r="O55" i="7" s="1"/>
  <c r="L56" i="6"/>
  <c r="J56" i="7" s="1"/>
  <c r="L56" i="7" s="1"/>
  <c r="J56" i="8" s="1"/>
  <c r="L56" i="8" s="1"/>
  <c r="J56" i="11" s="1"/>
  <c r="L56" i="11" s="1"/>
  <c r="J56" i="12" s="1"/>
  <c r="L56" i="12" s="1"/>
  <c r="L44" i="6"/>
  <c r="J44" i="7" s="1"/>
  <c r="L44" i="7" s="1"/>
  <c r="J44" i="8" s="1"/>
  <c r="L44" i="8" s="1"/>
  <c r="J44" i="11" s="1"/>
  <c r="L44" i="11" s="1"/>
  <c r="O61" i="6"/>
  <c r="M61" i="6"/>
  <c r="N66" i="6"/>
  <c r="O65" i="19" l="1"/>
  <c r="O66" i="19" s="1"/>
  <c r="I43" i="19"/>
  <c r="I25" i="19"/>
  <c r="I54" i="19"/>
  <c r="I21" i="19"/>
  <c r="I10" i="19"/>
  <c r="M27" i="18"/>
  <c r="M52" i="18"/>
  <c r="M48" i="18"/>
  <c r="M50" i="18"/>
  <c r="M35" i="18"/>
  <c r="N39" i="18"/>
  <c r="O39" i="18"/>
  <c r="M23" i="18"/>
  <c r="M22" i="18"/>
  <c r="O38" i="18"/>
  <c r="M30" i="18"/>
  <c r="M11" i="18"/>
  <c r="M17" i="18"/>
  <c r="M31" i="18"/>
  <c r="H25" i="18"/>
  <c r="M46" i="18"/>
  <c r="O33" i="18"/>
  <c r="M19" i="18"/>
  <c r="O27" i="18"/>
  <c r="O32" i="18"/>
  <c r="M18" i="18"/>
  <c r="N27" i="18"/>
  <c r="O29" i="18"/>
  <c r="H54" i="18"/>
  <c r="H43" i="18"/>
  <c r="M24" i="18"/>
  <c r="M34" i="18"/>
  <c r="O55" i="18"/>
  <c r="M28" i="18"/>
  <c r="N31" i="18"/>
  <c r="G57" i="18"/>
  <c r="O30" i="18"/>
  <c r="M36" i="18"/>
  <c r="O31" i="18"/>
  <c r="N55" i="18"/>
  <c r="M14" i="18"/>
  <c r="M40" i="18"/>
  <c r="M42" i="18"/>
  <c r="M44" i="18"/>
  <c r="M20" i="18"/>
  <c r="M15" i="18"/>
  <c r="M32" i="18"/>
  <c r="M29" i="18"/>
  <c r="M41" i="18"/>
  <c r="M13" i="18"/>
  <c r="O28" i="18"/>
  <c r="M16" i="18"/>
  <c r="M38" i="18"/>
  <c r="M26" i="18"/>
  <c r="M12" i="18"/>
  <c r="O40" i="18"/>
  <c r="M33" i="18"/>
  <c r="M37" i="18"/>
  <c r="L24" i="18"/>
  <c r="O24" i="18" s="1"/>
  <c r="L26" i="18"/>
  <c r="O26" i="18" s="1"/>
  <c r="L37" i="18"/>
  <c r="O37" i="18" s="1"/>
  <c r="L36" i="18"/>
  <c r="O36" i="18" s="1"/>
  <c r="L34" i="18"/>
  <c r="O34" i="18" s="1"/>
  <c r="L35" i="18"/>
  <c r="O35" i="18" s="1"/>
  <c r="L22" i="18"/>
  <c r="O22" i="18" s="1"/>
  <c r="L23" i="18"/>
  <c r="O23" i="18" s="1"/>
  <c r="O56" i="18"/>
  <c r="O47" i="18"/>
  <c r="O53" i="18"/>
  <c r="O49" i="18"/>
  <c r="O45" i="18"/>
  <c r="O51" i="18"/>
  <c r="H10" i="18"/>
  <c r="N44" i="18"/>
  <c r="N46" i="18"/>
  <c r="N48" i="18"/>
  <c r="N50" i="18"/>
  <c r="N52" i="18"/>
  <c r="M55" i="18"/>
  <c r="H21" i="18"/>
  <c r="L42" i="18"/>
  <c r="O42" i="18" s="1"/>
  <c r="L11" i="18"/>
  <c r="O11" i="18" s="1"/>
  <c r="L13" i="18"/>
  <c r="O13" i="18" s="1"/>
  <c r="L15" i="18"/>
  <c r="O15" i="18" s="1"/>
  <c r="L17" i="18"/>
  <c r="O17" i="18" s="1"/>
  <c r="L19" i="18"/>
  <c r="O19" i="18" s="1"/>
  <c r="M45" i="18"/>
  <c r="M47" i="18"/>
  <c r="M49" i="18"/>
  <c r="M51" i="18"/>
  <c r="M53" i="18"/>
  <c r="N11" i="18"/>
  <c r="N45" i="18"/>
  <c r="N47" i="18"/>
  <c r="N49" i="18"/>
  <c r="N51" i="18"/>
  <c r="N53" i="18"/>
  <c r="M56" i="18"/>
  <c r="L41" i="18"/>
  <c r="O41" i="18" s="1"/>
  <c r="N56" i="18"/>
  <c r="L12" i="18"/>
  <c r="O12" i="18" s="1"/>
  <c r="L14" i="18"/>
  <c r="O14" i="18" s="1"/>
  <c r="L16" i="18"/>
  <c r="O16" i="18" s="1"/>
  <c r="L18" i="18"/>
  <c r="O18" i="18" s="1"/>
  <c r="L20" i="18"/>
  <c r="O20" i="18" s="1"/>
  <c r="L44" i="18"/>
  <c r="O44" i="18" s="1"/>
  <c r="L46" i="18"/>
  <c r="O46" i="18" s="1"/>
  <c r="L48" i="18"/>
  <c r="O48" i="18" s="1"/>
  <c r="L50" i="18"/>
  <c r="O50" i="18" s="1"/>
  <c r="L52" i="18"/>
  <c r="O52" i="18" s="1"/>
  <c r="H57" i="17"/>
  <c r="O62" i="17" s="1"/>
  <c r="O63" i="17" s="1"/>
  <c r="I10" i="17"/>
  <c r="G57" i="17"/>
  <c r="O11" i="17"/>
  <c r="N11" i="17"/>
  <c r="M11" i="17"/>
  <c r="O12" i="17"/>
  <c r="N12" i="17"/>
  <c r="M12" i="17"/>
  <c r="O13" i="17"/>
  <c r="N13" i="17"/>
  <c r="M13" i="17"/>
  <c r="O14" i="17"/>
  <c r="N14" i="17"/>
  <c r="M14" i="17"/>
  <c r="O15" i="17"/>
  <c r="N15" i="17"/>
  <c r="M15" i="17"/>
  <c r="O16" i="17"/>
  <c r="N16" i="17"/>
  <c r="M16" i="17"/>
  <c r="O17" i="17"/>
  <c r="N17" i="17"/>
  <c r="M17" i="17"/>
  <c r="O18" i="17"/>
  <c r="N18" i="17"/>
  <c r="M18" i="17"/>
  <c r="O19" i="17"/>
  <c r="N19" i="17"/>
  <c r="M19" i="17"/>
  <c r="O20" i="17"/>
  <c r="N20" i="17"/>
  <c r="M20" i="17"/>
  <c r="I21" i="17"/>
  <c r="O22" i="17"/>
  <c r="N22" i="17"/>
  <c r="M22" i="17"/>
  <c r="O23" i="17"/>
  <c r="N23" i="17"/>
  <c r="M23" i="17"/>
  <c r="O24" i="17"/>
  <c r="N24" i="17"/>
  <c r="M24" i="17"/>
  <c r="I25" i="17"/>
  <c r="O26" i="17"/>
  <c r="N26" i="17"/>
  <c r="M26" i="17"/>
  <c r="O27" i="17"/>
  <c r="N27" i="17"/>
  <c r="M27" i="17"/>
  <c r="O28" i="17"/>
  <c r="N28" i="17"/>
  <c r="M28" i="17"/>
  <c r="O29" i="17"/>
  <c r="N29" i="17"/>
  <c r="M29" i="17"/>
  <c r="O30" i="17"/>
  <c r="N30" i="17"/>
  <c r="M30" i="17"/>
  <c r="O31" i="17"/>
  <c r="N31" i="17"/>
  <c r="M31" i="17"/>
  <c r="O32" i="17"/>
  <c r="N32" i="17"/>
  <c r="M32" i="17"/>
  <c r="O33" i="17"/>
  <c r="N33" i="17"/>
  <c r="M33" i="17"/>
  <c r="O34" i="17"/>
  <c r="N34" i="17"/>
  <c r="M34" i="17"/>
  <c r="O35" i="17"/>
  <c r="N35" i="17"/>
  <c r="M35" i="17"/>
  <c r="O36" i="17"/>
  <c r="N36" i="17"/>
  <c r="M36" i="17"/>
  <c r="O37" i="17"/>
  <c r="N37" i="17"/>
  <c r="M37" i="17"/>
  <c r="O38" i="17"/>
  <c r="N38" i="17"/>
  <c r="M38" i="17"/>
  <c r="O39" i="17"/>
  <c r="N39" i="17"/>
  <c r="M39" i="17"/>
  <c r="O40" i="17"/>
  <c r="N40" i="17"/>
  <c r="M40" i="17"/>
  <c r="O41" i="17"/>
  <c r="N41" i="17"/>
  <c r="M41" i="17"/>
  <c r="O42" i="17"/>
  <c r="N42" i="17"/>
  <c r="M42" i="17"/>
  <c r="I43" i="17"/>
  <c r="O44" i="17"/>
  <c r="N44" i="17"/>
  <c r="M44" i="17"/>
  <c r="O45" i="17"/>
  <c r="N45" i="17"/>
  <c r="M45" i="17"/>
  <c r="O46" i="17"/>
  <c r="N46" i="17"/>
  <c r="M46" i="17"/>
  <c r="O47" i="17"/>
  <c r="N47" i="17"/>
  <c r="M47" i="17"/>
  <c r="O48" i="17"/>
  <c r="N48" i="17"/>
  <c r="M48" i="17"/>
  <c r="O49" i="17"/>
  <c r="N49" i="17"/>
  <c r="M49" i="17"/>
  <c r="O50" i="17"/>
  <c r="N50" i="17"/>
  <c r="M50" i="17"/>
  <c r="O51" i="17"/>
  <c r="N51" i="17"/>
  <c r="M51" i="17"/>
  <c r="O52" i="17"/>
  <c r="N52" i="17"/>
  <c r="M52" i="17"/>
  <c r="O53" i="17"/>
  <c r="N53" i="17"/>
  <c r="M53" i="17"/>
  <c r="I54" i="17"/>
  <c r="O55" i="17"/>
  <c r="N55" i="17"/>
  <c r="M55" i="17"/>
  <c r="O56" i="17"/>
  <c r="N56" i="17"/>
  <c r="M56" i="17"/>
  <c r="O33" i="16"/>
  <c r="O31" i="16"/>
  <c r="M33" i="16"/>
  <c r="O40" i="16"/>
  <c r="M56" i="16"/>
  <c r="O26" i="16"/>
  <c r="O30" i="16"/>
  <c r="O34" i="16"/>
  <c r="L39" i="16"/>
  <c r="O39" i="16" s="1"/>
  <c r="L49" i="16"/>
  <c r="O49" i="16" s="1"/>
  <c r="M45" i="16"/>
  <c r="M13" i="16"/>
  <c r="O28" i="16"/>
  <c r="M19" i="16"/>
  <c r="M15" i="16"/>
  <c r="L47" i="16"/>
  <c r="O47" i="16" s="1"/>
  <c r="L35" i="16"/>
  <c r="O23" i="16"/>
  <c r="O32" i="16"/>
  <c r="O36" i="16"/>
  <c r="O42" i="16"/>
  <c r="L18" i="16"/>
  <c r="O18" i="16" s="1"/>
  <c r="L46" i="16"/>
  <c r="O46" i="16" s="1"/>
  <c r="O12" i="16"/>
  <c r="O20" i="16"/>
  <c r="M23" i="16"/>
  <c r="O50" i="16"/>
  <c r="O52" i="16"/>
  <c r="M55" i="16"/>
  <c r="L48" i="16"/>
  <c r="O48" i="16" s="1"/>
  <c r="M20" i="16"/>
  <c r="M52" i="16"/>
  <c r="N23" i="16"/>
  <c r="N55" i="16"/>
  <c r="L12" i="16"/>
  <c r="L16" i="16"/>
  <c r="O16" i="16" s="1"/>
  <c r="M26" i="16"/>
  <c r="M28" i="16"/>
  <c r="M30" i="16"/>
  <c r="M32" i="16"/>
  <c r="M34" i="16"/>
  <c r="M36" i="16"/>
  <c r="M38" i="16"/>
  <c r="M40" i="16"/>
  <c r="M42" i="16"/>
  <c r="O55" i="16"/>
  <c r="M50" i="16"/>
  <c r="N26" i="16"/>
  <c r="N28" i="16"/>
  <c r="N30" i="16"/>
  <c r="N32" i="16"/>
  <c r="N34" i="16"/>
  <c r="N36" i="16"/>
  <c r="N38" i="16"/>
  <c r="N40" i="16"/>
  <c r="N42" i="16"/>
  <c r="M11" i="16"/>
  <c r="L44" i="16"/>
  <c r="O44" i="16" s="1"/>
  <c r="L14" i="16"/>
  <c r="O14" i="16" s="1"/>
  <c r="H10" i="16"/>
  <c r="O30" i="15"/>
  <c r="O28" i="15"/>
  <c r="O41" i="15"/>
  <c r="O17" i="15"/>
  <c r="O37" i="15"/>
  <c r="O19" i="15"/>
  <c r="O27" i="15"/>
  <c r="O45" i="15"/>
  <c r="O40" i="15"/>
  <c r="O26" i="15"/>
  <c r="O47" i="15"/>
  <c r="O22" i="15"/>
  <c r="O55" i="15"/>
  <c r="O49" i="15"/>
  <c r="O35" i="15"/>
  <c r="O33" i="15"/>
  <c r="O38" i="15"/>
  <c r="O24" i="15"/>
  <c r="O34" i="15"/>
  <c r="O36" i="15"/>
  <c r="O31" i="15"/>
  <c r="O51" i="15"/>
  <c r="O42" i="15"/>
  <c r="O15" i="15"/>
  <c r="O32" i="15"/>
  <c r="O39" i="15"/>
  <c r="O29" i="15"/>
  <c r="O53" i="15"/>
  <c r="H57" i="15"/>
  <c r="O62" i="15" s="1"/>
  <c r="O63" i="15" s="1"/>
  <c r="O13" i="15"/>
  <c r="O56" i="15"/>
  <c r="O12" i="15"/>
  <c r="O14" i="15"/>
  <c r="O16" i="15"/>
  <c r="O18" i="15"/>
  <c r="O20" i="15"/>
  <c r="M23" i="15"/>
  <c r="O44" i="15"/>
  <c r="O46" i="15"/>
  <c r="O48" i="15"/>
  <c r="O50" i="15"/>
  <c r="O52" i="15"/>
  <c r="M55" i="15"/>
  <c r="N23" i="15"/>
  <c r="N55" i="15"/>
  <c r="O23" i="15"/>
  <c r="M26" i="15"/>
  <c r="M28" i="15"/>
  <c r="M30" i="15"/>
  <c r="M32" i="15"/>
  <c r="M34" i="15"/>
  <c r="M36" i="15"/>
  <c r="M38" i="15"/>
  <c r="M40" i="15"/>
  <c r="M42" i="15"/>
  <c r="N26" i="15"/>
  <c r="N28" i="15"/>
  <c r="N30" i="15"/>
  <c r="N32" i="15"/>
  <c r="N34" i="15"/>
  <c r="N36" i="15"/>
  <c r="N38" i="15"/>
  <c r="N40" i="15"/>
  <c r="N42" i="15"/>
  <c r="M11" i="15"/>
  <c r="M13" i="15"/>
  <c r="M15" i="15"/>
  <c r="M17" i="15"/>
  <c r="M19" i="15"/>
  <c r="M45" i="15"/>
  <c r="M47" i="15"/>
  <c r="M49" i="15"/>
  <c r="M51" i="15"/>
  <c r="M53" i="15"/>
  <c r="N11" i="15"/>
  <c r="N13" i="15"/>
  <c r="N15" i="15"/>
  <c r="N17" i="15"/>
  <c r="N19" i="15"/>
  <c r="H43" i="15"/>
  <c r="N45" i="15"/>
  <c r="N47" i="15"/>
  <c r="N49" i="15"/>
  <c r="N51" i="15"/>
  <c r="N53" i="15"/>
  <c r="O11" i="15"/>
  <c r="M22" i="15"/>
  <c r="M56" i="15"/>
  <c r="M27" i="15"/>
  <c r="M29" i="15"/>
  <c r="M31" i="15"/>
  <c r="M33" i="15"/>
  <c r="M35" i="15"/>
  <c r="M37" i="15"/>
  <c r="M39" i="15"/>
  <c r="M41" i="15"/>
  <c r="M12" i="15"/>
  <c r="M14" i="15"/>
  <c r="M16" i="15"/>
  <c r="M18" i="15"/>
  <c r="M20" i="15"/>
  <c r="M44" i="15"/>
  <c r="M46" i="15"/>
  <c r="M48" i="15"/>
  <c r="M50" i="15"/>
  <c r="M52" i="15"/>
  <c r="O33" i="14"/>
  <c r="O31" i="14"/>
  <c r="L34" i="14"/>
  <c r="O34" i="14" s="1"/>
  <c r="M26" i="14"/>
  <c r="O17" i="14"/>
  <c r="O29" i="14"/>
  <c r="O46" i="14"/>
  <c r="O32" i="14"/>
  <c r="M53" i="14"/>
  <c r="L41" i="14"/>
  <c r="O41" i="14" s="1"/>
  <c r="L14" i="14"/>
  <c r="O14" i="14" s="1"/>
  <c r="M47" i="14"/>
  <c r="O35" i="14"/>
  <c r="O27" i="14"/>
  <c r="O12" i="14"/>
  <c r="O15" i="14"/>
  <c r="O23" i="14"/>
  <c r="L42" i="14"/>
  <c r="O42" i="14" s="1"/>
  <c r="O37" i="14"/>
  <c r="O49" i="14"/>
  <c r="I25" i="14"/>
  <c r="I54" i="14"/>
  <c r="O55" i="14"/>
  <c r="I43" i="14"/>
  <c r="O20" i="14"/>
  <c r="O40" i="14"/>
  <c r="I21" i="14"/>
  <c r="N29" i="14"/>
  <c r="N37" i="14"/>
  <c r="I10" i="14"/>
  <c r="I57" i="14" s="1"/>
  <c r="L16" i="14"/>
  <c r="O16" i="14" s="1"/>
  <c r="L22" i="14"/>
  <c r="O22" i="14" s="1"/>
  <c r="M28" i="14"/>
  <c r="M36" i="14"/>
  <c r="M50" i="14"/>
  <c r="M56" i="14"/>
  <c r="O28" i="14"/>
  <c r="M31" i="14"/>
  <c r="O36" i="14"/>
  <c r="M39" i="14"/>
  <c r="M45" i="14"/>
  <c r="O50" i="14"/>
  <c r="O56" i="14"/>
  <c r="M17" i="14"/>
  <c r="M23" i="14"/>
  <c r="M29" i="14"/>
  <c r="M37" i="14"/>
  <c r="M51" i="14"/>
  <c r="N17" i="14"/>
  <c r="N23" i="14"/>
  <c r="O51" i="14"/>
  <c r="N27" i="14"/>
  <c r="N35" i="14"/>
  <c r="N49" i="14"/>
  <c r="N55" i="14"/>
  <c r="M12" i="14"/>
  <c r="M20" i="14"/>
  <c r="M32" i="14"/>
  <c r="M40" i="14"/>
  <c r="M46" i="14"/>
  <c r="N12" i="14"/>
  <c r="N20" i="14"/>
  <c r="N32" i="14"/>
  <c r="N40" i="14"/>
  <c r="N46" i="14"/>
  <c r="M15" i="14"/>
  <c r="M27" i="14"/>
  <c r="M35" i="14"/>
  <c r="M49" i="14"/>
  <c r="M55" i="14"/>
  <c r="N15" i="14"/>
  <c r="M18" i="14"/>
  <c r="M24" i="14"/>
  <c r="M30" i="14"/>
  <c r="M38" i="14"/>
  <c r="M44" i="14"/>
  <c r="M52" i="14"/>
  <c r="O41" i="13"/>
  <c r="M37" i="13"/>
  <c r="L31" i="13"/>
  <c r="O31" i="13" s="1"/>
  <c r="M44" i="13"/>
  <c r="L22" i="13"/>
  <c r="O22" i="13" s="1"/>
  <c r="M19" i="13"/>
  <c r="O27" i="13"/>
  <c r="M52" i="13"/>
  <c r="M48" i="13"/>
  <c r="O53" i="13"/>
  <c r="O49" i="13"/>
  <c r="M14" i="13"/>
  <c r="M18" i="13"/>
  <c r="O39" i="13"/>
  <c r="O29" i="13"/>
  <c r="O40" i="13"/>
  <c r="O51" i="13"/>
  <c r="L35" i="13"/>
  <c r="O35" i="13" s="1"/>
  <c r="O23" i="13"/>
  <c r="O45" i="13"/>
  <c r="O33" i="13"/>
  <c r="O37" i="13"/>
  <c r="M46" i="13"/>
  <c r="M50" i="13"/>
  <c r="M20" i="13"/>
  <c r="L33" i="13"/>
  <c r="M56" i="13"/>
  <c r="O47" i="13"/>
  <c r="O26" i="13"/>
  <c r="O38" i="13"/>
  <c r="O30" i="13"/>
  <c r="O13" i="13"/>
  <c r="O34" i="13"/>
  <c r="O28" i="13"/>
  <c r="H57" i="13"/>
  <c r="O62" i="13" s="1"/>
  <c r="O63" i="13" s="1"/>
  <c r="I25" i="13"/>
  <c r="O32" i="13"/>
  <c r="O15" i="13"/>
  <c r="O36" i="13"/>
  <c r="O12" i="13"/>
  <c r="O14" i="13"/>
  <c r="O16" i="13"/>
  <c r="O18" i="13"/>
  <c r="O20" i="13"/>
  <c r="M23" i="13"/>
  <c r="O44" i="13"/>
  <c r="O46" i="13"/>
  <c r="O48" i="13"/>
  <c r="O50" i="13"/>
  <c r="O52" i="13"/>
  <c r="M55" i="13"/>
  <c r="N23" i="13"/>
  <c r="N55" i="13"/>
  <c r="M26" i="13"/>
  <c r="M28" i="13"/>
  <c r="M30" i="13"/>
  <c r="M32" i="13"/>
  <c r="M34" i="13"/>
  <c r="M36" i="13"/>
  <c r="M38" i="13"/>
  <c r="M40" i="13"/>
  <c r="M42" i="13"/>
  <c r="O55" i="13"/>
  <c r="N26" i="13"/>
  <c r="N28" i="13"/>
  <c r="N30" i="13"/>
  <c r="N32" i="13"/>
  <c r="N34" i="13"/>
  <c r="N36" i="13"/>
  <c r="N38" i="13"/>
  <c r="N40" i="13"/>
  <c r="N42" i="13"/>
  <c r="M11" i="13"/>
  <c r="M13" i="13"/>
  <c r="M15" i="13"/>
  <c r="O42" i="13"/>
  <c r="M45" i="13"/>
  <c r="M47" i="13"/>
  <c r="M49" i="13"/>
  <c r="M51" i="13"/>
  <c r="M53" i="13"/>
  <c r="H43" i="13"/>
  <c r="O11" i="13"/>
  <c r="H10" i="12"/>
  <c r="G57" i="12"/>
  <c r="O52" i="12"/>
  <c r="M44" i="12"/>
  <c r="M18" i="12"/>
  <c r="M12" i="11"/>
  <c r="O23" i="11"/>
  <c r="O48" i="11"/>
  <c r="M20" i="11"/>
  <c r="O42" i="11"/>
  <c r="M11" i="12"/>
  <c r="L11" i="12"/>
  <c r="O11" i="12" s="1"/>
  <c r="J23" i="12"/>
  <c r="L23" i="12" s="1"/>
  <c r="O23" i="12" s="1"/>
  <c r="J48" i="12"/>
  <c r="L48" i="12" s="1"/>
  <c r="O48" i="12" s="1"/>
  <c r="M17" i="11"/>
  <c r="J42" i="12"/>
  <c r="M42" i="12" s="1"/>
  <c r="M33" i="12"/>
  <c r="J29" i="12"/>
  <c r="L29" i="12" s="1"/>
  <c r="O29" i="12" s="1"/>
  <c r="J26" i="12"/>
  <c r="L26" i="12" s="1"/>
  <c r="O26" i="12" s="1"/>
  <c r="O15" i="12"/>
  <c r="M52" i="12"/>
  <c r="O56" i="12"/>
  <c r="O27" i="12"/>
  <c r="O28" i="12"/>
  <c r="M48" i="12"/>
  <c r="H54" i="12"/>
  <c r="N17" i="12"/>
  <c r="N23" i="12"/>
  <c r="N29" i="12"/>
  <c r="N51" i="12"/>
  <c r="N55" i="12"/>
  <c r="H43" i="12"/>
  <c r="M15" i="12"/>
  <c r="M27" i="12"/>
  <c r="N15" i="12"/>
  <c r="L18" i="12"/>
  <c r="O18" i="12" s="1"/>
  <c r="H21" i="12"/>
  <c r="N27" i="12"/>
  <c r="N35" i="12"/>
  <c r="L44" i="12"/>
  <c r="O44" i="12" s="1"/>
  <c r="N49" i="12"/>
  <c r="H25" i="12"/>
  <c r="M28" i="12"/>
  <c r="M56" i="12"/>
  <c r="N56" i="12"/>
  <c r="N17" i="11"/>
  <c r="M29" i="11"/>
  <c r="J38" i="11"/>
  <c r="L38" i="11" s="1"/>
  <c r="J38" i="12" s="1"/>
  <c r="M38" i="12" s="1"/>
  <c r="O18" i="11"/>
  <c r="L20" i="11"/>
  <c r="O44" i="11"/>
  <c r="M23" i="11"/>
  <c r="L17" i="11"/>
  <c r="O28" i="11"/>
  <c r="L40" i="11"/>
  <c r="G57" i="11"/>
  <c r="H54" i="11"/>
  <c r="N55" i="11"/>
  <c r="N49" i="11"/>
  <c r="N15" i="11"/>
  <c r="O15" i="11"/>
  <c r="M15" i="11"/>
  <c r="N35" i="11"/>
  <c r="L12" i="11"/>
  <c r="H43" i="11"/>
  <c r="O27" i="11"/>
  <c r="H25" i="11"/>
  <c r="N27" i="11"/>
  <c r="M27" i="11"/>
  <c r="H21" i="11"/>
  <c r="M18" i="11"/>
  <c r="M44" i="11"/>
  <c r="M52" i="11"/>
  <c r="N38" i="11"/>
  <c r="N44" i="11"/>
  <c r="M33" i="11"/>
  <c r="O52" i="11"/>
  <c r="N41" i="11"/>
  <c r="N47" i="11"/>
  <c r="M28" i="11"/>
  <c r="O33" i="11"/>
  <c r="M56" i="11"/>
  <c r="N16" i="11"/>
  <c r="N22" i="11"/>
  <c r="N28" i="11"/>
  <c r="N50" i="11"/>
  <c r="M11" i="11"/>
  <c r="O56" i="11"/>
  <c r="N19" i="11"/>
  <c r="N31" i="11"/>
  <c r="N39" i="11"/>
  <c r="N45" i="11"/>
  <c r="N53" i="11"/>
  <c r="O11" i="11"/>
  <c r="M26" i="11"/>
  <c r="M42" i="11"/>
  <c r="M48" i="11"/>
  <c r="H10" i="11"/>
  <c r="N18" i="11"/>
  <c r="N24" i="11"/>
  <c r="N30" i="11"/>
  <c r="N13" i="11"/>
  <c r="N11" i="11"/>
  <c r="M45" i="7"/>
  <c r="M53" i="8"/>
  <c r="M35" i="7"/>
  <c r="M41" i="8"/>
  <c r="O42" i="8"/>
  <c r="O28" i="8"/>
  <c r="O19" i="7"/>
  <c r="H25" i="7"/>
  <c r="M34" i="7"/>
  <c r="M50" i="7"/>
  <c r="M32" i="7"/>
  <c r="M15" i="8"/>
  <c r="M37" i="7"/>
  <c r="J22" i="8"/>
  <c r="L22" i="8" s="1"/>
  <c r="O37" i="7"/>
  <c r="J55" i="8"/>
  <c r="L55" i="8" s="1"/>
  <c r="J37" i="8"/>
  <c r="L37" i="8" s="1"/>
  <c r="O36" i="7"/>
  <c r="J36" i="8"/>
  <c r="M36" i="8" s="1"/>
  <c r="O47" i="7"/>
  <c r="J19" i="8"/>
  <c r="L19" i="8" s="1"/>
  <c r="H54" i="7"/>
  <c r="N36" i="7"/>
  <c r="M46" i="7"/>
  <c r="M42" i="7"/>
  <c r="O18" i="7"/>
  <c r="J49" i="8"/>
  <c r="L49" i="8" s="1"/>
  <c r="O52" i="7"/>
  <c r="O51" i="7"/>
  <c r="J47" i="8"/>
  <c r="L47" i="8" s="1"/>
  <c r="H25" i="8"/>
  <c r="O44" i="8"/>
  <c r="M38" i="8"/>
  <c r="O26" i="8"/>
  <c r="N37" i="8"/>
  <c r="M40" i="8"/>
  <c r="M51" i="8"/>
  <c r="O40" i="8"/>
  <c r="M28" i="8"/>
  <c r="H10" i="8"/>
  <c r="M24" i="8"/>
  <c r="N38" i="8"/>
  <c r="O48" i="8"/>
  <c r="O52" i="8"/>
  <c r="O33" i="8"/>
  <c r="M33" i="8"/>
  <c r="L39" i="8"/>
  <c r="L41" i="8"/>
  <c r="L53" i="8"/>
  <c r="M17" i="8"/>
  <c r="L51" i="8"/>
  <c r="O56" i="8"/>
  <c r="M26" i="8"/>
  <c r="O29" i="8"/>
  <c r="M42" i="8"/>
  <c r="O27" i="8"/>
  <c r="O12" i="8"/>
  <c r="O18" i="8"/>
  <c r="O20" i="8"/>
  <c r="M23" i="8"/>
  <c r="H21" i="8"/>
  <c r="O23" i="8"/>
  <c r="N55" i="8"/>
  <c r="M11" i="8"/>
  <c r="N11" i="8"/>
  <c r="N13" i="8"/>
  <c r="N15" i="8"/>
  <c r="N17" i="8"/>
  <c r="N19" i="8"/>
  <c r="L24" i="8"/>
  <c r="H43" i="8"/>
  <c r="N45" i="8"/>
  <c r="N47" i="8"/>
  <c r="N49" i="8"/>
  <c r="N51" i="8"/>
  <c r="N53" i="8"/>
  <c r="O11" i="8"/>
  <c r="O15" i="8"/>
  <c r="O17" i="8"/>
  <c r="M56" i="8"/>
  <c r="M27" i="8"/>
  <c r="M29" i="8"/>
  <c r="G57" i="8"/>
  <c r="M12" i="8"/>
  <c r="M18" i="8"/>
  <c r="M20" i="8"/>
  <c r="M44" i="8"/>
  <c r="M48" i="8"/>
  <c r="M52" i="8"/>
  <c r="M16" i="7"/>
  <c r="L16" i="7"/>
  <c r="M14" i="7"/>
  <c r="L14" i="7"/>
  <c r="M13" i="7"/>
  <c r="L13" i="7"/>
  <c r="M30" i="7"/>
  <c r="L30" i="7"/>
  <c r="M17" i="7"/>
  <c r="H21" i="7"/>
  <c r="N37" i="7"/>
  <c r="M51" i="7"/>
  <c r="M24" i="7"/>
  <c r="O12" i="7"/>
  <c r="N55" i="7"/>
  <c r="M12" i="7"/>
  <c r="M27" i="7"/>
  <c r="N17" i="7"/>
  <c r="M39" i="7"/>
  <c r="M19" i="7"/>
  <c r="M49" i="7"/>
  <c r="N24" i="7"/>
  <c r="M36" i="7"/>
  <c r="O17" i="7"/>
  <c r="L50" i="7"/>
  <c r="L46" i="7"/>
  <c r="O40" i="7"/>
  <c r="O41" i="7"/>
  <c r="L32" i="7"/>
  <c r="O28" i="7"/>
  <c r="O38" i="7"/>
  <c r="M52" i="7"/>
  <c r="O29" i="7"/>
  <c r="O39" i="7"/>
  <c r="O53" i="7"/>
  <c r="L35" i="7"/>
  <c r="M47" i="7"/>
  <c r="O44" i="7"/>
  <c r="O33" i="7"/>
  <c r="O20" i="7"/>
  <c r="O26" i="7"/>
  <c r="O48" i="7"/>
  <c r="M22" i="7"/>
  <c r="L45" i="7"/>
  <c r="L34" i="7"/>
  <c r="O56" i="7"/>
  <c r="L31" i="7"/>
  <c r="O15" i="7"/>
  <c r="O42" i="7"/>
  <c r="O11" i="7"/>
  <c r="O24" i="7"/>
  <c r="O27" i="7"/>
  <c r="M55" i="7"/>
  <c r="N12" i="7"/>
  <c r="M40" i="7"/>
  <c r="H10" i="7"/>
  <c r="M15" i="7"/>
  <c r="N28" i="7"/>
  <c r="M33" i="7"/>
  <c r="N40" i="7"/>
  <c r="H43" i="7"/>
  <c r="M48" i="7"/>
  <c r="M28" i="7"/>
  <c r="N15" i="7"/>
  <c r="M20" i="7"/>
  <c r="M23" i="7"/>
  <c r="M26" i="7"/>
  <c r="N33" i="7"/>
  <c r="M38" i="7"/>
  <c r="N48" i="7"/>
  <c r="M53" i="7"/>
  <c r="M56" i="7"/>
  <c r="N13" i="7"/>
  <c r="M18" i="7"/>
  <c r="O23" i="7"/>
  <c r="M11" i="7"/>
  <c r="M29" i="7"/>
  <c r="M41" i="7"/>
  <c r="M44" i="7"/>
  <c r="G57" i="7"/>
  <c r="N41" i="7"/>
  <c r="G56" i="6"/>
  <c r="G55" i="6"/>
  <c r="G53" i="6"/>
  <c r="G52" i="6"/>
  <c r="G51" i="6"/>
  <c r="G50" i="6"/>
  <c r="G49" i="6"/>
  <c r="G48" i="6"/>
  <c r="G47" i="6"/>
  <c r="G46" i="6"/>
  <c r="G45" i="6"/>
  <c r="G44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4" i="6"/>
  <c r="G23" i="6"/>
  <c r="G22" i="6"/>
  <c r="G20" i="6"/>
  <c r="G19" i="6"/>
  <c r="G18" i="6"/>
  <c r="G17" i="6"/>
  <c r="G16" i="6"/>
  <c r="G15" i="6"/>
  <c r="G14" i="6"/>
  <c r="G13" i="6"/>
  <c r="G12" i="6"/>
  <c r="G11" i="6"/>
  <c r="I57" i="19" l="1"/>
  <c r="M57" i="18"/>
  <c r="O57" i="18"/>
  <c r="H57" i="18"/>
  <c r="I21" i="18" s="1"/>
  <c r="N57" i="18"/>
  <c r="O67" i="18" s="1"/>
  <c r="M57" i="17"/>
  <c r="N57" i="17"/>
  <c r="O64" i="17" s="1"/>
  <c r="O57" i="17"/>
  <c r="O58" i="17" s="1"/>
  <c r="I57" i="17"/>
  <c r="O35" i="16"/>
  <c r="N57" i="16"/>
  <c r="O64" i="16" s="1"/>
  <c r="O65" i="16" s="1"/>
  <c r="O66" i="16" s="1"/>
  <c r="O57" i="16"/>
  <c r="H57" i="16"/>
  <c r="I10" i="16" s="1"/>
  <c r="M57" i="16"/>
  <c r="I43" i="15"/>
  <c r="I54" i="15"/>
  <c r="M57" i="15"/>
  <c r="I21" i="15"/>
  <c r="N57" i="15"/>
  <c r="O64" i="15" s="1"/>
  <c r="I25" i="15"/>
  <c r="O57" i="15"/>
  <c r="O58" i="15" s="1"/>
  <c r="I10" i="15"/>
  <c r="M57" i="14"/>
  <c r="O57" i="14"/>
  <c r="O58" i="14" s="1"/>
  <c r="N57" i="14"/>
  <c r="O64" i="14" s="1"/>
  <c r="N57" i="13"/>
  <c r="O64" i="13" s="1"/>
  <c r="M57" i="13"/>
  <c r="O57" i="13"/>
  <c r="O58" i="13" s="1"/>
  <c r="I43" i="13"/>
  <c r="I21" i="13"/>
  <c r="I54" i="13"/>
  <c r="I10" i="13"/>
  <c r="I57" i="13" s="1"/>
  <c r="H57" i="12"/>
  <c r="O62" i="12" s="1"/>
  <c r="O63" i="12" s="1"/>
  <c r="L42" i="12"/>
  <c r="O42" i="12" s="1"/>
  <c r="L38" i="12"/>
  <c r="O38" i="12" s="1"/>
  <c r="M26" i="12"/>
  <c r="O40" i="11"/>
  <c r="J40" i="12"/>
  <c r="O38" i="11"/>
  <c r="M38" i="11"/>
  <c r="O17" i="11"/>
  <c r="J17" i="12"/>
  <c r="M29" i="12"/>
  <c r="M23" i="12"/>
  <c r="O12" i="11"/>
  <c r="J12" i="12"/>
  <c r="O20" i="11"/>
  <c r="J20" i="12"/>
  <c r="N57" i="12"/>
  <c r="O64" i="12" s="1"/>
  <c r="O65" i="12" s="1"/>
  <c r="O66" i="12" s="1"/>
  <c r="O49" i="8"/>
  <c r="J49" i="11"/>
  <c r="O24" i="8"/>
  <c r="J24" i="11"/>
  <c r="O19" i="8"/>
  <c r="J19" i="11"/>
  <c r="N57" i="11"/>
  <c r="O51" i="8"/>
  <c r="J51" i="11"/>
  <c r="O53" i="8"/>
  <c r="J53" i="11"/>
  <c r="O37" i="8"/>
  <c r="J37" i="11"/>
  <c r="O41" i="8"/>
  <c r="J41" i="11"/>
  <c r="O55" i="8"/>
  <c r="J55" i="11"/>
  <c r="O39" i="8"/>
  <c r="J39" i="11"/>
  <c r="O47" i="8"/>
  <c r="J47" i="11"/>
  <c r="O22" i="8"/>
  <c r="J22" i="11"/>
  <c r="O64" i="11"/>
  <c r="H57" i="11"/>
  <c r="O62" i="11" s="1"/>
  <c r="O63" i="11" s="1"/>
  <c r="I25" i="11"/>
  <c r="I54" i="11"/>
  <c r="M22" i="8"/>
  <c r="M19" i="8"/>
  <c r="O13" i="7"/>
  <c r="J13" i="8"/>
  <c r="L36" i="8"/>
  <c r="O35" i="7"/>
  <c r="J35" i="8"/>
  <c r="O14" i="7"/>
  <c r="J14" i="8"/>
  <c r="O30" i="7"/>
  <c r="J30" i="8"/>
  <c r="O16" i="7"/>
  <c r="J16" i="8"/>
  <c r="M49" i="8"/>
  <c r="M47" i="8"/>
  <c r="O31" i="7"/>
  <c r="J31" i="8"/>
  <c r="O34" i="7"/>
  <c r="J34" i="8"/>
  <c r="O32" i="7"/>
  <c r="J32" i="8"/>
  <c r="M37" i="8"/>
  <c r="O45" i="7"/>
  <c r="J45" i="8"/>
  <c r="O46" i="7"/>
  <c r="J46" i="8"/>
  <c r="M55" i="8"/>
  <c r="O50" i="7"/>
  <c r="J50" i="8"/>
  <c r="N57" i="8"/>
  <c r="O64" i="8" s="1"/>
  <c r="H57" i="8"/>
  <c r="N57" i="7"/>
  <c r="O65" i="7" s="1"/>
  <c r="O66" i="7" s="1"/>
  <c r="O67" i="7" s="1"/>
  <c r="H57" i="7"/>
  <c r="I43" i="7" s="1"/>
  <c r="M57" i="7"/>
  <c r="M30" i="6"/>
  <c r="N30" i="6"/>
  <c r="O30" i="6"/>
  <c r="O47" i="6"/>
  <c r="N47" i="6"/>
  <c r="M47" i="6"/>
  <c r="N16" i="6"/>
  <c r="M16" i="6"/>
  <c r="O16" i="6"/>
  <c r="M17" i="6"/>
  <c r="N17" i="6"/>
  <c r="O17" i="6"/>
  <c r="M44" i="6"/>
  <c r="N44" i="6"/>
  <c r="O44" i="6"/>
  <c r="M33" i="6"/>
  <c r="N33" i="6"/>
  <c r="O33" i="6"/>
  <c r="M48" i="6"/>
  <c r="N48" i="6"/>
  <c r="O48" i="6"/>
  <c r="M50" i="6"/>
  <c r="O50" i="6"/>
  <c r="N50" i="6"/>
  <c r="H54" i="6"/>
  <c r="N56" i="6"/>
  <c r="M56" i="6"/>
  <c r="O56" i="6"/>
  <c r="M18" i="6"/>
  <c r="N18" i="6"/>
  <c r="O18" i="6"/>
  <c r="M20" i="6"/>
  <c r="N20" i="6"/>
  <c r="O20" i="6"/>
  <c r="H21" i="6"/>
  <c r="M22" i="6"/>
  <c r="N22" i="6"/>
  <c r="O22" i="6"/>
  <c r="M36" i="6"/>
  <c r="N36" i="6"/>
  <c r="O36" i="6"/>
  <c r="M24" i="6"/>
  <c r="O24" i="6"/>
  <c r="N24" i="6"/>
  <c r="M12" i="6"/>
  <c r="N12" i="6"/>
  <c r="O12" i="6"/>
  <c r="M13" i="6"/>
  <c r="N13" i="6"/>
  <c r="O13" i="6"/>
  <c r="M27" i="6"/>
  <c r="N27" i="6"/>
  <c r="O27" i="6"/>
  <c r="M39" i="6"/>
  <c r="N39" i="6"/>
  <c r="O39" i="6"/>
  <c r="M52" i="6"/>
  <c r="N52" i="6"/>
  <c r="O52" i="6"/>
  <c r="M42" i="6"/>
  <c r="N42" i="6"/>
  <c r="O42" i="6"/>
  <c r="M31" i="6"/>
  <c r="N31" i="6"/>
  <c r="O31" i="6"/>
  <c r="N45" i="6"/>
  <c r="O45" i="6"/>
  <c r="M45" i="6"/>
  <c r="N46" i="6"/>
  <c r="M46" i="6"/>
  <c r="O46" i="6"/>
  <c r="M35" i="6"/>
  <c r="N35" i="6"/>
  <c r="O35" i="6"/>
  <c r="O49" i="6"/>
  <c r="M49" i="6"/>
  <c r="N49" i="6"/>
  <c r="O11" i="6"/>
  <c r="N11" i="6"/>
  <c r="M11" i="6"/>
  <c r="M38" i="6"/>
  <c r="N38" i="6"/>
  <c r="O38" i="6"/>
  <c r="M14" i="6"/>
  <c r="N14" i="6"/>
  <c r="O14" i="6"/>
  <c r="M28" i="6"/>
  <c r="O28" i="6"/>
  <c r="N28" i="6"/>
  <c r="M40" i="6"/>
  <c r="N40" i="6"/>
  <c r="O40" i="6"/>
  <c r="O53" i="6"/>
  <c r="M53" i="6"/>
  <c r="N53" i="6"/>
  <c r="M32" i="6"/>
  <c r="N32" i="6"/>
  <c r="O32" i="6"/>
  <c r="N19" i="6"/>
  <c r="M19" i="6"/>
  <c r="O19" i="6"/>
  <c r="N34" i="6"/>
  <c r="O34" i="6"/>
  <c r="M34" i="6"/>
  <c r="M23" i="6"/>
  <c r="N23" i="6"/>
  <c r="O23" i="6"/>
  <c r="M37" i="6"/>
  <c r="O37" i="6"/>
  <c r="N37" i="6"/>
  <c r="N26" i="6"/>
  <c r="O26" i="6"/>
  <c r="M26" i="6"/>
  <c r="O51" i="6"/>
  <c r="M51" i="6"/>
  <c r="N51" i="6"/>
  <c r="M15" i="6"/>
  <c r="N15" i="6"/>
  <c r="O15" i="6"/>
  <c r="M29" i="6"/>
  <c r="O29" i="6"/>
  <c r="N29" i="6"/>
  <c r="M41" i="6"/>
  <c r="O41" i="6"/>
  <c r="N41" i="6"/>
  <c r="N55" i="6"/>
  <c r="M55" i="6"/>
  <c r="O55" i="6"/>
  <c r="H25" i="6"/>
  <c r="H43" i="6"/>
  <c r="G57" i="6"/>
  <c r="H10" i="6"/>
  <c r="O68" i="18" l="1"/>
  <c r="I25" i="18"/>
  <c r="O65" i="18"/>
  <c r="O66" i="18" s="1"/>
  <c r="I54" i="18"/>
  <c r="I43" i="18"/>
  <c r="I10" i="18"/>
  <c r="O58" i="18"/>
  <c r="O65" i="17"/>
  <c r="O66" i="17" s="1"/>
  <c r="O62" i="16"/>
  <c r="O63" i="16" s="1"/>
  <c r="I43" i="16"/>
  <c r="I54" i="16"/>
  <c r="I21" i="16"/>
  <c r="I57" i="16" s="1"/>
  <c r="I25" i="16"/>
  <c r="O58" i="16"/>
  <c r="O65" i="15"/>
  <c r="O66" i="15" s="1"/>
  <c r="I57" i="15"/>
  <c r="O65" i="14"/>
  <c r="O66" i="14" s="1"/>
  <c r="O65" i="13"/>
  <c r="O66" i="13" s="1"/>
  <c r="I54" i="12"/>
  <c r="I10" i="12"/>
  <c r="I25" i="12"/>
  <c r="I43" i="12"/>
  <c r="I21" i="12"/>
  <c r="I57" i="12" s="1"/>
  <c r="L12" i="12"/>
  <c r="O12" i="12" s="1"/>
  <c r="M12" i="12"/>
  <c r="L17" i="12"/>
  <c r="O17" i="12" s="1"/>
  <c r="M17" i="12"/>
  <c r="L40" i="12"/>
  <c r="O40" i="12" s="1"/>
  <c r="M40" i="12"/>
  <c r="L20" i="12"/>
  <c r="O20" i="12" s="1"/>
  <c r="M20" i="12"/>
  <c r="L41" i="11"/>
  <c r="M41" i="11"/>
  <c r="L53" i="11"/>
  <c r="M53" i="11"/>
  <c r="M51" i="11"/>
  <c r="L51" i="11"/>
  <c r="L22" i="11"/>
  <c r="M22" i="11"/>
  <c r="L19" i="11"/>
  <c r="M19" i="11"/>
  <c r="L47" i="11"/>
  <c r="M47" i="11"/>
  <c r="L24" i="11"/>
  <c r="M24" i="11"/>
  <c r="L39" i="11"/>
  <c r="M39" i="11"/>
  <c r="M37" i="11"/>
  <c r="L37" i="11"/>
  <c r="O36" i="8"/>
  <c r="J36" i="11"/>
  <c r="L49" i="11"/>
  <c r="M49" i="11"/>
  <c r="L55" i="11"/>
  <c r="M55" i="11"/>
  <c r="I10" i="11"/>
  <c r="O65" i="11"/>
  <c r="O66" i="11" s="1"/>
  <c r="I43" i="11"/>
  <c r="I21" i="11"/>
  <c r="O57" i="7"/>
  <c r="O58" i="7" s="1"/>
  <c r="L13" i="8"/>
  <c r="M13" i="8"/>
  <c r="L31" i="8"/>
  <c r="M31" i="8"/>
  <c r="L16" i="8"/>
  <c r="M16" i="8"/>
  <c r="L30" i="8"/>
  <c r="M30" i="8"/>
  <c r="L46" i="8"/>
  <c r="M46" i="8"/>
  <c r="L14" i="8"/>
  <c r="M14" i="8"/>
  <c r="L35" i="8"/>
  <c r="M35" i="8"/>
  <c r="L32" i="8"/>
  <c r="M32" i="8"/>
  <c r="L34" i="8"/>
  <c r="M34" i="8"/>
  <c r="L50" i="8"/>
  <c r="M50" i="8"/>
  <c r="M45" i="8"/>
  <c r="L45" i="8"/>
  <c r="O62" i="8"/>
  <c r="O63" i="8" s="1"/>
  <c r="I10" i="8"/>
  <c r="I54" i="8"/>
  <c r="I25" i="8"/>
  <c r="I21" i="8"/>
  <c r="I43" i="8"/>
  <c r="O65" i="8"/>
  <c r="O66" i="8" s="1"/>
  <c r="O63" i="7"/>
  <c r="O64" i="7" s="1"/>
  <c r="I21" i="7"/>
  <c r="I54" i="7"/>
  <c r="I25" i="7"/>
  <c r="I10" i="7"/>
  <c r="H57" i="6"/>
  <c r="O63" i="6" s="1"/>
  <c r="N57" i="6"/>
  <c r="O57" i="6"/>
  <c r="M57" i="6"/>
  <c r="O70" i="18" l="1"/>
  <c r="I57" i="18"/>
  <c r="O47" i="11"/>
  <c r="J47" i="12"/>
  <c r="O19" i="11"/>
  <c r="J19" i="12"/>
  <c r="O41" i="11"/>
  <c r="J41" i="12"/>
  <c r="O55" i="11"/>
  <c r="J55" i="12"/>
  <c r="O24" i="11"/>
  <c r="J24" i="12"/>
  <c r="O49" i="11"/>
  <c r="J49" i="12"/>
  <c r="O22" i="11"/>
  <c r="J22" i="12"/>
  <c r="O37" i="11"/>
  <c r="J37" i="12"/>
  <c r="O51" i="11"/>
  <c r="J51" i="12"/>
  <c r="O39" i="11"/>
  <c r="J39" i="12"/>
  <c r="O53" i="11"/>
  <c r="J53" i="12"/>
  <c r="O35" i="8"/>
  <c r="J35" i="11"/>
  <c r="O34" i="8"/>
  <c r="J34" i="11"/>
  <c r="O46" i="8"/>
  <c r="J46" i="11"/>
  <c r="O32" i="8"/>
  <c r="J32" i="11"/>
  <c r="O14" i="8"/>
  <c r="J14" i="11"/>
  <c r="O30" i="8"/>
  <c r="J30" i="11"/>
  <c r="O45" i="8"/>
  <c r="J45" i="11"/>
  <c r="L36" i="11"/>
  <c r="M36" i="11"/>
  <c r="O13" i="8"/>
  <c r="J13" i="11"/>
  <c r="O58" i="6"/>
  <c r="O16" i="8"/>
  <c r="J16" i="11"/>
  <c r="O50" i="8"/>
  <c r="J50" i="11"/>
  <c r="O31" i="8"/>
  <c r="J31" i="11"/>
  <c r="I57" i="11"/>
  <c r="M57" i="8"/>
  <c r="I57" i="8"/>
  <c r="O65" i="6"/>
  <c r="O66" i="6" s="1"/>
  <c r="O67" i="6" s="1"/>
  <c r="R65" i="6"/>
  <c r="R66" i="6" s="1"/>
  <c r="R67" i="6" s="1"/>
  <c r="O64" i="6"/>
  <c r="R63" i="6"/>
  <c r="R64" i="6" s="1"/>
  <c r="I57" i="7"/>
  <c r="I43" i="6"/>
  <c r="I21" i="6"/>
  <c r="I54" i="6"/>
  <c r="I10" i="6"/>
  <c r="I25" i="6"/>
  <c r="L55" i="12" l="1"/>
  <c r="O55" i="12" s="1"/>
  <c r="M55" i="12"/>
  <c r="M41" i="12"/>
  <c r="L41" i="12"/>
  <c r="O41" i="12" s="1"/>
  <c r="L37" i="12"/>
  <c r="O37" i="12" s="1"/>
  <c r="M37" i="12"/>
  <c r="L39" i="12"/>
  <c r="O39" i="12" s="1"/>
  <c r="M39" i="12"/>
  <c r="M19" i="12"/>
  <c r="L19" i="12"/>
  <c r="O19" i="12" s="1"/>
  <c r="M24" i="12"/>
  <c r="L24" i="12"/>
  <c r="O24" i="12" s="1"/>
  <c r="L49" i="12"/>
  <c r="O49" i="12" s="1"/>
  <c r="M49" i="12"/>
  <c r="L22" i="12"/>
  <c r="O22" i="12" s="1"/>
  <c r="M22" i="12"/>
  <c r="M47" i="12"/>
  <c r="L47" i="12"/>
  <c r="O47" i="12" s="1"/>
  <c r="M53" i="12"/>
  <c r="L53" i="12"/>
  <c r="O53" i="12" s="1"/>
  <c r="L51" i="12"/>
  <c r="O51" i="12" s="1"/>
  <c r="M51" i="12"/>
  <c r="O36" i="11"/>
  <c r="J36" i="12"/>
  <c r="O57" i="8"/>
  <c r="O58" i="8" s="1"/>
  <c r="L30" i="11"/>
  <c r="M30" i="11"/>
  <c r="L14" i="11"/>
  <c r="M14" i="11"/>
  <c r="M32" i="11"/>
  <c r="L32" i="11"/>
  <c r="L31" i="11"/>
  <c r="M31" i="11"/>
  <c r="M46" i="11"/>
  <c r="L46" i="11"/>
  <c r="L16" i="11"/>
  <c r="M16" i="11"/>
  <c r="L45" i="11"/>
  <c r="M45" i="11"/>
  <c r="L34" i="11"/>
  <c r="M34" i="11"/>
  <c r="L50" i="11"/>
  <c r="M50" i="11"/>
  <c r="L35" i="11"/>
  <c r="M35" i="11"/>
  <c r="L13" i="11"/>
  <c r="M13" i="11"/>
  <c r="R69" i="6"/>
  <c r="I57" i="6"/>
  <c r="O16" i="11" l="1"/>
  <c r="J16" i="12"/>
  <c r="L36" i="12"/>
  <c r="O36" i="12" s="1"/>
  <c r="M36" i="12"/>
  <c r="O46" i="11"/>
  <c r="J46" i="12"/>
  <c r="O31" i="11"/>
  <c r="J31" i="12"/>
  <c r="O32" i="11"/>
  <c r="J32" i="12"/>
  <c r="O50" i="11"/>
  <c r="J50" i="12"/>
  <c r="O34" i="11"/>
  <c r="J34" i="12"/>
  <c r="O13" i="11"/>
  <c r="J13" i="12"/>
  <c r="O14" i="11"/>
  <c r="J14" i="12"/>
  <c r="O45" i="11"/>
  <c r="J45" i="12"/>
  <c r="O30" i="11"/>
  <c r="J30" i="12"/>
  <c r="O35" i="11"/>
  <c r="J35" i="12"/>
  <c r="M57" i="11"/>
  <c r="O57" i="11" l="1"/>
  <c r="O58" i="11" s="1"/>
  <c r="L32" i="12"/>
  <c r="O32" i="12" s="1"/>
  <c r="M32" i="12"/>
  <c r="L46" i="12"/>
  <c r="O46" i="12" s="1"/>
  <c r="M46" i="12"/>
  <c r="M30" i="12"/>
  <c r="L30" i="12"/>
  <c r="O30" i="12" s="1"/>
  <c r="M13" i="12"/>
  <c r="L13" i="12"/>
  <c r="O13" i="12" s="1"/>
  <c r="M31" i="12"/>
  <c r="L31" i="12"/>
  <c r="O31" i="12" s="1"/>
  <c r="L50" i="12"/>
  <c r="O50" i="12" s="1"/>
  <c r="M50" i="12"/>
  <c r="L45" i="12"/>
  <c r="O45" i="12" s="1"/>
  <c r="M45" i="12"/>
  <c r="L34" i="12"/>
  <c r="O34" i="12" s="1"/>
  <c r="M34" i="12"/>
  <c r="L16" i="12"/>
  <c r="O16" i="12" s="1"/>
  <c r="M16" i="12"/>
  <c r="L35" i="12"/>
  <c r="O35" i="12" s="1"/>
  <c r="M35" i="12"/>
  <c r="L14" i="12"/>
  <c r="O14" i="12" s="1"/>
  <c r="M14" i="12"/>
  <c r="M57" i="12" l="1"/>
  <c r="O57" i="12"/>
  <c r="O58" i="12" s="1"/>
</calcChain>
</file>

<file path=xl/sharedStrings.xml><?xml version="1.0" encoding="utf-8"?>
<sst xmlns="http://schemas.openxmlformats.org/spreadsheetml/2006/main" count="1535" uniqueCount="92">
  <si>
    <t>DÓLAR BNA</t>
  </si>
  <si>
    <t>DÓLAR MEP</t>
  </si>
  <si>
    <t>cotiz oct24</t>
  </si>
  <si>
    <t>OBRA: EDIFICIO EL SALVADOR 4140</t>
  </si>
  <si>
    <t xml:space="preserve">Certificado </t>
  </si>
  <si>
    <t>PRESUPUESTO OBRA CIVIL</t>
  </si>
  <si>
    <t xml:space="preserve"> </t>
  </si>
  <si>
    <t>Descripción</t>
  </si>
  <si>
    <t>U</t>
  </si>
  <si>
    <t>Cant</t>
  </si>
  <si>
    <t xml:space="preserve">P unit </t>
  </si>
  <si>
    <t>Subtotal</t>
  </si>
  <si>
    <t>Avance</t>
  </si>
  <si>
    <t>Importe</t>
  </si>
  <si>
    <t>PRESUPUESTO 01 - PRELIMINARES + MOV SUELO + HORMIGON</t>
  </si>
  <si>
    <t>Anterior</t>
  </si>
  <si>
    <t>Actual</t>
  </si>
  <si>
    <t>Acumulado</t>
  </si>
  <si>
    <t>TAREAS PRELIMINARES</t>
  </si>
  <si>
    <r>
      <t xml:space="preserve">Limpieza y preparación del terreno </t>
    </r>
    <r>
      <rPr>
        <i/>
        <sz val="10"/>
        <color rgb="FFFF0000"/>
        <rFont val="Calibri"/>
        <family val="2"/>
      </rPr>
      <t>- No cotiza</t>
    </r>
  </si>
  <si>
    <t>gl</t>
  </si>
  <si>
    <t>Topógrafo - Visita de obra replanteo</t>
  </si>
  <si>
    <t>un</t>
  </si>
  <si>
    <r>
      <t xml:space="preserve">Cartel de Obra </t>
    </r>
    <r>
      <rPr>
        <i/>
        <sz val="10"/>
        <color rgb="FFFF0000"/>
        <rFont val="Calibri"/>
        <family val="2"/>
      </rPr>
      <t>- No cotiza</t>
    </r>
  </si>
  <si>
    <r>
      <t>Cerco de obra perimetral</t>
    </r>
    <r>
      <rPr>
        <i/>
        <sz val="10"/>
        <color rgb="FFFF0000"/>
        <rFont val="Calibri"/>
        <family val="2"/>
      </rPr>
      <t xml:space="preserve"> - En chapa C25 + Concertina + Porton corredizo </t>
    </r>
  </si>
  <si>
    <t>ml</t>
  </si>
  <si>
    <t>Obrador colgante, pañol y ducha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</si>
  <si>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</si>
  <si>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</si>
  <si>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</si>
  <si>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</si>
  <si>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</si>
  <si>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Sistema de depresión de napas</t>
  </si>
  <si>
    <t>MOVIMIENTO DE TIERRA, COMPACTACION Y RELLENO</t>
  </si>
  <si>
    <t>Excavación a maquina para submuración y subsuelo</t>
  </si>
  <si>
    <t>m3</t>
  </si>
  <si>
    <r>
      <t xml:space="preserve">Demolición y retiro de fundaciones existentes </t>
    </r>
    <r>
      <rPr>
        <i/>
        <sz val="10"/>
        <color rgb="FFFF0000"/>
        <rFont val="Calibri"/>
        <family val="2"/>
      </rPr>
      <t>- No cotiza</t>
    </r>
  </si>
  <si>
    <t>Excavación manual para pozo de achique y bombeo</t>
  </si>
  <si>
    <t>ESTRUCTURA RESISTENTE - sin provision de hierro y hormigon (incluye corte y doblado en obra)</t>
  </si>
  <si>
    <t>Hormigón de limpieza - e: 10 cm</t>
  </si>
  <si>
    <t>Tabique submuración - H30 hidrófugo (95 kg/m3 de hierro)</t>
  </si>
  <si>
    <t>Zapata corrida tabique - H30 hidrófugo (120 kg/m3)</t>
  </si>
  <si>
    <t>Platea - H30 hidrófugo (95 kg/m3 de hierro)</t>
  </si>
  <si>
    <t>Rampa - H30 (120 kg/m3 de hierro)</t>
  </si>
  <si>
    <t>Losa maciza - H30 (110 kg/m3 de hierro)</t>
  </si>
  <si>
    <t>Vigas - H30 (140 kg/m3 de hierro)</t>
  </si>
  <si>
    <t>Vigas de H° visto - H30 (140 kg/m3 de hierro)</t>
  </si>
  <si>
    <t>Tabiques - H30 (120 kg/m3 de hierro)</t>
  </si>
  <si>
    <t>Columna - H30 (240 Kg/m3 de hierro)</t>
  </si>
  <si>
    <t>Escaleras - H30 (105 kg/m3 de hierro)</t>
  </si>
  <si>
    <t>Tabiques tanques de H° - H30 (120 kg/m3 de hierro)</t>
  </si>
  <si>
    <r>
      <t>Junta de impermeabilización de PVC -</t>
    </r>
    <r>
      <rPr>
        <i/>
        <sz val="10"/>
        <color rgb="FFFF0000"/>
        <rFont val="Calibri"/>
        <family val="2"/>
      </rPr>
      <t xml:space="preserve"> Sika Waterbars v15 x 15mts o similar</t>
    </r>
  </si>
  <si>
    <t>Sistema de apuntalamiento y reapuntalamiento</t>
  </si>
  <si>
    <t xml:space="preserve">Ensayos de Hormigon por etapas de hormigonado </t>
  </si>
  <si>
    <t>u</t>
  </si>
  <si>
    <t>Permiso de estacionamiento de bomba de hormigón a contramano</t>
  </si>
  <si>
    <r>
      <t xml:space="preserve">Picado de medianeras para columnas y vigas </t>
    </r>
    <r>
      <rPr>
        <i/>
        <sz val="10"/>
        <color rgb="FFFF0000"/>
        <rFont val="Calibri"/>
        <family val="2"/>
      </rPr>
      <t xml:space="preserve">- Cotizado solo para PB y 1P, </t>
    </r>
    <r>
      <rPr>
        <b/>
        <i/>
        <sz val="10"/>
        <color rgb="FFFF0000"/>
        <rFont val="Calibri"/>
        <family val="2"/>
      </rPr>
      <t>No</t>
    </r>
    <r>
      <rPr>
        <i/>
        <sz val="10"/>
        <color rgb="FFFF0000"/>
        <rFont val="Calibri"/>
        <family val="2"/>
      </rPr>
      <t xml:space="preserve"> contempla picado en SS</t>
    </r>
  </si>
  <si>
    <t>m2</t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</si>
  <si>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</si>
  <si>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</si>
  <si>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</si>
  <si>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</si>
  <si>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</si>
  <si>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</si>
  <si>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</si>
  <si>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</si>
  <si>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</si>
  <si>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Alquiler de equipos - Montacargas, tubos de descarga y balancin</t>
  </si>
  <si>
    <t>Volquetes</t>
  </si>
  <si>
    <t>JEFATURA DE OBRA</t>
  </si>
  <si>
    <t>Supervisión profesional de Obra</t>
  </si>
  <si>
    <t>Movilidad y viaticos</t>
  </si>
  <si>
    <t>SUBTOTAL PRESUPUESTO 01 (SIN IVA)</t>
  </si>
  <si>
    <t>Presupuesto base Sep-24</t>
  </si>
  <si>
    <t>RESUMEN CERTIFICADO</t>
  </si>
  <si>
    <t xml:space="preserve">CERT. N° </t>
  </si>
  <si>
    <t>%</t>
  </si>
  <si>
    <t>IMPORTE</t>
  </si>
  <si>
    <t>A</t>
  </si>
  <si>
    <t>Presupuesto aprobado</t>
  </si>
  <si>
    <t>B</t>
  </si>
  <si>
    <t>Anticipo</t>
  </si>
  <si>
    <t>C</t>
  </si>
  <si>
    <t>Certificado actual</t>
  </si>
  <si>
    <t>D</t>
  </si>
  <si>
    <t xml:space="preserve">Desacopio </t>
  </si>
  <si>
    <t>E</t>
  </si>
  <si>
    <t>Subtotal certificacion actual completa (SIN IVA)</t>
  </si>
  <si>
    <t>Actualización por CAC base Sep-24 por fuera de OC</t>
  </si>
  <si>
    <t>DEDUCTIVO</t>
  </si>
  <si>
    <t>F</t>
  </si>
  <si>
    <t>Deductivo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</si>
</sst>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_-;\-* #,##0.0_-;_-* &quot;-&quot;??_-;_-@_-"/>
    <numFmt numFmtId="168" formatCode="0.0000%"/>
    <numFmt numFmtId="169" formatCode="0.000%"/>
    <numFmt numFmtId="170" formatCode="0.00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i/>
      <sz val="10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Arial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22">
    <xf numFmtId="0" fontId="0" fillId="0" borderId="16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16"/>
    <xf numFmtId="0" fontId="1" fillId="0" borderId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8">
    <xf numFmtId="0" fontId="0" fillId="0" borderId="16" xfId="0"/>
    <xf numFmtId="9" fontId="8" fillId="0" borderId="0" xfId="12" applyFont="1" applyFill="1"/>
    <xf numFmtId="164" fontId="7" fillId="0" borderId="0" xfId="1" applyFont="1" applyFill="1" applyAlignment="1">
      <alignment horizontal="center" vertical="center"/>
    </xf>
    <xf numFmtId="0" fontId="7" fillId="0" borderId="0" xfId="1" applyNumberFormat="1" applyFont="1"/>
    <xf numFmtId="0" fontId="7" fillId="0" borderId="0" xfId="2" applyFont="1" applyAlignment="1">
      <alignment horizontal="center" vertical="center"/>
    </xf>
    <xf numFmtId="165" fontId="6" fillId="0" borderId="0" xfId="1" applyNumberFormat="1" applyFont="1" applyBorder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 wrapText="1"/>
    </xf>
    <xf numFmtId="0" fontId="7" fillId="0" borderId="0" xfId="2" applyFont="1"/>
    <xf numFmtId="0" fontId="9" fillId="0" borderId="0" xfId="1" applyNumberFormat="1" applyFont="1" applyAlignment="1">
      <alignment vertical="center"/>
    </xf>
    <xf numFmtId="164" fontId="9" fillId="2" borderId="1" xfId="1" applyFont="1" applyFill="1" applyBorder="1" applyAlignment="1">
      <alignment horizontal="center" vertical="center" wrapText="1"/>
    </xf>
    <xf numFmtId="164" fontId="6" fillId="0" borderId="0" xfId="1" applyFont="1" applyFill="1" applyAlignment="1">
      <alignment horizontal="center" vertical="center" wrapText="1"/>
    </xf>
    <xf numFmtId="0" fontId="6" fillId="0" borderId="0" xfId="1" applyNumberFormat="1" applyFont="1" applyAlignment="1">
      <alignment vertical="center" wrapText="1"/>
    </xf>
    <xf numFmtId="0" fontId="6" fillId="0" borderId="0" xfId="3" applyFont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65" fontId="9" fillId="0" borderId="0" xfId="1" applyNumberFormat="1" applyFont="1" applyAlignment="1">
      <alignment horizontal="center" vertical="center" wrapText="1"/>
    </xf>
    <xf numFmtId="0" fontId="6" fillId="0" borderId="0" xfId="3" applyFont="1" applyAlignment="1">
      <alignment vertical="center" wrapText="1"/>
    </xf>
    <xf numFmtId="14" fontId="9" fillId="0" borderId="0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 wrapText="1"/>
    </xf>
    <xf numFmtId="165" fontId="9" fillId="0" borderId="0" xfId="1" applyNumberFormat="1" applyFont="1" applyBorder="1" applyAlignment="1">
      <alignment horizontal="center" vertical="center" wrapText="1"/>
    </xf>
    <xf numFmtId="164" fontId="9" fillId="0" borderId="3" xfId="1" applyFont="1" applyFill="1" applyBorder="1" applyAlignment="1">
      <alignment horizontal="center" vertical="center" wrapText="1"/>
    </xf>
    <xf numFmtId="0" fontId="9" fillId="0" borderId="4" xfId="1" applyNumberFormat="1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165" fontId="9" fillId="0" borderId="1" xfId="1" applyNumberFormat="1" applyFont="1" applyFill="1" applyBorder="1" applyAlignment="1">
      <alignment horizontal="center" vertical="center"/>
    </xf>
    <xf numFmtId="165" fontId="9" fillId="0" borderId="5" xfId="1" applyNumberFormat="1" applyFont="1" applyFill="1" applyBorder="1" applyAlignment="1">
      <alignment horizontal="center" vertical="center"/>
    </xf>
    <xf numFmtId="165" fontId="10" fillId="0" borderId="0" xfId="1" applyNumberFormat="1" applyFont="1" applyAlignment="1">
      <alignment horizontal="center" vertical="center"/>
    </xf>
    <xf numFmtId="164" fontId="9" fillId="0" borderId="3" xfId="1" applyFont="1" applyFill="1" applyBorder="1" applyAlignment="1">
      <alignment horizontal="center" vertical="center"/>
    </xf>
    <xf numFmtId="0" fontId="9" fillId="0" borderId="6" xfId="1" applyNumberFormat="1" applyFont="1" applyBorder="1" applyAlignment="1">
      <alignment vertical="center" wrapText="1"/>
    </xf>
    <xf numFmtId="0" fontId="6" fillId="0" borderId="6" xfId="3" applyFont="1" applyBorder="1" applyAlignment="1">
      <alignment horizontal="center" vertical="center" wrapText="1"/>
    </xf>
    <xf numFmtId="165" fontId="6" fillId="0" borderId="6" xfId="1" applyNumberFormat="1" applyFont="1" applyFill="1" applyBorder="1" applyAlignment="1">
      <alignment horizontal="center" vertical="center" wrapText="1"/>
    </xf>
    <xf numFmtId="165" fontId="9" fillId="0" borderId="4" xfId="1" applyNumberFormat="1" applyFont="1" applyFill="1" applyBorder="1" applyAlignment="1">
      <alignment horizontal="center" vertical="center" wrapText="1"/>
    </xf>
    <xf numFmtId="9" fontId="7" fillId="0" borderId="0" xfId="4" applyFont="1"/>
    <xf numFmtId="164" fontId="7" fillId="0" borderId="7" xfId="1" applyFont="1" applyFill="1" applyBorder="1" applyAlignment="1">
      <alignment horizontal="center" vertical="center"/>
    </xf>
    <xf numFmtId="0" fontId="6" fillId="0" borderId="7" xfId="1" applyNumberFormat="1" applyFont="1" applyBorder="1" applyAlignment="1">
      <alignment vertical="top" wrapText="1"/>
    </xf>
    <xf numFmtId="49" fontId="6" fillId="0" borderId="7" xfId="2" applyNumberFormat="1" applyFont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5" fontId="7" fillId="0" borderId="7" xfId="1" applyNumberFormat="1" applyFont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vertical="top" wrapText="1"/>
    </xf>
    <xf numFmtId="49" fontId="6" fillId="0" borderId="8" xfId="2" applyNumberFormat="1" applyFont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 wrapText="1"/>
    </xf>
    <xf numFmtId="165" fontId="6" fillId="0" borderId="8" xfId="1" applyNumberFormat="1" applyFont="1" applyFill="1" applyBorder="1" applyAlignment="1">
      <alignment horizontal="center" vertical="center" wrapText="1"/>
    </xf>
    <xf numFmtId="164" fontId="7" fillId="0" borderId="9" xfId="1" applyFont="1" applyFill="1" applyBorder="1" applyAlignment="1">
      <alignment horizontal="center" vertical="center"/>
    </xf>
    <xf numFmtId="0" fontId="6" fillId="0" borderId="9" xfId="1" applyNumberFormat="1" applyFont="1" applyBorder="1" applyAlignment="1">
      <alignment vertical="top" wrapText="1"/>
    </xf>
    <xf numFmtId="49" fontId="6" fillId="0" borderId="9" xfId="2" applyNumberFormat="1" applyFont="1" applyBorder="1" applyAlignment="1">
      <alignment horizontal="center" vertical="center"/>
    </xf>
    <xf numFmtId="165" fontId="7" fillId="0" borderId="9" xfId="1" applyNumberFormat="1" applyFont="1" applyFill="1" applyBorder="1" applyAlignment="1">
      <alignment horizontal="center" vertical="center"/>
    </xf>
    <xf numFmtId="0" fontId="6" fillId="0" borderId="10" xfId="1" applyNumberFormat="1" applyFont="1" applyBorder="1" applyAlignment="1">
      <alignment horizontal="left"/>
    </xf>
    <xf numFmtId="49" fontId="6" fillId="0" borderId="8" xfId="5" applyNumberFormat="1" applyFont="1" applyBorder="1" applyAlignment="1">
      <alignment horizontal="center" vertical="center"/>
    </xf>
    <xf numFmtId="165" fontId="6" fillId="0" borderId="8" xfId="1" applyNumberFormat="1" applyFont="1" applyFill="1" applyBorder="1" applyAlignment="1">
      <alignment horizontal="center" vertical="center"/>
    </xf>
    <xf numFmtId="0" fontId="6" fillId="0" borderId="10" xfId="1" applyNumberFormat="1" applyFont="1" applyBorder="1" applyAlignment="1">
      <alignment vertical="top" wrapText="1"/>
    </xf>
    <xf numFmtId="0" fontId="6" fillId="0" borderId="7" xfId="1" applyNumberFormat="1" applyFont="1" applyFill="1" applyBorder="1" applyAlignment="1">
      <alignment horizontal="left" vertical="center"/>
    </xf>
    <xf numFmtId="165" fontId="7" fillId="0" borderId="11" xfId="1" applyNumberFormat="1" applyFont="1" applyBorder="1" applyAlignment="1">
      <alignment horizontal="center" vertical="center"/>
    </xf>
    <xf numFmtId="0" fontId="7" fillId="0" borderId="8" xfId="1" applyNumberFormat="1" applyFont="1" applyBorder="1" applyAlignment="1">
      <alignment vertical="center" wrapText="1"/>
    </xf>
    <xf numFmtId="0" fontId="6" fillId="0" borderId="8" xfId="1" applyNumberFormat="1" applyFont="1" applyBorder="1" applyAlignment="1">
      <alignment horizontal="left"/>
    </xf>
    <xf numFmtId="0" fontId="6" fillId="0" borderId="12" xfId="1" applyNumberFormat="1" applyFont="1" applyBorder="1" applyAlignment="1">
      <alignment horizontal="left"/>
    </xf>
    <xf numFmtId="49" fontId="6" fillId="0" borderId="12" xfId="5" applyNumberFormat="1" applyFont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165" fontId="6" fillId="0" borderId="9" xfId="1" applyNumberFormat="1" applyFont="1" applyFill="1" applyBorder="1" applyAlignment="1">
      <alignment horizontal="center" vertical="center"/>
    </xf>
    <xf numFmtId="164" fontId="7" fillId="0" borderId="13" xfId="1" applyFont="1" applyFill="1" applyBorder="1" applyAlignment="1">
      <alignment horizontal="center" vertical="center"/>
    </xf>
    <xf numFmtId="0" fontId="6" fillId="0" borderId="13" xfId="1" applyNumberFormat="1" applyFont="1" applyFill="1" applyBorder="1" applyAlignment="1">
      <alignment horizontal="left" vertical="center"/>
    </xf>
    <xf numFmtId="49" fontId="6" fillId="0" borderId="13" xfId="2" applyNumberFormat="1" applyFont="1" applyBorder="1" applyAlignment="1">
      <alignment horizontal="center" vertical="center"/>
    </xf>
    <xf numFmtId="165" fontId="7" fillId="0" borderId="13" xfId="1" applyNumberFormat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horizontal="left" vertical="center"/>
    </xf>
    <xf numFmtId="164" fontId="7" fillId="0" borderId="8" xfId="6" applyFont="1" applyFill="1" applyBorder="1" applyAlignment="1">
      <alignment horizontal="center" vertical="center"/>
    </xf>
    <xf numFmtId="165" fontId="10" fillId="0" borderId="0" xfId="1" applyNumberFormat="1" applyFont="1" applyFill="1" applyAlignment="1">
      <alignment horizontal="center" vertical="center"/>
    </xf>
    <xf numFmtId="164" fontId="7" fillId="0" borderId="0" xfId="6" applyFont="1" applyFill="1"/>
    <xf numFmtId="164" fontId="7" fillId="0" borderId="0" xfId="6" applyFont="1"/>
    <xf numFmtId="0" fontId="6" fillId="0" borderId="9" xfId="1" applyNumberFormat="1" applyFont="1" applyBorder="1" applyAlignment="1">
      <alignment horizontal="left" vertical="center"/>
    </xf>
    <xf numFmtId="164" fontId="7" fillId="0" borderId="9" xfId="6" applyFont="1" applyFill="1" applyBorder="1" applyAlignment="1">
      <alignment horizontal="center" vertical="center"/>
    </xf>
    <xf numFmtId="165" fontId="7" fillId="0" borderId="9" xfId="1" applyNumberFormat="1" applyFont="1" applyBorder="1" applyAlignment="1">
      <alignment horizontal="center" vertical="center"/>
    </xf>
    <xf numFmtId="49" fontId="6" fillId="0" borderId="7" xfId="5" applyNumberFormat="1" applyFont="1" applyBorder="1" applyAlignment="1">
      <alignment horizontal="center" vertical="center"/>
    </xf>
    <xf numFmtId="165" fontId="6" fillId="0" borderId="7" xfId="1" applyNumberFormat="1" applyFont="1" applyFill="1" applyBorder="1" applyAlignment="1">
      <alignment horizontal="center" vertical="center"/>
    </xf>
    <xf numFmtId="165" fontId="7" fillId="0" borderId="13" xfId="1" applyNumberFormat="1" applyFont="1" applyBorder="1" applyAlignment="1">
      <alignment horizontal="center" vertical="center"/>
    </xf>
    <xf numFmtId="165" fontId="9" fillId="0" borderId="15" xfId="1" applyNumberFormat="1" applyFont="1" applyFill="1" applyBorder="1" applyAlignment="1">
      <alignment horizontal="center" vertical="center" wrapText="1"/>
    </xf>
    <xf numFmtId="0" fontId="6" fillId="0" borderId="0" xfId="2" applyFont="1"/>
    <xf numFmtId="49" fontId="6" fillId="0" borderId="9" xfId="5" applyNumberFormat="1" applyFont="1" applyBorder="1" applyAlignment="1">
      <alignment horizontal="center" vertical="center"/>
    </xf>
    <xf numFmtId="165" fontId="9" fillId="0" borderId="14" xfId="1" applyNumberFormat="1" applyFont="1" applyFill="1" applyBorder="1" applyAlignment="1">
      <alignment horizontal="center" vertical="center" wrapText="1"/>
    </xf>
    <xf numFmtId="165" fontId="9" fillId="0" borderId="6" xfId="1" applyNumberFormat="1" applyFont="1" applyFill="1" applyBorder="1" applyAlignment="1">
      <alignment horizontal="center" vertical="center" wrapText="1"/>
    </xf>
    <xf numFmtId="0" fontId="7" fillId="0" borderId="4" xfId="2" applyFont="1" applyBorder="1"/>
    <xf numFmtId="164" fontId="9" fillId="0" borderId="17" xfId="8" applyFont="1" applyFill="1" applyBorder="1" applyAlignment="1">
      <alignment horizontal="center" vertical="center" wrapText="1"/>
    </xf>
    <xf numFmtId="164" fontId="6" fillId="0" borderId="17" xfId="6" applyFont="1" applyFill="1" applyBorder="1" applyAlignment="1">
      <alignment horizontal="center" vertical="center" wrapText="1"/>
    </xf>
    <xf numFmtId="165" fontId="6" fillId="0" borderId="17" xfId="8" applyNumberFormat="1" applyFont="1" applyFill="1" applyBorder="1" applyAlignment="1">
      <alignment horizontal="center" vertical="center" wrapText="1"/>
    </xf>
    <xf numFmtId="165" fontId="7" fillId="0" borderId="17" xfId="1" applyNumberFormat="1" applyFont="1" applyBorder="1" applyAlignment="1">
      <alignment horizontal="center" vertical="center"/>
    </xf>
    <xf numFmtId="164" fontId="10" fillId="0" borderId="6" xfId="8" applyFont="1" applyBorder="1"/>
    <xf numFmtId="0" fontId="9" fillId="0" borderId="0" xfId="1" applyNumberFormat="1" applyFont="1" applyAlignment="1">
      <alignment horizontal="center" vertical="center"/>
    </xf>
    <xf numFmtId="167" fontId="10" fillId="0" borderId="2" xfId="8" applyNumberFormat="1" applyFont="1" applyBorder="1" applyAlignment="1">
      <alignment horizontal="left"/>
    </xf>
    <xf numFmtId="166" fontId="10" fillId="0" borderId="2" xfId="8" applyNumberFormat="1" applyFont="1" applyFill="1" applyBorder="1" applyAlignment="1">
      <alignment horizontal="center"/>
    </xf>
    <xf numFmtId="167" fontId="7" fillId="0" borderId="0" xfId="8" applyNumberFormat="1" applyFont="1"/>
    <xf numFmtId="164" fontId="7" fillId="0" borderId="0" xfId="8" applyFont="1"/>
    <xf numFmtId="164" fontId="10" fillId="0" borderId="0" xfId="8" applyFont="1" applyAlignment="1">
      <alignment horizontal="right"/>
    </xf>
    <xf numFmtId="14" fontId="10" fillId="0" borderId="0" xfId="8" applyNumberFormat="1" applyFont="1" applyFill="1" applyAlignment="1">
      <alignment horizontal="right"/>
    </xf>
    <xf numFmtId="167" fontId="6" fillId="0" borderId="0" xfId="8" applyNumberFormat="1" applyFont="1" applyAlignment="1">
      <alignment vertical="center" wrapText="1"/>
    </xf>
    <xf numFmtId="167" fontId="6" fillId="0" borderId="0" xfId="8" applyNumberFormat="1" applyFont="1" applyAlignment="1">
      <alignment horizontal="center" vertical="center" wrapText="1"/>
    </xf>
    <xf numFmtId="164" fontId="6" fillId="0" borderId="0" xfId="8" applyFont="1" applyAlignment="1">
      <alignment vertical="center" wrapText="1"/>
    </xf>
    <xf numFmtId="167" fontId="10" fillId="0" borderId="1" xfId="8" applyNumberFormat="1" applyFont="1" applyBorder="1" applyAlignment="1">
      <alignment horizontal="center" vertical="center"/>
    </xf>
    <xf numFmtId="164" fontId="10" fillId="0" borderId="1" xfId="8" applyFont="1" applyBorder="1" applyAlignment="1">
      <alignment horizontal="center" vertical="center"/>
    </xf>
    <xf numFmtId="9" fontId="6" fillId="0" borderId="8" xfId="19" applyFont="1" applyFill="1" applyBorder="1" applyAlignment="1">
      <alignment horizontal="center" vertical="center" wrapText="1"/>
    </xf>
    <xf numFmtId="165" fontId="7" fillId="0" borderId="13" xfId="20" applyNumberFormat="1" applyFont="1" applyBorder="1" applyAlignment="1">
      <alignment vertical="center"/>
    </xf>
    <xf numFmtId="164" fontId="7" fillId="0" borderId="3" xfId="8" applyFont="1" applyFill="1" applyBorder="1" applyAlignment="1">
      <alignment horizontal="center"/>
    </xf>
    <xf numFmtId="164" fontId="7" fillId="0" borderId="6" xfId="8" applyFont="1" applyBorder="1" applyAlignment="1">
      <alignment horizontal="center" vertical="center"/>
    </xf>
    <xf numFmtId="164" fontId="6" fillId="0" borderId="6" xfId="8" applyFont="1" applyBorder="1"/>
    <xf numFmtId="166" fontId="6" fillId="0" borderId="6" xfId="8" applyNumberFormat="1" applyFont="1" applyBorder="1"/>
    <xf numFmtId="166" fontId="7" fillId="0" borderId="6" xfId="8" applyNumberFormat="1" applyFont="1" applyBorder="1"/>
    <xf numFmtId="166" fontId="10" fillId="0" borderId="6" xfId="8" applyNumberFormat="1" applyFont="1" applyBorder="1"/>
    <xf numFmtId="167" fontId="7" fillId="0" borderId="6" xfId="8" applyNumberFormat="1" applyFont="1" applyBorder="1"/>
    <xf numFmtId="167" fontId="7" fillId="0" borderId="6" xfId="8" applyNumberFormat="1" applyFont="1" applyBorder="1" applyAlignment="1">
      <alignment horizontal="center" vertical="center"/>
    </xf>
    <xf numFmtId="167" fontId="10" fillId="0" borderId="6" xfId="8" applyNumberFormat="1" applyFont="1" applyBorder="1" applyAlignment="1">
      <alignment horizontal="right" vertical="center"/>
    </xf>
    <xf numFmtId="166" fontId="10" fillId="0" borderId="6" xfId="8" applyNumberFormat="1" applyFont="1" applyBorder="1" applyAlignment="1">
      <alignment horizontal="left" vertical="center"/>
    </xf>
    <xf numFmtId="164" fontId="10" fillId="0" borderId="6" xfId="8" applyFont="1" applyBorder="1" applyAlignment="1">
      <alignment horizontal="center" vertical="center"/>
    </xf>
    <xf numFmtId="14" fontId="10" fillId="0" borderId="4" xfId="8" applyNumberFormat="1" applyFont="1" applyBorder="1" applyAlignment="1">
      <alignment horizontal="center" vertical="center"/>
    </xf>
    <xf numFmtId="164" fontId="10" fillId="0" borderId="3" xfId="8" applyFont="1" applyFill="1" applyBorder="1" applyAlignment="1">
      <alignment horizontal="center"/>
    </xf>
    <xf numFmtId="164" fontId="9" fillId="0" borderId="6" xfId="8" applyFont="1" applyBorder="1"/>
    <xf numFmtId="166" fontId="9" fillId="0" borderId="6" xfId="8" applyNumberFormat="1" applyFont="1" applyBorder="1"/>
    <xf numFmtId="167" fontId="10" fillId="0" borderId="6" xfId="8" applyNumberFormat="1" applyFont="1" applyBorder="1"/>
    <xf numFmtId="167" fontId="10" fillId="0" borderId="6" xfId="8" applyNumberFormat="1" applyFont="1" applyBorder="1" applyAlignment="1">
      <alignment horizontal="center" vertical="center"/>
    </xf>
    <xf numFmtId="164" fontId="10" fillId="0" borderId="4" xfId="8" applyFont="1" applyBorder="1" applyAlignment="1">
      <alignment horizontal="center" vertical="center"/>
    </xf>
    <xf numFmtId="164" fontId="7" fillId="3" borderId="20" xfId="8" applyFont="1" applyFill="1" applyBorder="1"/>
    <xf numFmtId="164" fontId="7" fillId="3" borderId="21" xfId="8" applyFont="1" applyFill="1" applyBorder="1" applyAlignment="1">
      <alignment horizontal="center" vertical="center"/>
    </xf>
    <xf numFmtId="164" fontId="6" fillId="3" borderId="21" xfId="8" applyFont="1" applyFill="1" applyBorder="1"/>
    <xf numFmtId="166" fontId="6" fillId="3" borderId="21" xfId="8" applyNumberFormat="1" applyFont="1" applyFill="1" applyBorder="1"/>
    <xf numFmtId="166" fontId="7" fillId="3" borderId="21" xfId="8" applyNumberFormat="1" applyFont="1" applyFill="1" applyBorder="1"/>
    <xf numFmtId="166" fontId="10" fillId="3" borderId="21" xfId="8" applyNumberFormat="1" applyFont="1" applyFill="1" applyBorder="1"/>
    <xf numFmtId="167" fontId="7" fillId="3" borderId="21" xfId="8" applyNumberFormat="1" applyFont="1" applyFill="1" applyBorder="1"/>
    <xf numFmtId="167" fontId="7" fillId="3" borderId="21" xfId="8" applyNumberFormat="1" applyFont="1" applyFill="1" applyBorder="1" applyAlignment="1">
      <alignment horizontal="center" vertical="center"/>
    </xf>
    <xf numFmtId="164" fontId="7" fillId="3" borderId="21" xfId="8" applyFont="1" applyFill="1" applyBorder="1"/>
    <xf numFmtId="165" fontId="7" fillId="3" borderId="22" xfId="8" applyNumberFormat="1" applyFont="1" applyFill="1" applyBorder="1"/>
    <xf numFmtId="164" fontId="7" fillId="0" borderId="8" xfId="8" applyFont="1" applyFill="1" applyBorder="1" applyAlignment="1">
      <alignment horizontal="center"/>
    </xf>
    <xf numFmtId="164" fontId="7" fillId="0" borderId="10" xfId="8" applyFont="1" applyBorder="1"/>
    <xf numFmtId="164" fontId="7" fillId="0" borderId="18" xfId="8" applyFont="1" applyBorder="1" applyAlignment="1">
      <alignment horizontal="center" vertical="center"/>
    </xf>
    <xf numFmtId="164" fontId="6" fillId="0" borderId="18" xfId="8" applyFont="1" applyBorder="1"/>
    <xf numFmtId="166" fontId="6" fillId="0" borderId="18" xfId="8" applyNumberFormat="1" applyFont="1" applyBorder="1"/>
    <xf numFmtId="166" fontId="7" fillId="0" borderId="18" xfId="8" applyNumberFormat="1" applyFont="1" applyBorder="1"/>
    <xf numFmtId="166" fontId="10" fillId="0" borderId="18" xfId="8" applyNumberFormat="1" applyFont="1" applyBorder="1"/>
    <xf numFmtId="167" fontId="7" fillId="0" borderId="18" xfId="8" applyNumberFormat="1" applyFont="1" applyBorder="1" applyAlignment="1">
      <alignment horizontal="center" vertical="center"/>
    </xf>
    <xf numFmtId="167" fontId="7" fillId="0" borderId="18" xfId="8" applyNumberFormat="1" applyFont="1" applyBorder="1"/>
    <xf numFmtId="164" fontId="7" fillId="0" borderId="18" xfId="8" applyFont="1" applyBorder="1"/>
    <xf numFmtId="10" fontId="7" fillId="0" borderId="18" xfId="8" applyNumberFormat="1" applyFont="1" applyBorder="1"/>
    <xf numFmtId="166" fontId="7" fillId="0" borderId="19" xfId="8" applyNumberFormat="1" applyFont="1" applyBorder="1"/>
    <xf numFmtId="164" fontId="7" fillId="3" borderId="10" xfId="8" applyFont="1" applyFill="1" applyBorder="1"/>
    <xf numFmtId="164" fontId="7" fillId="3" borderId="18" xfId="8" applyFont="1" applyFill="1" applyBorder="1" applyAlignment="1">
      <alignment horizontal="center" vertical="center"/>
    </xf>
    <xf numFmtId="164" fontId="6" fillId="3" borderId="18" xfId="8" applyFont="1" applyFill="1" applyBorder="1"/>
    <xf numFmtId="166" fontId="6" fillId="3" borderId="18" xfId="8" applyNumberFormat="1" applyFont="1" applyFill="1" applyBorder="1"/>
    <xf numFmtId="166" fontId="7" fillId="3" borderId="18" xfId="8" applyNumberFormat="1" applyFont="1" applyFill="1" applyBorder="1"/>
    <xf numFmtId="166" fontId="10" fillId="3" borderId="18" xfId="8" applyNumberFormat="1" applyFont="1" applyFill="1" applyBorder="1"/>
    <xf numFmtId="167" fontId="7" fillId="3" borderId="18" xfId="8" applyNumberFormat="1" applyFont="1" applyFill="1" applyBorder="1"/>
    <xf numFmtId="167" fontId="7" fillId="3" borderId="18" xfId="8" applyNumberFormat="1" applyFont="1" applyFill="1" applyBorder="1" applyAlignment="1">
      <alignment horizontal="center" vertical="center"/>
    </xf>
    <xf numFmtId="164" fontId="7" fillId="3" borderId="18" xfId="8" applyFont="1" applyFill="1" applyBorder="1"/>
    <xf numFmtId="166" fontId="7" fillId="3" borderId="19" xfId="8" applyNumberFormat="1" applyFont="1" applyFill="1" applyBorder="1"/>
    <xf numFmtId="0" fontId="7" fillId="0" borderId="6" xfId="2" applyFont="1" applyBorder="1"/>
    <xf numFmtId="165" fontId="10" fillId="0" borderId="3" xfId="1" applyNumberFormat="1" applyFont="1" applyBorder="1"/>
    <xf numFmtId="165" fontId="10" fillId="0" borderId="6" xfId="1" applyNumberFormat="1" applyFont="1" applyBorder="1"/>
    <xf numFmtId="165" fontId="10" fillId="0" borderId="4" xfId="1" applyNumberFormat="1" applyFont="1" applyBorder="1"/>
    <xf numFmtId="9" fontId="7" fillId="0" borderId="7" xfId="18" applyFont="1" applyBorder="1" applyAlignment="1">
      <alignment horizontal="center" vertical="center"/>
    </xf>
    <xf numFmtId="9" fontId="6" fillId="0" borderId="7" xfId="19" applyFont="1" applyFill="1" applyBorder="1" applyAlignment="1">
      <alignment horizontal="center" vertical="center" wrapText="1"/>
    </xf>
    <xf numFmtId="9" fontId="7" fillId="0" borderId="8" xfId="18" applyFont="1" applyBorder="1" applyAlignment="1">
      <alignment horizontal="center" vertical="center"/>
    </xf>
    <xf numFmtId="9" fontId="7" fillId="0" borderId="9" xfId="18" applyFont="1" applyBorder="1" applyAlignment="1">
      <alignment horizontal="center" vertical="center"/>
    </xf>
    <xf numFmtId="9" fontId="6" fillId="0" borderId="9" xfId="19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9" fontId="7" fillId="0" borderId="8" xfId="18" applyFont="1" applyFill="1" applyBorder="1" applyAlignment="1">
      <alignment horizontal="center" vertical="center"/>
    </xf>
    <xf numFmtId="9" fontId="6" fillId="0" borderId="7" xfId="18" applyFont="1" applyBorder="1" applyAlignment="1">
      <alignment horizontal="center" vertical="center"/>
    </xf>
    <xf numFmtId="9" fontId="6" fillId="0" borderId="9" xfId="18" applyFont="1" applyBorder="1" applyAlignment="1">
      <alignment horizontal="center" vertical="center"/>
    </xf>
    <xf numFmtId="164" fontId="7" fillId="0" borderId="0" xfId="1" applyFont="1"/>
    <xf numFmtId="0" fontId="10" fillId="0" borderId="0" xfId="8" applyNumberFormat="1" applyFont="1" applyFill="1" applyBorder="1" applyAlignment="1">
      <alignment vertical="center" wrapText="1"/>
    </xf>
    <xf numFmtId="164" fontId="7" fillId="3" borderId="20" xfId="8" applyFont="1" applyFill="1" applyBorder="1" applyAlignment="1">
      <alignment horizontal="center" vertical="center"/>
    </xf>
    <xf numFmtId="166" fontId="7" fillId="3" borderId="10" xfId="8" applyNumberFormat="1" applyFont="1" applyFill="1" applyBorder="1" applyAlignment="1">
      <alignment horizontal="center" vertical="center"/>
    </xf>
    <xf numFmtId="164" fontId="7" fillId="0" borderId="12" xfId="8" applyFont="1" applyFill="1" applyBorder="1" applyAlignment="1">
      <alignment horizontal="center"/>
    </xf>
    <xf numFmtId="164" fontId="7" fillId="0" borderId="23" xfId="8" applyFont="1" applyBorder="1"/>
    <xf numFmtId="164" fontId="7" fillId="0" borderId="24" xfId="8" applyFont="1" applyBorder="1" applyAlignment="1">
      <alignment horizontal="center" vertical="center"/>
    </xf>
    <xf numFmtId="164" fontId="6" fillId="0" borderId="24" xfId="8" applyFont="1" applyBorder="1"/>
    <xf numFmtId="166" fontId="6" fillId="0" borderId="24" xfId="8" applyNumberFormat="1" applyFont="1" applyBorder="1"/>
    <xf numFmtId="166" fontId="7" fillId="0" borderId="24" xfId="8" applyNumberFormat="1" applyFont="1" applyBorder="1"/>
    <xf numFmtId="166" fontId="10" fillId="0" borderId="24" xfId="8" applyNumberFormat="1" applyFont="1" applyBorder="1"/>
    <xf numFmtId="167" fontId="7" fillId="0" borderId="24" xfId="8" applyNumberFormat="1" applyFont="1" applyBorder="1"/>
    <xf numFmtId="167" fontId="7" fillId="0" borderId="24" xfId="8" applyNumberFormat="1" applyFont="1" applyBorder="1" applyAlignment="1">
      <alignment horizontal="center" vertical="center"/>
    </xf>
    <xf numFmtId="164" fontId="7" fillId="0" borderId="24" xfId="8" applyFont="1" applyBorder="1"/>
    <xf numFmtId="10" fontId="7" fillId="0" borderId="24" xfId="8" applyNumberFormat="1" applyFont="1" applyBorder="1"/>
    <xf numFmtId="166" fontId="7" fillId="0" borderId="25" xfId="8" applyNumberFormat="1" applyFont="1" applyBorder="1"/>
    <xf numFmtId="166" fontId="10" fillId="3" borderId="3" xfId="8" applyNumberFormat="1" applyFont="1" applyFill="1" applyBorder="1" applyAlignment="1">
      <alignment horizontal="center" vertical="center"/>
    </xf>
    <xf numFmtId="164" fontId="10" fillId="3" borderId="3" xfId="8" applyFont="1" applyFill="1" applyBorder="1"/>
    <xf numFmtId="164" fontId="10" fillId="3" borderId="6" xfId="8" applyFont="1" applyFill="1" applyBorder="1" applyAlignment="1">
      <alignment horizontal="center" vertical="center"/>
    </xf>
    <xf numFmtId="164" fontId="9" fillId="3" borderId="6" xfId="8" applyFont="1" applyFill="1" applyBorder="1"/>
    <xf numFmtId="166" fontId="9" fillId="3" borderId="6" xfId="8" applyNumberFormat="1" applyFont="1" applyFill="1" applyBorder="1"/>
    <xf numFmtId="166" fontId="10" fillId="3" borderId="6" xfId="8" applyNumberFormat="1" applyFont="1" applyFill="1" applyBorder="1"/>
    <xf numFmtId="166" fontId="10" fillId="3" borderId="6" xfId="8" applyNumberFormat="1" applyFont="1" applyFill="1" applyBorder="1" applyAlignment="1">
      <alignment horizontal="right" vertical="center"/>
    </xf>
    <xf numFmtId="167" fontId="10" fillId="3" borderId="6" xfId="8" applyNumberFormat="1" applyFont="1" applyFill="1" applyBorder="1"/>
    <xf numFmtId="164" fontId="10" fillId="3" borderId="6" xfId="8" applyFont="1" applyFill="1" applyBorder="1"/>
    <xf numFmtId="166" fontId="10" fillId="3" borderId="4" xfId="8" applyNumberFormat="1" applyFont="1" applyFill="1" applyBorder="1"/>
    <xf numFmtId="9" fontId="7" fillId="0" borderId="0" xfId="18" applyFont="1" applyFill="1"/>
    <xf numFmtId="9" fontId="7" fillId="0" borderId="0" xfId="18" applyFont="1"/>
    <xf numFmtId="166" fontId="7" fillId="0" borderId="0" xfId="2" applyNumberFormat="1" applyFont="1"/>
    <xf numFmtId="0" fontId="14" fillId="0" borderId="0" xfId="2" applyFont="1"/>
    <xf numFmtId="165" fontId="14" fillId="0" borderId="0" xfId="1" applyNumberFormat="1" applyFont="1" applyBorder="1"/>
    <xf numFmtId="168" fontId="14" fillId="0" borderId="0" xfId="2" applyNumberFormat="1" applyFont="1"/>
    <xf numFmtId="165" fontId="14" fillId="0" borderId="0" xfId="2" applyNumberFormat="1" applyFont="1"/>
    <xf numFmtId="169" fontId="14" fillId="0" borderId="0" xfId="2" applyNumberFormat="1" applyFont="1"/>
    <xf numFmtId="166" fontId="14" fillId="0" borderId="0" xfId="8" applyNumberFormat="1" applyFont="1" applyBorder="1"/>
    <xf numFmtId="166" fontId="14" fillId="0" borderId="0" xfId="2" applyNumberFormat="1" applyFont="1"/>
    <xf numFmtId="165" fontId="7" fillId="0" borderId="0" xfId="2" applyNumberFormat="1" applyFont="1"/>
    <xf numFmtId="43" fontId="7" fillId="0" borderId="0" xfId="2" applyNumberFormat="1" applyFont="1"/>
    <xf numFmtId="166" fontId="10" fillId="0" borderId="2" xfId="8" applyNumberFormat="1" applyFont="1" applyFill="1" applyBorder="1" applyAlignment="1">
      <alignment horizontal="center" vertical="center"/>
    </xf>
    <xf numFmtId="0" fontId="10" fillId="0" borderId="0" xfId="2" applyFont="1"/>
    <xf numFmtId="9" fontId="7" fillId="0" borderId="7" xfId="18" applyFont="1" applyFill="1" applyBorder="1" applyAlignment="1">
      <alignment horizontal="center" vertical="center"/>
    </xf>
    <xf numFmtId="164" fontId="7" fillId="0" borderId="0" xfId="2" applyNumberFormat="1" applyFont="1"/>
    <xf numFmtId="165" fontId="7" fillId="0" borderId="0" xfId="1" applyNumberFormat="1" applyFont="1" applyFill="1" applyBorder="1" applyAlignment="1">
      <alignment horizontal="center" vertical="center"/>
    </xf>
    <xf numFmtId="170" fontId="7" fillId="0" borderId="0" xfId="2" applyNumberFormat="1" applyFont="1"/>
    <xf numFmtId="9" fontId="7" fillId="4" borderId="8" xfId="18" applyFont="1" applyFill="1" applyBorder="1" applyAlignment="1">
      <alignment horizontal="center" vertical="center"/>
    </xf>
    <xf numFmtId="164" fontId="9" fillId="0" borderId="0" xfId="8" applyFont="1" applyFill="1" applyBorder="1" applyAlignment="1">
      <alignment horizontal="center" vertical="center" wrapText="1"/>
    </xf>
    <xf numFmtId="164" fontId="6" fillId="0" borderId="0" xfId="6" applyFont="1" applyFill="1" applyBorder="1" applyAlignment="1">
      <alignment horizontal="center" vertical="center" wrapText="1"/>
    </xf>
    <xf numFmtId="165" fontId="6" fillId="0" borderId="0" xfId="8" applyNumberFormat="1" applyFont="1" applyFill="1" applyBorder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/>
    </xf>
    <xf numFmtId="9" fontId="7" fillId="0" borderId="1" xfId="18" applyFont="1" applyBorder="1" applyAlignment="1">
      <alignment horizontal="center" vertical="center"/>
    </xf>
    <xf numFmtId="9" fontId="6" fillId="0" borderId="1" xfId="19" applyFont="1" applyFill="1" applyBorder="1" applyAlignment="1">
      <alignment horizontal="center" vertical="center" wrapText="1"/>
    </xf>
    <xf numFmtId="165" fontId="7" fillId="0" borderId="1" xfId="20" applyNumberFormat="1" applyFont="1" applyBorder="1" applyAlignment="1">
      <alignment vertical="center"/>
    </xf>
    <xf numFmtId="164" fontId="7" fillId="0" borderId="1" xfId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vertical="top" wrapText="1"/>
    </xf>
    <xf numFmtId="49" fontId="6" fillId="0" borderId="1" xfId="5" applyNumberFormat="1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6" fontId="7" fillId="4" borderId="19" xfId="8" applyNumberFormat="1" applyFont="1" applyFill="1" applyBorder="1"/>
    <xf numFmtId="164" fontId="7" fillId="5" borderId="14" xfId="8" applyFont="1" applyFill="1" applyBorder="1" applyAlignment="1">
      <alignment horizontal="center"/>
    </xf>
    <xf numFmtId="164" fontId="7" fillId="5" borderId="14" xfId="8" applyFont="1" applyFill="1" applyBorder="1"/>
    <xf numFmtId="164" fontId="7" fillId="5" borderId="0" xfId="8" applyFont="1" applyFill="1" applyBorder="1" applyAlignment="1">
      <alignment horizontal="center" vertical="center"/>
    </xf>
    <xf numFmtId="164" fontId="6" fillId="5" borderId="0" xfId="8" applyFont="1" applyFill="1" applyBorder="1"/>
    <xf numFmtId="166" fontId="6" fillId="5" borderId="0" xfId="8" applyNumberFormat="1" applyFont="1" applyFill="1" applyBorder="1"/>
    <xf numFmtId="166" fontId="7" fillId="5" borderId="0" xfId="8" applyNumberFormat="1" applyFont="1" applyFill="1" applyBorder="1"/>
    <xf numFmtId="166" fontId="10" fillId="5" borderId="0" xfId="8" applyNumberFormat="1" applyFont="1" applyFill="1" applyBorder="1"/>
    <xf numFmtId="167" fontId="7" fillId="5" borderId="0" xfId="8" applyNumberFormat="1" applyFont="1" applyFill="1" applyBorder="1"/>
    <xf numFmtId="167" fontId="7" fillId="5" borderId="0" xfId="8" applyNumberFormat="1" applyFont="1" applyFill="1" applyBorder="1" applyAlignment="1">
      <alignment horizontal="center" vertical="center"/>
    </xf>
    <xf numFmtId="164" fontId="7" fillId="5" borderId="0" xfId="8" applyFont="1" applyFill="1" applyBorder="1"/>
    <xf numFmtId="10" fontId="7" fillId="5" borderId="0" xfId="8" applyNumberFormat="1" applyFont="1" applyFill="1" applyBorder="1"/>
    <xf numFmtId="166" fontId="7" fillId="5" borderId="26" xfId="8" applyNumberFormat="1" applyFont="1" applyFill="1" applyBorder="1"/>
    <xf numFmtId="166" fontId="10" fillId="0" borderId="3" xfId="8" applyNumberFormat="1" applyFont="1" applyFill="1" applyBorder="1" applyAlignment="1">
      <alignment horizontal="center" vertical="center"/>
    </xf>
    <xf numFmtId="164" fontId="10" fillId="0" borderId="3" xfId="8" applyFont="1" applyFill="1" applyBorder="1"/>
    <xf numFmtId="164" fontId="10" fillId="0" borderId="6" xfId="8" applyFont="1" applyFill="1" applyBorder="1" applyAlignment="1">
      <alignment horizontal="center" vertical="center"/>
    </xf>
    <xf numFmtId="164" fontId="9" fillId="0" borderId="6" xfId="8" applyFont="1" applyFill="1" applyBorder="1"/>
    <xf numFmtId="166" fontId="9" fillId="0" borderId="6" xfId="8" applyNumberFormat="1" applyFont="1" applyFill="1" applyBorder="1"/>
    <xf numFmtId="166" fontId="10" fillId="0" borderId="6" xfId="8" applyNumberFormat="1" applyFont="1" applyFill="1" applyBorder="1"/>
    <xf numFmtId="166" fontId="10" fillId="0" borderId="6" xfId="8" applyNumberFormat="1" applyFont="1" applyFill="1" applyBorder="1" applyAlignment="1">
      <alignment horizontal="right" vertical="center"/>
    </xf>
    <xf numFmtId="167" fontId="10" fillId="0" borderId="6" xfId="8" applyNumberFormat="1" applyFont="1" applyFill="1" applyBorder="1"/>
    <xf numFmtId="164" fontId="10" fillId="0" borderId="6" xfId="8" applyFont="1" applyFill="1" applyBorder="1"/>
    <xf numFmtId="166" fontId="10" fillId="0" borderId="4" xfId="8" applyNumberFormat="1" applyFont="1" applyFill="1" applyBorder="1"/>
    <xf numFmtId="167" fontId="10" fillId="0" borderId="1" xfId="8" applyNumberFormat="1" applyFont="1" applyBorder="1" applyAlignment="1">
      <alignment horizontal="center" vertical="center"/>
    </xf>
    <xf numFmtId="164" fontId="10" fillId="0" borderId="1" xfId="8" applyFont="1" applyBorder="1" applyAlignment="1">
      <alignment horizontal="center" vertical="center"/>
    </xf>
  </cellXfs>
  <cellStyles count="22">
    <cellStyle name="Millares" xfId="1" builtinId="3"/>
    <cellStyle name="Millares 10" xfId="6" xr:uid="{FBD24B3F-A3E5-4686-9073-358C73153A88}"/>
    <cellStyle name="Millares 10 2" xfId="14" xr:uid="{FB211F78-D874-41A3-B673-F00E01C82CEF}"/>
    <cellStyle name="Millares 12 2" xfId="8" xr:uid="{40FF3D32-77A8-4B2E-A2C9-CB79E4C10EBD}"/>
    <cellStyle name="Millares 12 2 2" xfId="21" xr:uid="{8D4945AD-64AE-4FB5-BE9B-80CD16833988}"/>
    <cellStyle name="Millares 2" xfId="20" xr:uid="{A313E438-6131-43F0-A4C6-BD3ED7918695}"/>
    <cellStyle name="Millares 3 2" xfId="10" xr:uid="{B931A190-F8D5-4367-93EF-45D39A41867A}"/>
    <cellStyle name="Millares 7" xfId="11" xr:uid="{4DB82FA7-B1D4-4374-8F93-7DC8CE1F88F2}"/>
    <cellStyle name="Normal" xfId="0" builtinId="0"/>
    <cellStyle name="Normal 12" xfId="5" xr:uid="{F7D8B431-DA04-422C-AE02-DE06A4AA6B7A}"/>
    <cellStyle name="Normal 2" xfId="2" xr:uid="{97648664-24B2-451C-A6EB-0F48298A9121}"/>
    <cellStyle name="Normal 2 2" xfId="3" xr:uid="{B58F4F25-33F6-4A18-9957-B5D756500701}"/>
    <cellStyle name="Normal 2 3" xfId="9" xr:uid="{88498F0D-2157-43A9-BEAE-342DE8A6B73C}"/>
    <cellStyle name="Normal 2 5" xfId="7" xr:uid="{B125451F-435B-40DD-AFE5-ECCD2691833E}"/>
    <cellStyle name="Normal 2 5 2" xfId="17" xr:uid="{90DFBA91-EFDB-4729-8D8F-B495C613907B}"/>
    <cellStyle name="Normal 4" xfId="16" xr:uid="{7F0D5B06-3E86-46FD-A19A-FF117D8B424D}"/>
    <cellStyle name="Normal 4 2" xfId="15" xr:uid="{4C17D1D6-0D07-4D79-8BE2-12A5E4B2CBF6}"/>
    <cellStyle name="Porcentaje" xfId="18" builtinId="5"/>
    <cellStyle name="Porcentaje 2 2" xfId="13" xr:uid="{02D940BA-E99B-45B6-B068-1FC6B7787FB6}"/>
    <cellStyle name="Porcentaje 5" xfId="4" xr:uid="{27A999AB-8BF0-413E-8E9F-D3A726734B67}"/>
    <cellStyle name="Porcentaje 5 2" xfId="12" xr:uid="{F5F717B7-C34F-41C8-BE02-0D94600507A4}"/>
    <cellStyle name="Porcentual 2" xfId="19" xr:uid="{0D48A63A-8C50-4C1F-8EDA-313DEA3AEAD5}"/>
  </cellStyles>
  <dxfs count="4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1</xdr:row>
      <xdr:rowOff>131445</xdr:rowOff>
    </xdr:from>
    <xdr:to>
      <xdr:col>2</xdr:col>
      <xdr:colOff>2377440</xdr:colOff>
      <xdr:row>4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6C7313DA-B2D0-4D3D-9D21-4EBD29D5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1</xdr:row>
      <xdr:rowOff>131445</xdr:rowOff>
    </xdr:from>
    <xdr:to>
      <xdr:col>2</xdr:col>
      <xdr:colOff>2377440</xdr:colOff>
      <xdr:row>4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43281DB-7657-493C-9556-145D355D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2ACEB73-366E-4CDA-883A-6E6B0EED3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0555" y="173355"/>
          <a:ext cx="2318385" cy="4514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2377440</xdr:colOff>
      <xdr:row>4</xdr:row>
      <xdr:rowOff>15240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DAD98AD-CEDE-45BC-BE2F-03DB3EAF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745" y="171450"/>
          <a:ext cx="2322195" cy="4533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7CE196D0-A239-4589-9159-8A298AB2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745" y="171450"/>
          <a:ext cx="2326005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7896A63-0E30-43C1-B4C1-48069D38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E22A5C2-134B-4702-9D0D-32DC3573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" y="171450"/>
          <a:ext cx="2322195" cy="4533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6B7CF9F-BFCF-4BDD-9DB8-03813A2B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7705FDA-223E-44D5-B664-823BA4EDE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FC897C5-5198-4F22-85C6-D2F79604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2381250</xdr:colOff>
      <xdr:row>4</xdr:row>
      <xdr:rowOff>19050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DE512FB-07AF-47CE-BB0B-28A9D553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</xdr:colOff>
      <xdr:row>1</xdr:row>
      <xdr:rowOff>68580</xdr:rowOff>
    </xdr:from>
    <xdr:to>
      <xdr:col>2</xdr:col>
      <xdr:colOff>2377440</xdr:colOff>
      <xdr:row>4</xdr:row>
      <xdr:rowOff>15240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D83B58CA-F691-418F-933E-2DB52D5A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505" y="173355"/>
          <a:ext cx="2322195" cy="43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A0B3-D341-4244-A725-C7F56E7D22D4}">
  <dimension ref="B1:S69"/>
  <sheetViews>
    <sheetView view="pageBreakPreview" topLeftCell="A41" zoomScaleNormal="100" zoomScaleSheetLayoutView="100" workbookViewId="0">
      <pane xSplit="2" topLeftCell="C1" activePane="topRight" state="frozen"/>
      <selection pane="topRight" activeCell="C68" sqref="C68"/>
    </sheetView>
  </sheetViews>
  <sheetFormatPr baseColWidth="10" defaultColWidth="11.5703125" defaultRowHeight="12.75" customHeight="1" outlineLevelRow="1" x14ac:dyDescent="0.2"/>
  <cols>
    <col min="1" max="1" width="1.2851562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5.7109375" style="27" bestFit="1" customWidth="1"/>
    <col min="9" max="9" width="5.42578125" style="8" bestFit="1" customWidth="1"/>
    <col min="10" max="10" width="12.7109375" style="8" bestFit="1" customWidth="1"/>
    <col min="11" max="11" width="12.28515625" style="8" bestFit="1" customWidth="1"/>
    <col min="12" max="12" width="11" style="8" bestFit="1" customWidth="1"/>
    <col min="13" max="13" width="12.42578125" style="8" customWidth="1"/>
    <col min="14" max="14" width="15.42578125" style="8" bestFit="1" customWidth="1"/>
    <col min="15" max="15" width="16.28515625" style="8" bestFit="1" customWidth="1"/>
    <col min="16" max="16" width="1.710937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1" spans="2:15" ht="7.9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 t="s">
        <v>2</v>
      </c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90">
        <v>1</v>
      </c>
      <c r="L6" s="91"/>
      <c r="M6" s="92"/>
      <c r="N6" s="93"/>
      <c r="O6" s="94">
        <v>45747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/>
      <c r="K11" s="156"/>
      <c r="L11" s="157">
        <f t="shared" ref="L11:L42" si="1">+J11+K11</f>
        <v>0</v>
      </c>
      <c r="M11" s="101">
        <f>+G11*J11</f>
        <v>0</v>
      </c>
      <c r="N11" s="101">
        <f>+G11*K11</f>
        <v>0</v>
      </c>
      <c r="O11" s="101">
        <f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/>
      <c r="K12" s="158">
        <v>0.65</v>
      </c>
      <c r="L12" s="100">
        <f t="shared" si="1"/>
        <v>0.65</v>
      </c>
      <c r="M12" s="101">
        <f t="shared" ref="M12:M56" si="2">+G12*J12</f>
        <v>0</v>
      </c>
      <c r="N12" s="101">
        <f t="shared" ref="N12:N56" si="3">+G12*K12</f>
        <v>740196.6</v>
      </c>
      <c r="O12" s="101">
        <f t="shared" ref="O12:O56" si="4">+G12*L12</f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/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/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/>
      <c r="K15" s="158">
        <v>0.5</v>
      </c>
      <c r="L15" s="100">
        <f t="shared" si="1"/>
        <v>0.5</v>
      </c>
      <c r="M15" s="101">
        <f t="shared" si="2"/>
        <v>0</v>
      </c>
      <c r="N15" s="101">
        <f t="shared" si="3"/>
        <v>3774385.5</v>
      </c>
      <c r="O15" s="101">
        <f t="shared" si="4"/>
        <v>3774385.5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/>
      <c r="K16" s="158">
        <v>0.3</v>
      </c>
      <c r="L16" s="100">
        <f t="shared" si="1"/>
        <v>0.3</v>
      </c>
      <c r="M16" s="101">
        <f t="shared" si="2"/>
        <v>0</v>
      </c>
      <c r="N16" s="101">
        <f t="shared" si="3"/>
        <v>352825.2</v>
      </c>
      <c r="O16" s="101">
        <f t="shared" si="4"/>
        <v>352825.2</v>
      </c>
    </row>
    <row r="17" spans="2:19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/>
      <c r="K17" s="158">
        <v>0.5</v>
      </c>
      <c r="L17" s="100">
        <f t="shared" si="1"/>
        <v>0.5</v>
      </c>
      <c r="M17" s="101">
        <f t="shared" si="2"/>
        <v>0</v>
      </c>
      <c r="N17" s="101">
        <f t="shared" si="3"/>
        <v>865660</v>
      </c>
      <c r="O17" s="101">
        <f t="shared" si="4"/>
        <v>865660</v>
      </c>
    </row>
    <row r="18" spans="2:19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/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19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/>
      <c r="K19" s="158">
        <v>0.5</v>
      </c>
      <c r="L19" s="100">
        <f t="shared" si="1"/>
        <v>0.5</v>
      </c>
      <c r="M19" s="101">
        <f t="shared" si="2"/>
        <v>0</v>
      </c>
      <c r="N19" s="101">
        <f t="shared" si="3"/>
        <v>213243.5</v>
      </c>
      <c r="O19" s="101">
        <f t="shared" si="4"/>
        <v>213243.5</v>
      </c>
    </row>
    <row r="20" spans="2:19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/>
      <c r="K20" s="159">
        <v>1</v>
      </c>
      <c r="L20" s="160">
        <f t="shared" si="1"/>
        <v>1</v>
      </c>
      <c r="M20" s="101">
        <f t="shared" si="2"/>
        <v>0</v>
      </c>
      <c r="N20" s="101">
        <f t="shared" si="3"/>
        <v>9803685</v>
      </c>
      <c r="O20" s="101">
        <f t="shared" si="4"/>
        <v>9803685</v>
      </c>
    </row>
    <row r="21" spans="2:19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19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/>
      <c r="K22" s="156">
        <v>0.35</v>
      </c>
      <c r="L22" s="157">
        <f t="shared" si="1"/>
        <v>0.35</v>
      </c>
      <c r="M22" s="101">
        <f t="shared" si="2"/>
        <v>0</v>
      </c>
      <c r="N22" s="101">
        <f t="shared" si="3"/>
        <v>14662179</v>
      </c>
      <c r="O22" s="101">
        <f t="shared" si="4"/>
        <v>14662179</v>
      </c>
      <c r="S22" s="166"/>
    </row>
    <row r="23" spans="2:19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/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19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/>
      <c r="K24" s="159"/>
      <c r="L24" s="160">
        <f t="shared" si="1"/>
        <v>0</v>
      </c>
      <c r="M24" s="101">
        <f t="shared" si="2"/>
        <v>0</v>
      </c>
      <c r="N24" s="101">
        <f t="shared" si="3"/>
        <v>0</v>
      </c>
      <c r="O24" s="101">
        <f t="shared" si="4"/>
        <v>0</v>
      </c>
    </row>
    <row r="25" spans="2:19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19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/>
      <c r="K26" s="156"/>
      <c r="L26" s="157">
        <f t="shared" si="1"/>
        <v>0</v>
      </c>
      <c r="M26" s="101">
        <f t="shared" si="2"/>
        <v>0</v>
      </c>
      <c r="N26" s="101">
        <f t="shared" si="3"/>
        <v>0</v>
      </c>
      <c r="O26" s="101">
        <f t="shared" si="4"/>
        <v>0</v>
      </c>
    </row>
    <row r="27" spans="2:19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/>
      <c r="K27" s="158"/>
      <c r="L27" s="100">
        <f t="shared" si="1"/>
        <v>0</v>
      </c>
      <c r="M27" s="101">
        <f t="shared" si="2"/>
        <v>0</v>
      </c>
      <c r="N27" s="101">
        <f t="shared" si="3"/>
        <v>0</v>
      </c>
      <c r="O27" s="101">
        <f t="shared" si="4"/>
        <v>0</v>
      </c>
    </row>
    <row r="28" spans="2:19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/>
      <c r="K28" s="158"/>
      <c r="L28" s="100">
        <f t="shared" si="1"/>
        <v>0</v>
      </c>
      <c r="M28" s="101">
        <f t="shared" si="2"/>
        <v>0</v>
      </c>
      <c r="N28" s="101">
        <f t="shared" si="3"/>
        <v>0</v>
      </c>
      <c r="O28" s="101">
        <f t="shared" si="4"/>
        <v>0</v>
      </c>
    </row>
    <row r="29" spans="2:19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/>
      <c r="K29" s="158"/>
      <c r="L29" s="100">
        <f t="shared" si="1"/>
        <v>0</v>
      </c>
      <c r="M29" s="101">
        <f t="shared" si="2"/>
        <v>0</v>
      </c>
      <c r="N29" s="101">
        <f t="shared" si="3"/>
        <v>0</v>
      </c>
      <c r="O29" s="101">
        <f t="shared" si="4"/>
        <v>0</v>
      </c>
    </row>
    <row r="30" spans="2:19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/>
      <c r="K30" s="158"/>
      <c r="L30" s="100">
        <f t="shared" si="1"/>
        <v>0</v>
      </c>
      <c r="M30" s="101">
        <f t="shared" si="2"/>
        <v>0</v>
      </c>
      <c r="N30" s="101">
        <f t="shared" si="3"/>
        <v>0</v>
      </c>
      <c r="O30" s="101">
        <f t="shared" si="4"/>
        <v>0</v>
      </c>
    </row>
    <row r="31" spans="2:19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/>
      <c r="K31" s="158"/>
      <c r="L31" s="100">
        <f t="shared" si="1"/>
        <v>0</v>
      </c>
      <c r="M31" s="101">
        <f t="shared" si="2"/>
        <v>0</v>
      </c>
      <c r="N31" s="101">
        <f t="shared" si="3"/>
        <v>0</v>
      </c>
      <c r="O31" s="101">
        <f t="shared" si="4"/>
        <v>0</v>
      </c>
    </row>
    <row r="32" spans="2:19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/>
      <c r="K32" s="158"/>
      <c r="L32" s="100">
        <f t="shared" si="1"/>
        <v>0</v>
      </c>
      <c r="M32" s="101">
        <f t="shared" si="2"/>
        <v>0</v>
      </c>
      <c r="N32" s="101">
        <f t="shared" si="3"/>
        <v>0</v>
      </c>
      <c r="O32" s="101">
        <f t="shared" si="4"/>
        <v>0</v>
      </c>
    </row>
    <row r="33" spans="2:17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/>
      <c r="K33" s="158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7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/>
      <c r="K34" s="158"/>
      <c r="L34" s="100">
        <f t="shared" si="1"/>
        <v>0</v>
      </c>
      <c r="M34" s="101">
        <f t="shared" si="2"/>
        <v>0</v>
      </c>
      <c r="N34" s="101">
        <f t="shared" si="3"/>
        <v>0</v>
      </c>
      <c r="O34" s="101">
        <f t="shared" si="4"/>
        <v>0</v>
      </c>
    </row>
    <row r="35" spans="2:17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/>
      <c r="K35" s="158"/>
      <c r="L35" s="100">
        <f t="shared" si="1"/>
        <v>0</v>
      </c>
      <c r="M35" s="101">
        <f t="shared" si="2"/>
        <v>0</v>
      </c>
      <c r="N35" s="101">
        <f t="shared" si="3"/>
        <v>0</v>
      </c>
      <c r="O35" s="101">
        <f t="shared" si="4"/>
        <v>0</v>
      </c>
    </row>
    <row r="36" spans="2:17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/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7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/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7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/>
      <c r="K38" s="158"/>
      <c r="L38" s="100">
        <f t="shared" si="1"/>
        <v>0</v>
      </c>
      <c r="M38" s="101">
        <f t="shared" si="2"/>
        <v>0</v>
      </c>
      <c r="N38" s="101">
        <f t="shared" si="3"/>
        <v>0</v>
      </c>
      <c r="O38" s="101">
        <f t="shared" si="4"/>
        <v>0</v>
      </c>
    </row>
    <row r="39" spans="2:17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/>
      <c r="K39" s="158"/>
      <c r="L39" s="100">
        <f t="shared" si="1"/>
        <v>0</v>
      </c>
      <c r="M39" s="101">
        <f t="shared" si="2"/>
        <v>0</v>
      </c>
      <c r="N39" s="101">
        <f t="shared" si="3"/>
        <v>0</v>
      </c>
      <c r="O39" s="101">
        <f t="shared" si="4"/>
        <v>0</v>
      </c>
    </row>
    <row r="40" spans="2:17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/>
      <c r="K40" s="158"/>
      <c r="L40" s="100">
        <f t="shared" si="1"/>
        <v>0</v>
      </c>
      <c r="M40" s="101">
        <f t="shared" si="2"/>
        <v>0</v>
      </c>
      <c r="N40" s="101">
        <f t="shared" si="3"/>
        <v>0</v>
      </c>
      <c r="O40" s="101">
        <f t="shared" si="4"/>
        <v>0</v>
      </c>
    </row>
    <row r="41" spans="2:17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/>
      <c r="K41" s="158"/>
      <c r="L41" s="100">
        <f t="shared" si="1"/>
        <v>0</v>
      </c>
      <c r="M41" s="101">
        <f t="shared" si="2"/>
        <v>0</v>
      </c>
      <c r="N41" s="101">
        <f t="shared" si="3"/>
        <v>0</v>
      </c>
      <c r="O41" s="101">
        <f t="shared" si="4"/>
        <v>0</v>
      </c>
    </row>
    <row r="42" spans="2:17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/>
      <c r="K42" s="159"/>
      <c r="L42" s="160">
        <f t="shared" si="1"/>
        <v>0</v>
      </c>
      <c r="M42" s="101">
        <f t="shared" si="2"/>
        <v>0</v>
      </c>
      <c r="N42" s="101">
        <f t="shared" si="3"/>
        <v>0</v>
      </c>
      <c r="O42" s="101">
        <f t="shared" si="4"/>
        <v>0</v>
      </c>
    </row>
    <row r="43" spans="2:17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7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/>
      <c r="K44" s="156">
        <v>0.1</v>
      </c>
      <c r="L44" s="157">
        <f t="shared" ref="L44:L56" si="7">+J44+K44</f>
        <v>0.1</v>
      </c>
      <c r="M44" s="101">
        <f t="shared" si="2"/>
        <v>0</v>
      </c>
      <c r="N44" s="101">
        <f t="shared" si="3"/>
        <v>602510.4</v>
      </c>
      <c r="O44" s="101">
        <f t="shared" si="4"/>
        <v>602510.4</v>
      </c>
      <c r="Q44" s="166"/>
    </row>
    <row r="45" spans="2:17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/>
      <c r="K45" s="158"/>
      <c r="L45" s="100">
        <f t="shared" si="7"/>
        <v>0</v>
      </c>
      <c r="M45" s="101">
        <f t="shared" si="2"/>
        <v>0</v>
      </c>
      <c r="N45" s="101">
        <f t="shared" si="3"/>
        <v>0</v>
      </c>
      <c r="O45" s="101">
        <f t="shared" si="4"/>
        <v>0</v>
      </c>
    </row>
    <row r="46" spans="2:17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/>
      <c r="K46" s="158">
        <v>0.1</v>
      </c>
      <c r="L46" s="100">
        <f t="shared" si="7"/>
        <v>0.1</v>
      </c>
      <c r="M46" s="101">
        <f t="shared" si="2"/>
        <v>0</v>
      </c>
      <c r="N46" s="101">
        <f t="shared" si="3"/>
        <v>150826.4</v>
      </c>
      <c r="O46" s="101">
        <f t="shared" si="4"/>
        <v>150826.4</v>
      </c>
    </row>
    <row r="47" spans="2:17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/>
      <c r="K47" s="158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7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/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/>
      <c r="K49" s="163"/>
      <c r="L49" s="100">
        <f t="shared" si="7"/>
        <v>0</v>
      </c>
      <c r="M49" s="101">
        <f t="shared" si="2"/>
        <v>0</v>
      </c>
      <c r="N49" s="101">
        <f t="shared" si="3"/>
        <v>0</v>
      </c>
      <c r="O49" s="101">
        <f t="shared" si="4"/>
        <v>0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/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/>
      <c r="K51" s="163"/>
      <c r="L51" s="100">
        <f t="shared" si="7"/>
        <v>0</v>
      </c>
      <c r="M51" s="101">
        <f t="shared" si="2"/>
        <v>0</v>
      </c>
      <c r="N51" s="101">
        <f t="shared" si="3"/>
        <v>0</v>
      </c>
      <c r="O51" s="101">
        <f t="shared" si="4"/>
        <v>0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/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/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/>
      <c r="K55" s="164">
        <v>0.1</v>
      </c>
      <c r="L55" s="157">
        <f t="shared" si="7"/>
        <v>0.1</v>
      </c>
      <c r="M55" s="101">
        <f t="shared" si="2"/>
        <v>0</v>
      </c>
      <c r="N55" s="101">
        <f t="shared" si="3"/>
        <v>3819284.8000000003</v>
      </c>
      <c r="O55" s="101">
        <f t="shared" si="4"/>
        <v>3819284.8000000003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/>
      <c r="K56" s="165">
        <v>0.1</v>
      </c>
      <c r="L56" s="160">
        <f t="shared" si="7"/>
        <v>0.1</v>
      </c>
      <c r="M56" s="101">
        <f t="shared" si="2"/>
        <v>0</v>
      </c>
      <c r="N56" s="101">
        <f t="shared" si="3"/>
        <v>502753.60000000003</v>
      </c>
      <c r="O56" s="101">
        <f t="shared" si="4"/>
        <v>502753.60000000003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0</v>
      </c>
      <c r="N57" s="154">
        <f>+SUM(N10:N56)</f>
        <v>35487550</v>
      </c>
      <c r="O57" s="155">
        <f>+SUM(O10:O56)</f>
        <v>35487550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8.4232234100449138E-2</v>
      </c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N60" s="69"/>
      <c r="O60" s="69"/>
    </row>
    <row r="61" spans="2:18" ht="12.75" customHeight="1" x14ac:dyDescent="0.2">
      <c r="B61" s="102"/>
      <c r="C61" s="87" t="s">
        <v>74</v>
      </c>
      <c r="D61" s="103"/>
      <c r="E61" s="104"/>
      <c r="F61" s="105"/>
      <c r="G61" s="106"/>
      <c r="H61" s="107"/>
      <c r="I61" s="107"/>
      <c r="J61" s="108"/>
      <c r="K61" s="109"/>
      <c r="L61" s="110" t="s">
        <v>75</v>
      </c>
      <c r="M61" s="111">
        <f>+K6</f>
        <v>1</v>
      </c>
      <c r="N61" s="112"/>
      <c r="O61" s="113">
        <f>+O6</f>
        <v>45747</v>
      </c>
    </row>
    <row r="62" spans="2:18" ht="12.75" customHeight="1" x14ac:dyDescent="0.2">
      <c r="B62" s="114"/>
      <c r="C62" s="87" t="s">
        <v>7</v>
      </c>
      <c r="D62" s="112"/>
      <c r="E62" s="115"/>
      <c r="F62" s="116"/>
      <c r="G62" s="107"/>
      <c r="H62" s="107"/>
      <c r="I62" s="107"/>
      <c r="J62" s="117"/>
      <c r="K62" s="118"/>
      <c r="L62" s="117"/>
      <c r="M62" s="87"/>
      <c r="N62" s="112" t="s">
        <v>76</v>
      </c>
      <c r="O62" s="119" t="s">
        <v>77</v>
      </c>
    </row>
    <row r="63" spans="2:18" ht="12.75" customHeight="1" x14ac:dyDescent="0.2">
      <c r="B63" s="168" t="s">
        <v>78</v>
      </c>
      <c r="C63" s="120" t="s">
        <v>79</v>
      </c>
      <c r="D63" s="121"/>
      <c r="E63" s="122"/>
      <c r="F63" s="123"/>
      <c r="G63" s="124"/>
      <c r="H63" s="125"/>
      <c r="I63" s="125"/>
      <c r="J63" s="126"/>
      <c r="K63" s="127"/>
      <c r="L63" s="126"/>
      <c r="M63" s="128"/>
      <c r="N63" s="128"/>
      <c r="O63" s="129">
        <f>+H57</f>
        <v>421306052</v>
      </c>
      <c r="Q63" s="195"/>
      <c r="R63" s="196">
        <f>+O63</f>
        <v>421306052</v>
      </c>
    </row>
    <row r="64" spans="2:18" ht="12.75" customHeight="1" x14ac:dyDescent="0.2">
      <c r="B64" s="130" t="s">
        <v>80</v>
      </c>
      <c r="C64" s="131" t="s">
        <v>81</v>
      </c>
      <c r="D64" s="132"/>
      <c r="E64" s="133"/>
      <c r="F64" s="134"/>
      <c r="G64" s="135"/>
      <c r="H64" s="136"/>
      <c r="I64" s="136"/>
      <c r="J64" s="135"/>
      <c r="K64" s="137"/>
      <c r="L64" s="138"/>
      <c r="M64" s="139"/>
      <c r="N64" s="140">
        <v>0.2</v>
      </c>
      <c r="O64" s="141">
        <f>+N64*O63</f>
        <v>84261210.400000006</v>
      </c>
      <c r="Q64" s="197">
        <v>-0.19694479590744279</v>
      </c>
      <c r="R64" s="196">
        <f>+R63*Q64</f>
        <v>-82974034.425710484</v>
      </c>
    </row>
    <row r="65" spans="2:18" ht="12.75" customHeight="1" x14ac:dyDescent="0.2">
      <c r="B65" s="169" t="s">
        <v>82</v>
      </c>
      <c r="C65" s="142" t="s">
        <v>83</v>
      </c>
      <c r="D65" s="143"/>
      <c r="E65" s="144"/>
      <c r="F65" s="145"/>
      <c r="G65" s="146"/>
      <c r="H65" s="147"/>
      <c r="I65" s="147"/>
      <c r="J65" s="148"/>
      <c r="K65" s="149"/>
      <c r="L65" s="148"/>
      <c r="M65" s="150"/>
      <c r="N65" s="150"/>
      <c r="O65" s="151">
        <f>+N57</f>
        <v>35487550</v>
      </c>
      <c r="Q65" s="195"/>
      <c r="R65" s="198">
        <f>+N57</f>
        <v>35487550</v>
      </c>
    </row>
    <row r="66" spans="2:18" ht="12.75" customHeight="1" x14ac:dyDescent="0.2">
      <c r="B66" s="170" t="s">
        <v>84</v>
      </c>
      <c r="C66" s="171" t="s">
        <v>85</v>
      </c>
      <c r="D66" s="172"/>
      <c r="E66" s="173"/>
      <c r="F66" s="174"/>
      <c r="G66" s="175"/>
      <c r="H66" s="176"/>
      <c r="I66" s="176"/>
      <c r="J66" s="177"/>
      <c r="K66" s="178"/>
      <c r="L66" s="177"/>
      <c r="M66" s="179"/>
      <c r="N66" s="180">
        <f>-N64</f>
        <v>-0.2</v>
      </c>
      <c r="O66" s="181">
        <f>+N66*O65</f>
        <v>-7097510</v>
      </c>
      <c r="Q66" s="199">
        <f>Q64</f>
        <v>-0.19694479590744279</v>
      </c>
      <c r="R66" s="200">
        <f>+R65*Q66</f>
        <v>-6989088.2920051711</v>
      </c>
    </row>
    <row r="67" spans="2:18" ht="12.75" customHeight="1" x14ac:dyDescent="0.2">
      <c r="B67" s="182" t="s">
        <v>86</v>
      </c>
      <c r="C67" s="183" t="s">
        <v>87</v>
      </c>
      <c r="D67" s="184"/>
      <c r="E67" s="185"/>
      <c r="F67" s="186"/>
      <c r="G67" s="187"/>
      <c r="H67" s="187"/>
      <c r="I67" s="187"/>
      <c r="J67" s="187"/>
      <c r="K67" s="188"/>
      <c r="L67" s="189"/>
      <c r="M67" s="190"/>
      <c r="N67" s="190"/>
      <c r="O67" s="191">
        <f>+O65+O66</f>
        <v>28390040</v>
      </c>
      <c r="Q67" s="195"/>
      <c r="R67" s="201">
        <f>+R65+R66</f>
        <v>28498461.70799483</v>
      </c>
    </row>
    <row r="68" spans="2:18" ht="12.75" customHeight="1" x14ac:dyDescent="0.2">
      <c r="C68" s="3" t="s">
        <v>88</v>
      </c>
      <c r="Q68" s="195"/>
      <c r="R68" s="195"/>
    </row>
    <row r="69" spans="2:18" ht="7.15" customHeight="1" x14ac:dyDescent="0.2">
      <c r="Q69" s="195"/>
      <c r="R69" s="201">
        <f>+R67-O67</f>
        <v>108421.70799482986</v>
      </c>
    </row>
  </sheetData>
  <mergeCells count="2">
    <mergeCell ref="J8:L8"/>
    <mergeCell ref="M8:O8"/>
  </mergeCells>
  <conditionalFormatting sqref="D4:D13 D21:D30">
    <cfRule type="cellIs" dxfId="47" priority="7" operator="equal">
      <formula>"x"</formula>
    </cfRule>
  </conditionalFormatting>
  <conditionalFormatting sqref="D43:D54">
    <cfRule type="cellIs" dxfId="46" priority="6" operator="equal">
      <formula>"x"</formula>
    </cfRule>
  </conditionalFormatting>
  <conditionalFormatting sqref="D57:D58">
    <cfRule type="cellIs" dxfId="45" priority="3" operator="equal">
      <formula>"x"</formula>
    </cfRule>
  </conditionalFormatting>
  <conditionalFormatting sqref="L11:L20 L22:L24 L26:L42 L44:L53 L55:L56">
    <cfRule type="cellIs" dxfId="44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B7C2-3924-4D52-9678-2AD2B355AC60}">
  <dimension ref="B2:S74"/>
  <sheetViews>
    <sheetView view="pageBreakPreview" topLeftCell="A45" zoomScaleNormal="100" zoomScaleSheetLayoutView="100" workbookViewId="0">
      <pane xSplit="2" topLeftCell="C1" activePane="topRight" state="frozen"/>
      <selection pane="topRight" activeCell="C68" sqref="C68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6.7109375" style="5" bestFit="1" customWidth="1"/>
    <col min="6" max="6" width="11.7109375" style="6" bestFit="1" customWidth="1"/>
    <col min="7" max="7" width="16.5703125" style="6" bestFit="1" customWidth="1"/>
    <col min="8" max="8" width="16.5703125" style="27" bestFit="1" customWidth="1"/>
    <col min="9" max="9" width="5.7109375" style="8" bestFit="1" customWidth="1"/>
    <col min="10" max="10" width="12.7109375" style="8" bestFit="1" customWidth="1"/>
    <col min="11" max="11" width="12.28515625" style="8" bestFit="1" customWidth="1"/>
    <col min="12" max="12" width="11" style="8" bestFit="1" customWidth="1"/>
    <col min="13" max="13" width="15.42578125" style="8" bestFit="1" customWidth="1"/>
    <col min="14" max="14" width="15.7109375" style="8" bestFit="1" customWidth="1"/>
    <col min="15" max="15" width="16.28515625" style="8" bestFit="1" customWidth="1"/>
    <col min="16" max="16" width="2.14062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90">
        <v>2</v>
      </c>
      <c r="L6" s="91"/>
      <c r="M6" s="92"/>
      <c r="N6" s="93"/>
      <c r="O6" s="94">
        <v>45777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01'!L11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01'!L12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01'!L13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01'!L14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01'!L15</f>
        <v>0.5</v>
      </c>
      <c r="K15" s="158"/>
      <c r="L15" s="100">
        <f t="shared" si="1"/>
        <v>0.5</v>
      </c>
      <c r="M15" s="101">
        <f t="shared" si="2"/>
        <v>3774385.5</v>
      </c>
      <c r="N15" s="101">
        <f t="shared" si="3"/>
        <v>0</v>
      </c>
      <c r="O15" s="101">
        <f t="shared" si="4"/>
        <v>3774385.5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01'!L16</f>
        <v>0.3</v>
      </c>
      <c r="K16" s="158">
        <v>0.2</v>
      </c>
      <c r="L16" s="100">
        <f t="shared" si="1"/>
        <v>0.5</v>
      </c>
      <c r="M16" s="101">
        <f t="shared" si="2"/>
        <v>352825.2</v>
      </c>
      <c r="N16" s="101">
        <f t="shared" si="3"/>
        <v>235216.80000000002</v>
      </c>
      <c r="O16" s="101">
        <f t="shared" si="4"/>
        <v>588042</v>
      </c>
    </row>
    <row r="17" spans="2:19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01'!L17</f>
        <v>0.5</v>
      </c>
      <c r="K17" s="158">
        <v>0.2</v>
      </c>
      <c r="L17" s="100">
        <f t="shared" si="1"/>
        <v>0.7</v>
      </c>
      <c r="M17" s="101">
        <f t="shared" si="2"/>
        <v>865660</v>
      </c>
      <c r="N17" s="101">
        <f t="shared" si="3"/>
        <v>346264</v>
      </c>
      <c r="O17" s="101">
        <f t="shared" si="4"/>
        <v>1211924</v>
      </c>
    </row>
    <row r="18" spans="2:19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01'!L18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19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01'!L19</f>
        <v>0.5</v>
      </c>
      <c r="K19" s="158"/>
      <c r="L19" s="100">
        <f t="shared" si="1"/>
        <v>0.5</v>
      </c>
      <c r="M19" s="101">
        <f t="shared" si="2"/>
        <v>213243.5</v>
      </c>
      <c r="N19" s="101">
        <f t="shared" si="3"/>
        <v>0</v>
      </c>
      <c r="O19" s="101">
        <f t="shared" si="4"/>
        <v>213243.5</v>
      </c>
    </row>
    <row r="20" spans="2:19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01'!L20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19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19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01'!L22</f>
        <v>0.35</v>
      </c>
      <c r="K22" s="156"/>
      <c r="L22" s="157">
        <f t="shared" si="1"/>
        <v>0.35</v>
      </c>
      <c r="M22" s="101">
        <f t="shared" si="2"/>
        <v>14662179</v>
      </c>
      <c r="N22" s="101">
        <f t="shared" si="3"/>
        <v>0</v>
      </c>
      <c r="O22" s="101">
        <f t="shared" si="4"/>
        <v>14662179</v>
      </c>
      <c r="S22" s="166"/>
    </row>
    <row r="23" spans="2:19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01'!L23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19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01'!L24</f>
        <v>0</v>
      </c>
      <c r="K24" s="159"/>
      <c r="L24" s="160">
        <f t="shared" si="1"/>
        <v>0</v>
      </c>
      <c r="M24" s="101">
        <f t="shared" si="2"/>
        <v>0</v>
      </c>
      <c r="N24" s="101">
        <f t="shared" si="3"/>
        <v>0</v>
      </c>
      <c r="O24" s="101">
        <f t="shared" si="4"/>
        <v>0</v>
      </c>
    </row>
    <row r="25" spans="2:19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19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01'!L26</f>
        <v>0</v>
      </c>
      <c r="K26" s="156">
        <v>0.15</v>
      </c>
      <c r="L26" s="157">
        <f t="shared" si="1"/>
        <v>0.15</v>
      </c>
      <c r="M26" s="101">
        <f t="shared" si="2"/>
        <v>0</v>
      </c>
      <c r="N26" s="101">
        <f t="shared" si="3"/>
        <v>1651009.5</v>
      </c>
      <c r="O26" s="101">
        <f t="shared" si="4"/>
        <v>1651009.5</v>
      </c>
    </row>
    <row r="27" spans="2:19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01'!L27</f>
        <v>0</v>
      </c>
      <c r="K27" s="158">
        <v>0.25</v>
      </c>
      <c r="L27" s="100">
        <f t="shared" si="1"/>
        <v>0.25</v>
      </c>
      <c r="M27" s="101">
        <f t="shared" si="2"/>
        <v>0</v>
      </c>
      <c r="N27" s="101">
        <f t="shared" si="3"/>
        <v>5360616.0463499259</v>
      </c>
      <c r="O27" s="101">
        <f t="shared" si="4"/>
        <v>5360616.0463499259</v>
      </c>
      <c r="S27" s="193"/>
    </row>
    <row r="28" spans="2:19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01'!L28</f>
        <v>0</v>
      </c>
      <c r="K28" s="158">
        <v>0.25</v>
      </c>
      <c r="L28" s="100">
        <f t="shared" si="1"/>
        <v>0.25</v>
      </c>
      <c r="M28" s="101">
        <f t="shared" si="2"/>
        <v>0</v>
      </c>
      <c r="N28" s="101">
        <f t="shared" si="3"/>
        <v>3063765.3131792773</v>
      </c>
      <c r="O28" s="101">
        <f t="shared" si="4"/>
        <v>3063765.3131792773</v>
      </c>
    </row>
    <row r="29" spans="2:19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01'!L29</f>
        <v>0</v>
      </c>
      <c r="K29" s="158">
        <v>0.15</v>
      </c>
      <c r="L29" s="100">
        <f t="shared" si="1"/>
        <v>0.15</v>
      </c>
      <c r="M29" s="101">
        <f t="shared" si="2"/>
        <v>0</v>
      </c>
      <c r="N29" s="101">
        <f t="shared" si="3"/>
        <v>5758297.1312470883</v>
      </c>
      <c r="O29" s="101">
        <f t="shared" si="4"/>
        <v>5758297.1312470883</v>
      </c>
    </row>
    <row r="30" spans="2:19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01'!L30</f>
        <v>0</v>
      </c>
      <c r="K30" s="158"/>
      <c r="L30" s="100">
        <f t="shared" si="1"/>
        <v>0</v>
      </c>
      <c r="M30" s="101">
        <f t="shared" si="2"/>
        <v>0</v>
      </c>
      <c r="N30" s="101">
        <f t="shared" si="3"/>
        <v>0</v>
      </c>
      <c r="O30" s="101">
        <f t="shared" si="4"/>
        <v>0</v>
      </c>
    </row>
    <row r="31" spans="2:19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01'!L31</f>
        <v>0</v>
      </c>
      <c r="K31" s="158"/>
      <c r="L31" s="100">
        <f t="shared" si="1"/>
        <v>0</v>
      </c>
      <c r="M31" s="101">
        <f t="shared" si="2"/>
        <v>0</v>
      </c>
      <c r="N31" s="101">
        <f t="shared" si="3"/>
        <v>0</v>
      </c>
      <c r="O31" s="101">
        <f t="shared" si="4"/>
        <v>0</v>
      </c>
    </row>
    <row r="32" spans="2:19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01'!L32</f>
        <v>0</v>
      </c>
      <c r="K32" s="158"/>
      <c r="L32" s="100">
        <f t="shared" si="1"/>
        <v>0</v>
      </c>
      <c r="M32" s="101">
        <f t="shared" si="2"/>
        <v>0</v>
      </c>
      <c r="N32" s="101">
        <f t="shared" si="3"/>
        <v>0</v>
      </c>
      <c r="O32" s="101">
        <f t="shared" si="4"/>
        <v>0</v>
      </c>
    </row>
    <row r="33" spans="2:17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01'!L33</f>
        <v>0</v>
      </c>
      <c r="K33" s="158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7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01'!L34</f>
        <v>0</v>
      </c>
      <c r="K34" s="158"/>
      <c r="L34" s="100">
        <f t="shared" si="1"/>
        <v>0</v>
      </c>
      <c r="M34" s="101">
        <f t="shared" si="2"/>
        <v>0</v>
      </c>
      <c r="N34" s="101">
        <f t="shared" si="3"/>
        <v>0</v>
      </c>
      <c r="O34" s="101">
        <f t="shared" si="4"/>
        <v>0</v>
      </c>
    </row>
    <row r="35" spans="2:17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01'!L35</f>
        <v>0</v>
      </c>
      <c r="K35" s="158"/>
      <c r="L35" s="100">
        <f t="shared" si="1"/>
        <v>0</v>
      </c>
      <c r="M35" s="101">
        <f t="shared" si="2"/>
        <v>0</v>
      </c>
      <c r="N35" s="101">
        <f t="shared" si="3"/>
        <v>0</v>
      </c>
      <c r="O35" s="101">
        <f t="shared" si="4"/>
        <v>0</v>
      </c>
    </row>
    <row r="36" spans="2:17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01'!L36</f>
        <v>0</v>
      </c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7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01'!L37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7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01'!L38</f>
        <v>0</v>
      </c>
      <c r="K38" s="158">
        <v>0.15</v>
      </c>
      <c r="L38" s="100">
        <f t="shared" si="1"/>
        <v>0.15</v>
      </c>
      <c r="M38" s="101">
        <f t="shared" si="2"/>
        <v>0</v>
      </c>
      <c r="N38" s="101">
        <f t="shared" si="3"/>
        <v>1120932</v>
      </c>
      <c r="O38" s="101">
        <f t="shared" si="4"/>
        <v>1120932</v>
      </c>
    </row>
    <row r="39" spans="2:17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01'!L39</f>
        <v>0</v>
      </c>
      <c r="K39" s="158"/>
      <c r="L39" s="100">
        <f t="shared" si="1"/>
        <v>0</v>
      </c>
      <c r="M39" s="101">
        <f t="shared" si="2"/>
        <v>0</v>
      </c>
      <c r="N39" s="101">
        <f t="shared" si="3"/>
        <v>0</v>
      </c>
      <c r="O39" s="101">
        <f t="shared" si="4"/>
        <v>0</v>
      </c>
    </row>
    <row r="40" spans="2:17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01'!L40</f>
        <v>0</v>
      </c>
      <c r="K40" s="158">
        <v>0.05</v>
      </c>
      <c r="L40" s="100">
        <f t="shared" si="1"/>
        <v>0.05</v>
      </c>
      <c r="M40" s="101">
        <f t="shared" si="2"/>
        <v>0</v>
      </c>
      <c r="N40" s="101">
        <f t="shared" si="3"/>
        <v>108651.90000000001</v>
      </c>
      <c r="O40" s="101">
        <f t="shared" si="4"/>
        <v>108651.90000000001</v>
      </c>
    </row>
    <row r="41" spans="2:17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01'!L41</f>
        <v>0</v>
      </c>
      <c r="K41" s="158">
        <v>0.25</v>
      </c>
      <c r="L41" s="100">
        <f t="shared" si="1"/>
        <v>0.25</v>
      </c>
      <c r="M41" s="101">
        <f t="shared" si="2"/>
        <v>0</v>
      </c>
      <c r="N41" s="101">
        <f t="shared" si="3"/>
        <v>69129</v>
      </c>
      <c r="O41" s="101">
        <f t="shared" si="4"/>
        <v>69129</v>
      </c>
    </row>
    <row r="42" spans="2:17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01'!L42</f>
        <v>0</v>
      </c>
      <c r="K42" s="159"/>
      <c r="L42" s="160">
        <f t="shared" si="1"/>
        <v>0</v>
      </c>
      <c r="M42" s="101">
        <f t="shared" si="2"/>
        <v>0</v>
      </c>
      <c r="N42" s="101">
        <f t="shared" si="3"/>
        <v>0</v>
      </c>
      <c r="O42" s="101">
        <f t="shared" si="4"/>
        <v>0</v>
      </c>
    </row>
    <row r="43" spans="2:17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7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01'!L44</f>
        <v>0.1</v>
      </c>
      <c r="K44" s="156">
        <v>0.1</v>
      </c>
      <c r="L44" s="157">
        <f t="shared" ref="L44:L56" si="7">+J44+K44</f>
        <v>0.2</v>
      </c>
      <c r="M44" s="101">
        <f t="shared" si="2"/>
        <v>602510.4</v>
      </c>
      <c r="N44" s="101">
        <f t="shared" si="3"/>
        <v>602510.4</v>
      </c>
      <c r="O44" s="101">
        <f t="shared" si="4"/>
        <v>1205020.8</v>
      </c>
      <c r="Q44" s="166"/>
    </row>
    <row r="45" spans="2:17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01'!L45</f>
        <v>0</v>
      </c>
      <c r="K45" s="158">
        <v>0.25</v>
      </c>
      <c r="L45" s="100">
        <f t="shared" si="7"/>
        <v>0.25</v>
      </c>
      <c r="M45" s="101">
        <f t="shared" si="2"/>
        <v>0</v>
      </c>
      <c r="N45" s="101">
        <f t="shared" si="3"/>
        <v>1944871</v>
      </c>
      <c r="O45" s="101">
        <f t="shared" si="4"/>
        <v>1944871</v>
      </c>
    </row>
    <row r="46" spans="2:17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01'!L46</f>
        <v>0.1</v>
      </c>
      <c r="K46" s="158">
        <v>0.1</v>
      </c>
      <c r="L46" s="100">
        <f t="shared" si="7"/>
        <v>0.2</v>
      </c>
      <c r="M46" s="101">
        <f t="shared" si="2"/>
        <v>150826.4</v>
      </c>
      <c r="N46" s="101">
        <f t="shared" si="3"/>
        <v>150826.4</v>
      </c>
      <c r="O46" s="101">
        <f t="shared" si="4"/>
        <v>301652.8</v>
      </c>
    </row>
    <row r="47" spans="2:17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01'!L47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7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01'!L48</f>
        <v>0</v>
      </c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01'!L49</f>
        <v>0</v>
      </c>
      <c r="K49" s="163">
        <v>0.05</v>
      </c>
      <c r="L49" s="100">
        <f t="shared" si="7"/>
        <v>0.05</v>
      </c>
      <c r="M49" s="101">
        <f t="shared" si="2"/>
        <v>0</v>
      </c>
      <c r="N49" s="101">
        <f t="shared" si="3"/>
        <v>180933.2</v>
      </c>
      <c r="O49" s="101">
        <f t="shared" si="4"/>
        <v>180933.2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01'!L50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01'!L51</f>
        <v>0</v>
      </c>
      <c r="K51" s="163">
        <v>0.05</v>
      </c>
      <c r="L51" s="100">
        <f t="shared" si="7"/>
        <v>0.05</v>
      </c>
      <c r="M51" s="101">
        <f t="shared" si="2"/>
        <v>0</v>
      </c>
      <c r="N51" s="101">
        <f t="shared" si="3"/>
        <v>125688.40000000001</v>
      </c>
      <c r="O51" s="101">
        <f t="shared" si="4"/>
        <v>125688.40000000001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01'!L52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01'!L53</f>
        <v>0</v>
      </c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01'!L55</f>
        <v>0.1</v>
      </c>
      <c r="K55" s="164">
        <v>0.1</v>
      </c>
      <c r="L55" s="157">
        <f t="shared" si="7"/>
        <v>0.2</v>
      </c>
      <c r="M55" s="101">
        <f t="shared" si="2"/>
        <v>3819284.8000000003</v>
      </c>
      <c r="N55" s="101">
        <f t="shared" si="3"/>
        <v>3819284.8000000003</v>
      </c>
      <c r="O55" s="101">
        <f t="shared" si="4"/>
        <v>7638569.6000000006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01'!L56</f>
        <v>0.1</v>
      </c>
      <c r="K56" s="165">
        <v>0.1</v>
      </c>
      <c r="L56" s="160">
        <f t="shared" si="7"/>
        <v>0.2</v>
      </c>
      <c r="M56" s="101">
        <f t="shared" si="2"/>
        <v>502753.60000000003</v>
      </c>
      <c r="N56" s="101">
        <f t="shared" si="3"/>
        <v>502753.60000000003</v>
      </c>
      <c r="O56" s="101">
        <f t="shared" si="4"/>
        <v>1005507.2000000001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35487550</v>
      </c>
      <c r="N57" s="154">
        <f>+SUM(N10:N56)</f>
        <v>25040749.490776286</v>
      </c>
      <c r="O57" s="155">
        <f>+SUM(O10:O56)</f>
        <v>60528299.490776293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0.14366824118343377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N60" s="69"/>
      <c r="O60" s="69"/>
    </row>
    <row r="61" spans="2:18" ht="12.75" customHeight="1" x14ac:dyDescent="0.2">
      <c r="B61" s="102"/>
      <c r="C61" s="87" t="s">
        <v>74</v>
      </c>
      <c r="D61" s="103"/>
      <c r="E61" s="104"/>
      <c r="F61" s="105"/>
      <c r="G61" s="106"/>
      <c r="H61" s="107"/>
      <c r="I61" s="107"/>
      <c r="J61" s="108"/>
      <c r="K61" s="109"/>
      <c r="L61" s="110" t="s">
        <v>75</v>
      </c>
      <c r="M61" s="111">
        <f>+K6</f>
        <v>2</v>
      </c>
      <c r="N61" s="112"/>
      <c r="O61" s="113">
        <f>+O6</f>
        <v>45777</v>
      </c>
    </row>
    <row r="62" spans="2:18" ht="12.75" customHeight="1" x14ac:dyDescent="0.2">
      <c r="B62" s="114"/>
      <c r="C62" s="87" t="s">
        <v>7</v>
      </c>
      <c r="D62" s="112"/>
      <c r="E62" s="115"/>
      <c r="F62" s="116"/>
      <c r="G62" s="107"/>
      <c r="H62" s="107"/>
      <c r="I62" s="107"/>
      <c r="J62" s="117"/>
      <c r="K62" s="118"/>
      <c r="L62" s="117"/>
      <c r="M62" s="87"/>
      <c r="N62" s="112" t="s">
        <v>76</v>
      </c>
      <c r="O62" s="119" t="s">
        <v>77</v>
      </c>
    </row>
    <row r="63" spans="2:18" ht="12.75" customHeight="1" x14ac:dyDescent="0.2">
      <c r="B63" s="168" t="s">
        <v>78</v>
      </c>
      <c r="C63" s="120" t="s">
        <v>79</v>
      </c>
      <c r="D63" s="121"/>
      <c r="E63" s="122"/>
      <c r="F63" s="123"/>
      <c r="G63" s="124"/>
      <c r="H63" s="125"/>
      <c r="I63" s="125"/>
      <c r="J63" s="126"/>
      <c r="K63" s="127"/>
      <c r="L63" s="126"/>
      <c r="M63" s="128"/>
      <c r="N63" s="128"/>
      <c r="O63" s="129">
        <f>+H57</f>
        <v>421306052</v>
      </c>
      <c r="Q63" s="195"/>
      <c r="R63" s="196"/>
    </row>
    <row r="64" spans="2:18" ht="12.75" customHeight="1" x14ac:dyDescent="0.2">
      <c r="B64" s="130" t="s">
        <v>80</v>
      </c>
      <c r="C64" s="131" t="s">
        <v>81</v>
      </c>
      <c r="D64" s="132"/>
      <c r="E64" s="133"/>
      <c r="F64" s="134"/>
      <c r="G64" s="135"/>
      <c r="H64" s="136"/>
      <c r="I64" s="136"/>
      <c r="J64" s="135"/>
      <c r="K64" s="137"/>
      <c r="L64" s="138"/>
      <c r="M64" s="139"/>
      <c r="N64" s="140">
        <v>0.2</v>
      </c>
      <c r="O64" s="141">
        <f>+N64*O63</f>
        <v>84261210.400000006</v>
      </c>
      <c r="Q64" s="197"/>
      <c r="R64" s="196"/>
    </row>
    <row r="65" spans="2:18" ht="12.75" customHeight="1" x14ac:dyDescent="0.2">
      <c r="B65" s="169" t="s">
        <v>82</v>
      </c>
      <c r="C65" s="142" t="s">
        <v>83</v>
      </c>
      <c r="D65" s="143"/>
      <c r="E65" s="144"/>
      <c r="F65" s="145"/>
      <c r="G65" s="146"/>
      <c r="H65" s="147"/>
      <c r="I65" s="147"/>
      <c r="J65" s="148"/>
      <c r="K65" s="149"/>
      <c r="L65" s="148"/>
      <c r="M65" s="150"/>
      <c r="N65" s="150"/>
      <c r="O65" s="151">
        <f>+N57</f>
        <v>25040749.490776286</v>
      </c>
      <c r="Q65" s="195"/>
      <c r="R65" s="198"/>
    </row>
    <row r="66" spans="2:18" ht="12.75" customHeight="1" x14ac:dyDescent="0.2">
      <c r="B66" s="170" t="s">
        <v>84</v>
      </c>
      <c r="C66" s="171" t="s">
        <v>85</v>
      </c>
      <c r="D66" s="172"/>
      <c r="E66" s="173"/>
      <c r="F66" s="174"/>
      <c r="G66" s="175"/>
      <c r="H66" s="176"/>
      <c r="I66" s="176"/>
      <c r="J66" s="177"/>
      <c r="K66" s="178"/>
      <c r="L66" s="177"/>
      <c r="M66" s="179"/>
      <c r="N66" s="180">
        <f>-N64</f>
        <v>-0.2</v>
      </c>
      <c r="O66" s="181">
        <f>+N66*O65</f>
        <v>-5008149.8981552571</v>
      </c>
      <c r="Q66" s="199"/>
      <c r="R66" s="200"/>
    </row>
    <row r="67" spans="2:18" ht="12.75" customHeight="1" x14ac:dyDescent="0.2">
      <c r="B67" s="182" t="s">
        <v>86</v>
      </c>
      <c r="C67" s="183" t="s">
        <v>87</v>
      </c>
      <c r="D67" s="184"/>
      <c r="E67" s="185"/>
      <c r="F67" s="186"/>
      <c r="G67" s="187"/>
      <c r="H67" s="187"/>
      <c r="I67" s="187"/>
      <c r="J67" s="187"/>
      <c r="K67" s="188"/>
      <c r="L67" s="189"/>
      <c r="M67" s="190"/>
      <c r="N67" s="190"/>
      <c r="O67" s="191">
        <f>+O65+O66</f>
        <v>20032599.592621028</v>
      </c>
      <c r="Q67" s="195"/>
      <c r="R67" s="201"/>
    </row>
    <row r="68" spans="2:18" ht="12.75" customHeight="1" x14ac:dyDescent="0.2">
      <c r="C68" s="3" t="s">
        <v>88</v>
      </c>
      <c r="Q68" s="195"/>
      <c r="R68" s="195"/>
    </row>
    <row r="69" spans="2:18" ht="12.75" customHeight="1" x14ac:dyDescent="0.2">
      <c r="Q69" s="195"/>
      <c r="R69" s="201"/>
    </row>
    <row r="74" spans="2:18" ht="12.75" customHeight="1" x14ac:dyDescent="0.2">
      <c r="J74" s="194"/>
    </row>
  </sheetData>
  <mergeCells count="2">
    <mergeCell ref="J8:L8"/>
    <mergeCell ref="M8:O8"/>
  </mergeCells>
  <conditionalFormatting sqref="D4:D13 D21:D30">
    <cfRule type="cellIs" dxfId="43" priority="4" operator="equal">
      <formula>"x"</formula>
    </cfRule>
  </conditionalFormatting>
  <conditionalFormatting sqref="D43:D54">
    <cfRule type="cellIs" dxfId="42" priority="3" operator="equal">
      <formula>"x"</formula>
    </cfRule>
  </conditionalFormatting>
  <conditionalFormatting sqref="D57:D58">
    <cfRule type="cellIs" dxfId="41" priority="2" operator="equal">
      <formula>"x"</formula>
    </cfRule>
  </conditionalFormatting>
  <conditionalFormatting sqref="L11:L20 L22:L24 L26:L42 L44:L53 L55:L56">
    <cfRule type="cellIs" dxfId="40" priority="1" operator="lessThan">
      <formula>1</formula>
    </cfRule>
  </conditionalFormatting>
  <pageMargins left="0.45" right="0.25" top="0.63" bottom="0.55118110236220474" header="0.31496062992125984" footer="0.31496062992125984"/>
  <pageSetup paperSize="9" scale="56" fitToHeight="8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E486-7A00-4833-9CA2-0D152D4205CF}">
  <dimension ref="B1:S70"/>
  <sheetViews>
    <sheetView topLeftCell="A26" zoomScaleNormal="100" workbookViewId="0">
      <pane xSplit="2" topLeftCell="C1" activePane="topRight" state="frozen"/>
      <selection pane="topRight" activeCell="C67" sqref="C67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4" width="11.7109375" style="8" customWidth="1"/>
    <col min="15" max="15" width="12" style="8" bestFit="1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90">
        <v>3</v>
      </c>
      <c r="L6" s="91"/>
      <c r="M6" s="92"/>
      <c r="N6" s="93"/>
      <c r="O6" s="94">
        <v>45807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2'!L11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2'!L12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2'!L13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2'!L14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2'!L15</f>
        <v>0.5</v>
      </c>
      <c r="K15" s="158"/>
      <c r="L15" s="100">
        <f t="shared" si="1"/>
        <v>0.5</v>
      </c>
      <c r="M15" s="101">
        <f t="shared" si="2"/>
        <v>3774385.5</v>
      </c>
      <c r="N15" s="101">
        <f t="shared" si="3"/>
        <v>0</v>
      </c>
      <c r="O15" s="101">
        <f t="shared" si="4"/>
        <v>3774385.5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2'!L16</f>
        <v>0.5</v>
      </c>
      <c r="K16" s="158">
        <v>0.25</v>
      </c>
      <c r="L16" s="100">
        <f t="shared" si="1"/>
        <v>0.75</v>
      </c>
      <c r="M16" s="101">
        <f t="shared" si="2"/>
        <v>588042</v>
      </c>
      <c r="N16" s="101">
        <f t="shared" si="3"/>
        <v>294021</v>
      </c>
      <c r="O16" s="101">
        <f t="shared" si="4"/>
        <v>882063</v>
      </c>
    </row>
    <row r="17" spans="2:19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2'!L17</f>
        <v>0.7</v>
      </c>
      <c r="K17" s="158"/>
      <c r="L17" s="100">
        <f t="shared" si="1"/>
        <v>0.7</v>
      </c>
      <c r="M17" s="101">
        <f t="shared" si="2"/>
        <v>1211924</v>
      </c>
      <c r="N17" s="101">
        <f t="shared" si="3"/>
        <v>0</v>
      </c>
      <c r="O17" s="101">
        <f t="shared" si="4"/>
        <v>1211924</v>
      </c>
    </row>
    <row r="18" spans="2:19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2'!L18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19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2'!L19</f>
        <v>0.5</v>
      </c>
      <c r="K19" s="158"/>
      <c r="L19" s="100">
        <f t="shared" si="1"/>
        <v>0.5</v>
      </c>
      <c r="M19" s="101">
        <f t="shared" si="2"/>
        <v>213243.5</v>
      </c>
      <c r="N19" s="101">
        <f t="shared" si="3"/>
        <v>0</v>
      </c>
      <c r="O19" s="101">
        <f t="shared" si="4"/>
        <v>213243.5</v>
      </c>
    </row>
    <row r="20" spans="2:19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2'!L20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19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19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2'!L22</f>
        <v>0.35</v>
      </c>
      <c r="K22" s="156">
        <v>0.15</v>
      </c>
      <c r="L22" s="157">
        <f t="shared" si="1"/>
        <v>0.5</v>
      </c>
      <c r="M22" s="101">
        <f t="shared" si="2"/>
        <v>14662179</v>
      </c>
      <c r="N22" s="101">
        <f t="shared" si="3"/>
        <v>6283791</v>
      </c>
      <c r="O22" s="101">
        <f t="shared" si="4"/>
        <v>20945970</v>
      </c>
      <c r="S22" s="166"/>
    </row>
    <row r="23" spans="2:19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2'!L23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19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2'!L24</f>
        <v>0</v>
      </c>
      <c r="K24" s="159"/>
      <c r="L24" s="160">
        <f t="shared" si="1"/>
        <v>0</v>
      </c>
      <c r="M24" s="101">
        <f t="shared" si="2"/>
        <v>0</v>
      </c>
      <c r="N24" s="101">
        <f t="shared" si="3"/>
        <v>0</v>
      </c>
      <c r="O24" s="101">
        <f t="shared" si="4"/>
        <v>0</v>
      </c>
    </row>
    <row r="25" spans="2:19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19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2'!L26</f>
        <v>0.15</v>
      </c>
      <c r="K26" s="156">
        <v>0.1</v>
      </c>
      <c r="L26" s="157">
        <f t="shared" si="1"/>
        <v>0.25</v>
      </c>
      <c r="M26" s="101">
        <f t="shared" si="2"/>
        <v>1651009.5</v>
      </c>
      <c r="N26" s="101">
        <f t="shared" si="3"/>
        <v>1100673</v>
      </c>
      <c r="O26" s="101">
        <f t="shared" si="4"/>
        <v>2751682.5</v>
      </c>
    </row>
    <row r="27" spans="2:19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2'!L27</f>
        <v>0.25</v>
      </c>
      <c r="K27" s="158">
        <v>0.2</v>
      </c>
      <c r="L27" s="100">
        <f t="shared" si="1"/>
        <v>0.45</v>
      </c>
      <c r="M27" s="101">
        <f t="shared" si="2"/>
        <v>5360616.0463499259</v>
      </c>
      <c r="N27" s="101">
        <f t="shared" si="3"/>
        <v>4288492.8370799413</v>
      </c>
      <c r="O27" s="101">
        <f t="shared" si="4"/>
        <v>9649108.8834298663</v>
      </c>
      <c r="S27" s="193"/>
    </row>
    <row r="28" spans="2:19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2'!L28</f>
        <v>0.25</v>
      </c>
      <c r="K28" s="158">
        <v>0.2</v>
      </c>
      <c r="L28" s="100">
        <f t="shared" si="1"/>
        <v>0.45</v>
      </c>
      <c r="M28" s="101">
        <f t="shared" si="2"/>
        <v>3063765.3131792773</v>
      </c>
      <c r="N28" s="101">
        <f t="shared" si="3"/>
        <v>2451012.2505434221</v>
      </c>
      <c r="O28" s="101">
        <f t="shared" si="4"/>
        <v>5514777.5637226989</v>
      </c>
    </row>
    <row r="29" spans="2:19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2'!L29</f>
        <v>0.15</v>
      </c>
      <c r="K29" s="158">
        <v>0.15</v>
      </c>
      <c r="L29" s="100">
        <f t="shared" si="1"/>
        <v>0.3</v>
      </c>
      <c r="M29" s="101">
        <f t="shared" si="2"/>
        <v>5758297.1312470883</v>
      </c>
      <c r="N29" s="101">
        <f t="shared" si="3"/>
        <v>5758297.1312470883</v>
      </c>
      <c r="O29" s="101">
        <f t="shared" si="4"/>
        <v>11516594.262494177</v>
      </c>
    </row>
    <row r="30" spans="2:19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2'!L30</f>
        <v>0</v>
      </c>
      <c r="K30" s="158"/>
      <c r="L30" s="100">
        <f t="shared" si="1"/>
        <v>0</v>
      </c>
      <c r="M30" s="101">
        <f t="shared" si="2"/>
        <v>0</v>
      </c>
      <c r="N30" s="101">
        <f t="shared" si="3"/>
        <v>0</v>
      </c>
      <c r="O30" s="101">
        <f t="shared" si="4"/>
        <v>0</v>
      </c>
    </row>
    <row r="31" spans="2:19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2'!L31</f>
        <v>0</v>
      </c>
      <c r="K31" s="158"/>
      <c r="L31" s="100">
        <f t="shared" si="1"/>
        <v>0</v>
      </c>
      <c r="M31" s="101">
        <f t="shared" si="2"/>
        <v>0</v>
      </c>
      <c r="N31" s="101">
        <f t="shared" si="3"/>
        <v>0</v>
      </c>
      <c r="O31" s="101">
        <f t="shared" si="4"/>
        <v>0</v>
      </c>
    </row>
    <row r="32" spans="2:19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2'!L32</f>
        <v>0</v>
      </c>
      <c r="K32" s="158"/>
      <c r="L32" s="100">
        <f t="shared" si="1"/>
        <v>0</v>
      </c>
      <c r="M32" s="101">
        <f t="shared" si="2"/>
        <v>0</v>
      </c>
      <c r="N32" s="101">
        <f t="shared" si="3"/>
        <v>0</v>
      </c>
      <c r="O32" s="101">
        <f t="shared" si="4"/>
        <v>0</v>
      </c>
    </row>
    <row r="33" spans="2:17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2'!L33</f>
        <v>0</v>
      </c>
      <c r="K33" s="158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7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2'!L34</f>
        <v>0</v>
      </c>
      <c r="K34" s="158"/>
      <c r="L34" s="100">
        <f t="shared" si="1"/>
        <v>0</v>
      </c>
      <c r="M34" s="101">
        <f t="shared" si="2"/>
        <v>0</v>
      </c>
      <c r="N34" s="101">
        <f t="shared" si="3"/>
        <v>0</v>
      </c>
      <c r="O34" s="101">
        <f t="shared" si="4"/>
        <v>0</v>
      </c>
    </row>
    <row r="35" spans="2:17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2'!L35</f>
        <v>0</v>
      </c>
      <c r="K35" s="158"/>
      <c r="L35" s="100">
        <f t="shared" si="1"/>
        <v>0</v>
      </c>
      <c r="M35" s="101">
        <f t="shared" si="2"/>
        <v>0</v>
      </c>
      <c r="N35" s="101">
        <f t="shared" si="3"/>
        <v>0</v>
      </c>
      <c r="O35" s="101">
        <f t="shared" si="4"/>
        <v>0</v>
      </c>
    </row>
    <row r="36" spans="2:17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2'!L36</f>
        <v>0</v>
      </c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7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2'!L37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7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2'!L38</f>
        <v>0.15</v>
      </c>
      <c r="K38" s="158">
        <v>0.3</v>
      </c>
      <c r="L38" s="100">
        <f t="shared" si="1"/>
        <v>0.44999999999999996</v>
      </c>
      <c r="M38" s="101">
        <f t="shared" si="2"/>
        <v>1120932</v>
      </c>
      <c r="N38" s="101">
        <f t="shared" si="3"/>
        <v>2241864</v>
      </c>
      <c r="O38" s="101">
        <f t="shared" si="4"/>
        <v>3362795.9999999995</v>
      </c>
    </row>
    <row r="39" spans="2:17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2'!L39</f>
        <v>0</v>
      </c>
      <c r="K39" s="158"/>
      <c r="L39" s="100">
        <f t="shared" si="1"/>
        <v>0</v>
      </c>
      <c r="M39" s="101">
        <f t="shared" si="2"/>
        <v>0</v>
      </c>
      <c r="N39" s="101">
        <f t="shared" si="3"/>
        <v>0</v>
      </c>
      <c r="O39" s="101">
        <f t="shared" si="4"/>
        <v>0</v>
      </c>
    </row>
    <row r="40" spans="2:17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2'!L40</f>
        <v>0.05</v>
      </c>
      <c r="K40" s="158">
        <v>0.1</v>
      </c>
      <c r="L40" s="100">
        <f t="shared" si="1"/>
        <v>0.15000000000000002</v>
      </c>
      <c r="M40" s="101">
        <f t="shared" si="2"/>
        <v>108651.90000000001</v>
      </c>
      <c r="N40" s="101">
        <f t="shared" si="3"/>
        <v>217303.80000000002</v>
      </c>
      <c r="O40" s="101">
        <f t="shared" si="4"/>
        <v>325955.70000000007</v>
      </c>
    </row>
    <row r="41" spans="2:17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2'!L41</f>
        <v>0.25</v>
      </c>
      <c r="K41" s="158"/>
      <c r="L41" s="100">
        <f t="shared" si="1"/>
        <v>0.25</v>
      </c>
      <c r="M41" s="101">
        <f t="shared" si="2"/>
        <v>69129</v>
      </c>
      <c r="N41" s="101">
        <f t="shared" si="3"/>
        <v>0</v>
      </c>
      <c r="O41" s="101">
        <f t="shared" si="4"/>
        <v>69129</v>
      </c>
    </row>
    <row r="42" spans="2:17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2'!L42</f>
        <v>0</v>
      </c>
      <c r="K42" s="159"/>
      <c r="L42" s="160">
        <f t="shared" si="1"/>
        <v>0</v>
      </c>
      <c r="M42" s="101">
        <f t="shared" si="2"/>
        <v>0</v>
      </c>
      <c r="N42" s="101">
        <f t="shared" si="3"/>
        <v>0</v>
      </c>
      <c r="O42" s="101">
        <f t="shared" si="4"/>
        <v>0</v>
      </c>
    </row>
    <row r="43" spans="2:17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7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2'!L44</f>
        <v>0.2</v>
      </c>
      <c r="K44" s="156">
        <v>0.1</v>
      </c>
      <c r="L44" s="157">
        <f t="shared" ref="L44:L56" si="7">+J44+K44</f>
        <v>0.30000000000000004</v>
      </c>
      <c r="M44" s="101">
        <f t="shared" si="2"/>
        <v>1205020.8</v>
      </c>
      <c r="N44" s="101">
        <f t="shared" si="3"/>
        <v>602510.4</v>
      </c>
      <c r="O44" s="101">
        <f t="shared" si="4"/>
        <v>1807531.2000000002</v>
      </c>
      <c r="Q44" s="166"/>
    </row>
    <row r="45" spans="2:17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2'!L45</f>
        <v>0.25</v>
      </c>
      <c r="K45" s="158">
        <v>0.25</v>
      </c>
      <c r="L45" s="100">
        <f t="shared" si="7"/>
        <v>0.5</v>
      </c>
      <c r="M45" s="101">
        <f t="shared" si="2"/>
        <v>1944871</v>
      </c>
      <c r="N45" s="101">
        <f t="shared" si="3"/>
        <v>1944871</v>
      </c>
      <c r="O45" s="101">
        <f t="shared" si="4"/>
        <v>3889742</v>
      </c>
    </row>
    <row r="46" spans="2:17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2'!L46</f>
        <v>0.2</v>
      </c>
      <c r="K46" s="158">
        <v>0.1</v>
      </c>
      <c r="L46" s="100">
        <f t="shared" si="7"/>
        <v>0.30000000000000004</v>
      </c>
      <c r="M46" s="101">
        <f t="shared" si="2"/>
        <v>301652.8</v>
      </c>
      <c r="N46" s="101">
        <f t="shared" si="3"/>
        <v>150826.4</v>
      </c>
      <c r="O46" s="101">
        <f t="shared" si="4"/>
        <v>452479.20000000007</v>
      </c>
    </row>
    <row r="47" spans="2:17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2'!L47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7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2'!L48</f>
        <v>0</v>
      </c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2'!L49</f>
        <v>0.05</v>
      </c>
      <c r="K49" s="163">
        <v>0.05</v>
      </c>
      <c r="L49" s="100">
        <f t="shared" si="7"/>
        <v>0.1</v>
      </c>
      <c r="M49" s="101">
        <f t="shared" si="2"/>
        <v>180933.2</v>
      </c>
      <c r="N49" s="101">
        <f t="shared" si="3"/>
        <v>180933.2</v>
      </c>
      <c r="O49" s="101">
        <f t="shared" si="4"/>
        <v>361866.4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2'!L50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2'!L51</f>
        <v>0.05</v>
      </c>
      <c r="K51" s="163"/>
      <c r="L51" s="100">
        <f t="shared" si="7"/>
        <v>0.05</v>
      </c>
      <c r="M51" s="101">
        <f t="shared" si="2"/>
        <v>125688.40000000001</v>
      </c>
      <c r="N51" s="101">
        <f t="shared" si="3"/>
        <v>0</v>
      </c>
      <c r="O51" s="101">
        <f t="shared" si="4"/>
        <v>125688.40000000001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2'!L52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2'!L53</f>
        <v>0</v>
      </c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2'!L55</f>
        <v>0.2</v>
      </c>
      <c r="K55" s="164">
        <v>0.1</v>
      </c>
      <c r="L55" s="157">
        <f t="shared" si="7"/>
        <v>0.30000000000000004</v>
      </c>
      <c r="M55" s="101">
        <f t="shared" si="2"/>
        <v>7638569.6000000006</v>
      </c>
      <c r="N55" s="101">
        <f t="shared" si="3"/>
        <v>3819284.8000000003</v>
      </c>
      <c r="O55" s="101">
        <f t="shared" si="4"/>
        <v>11457854.400000002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2'!L56</f>
        <v>0.2</v>
      </c>
      <c r="K56" s="165">
        <v>0.1</v>
      </c>
      <c r="L56" s="160">
        <f t="shared" si="7"/>
        <v>0.30000000000000004</v>
      </c>
      <c r="M56" s="101">
        <f t="shared" si="2"/>
        <v>1005507.2000000001</v>
      </c>
      <c r="N56" s="101">
        <f t="shared" si="3"/>
        <v>502753.60000000003</v>
      </c>
      <c r="O56" s="101">
        <f t="shared" si="4"/>
        <v>1508260.8000000003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60528299.490776293</v>
      </c>
      <c r="N57" s="154">
        <f>+SUM(N10:N56)</f>
        <v>29836634.418870453</v>
      </c>
      <c r="O57" s="155">
        <f>+SUM(O10:O56)</f>
        <v>90364933.909646764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0.21448762361867701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3</v>
      </c>
      <c r="N60" s="112"/>
      <c r="O60" s="113">
        <f>+O6</f>
        <v>45807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29836634.418870453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-5967326.8837740906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23869307.535096362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39" priority="4" operator="equal">
      <formula>"x"</formula>
    </cfRule>
  </conditionalFormatting>
  <conditionalFormatting sqref="D43:D54">
    <cfRule type="cellIs" dxfId="38" priority="3" operator="equal">
      <formula>"x"</formula>
    </cfRule>
  </conditionalFormatting>
  <conditionalFormatting sqref="D57:D58">
    <cfRule type="cellIs" dxfId="37" priority="2" operator="equal">
      <formula>"x"</formula>
    </cfRule>
  </conditionalFormatting>
  <conditionalFormatting sqref="L11:L20 L22:L24 L26:L42 L44:L53 L55:L56">
    <cfRule type="cellIs" dxfId="36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6FCB-D76D-486B-8136-129926583058}">
  <dimension ref="B1:S70"/>
  <sheetViews>
    <sheetView topLeftCell="A20" zoomScaleNormal="100" workbookViewId="0">
      <pane xSplit="2" topLeftCell="C1" activePane="topRight" state="frozen"/>
      <selection pane="topRight" activeCell="C67" sqref="C67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4" width="11.7109375" style="8" customWidth="1"/>
    <col min="15" max="15" width="12" style="8" bestFit="1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90">
        <v>4</v>
      </c>
      <c r="L6" s="91"/>
      <c r="M6" s="92"/>
      <c r="N6" s="93"/>
      <c r="O6" s="94">
        <v>45835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3'!L11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3'!L12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3'!L13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3'!L14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3'!L15</f>
        <v>0.5</v>
      </c>
      <c r="K15" s="158"/>
      <c r="L15" s="100">
        <f t="shared" si="1"/>
        <v>0.5</v>
      </c>
      <c r="M15" s="101">
        <f t="shared" si="2"/>
        <v>3774385.5</v>
      </c>
      <c r="N15" s="101">
        <f t="shared" si="3"/>
        <v>0</v>
      </c>
      <c r="O15" s="101">
        <f t="shared" si="4"/>
        <v>3774385.5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3'!L16</f>
        <v>0.75</v>
      </c>
      <c r="K16" s="158">
        <v>0.25</v>
      </c>
      <c r="L16" s="100">
        <f t="shared" si="1"/>
        <v>1</v>
      </c>
      <c r="M16" s="101">
        <f t="shared" si="2"/>
        <v>882063</v>
      </c>
      <c r="N16" s="101">
        <f t="shared" si="3"/>
        <v>294021</v>
      </c>
      <c r="O16" s="101">
        <f t="shared" si="4"/>
        <v>1176084</v>
      </c>
    </row>
    <row r="17" spans="2:19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3'!L17</f>
        <v>0.7</v>
      </c>
      <c r="K17" s="158"/>
      <c r="L17" s="100">
        <f t="shared" si="1"/>
        <v>0.7</v>
      </c>
      <c r="M17" s="101">
        <f t="shared" si="2"/>
        <v>1211924</v>
      </c>
      <c r="N17" s="101">
        <f t="shared" si="3"/>
        <v>0</v>
      </c>
      <c r="O17" s="101">
        <f t="shared" si="4"/>
        <v>1211924</v>
      </c>
    </row>
    <row r="18" spans="2:19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3'!L18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19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3'!L19</f>
        <v>0.5</v>
      </c>
      <c r="K19" s="158"/>
      <c r="L19" s="100">
        <f t="shared" si="1"/>
        <v>0.5</v>
      </c>
      <c r="M19" s="101">
        <f t="shared" si="2"/>
        <v>213243.5</v>
      </c>
      <c r="N19" s="101">
        <f t="shared" si="3"/>
        <v>0</v>
      </c>
      <c r="O19" s="101">
        <f t="shared" si="4"/>
        <v>213243.5</v>
      </c>
    </row>
    <row r="20" spans="2:19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3'!L20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19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19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3'!L22</f>
        <v>0.5</v>
      </c>
      <c r="K22" s="156">
        <v>0.2</v>
      </c>
      <c r="L22" s="157">
        <f t="shared" si="1"/>
        <v>0.7</v>
      </c>
      <c r="M22" s="101">
        <f t="shared" si="2"/>
        <v>20945970</v>
      </c>
      <c r="N22" s="101">
        <f t="shared" si="3"/>
        <v>8378388</v>
      </c>
      <c r="O22" s="101">
        <f t="shared" si="4"/>
        <v>29324358</v>
      </c>
      <c r="S22" s="166"/>
    </row>
    <row r="23" spans="2:19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3'!L23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19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3'!L24</f>
        <v>0</v>
      </c>
      <c r="K24" s="159"/>
      <c r="L24" s="160">
        <f t="shared" si="1"/>
        <v>0</v>
      </c>
      <c r="M24" s="101">
        <f t="shared" si="2"/>
        <v>0</v>
      </c>
      <c r="N24" s="101">
        <f t="shared" si="3"/>
        <v>0</v>
      </c>
      <c r="O24" s="101">
        <f t="shared" si="4"/>
        <v>0</v>
      </c>
    </row>
    <row r="25" spans="2:19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19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3'!L26</f>
        <v>0.25</v>
      </c>
      <c r="K26" s="156">
        <v>0.35</v>
      </c>
      <c r="L26" s="157">
        <f t="shared" si="1"/>
        <v>0.6</v>
      </c>
      <c r="M26" s="101">
        <f t="shared" si="2"/>
        <v>2751682.5</v>
      </c>
      <c r="N26" s="101">
        <f t="shared" si="3"/>
        <v>3852355.4999999995</v>
      </c>
      <c r="O26" s="101">
        <f t="shared" si="4"/>
        <v>6604038</v>
      </c>
    </row>
    <row r="27" spans="2:19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3'!L27</f>
        <v>0.45</v>
      </c>
      <c r="K27" s="158">
        <v>0.15</v>
      </c>
      <c r="L27" s="100">
        <f t="shared" si="1"/>
        <v>0.6</v>
      </c>
      <c r="M27" s="101">
        <f t="shared" si="2"/>
        <v>9649108.8834298663</v>
      </c>
      <c r="N27" s="101">
        <f t="shared" si="3"/>
        <v>3216369.6278099553</v>
      </c>
      <c r="O27" s="101">
        <f t="shared" si="4"/>
        <v>12865478.511239821</v>
      </c>
      <c r="S27" s="193"/>
    </row>
    <row r="28" spans="2:19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3'!L28</f>
        <v>0.45</v>
      </c>
      <c r="K28" s="158">
        <v>0.15</v>
      </c>
      <c r="L28" s="100">
        <f t="shared" si="1"/>
        <v>0.6</v>
      </c>
      <c r="M28" s="101">
        <f t="shared" si="2"/>
        <v>5514777.5637226989</v>
      </c>
      <c r="N28" s="101">
        <f t="shared" si="3"/>
        <v>1838259.1879075663</v>
      </c>
      <c r="O28" s="101">
        <f t="shared" si="4"/>
        <v>7353036.7516302653</v>
      </c>
    </row>
    <row r="29" spans="2:19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3'!L29</f>
        <v>0.3</v>
      </c>
      <c r="K29" s="158">
        <v>0.3</v>
      </c>
      <c r="L29" s="100">
        <f t="shared" si="1"/>
        <v>0.6</v>
      </c>
      <c r="M29" s="101">
        <f t="shared" si="2"/>
        <v>11516594.262494177</v>
      </c>
      <c r="N29" s="101">
        <f t="shared" si="3"/>
        <v>11516594.262494177</v>
      </c>
      <c r="O29" s="101">
        <f t="shared" si="4"/>
        <v>23033188.524988353</v>
      </c>
    </row>
    <row r="30" spans="2:19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3'!L30</f>
        <v>0</v>
      </c>
      <c r="K30" s="158"/>
      <c r="L30" s="100">
        <f t="shared" si="1"/>
        <v>0</v>
      </c>
      <c r="M30" s="101">
        <f t="shared" si="2"/>
        <v>0</v>
      </c>
      <c r="N30" s="101">
        <f t="shared" si="3"/>
        <v>0</v>
      </c>
      <c r="O30" s="101">
        <f t="shared" si="4"/>
        <v>0</v>
      </c>
    </row>
    <row r="31" spans="2:19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3'!L31</f>
        <v>0</v>
      </c>
      <c r="K31" s="158"/>
      <c r="L31" s="100">
        <f t="shared" si="1"/>
        <v>0</v>
      </c>
      <c r="M31" s="101">
        <f t="shared" si="2"/>
        <v>0</v>
      </c>
      <c r="N31" s="101">
        <f t="shared" si="3"/>
        <v>0</v>
      </c>
      <c r="O31" s="101">
        <f t="shared" si="4"/>
        <v>0</v>
      </c>
    </row>
    <row r="32" spans="2:19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3'!L32</f>
        <v>0</v>
      </c>
      <c r="K32" s="158"/>
      <c r="L32" s="100">
        <f t="shared" si="1"/>
        <v>0</v>
      </c>
      <c r="M32" s="101">
        <f t="shared" si="2"/>
        <v>0</v>
      </c>
      <c r="N32" s="101">
        <f t="shared" si="3"/>
        <v>0</v>
      </c>
      <c r="O32" s="101">
        <f t="shared" si="4"/>
        <v>0</v>
      </c>
    </row>
    <row r="33" spans="2:17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3'!L33</f>
        <v>0</v>
      </c>
      <c r="K33" s="158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7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3'!L34</f>
        <v>0</v>
      </c>
      <c r="K34" s="158">
        <v>0.05</v>
      </c>
      <c r="L34" s="100">
        <f t="shared" si="1"/>
        <v>0.05</v>
      </c>
      <c r="M34" s="101">
        <f t="shared" si="2"/>
        <v>0</v>
      </c>
      <c r="N34" s="101">
        <f t="shared" si="3"/>
        <v>750486.2464889898</v>
      </c>
      <c r="O34" s="101">
        <f t="shared" si="4"/>
        <v>750486.2464889898</v>
      </c>
    </row>
    <row r="35" spans="2:17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3'!L35</f>
        <v>0</v>
      </c>
      <c r="K35" s="158"/>
      <c r="L35" s="100">
        <f t="shared" si="1"/>
        <v>0</v>
      </c>
      <c r="M35" s="101">
        <f t="shared" si="2"/>
        <v>0</v>
      </c>
      <c r="N35" s="101">
        <f t="shared" si="3"/>
        <v>0</v>
      </c>
      <c r="O35" s="101">
        <f t="shared" si="4"/>
        <v>0</v>
      </c>
    </row>
    <row r="36" spans="2:17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3'!L36</f>
        <v>0</v>
      </c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7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3'!L37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7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3'!L38</f>
        <v>0.44999999999999996</v>
      </c>
      <c r="K38" s="158">
        <v>0.25</v>
      </c>
      <c r="L38" s="100">
        <f t="shared" si="1"/>
        <v>0.7</v>
      </c>
      <c r="M38" s="101">
        <f t="shared" si="2"/>
        <v>3362795.9999999995</v>
      </c>
      <c r="N38" s="101">
        <f t="shared" si="3"/>
        <v>1868220</v>
      </c>
      <c r="O38" s="101">
        <f t="shared" si="4"/>
        <v>5231016</v>
      </c>
    </row>
    <row r="39" spans="2:17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3'!L39</f>
        <v>0</v>
      </c>
      <c r="K39" s="158"/>
      <c r="L39" s="100">
        <f t="shared" si="1"/>
        <v>0</v>
      </c>
      <c r="M39" s="101">
        <f t="shared" si="2"/>
        <v>0</v>
      </c>
      <c r="N39" s="101">
        <f t="shared" si="3"/>
        <v>0</v>
      </c>
      <c r="O39" s="101">
        <f t="shared" si="4"/>
        <v>0</v>
      </c>
    </row>
    <row r="40" spans="2:17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3'!L40</f>
        <v>0.15000000000000002</v>
      </c>
      <c r="K40" s="158"/>
      <c r="L40" s="100">
        <f t="shared" si="1"/>
        <v>0.15000000000000002</v>
      </c>
      <c r="M40" s="101">
        <f t="shared" si="2"/>
        <v>325955.70000000007</v>
      </c>
      <c r="N40" s="101">
        <f t="shared" si="3"/>
        <v>0</v>
      </c>
      <c r="O40" s="101">
        <f t="shared" si="4"/>
        <v>325955.70000000007</v>
      </c>
    </row>
    <row r="41" spans="2:17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3'!L41</f>
        <v>0.25</v>
      </c>
      <c r="K41" s="158"/>
      <c r="L41" s="100">
        <f t="shared" si="1"/>
        <v>0.25</v>
      </c>
      <c r="M41" s="101">
        <f t="shared" si="2"/>
        <v>69129</v>
      </c>
      <c r="N41" s="101">
        <f t="shared" si="3"/>
        <v>0</v>
      </c>
      <c r="O41" s="101">
        <f t="shared" si="4"/>
        <v>69129</v>
      </c>
    </row>
    <row r="42" spans="2:17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3'!L42</f>
        <v>0</v>
      </c>
      <c r="K42" s="159"/>
      <c r="L42" s="160">
        <f t="shared" si="1"/>
        <v>0</v>
      </c>
      <c r="M42" s="101">
        <f t="shared" si="2"/>
        <v>0</v>
      </c>
      <c r="N42" s="101">
        <f t="shared" si="3"/>
        <v>0</v>
      </c>
      <c r="O42" s="101">
        <f t="shared" si="4"/>
        <v>0</v>
      </c>
    </row>
    <row r="43" spans="2:17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7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3'!L44</f>
        <v>0.30000000000000004</v>
      </c>
      <c r="K44" s="156">
        <v>0.15</v>
      </c>
      <c r="L44" s="157">
        <f t="shared" ref="L44:L56" si="7">+J44+K44</f>
        <v>0.45000000000000007</v>
      </c>
      <c r="M44" s="101">
        <f t="shared" si="2"/>
        <v>1807531.2000000002</v>
      </c>
      <c r="N44" s="101">
        <f t="shared" si="3"/>
        <v>903765.6</v>
      </c>
      <c r="O44" s="101">
        <f t="shared" si="4"/>
        <v>2711296.8000000003</v>
      </c>
      <c r="Q44" s="166"/>
    </row>
    <row r="45" spans="2:17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3'!L45</f>
        <v>0.5</v>
      </c>
      <c r="K45" s="158">
        <v>0.25</v>
      </c>
      <c r="L45" s="100">
        <f t="shared" si="7"/>
        <v>0.75</v>
      </c>
      <c r="M45" s="101">
        <f t="shared" si="2"/>
        <v>3889742</v>
      </c>
      <c r="N45" s="101">
        <f t="shared" si="3"/>
        <v>1944871</v>
      </c>
      <c r="O45" s="101">
        <f t="shared" si="4"/>
        <v>5834613</v>
      </c>
    </row>
    <row r="46" spans="2:17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3'!L46</f>
        <v>0.30000000000000004</v>
      </c>
      <c r="K46" s="158">
        <v>0.15</v>
      </c>
      <c r="L46" s="100">
        <f t="shared" si="7"/>
        <v>0.45000000000000007</v>
      </c>
      <c r="M46" s="101">
        <f t="shared" si="2"/>
        <v>452479.20000000007</v>
      </c>
      <c r="N46" s="101">
        <f t="shared" si="3"/>
        <v>226239.6</v>
      </c>
      <c r="O46" s="101">
        <f t="shared" si="4"/>
        <v>678718.8</v>
      </c>
    </row>
    <row r="47" spans="2:17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3'!L47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7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3'!L48</f>
        <v>0</v>
      </c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3'!L49</f>
        <v>0.1</v>
      </c>
      <c r="K49" s="163">
        <v>0.1</v>
      </c>
      <c r="L49" s="100">
        <f t="shared" si="7"/>
        <v>0.2</v>
      </c>
      <c r="M49" s="101">
        <f t="shared" si="2"/>
        <v>361866.4</v>
      </c>
      <c r="N49" s="101">
        <f t="shared" si="3"/>
        <v>361866.4</v>
      </c>
      <c r="O49" s="101">
        <f t="shared" si="4"/>
        <v>723732.8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3'!L50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3'!L51</f>
        <v>0.05</v>
      </c>
      <c r="K51" s="163"/>
      <c r="L51" s="100">
        <f t="shared" si="7"/>
        <v>0.05</v>
      </c>
      <c r="M51" s="101">
        <f t="shared" si="2"/>
        <v>125688.40000000001</v>
      </c>
      <c r="N51" s="101">
        <f t="shared" si="3"/>
        <v>0</v>
      </c>
      <c r="O51" s="101">
        <f t="shared" si="4"/>
        <v>125688.40000000001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3'!L52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3'!L53</f>
        <v>0</v>
      </c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3'!L55</f>
        <v>0.30000000000000004</v>
      </c>
      <c r="K55" s="164">
        <v>0.15</v>
      </c>
      <c r="L55" s="157">
        <f t="shared" si="7"/>
        <v>0.45000000000000007</v>
      </c>
      <c r="M55" s="101">
        <f t="shared" si="2"/>
        <v>11457854.400000002</v>
      </c>
      <c r="N55" s="101">
        <f t="shared" si="3"/>
        <v>5728927.2000000002</v>
      </c>
      <c r="O55" s="101">
        <f t="shared" si="4"/>
        <v>17186781.600000001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3'!L56</f>
        <v>0.30000000000000004</v>
      </c>
      <c r="K56" s="165">
        <v>0.15</v>
      </c>
      <c r="L56" s="160">
        <f t="shared" si="7"/>
        <v>0.45000000000000007</v>
      </c>
      <c r="M56" s="101">
        <f t="shared" si="2"/>
        <v>1508260.8000000003</v>
      </c>
      <c r="N56" s="101">
        <f t="shared" si="3"/>
        <v>754130.4</v>
      </c>
      <c r="O56" s="101">
        <f t="shared" si="4"/>
        <v>2262391.2000000002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90364933.909646764</v>
      </c>
      <c r="N57" s="154">
        <f>+SUM(N10:N56)</f>
        <v>41634494.024700694</v>
      </c>
      <c r="O57" s="155">
        <f>+SUM(O10:O56)</f>
        <v>131999427.93434744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0.31331006831667219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4</v>
      </c>
      <c r="N60" s="112"/>
      <c r="O60" s="113">
        <f>+O6</f>
        <v>45835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41634494.024700694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-8326898.8049401389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33307595.219760556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35" priority="4" operator="equal">
      <formula>"x"</formula>
    </cfRule>
  </conditionalFormatting>
  <conditionalFormatting sqref="D43:D54">
    <cfRule type="cellIs" dxfId="34" priority="3" operator="equal">
      <formula>"x"</formula>
    </cfRule>
  </conditionalFormatting>
  <conditionalFormatting sqref="D57:D58">
    <cfRule type="cellIs" dxfId="33" priority="2" operator="equal">
      <formula>"x"</formula>
    </cfRule>
  </conditionalFormatting>
  <conditionalFormatting sqref="L11:L20 L22:L24 L26:L42 L44:L53 L55:L56">
    <cfRule type="cellIs" dxfId="32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78E5-CD9A-4460-BFBA-45F35D91F6DB}">
  <dimension ref="B1:S70"/>
  <sheetViews>
    <sheetView topLeftCell="A18" zoomScaleNormal="100" workbookViewId="0">
      <pane xSplit="2" topLeftCell="C1" activePane="topRight" state="frozen"/>
      <selection pane="topRight" activeCell="L11" sqref="L11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28515625" style="8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90">
        <v>5</v>
      </c>
      <c r="L6" s="91"/>
      <c r="M6" s="92"/>
      <c r="N6" s="93"/>
      <c r="O6" s="94">
        <v>45861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4'!L11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4'!L12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4'!L13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4'!L14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4'!L15</f>
        <v>0.5</v>
      </c>
      <c r="K15" s="158">
        <v>0.3</v>
      </c>
      <c r="L15" s="100">
        <f t="shared" si="1"/>
        <v>0.8</v>
      </c>
      <c r="M15" s="101">
        <f t="shared" si="2"/>
        <v>3774385.5</v>
      </c>
      <c r="N15" s="101">
        <f t="shared" si="3"/>
        <v>2264631.2999999998</v>
      </c>
      <c r="O15" s="101">
        <f t="shared" si="4"/>
        <v>6039016.8000000007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4'!L16</f>
        <v>1</v>
      </c>
      <c r="K16" s="158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</row>
    <row r="17" spans="2:19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4'!L17</f>
        <v>0.7</v>
      </c>
      <c r="K17" s="158"/>
      <c r="L17" s="100">
        <f t="shared" si="1"/>
        <v>0.7</v>
      </c>
      <c r="M17" s="101">
        <f t="shared" si="2"/>
        <v>1211924</v>
      </c>
      <c r="N17" s="101">
        <f t="shared" si="3"/>
        <v>0</v>
      </c>
      <c r="O17" s="101">
        <f t="shared" si="4"/>
        <v>1211924</v>
      </c>
    </row>
    <row r="18" spans="2:19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4'!L18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19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4'!L19</f>
        <v>0.5</v>
      </c>
      <c r="K19" s="158"/>
      <c r="L19" s="100">
        <f t="shared" si="1"/>
        <v>0.5</v>
      </c>
      <c r="M19" s="101">
        <f t="shared" si="2"/>
        <v>213243.5</v>
      </c>
      <c r="N19" s="101">
        <f t="shared" si="3"/>
        <v>0</v>
      </c>
      <c r="O19" s="101">
        <f t="shared" si="4"/>
        <v>213243.5</v>
      </c>
    </row>
    <row r="20" spans="2:19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4'!L20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19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19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4'!L22</f>
        <v>0.7</v>
      </c>
      <c r="K22" s="156">
        <v>0.2</v>
      </c>
      <c r="L22" s="157">
        <f t="shared" si="1"/>
        <v>0.89999999999999991</v>
      </c>
      <c r="M22" s="101">
        <f t="shared" si="2"/>
        <v>29324358</v>
      </c>
      <c r="N22" s="101">
        <f t="shared" si="3"/>
        <v>8378388</v>
      </c>
      <c r="O22" s="101">
        <f t="shared" si="4"/>
        <v>37702746</v>
      </c>
      <c r="S22" s="166"/>
    </row>
    <row r="23" spans="2:19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4'!L23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19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4'!L24</f>
        <v>0</v>
      </c>
      <c r="K24" s="159"/>
      <c r="L24" s="160">
        <f t="shared" si="1"/>
        <v>0</v>
      </c>
      <c r="M24" s="101">
        <f t="shared" si="2"/>
        <v>0</v>
      </c>
      <c r="N24" s="101">
        <f t="shared" si="3"/>
        <v>0</v>
      </c>
      <c r="O24" s="101">
        <f t="shared" si="4"/>
        <v>0</v>
      </c>
    </row>
    <row r="25" spans="2:19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19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4'!L26</f>
        <v>0.6</v>
      </c>
      <c r="K26" s="156"/>
      <c r="L26" s="157">
        <f t="shared" si="1"/>
        <v>0.6</v>
      </c>
      <c r="M26" s="101">
        <f t="shared" si="2"/>
        <v>6604038</v>
      </c>
      <c r="N26" s="101">
        <f t="shared" si="3"/>
        <v>0</v>
      </c>
      <c r="O26" s="101">
        <f t="shared" si="4"/>
        <v>6604038</v>
      </c>
    </row>
    <row r="27" spans="2:19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4'!L27</f>
        <v>0.6</v>
      </c>
      <c r="K27" s="158"/>
      <c r="L27" s="100">
        <f t="shared" si="1"/>
        <v>0.6</v>
      </c>
      <c r="M27" s="101">
        <f t="shared" si="2"/>
        <v>12865478.511239821</v>
      </c>
      <c r="N27" s="101">
        <f t="shared" si="3"/>
        <v>0</v>
      </c>
      <c r="O27" s="101">
        <f t="shared" si="4"/>
        <v>12865478.511239821</v>
      </c>
      <c r="S27" s="193"/>
    </row>
    <row r="28" spans="2:19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4'!L28</f>
        <v>0.6</v>
      </c>
      <c r="K28" s="158"/>
      <c r="L28" s="100">
        <f t="shared" si="1"/>
        <v>0.6</v>
      </c>
      <c r="M28" s="101">
        <f t="shared" si="2"/>
        <v>7353036.7516302653</v>
      </c>
      <c r="N28" s="101">
        <f t="shared" si="3"/>
        <v>0</v>
      </c>
      <c r="O28" s="101">
        <f t="shared" si="4"/>
        <v>7353036.7516302653</v>
      </c>
    </row>
    <row r="29" spans="2:19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4'!L29</f>
        <v>0.6</v>
      </c>
      <c r="K29" s="158"/>
      <c r="L29" s="100">
        <f t="shared" si="1"/>
        <v>0.6</v>
      </c>
      <c r="M29" s="101">
        <f t="shared" si="2"/>
        <v>23033188.524988353</v>
      </c>
      <c r="N29" s="101">
        <f t="shared" si="3"/>
        <v>0</v>
      </c>
      <c r="O29" s="101">
        <f t="shared" si="4"/>
        <v>23033188.524988353</v>
      </c>
    </row>
    <row r="30" spans="2:19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4'!L30</f>
        <v>0</v>
      </c>
      <c r="K30" s="158"/>
      <c r="L30" s="100">
        <f t="shared" si="1"/>
        <v>0</v>
      </c>
      <c r="M30" s="101">
        <f t="shared" si="2"/>
        <v>0</v>
      </c>
      <c r="N30" s="101">
        <f t="shared" si="3"/>
        <v>0</v>
      </c>
      <c r="O30" s="101">
        <f t="shared" si="4"/>
        <v>0</v>
      </c>
    </row>
    <row r="31" spans="2:19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4'!L31</f>
        <v>0</v>
      </c>
      <c r="K31" s="158">
        <v>0.1</v>
      </c>
      <c r="L31" s="100">
        <f t="shared" si="1"/>
        <v>0.1</v>
      </c>
      <c r="M31" s="101">
        <f t="shared" si="2"/>
        <v>0</v>
      </c>
      <c r="N31" s="101">
        <f t="shared" si="3"/>
        <v>5615866.8631176781</v>
      </c>
      <c r="O31" s="101">
        <f t="shared" si="4"/>
        <v>5615866.8631176781</v>
      </c>
    </row>
    <row r="32" spans="2:19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4'!L32</f>
        <v>0</v>
      </c>
      <c r="K32" s="158">
        <v>0.22</v>
      </c>
      <c r="L32" s="100">
        <f t="shared" si="1"/>
        <v>0.22</v>
      </c>
      <c r="M32" s="101">
        <f t="shared" si="2"/>
        <v>0</v>
      </c>
      <c r="N32" s="101">
        <f t="shared" si="3"/>
        <v>11283421.245966436</v>
      </c>
      <c r="O32" s="101">
        <f t="shared" si="4"/>
        <v>11283421.245966436</v>
      </c>
    </row>
    <row r="33" spans="2:18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4'!L33</f>
        <v>0</v>
      </c>
      <c r="K33" s="158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8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4'!L34</f>
        <v>0.05</v>
      </c>
      <c r="K34" s="158">
        <v>0.05</v>
      </c>
      <c r="L34" s="100">
        <f t="shared" si="1"/>
        <v>0.1</v>
      </c>
      <c r="M34" s="101">
        <f t="shared" si="2"/>
        <v>750486.2464889898</v>
      </c>
      <c r="N34" s="101">
        <f t="shared" si="3"/>
        <v>750486.2464889898</v>
      </c>
      <c r="O34" s="101">
        <f t="shared" si="4"/>
        <v>1500972.4929779796</v>
      </c>
    </row>
    <row r="35" spans="2:18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4'!L35</f>
        <v>0</v>
      </c>
      <c r="K35" s="158">
        <v>0.1</v>
      </c>
      <c r="L35" s="100">
        <f t="shared" si="1"/>
        <v>0.1</v>
      </c>
      <c r="M35" s="101">
        <f t="shared" si="2"/>
        <v>0</v>
      </c>
      <c r="N35" s="101">
        <f t="shared" si="3"/>
        <v>2558838.438818851</v>
      </c>
      <c r="O35" s="101">
        <f t="shared" si="4"/>
        <v>2558838.438818851</v>
      </c>
    </row>
    <row r="36" spans="2:18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4'!L36</f>
        <v>0</v>
      </c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8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4'!L37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8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4'!L38</f>
        <v>0.7</v>
      </c>
      <c r="K38" s="158"/>
      <c r="L38" s="100">
        <f t="shared" si="1"/>
        <v>0.7</v>
      </c>
      <c r="M38" s="101">
        <f t="shared" si="2"/>
        <v>5231016</v>
      </c>
      <c r="N38" s="101">
        <f t="shared" si="3"/>
        <v>0</v>
      </c>
      <c r="O38" s="101">
        <f t="shared" si="4"/>
        <v>5231016</v>
      </c>
    </row>
    <row r="39" spans="2:18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4'!L39</f>
        <v>0</v>
      </c>
      <c r="K39" s="158">
        <v>0.15</v>
      </c>
      <c r="L39" s="100">
        <f t="shared" si="1"/>
        <v>0.15</v>
      </c>
      <c r="M39" s="101">
        <f t="shared" si="2"/>
        <v>0</v>
      </c>
      <c r="N39" s="101">
        <f t="shared" si="3"/>
        <v>1663374.15</v>
      </c>
      <c r="O39" s="101">
        <f t="shared" si="4"/>
        <v>1663374.15</v>
      </c>
    </row>
    <row r="40" spans="2:18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4'!L40</f>
        <v>0.15000000000000002</v>
      </c>
      <c r="K40" s="158">
        <v>0.2</v>
      </c>
      <c r="L40" s="100">
        <f t="shared" si="1"/>
        <v>0.35000000000000003</v>
      </c>
      <c r="M40" s="101">
        <f t="shared" si="2"/>
        <v>325955.70000000007</v>
      </c>
      <c r="N40" s="101">
        <f t="shared" si="3"/>
        <v>434607.60000000003</v>
      </c>
      <c r="O40" s="101">
        <f t="shared" si="4"/>
        <v>760563.3</v>
      </c>
    </row>
    <row r="41" spans="2:18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4'!L41</f>
        <v>0.25</v>
      </c>
      <c r="K41" s="158">
        <v>0.25</v>
      </c>
      <c r="L41" s="100">
        <f t="shared" si="1"/>
        <v>0.5</v>
      </c>
      <c r="M41" s="101">
        <f t="shared" si="2"/>
        <v>69129</v>
      </c>
      <c r="N41" s="101">
        <f t="shared" si="3"/>
        <v>69129</v>
      </c>
      <c r="O41" s="101">
        <f t="shared" si="4"/>
        <v>138258</v>
      </c>
      <c r="R41" s="202"/>
    </row>
    <row r="42" spans="2:18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4'!L42</f>
        <v>0</v>
      </c>
      <c r="K42" s="159"/>
      <c r="L42" s="160">
        <f t="shared" si="1"/>
        <v>0</v>
      </c>
      <c r="M42" s="101">
        <f t="shared" si="2"/>
        <v>0</v>
      </c>
      <c r="N42" s="101">
        <f t="shared" si="3"/>
        <v>0</v>
      </c>
      <c r="O42" s="101">
        <f t="shared" si="4"/>
        <v>0</v>
      </c>
    </row>
    <row r="43" spans="2:18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8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4'!L44</f>
        <v>0.45000000000000007</v>
      </c>
      <c r="K44" s="156">
        <v>0.12</v>
      </c>
      <c r="L44" s="157">
        <f t="shared" ref="L44:L56" si="7">+J44+K44</f>
        <v>0.57000000000000006</v>
      </c>
      <c r="M44" s="101">
        <f t="shared" si="2"/>
        <v>2711296.8000000003</v>
      </c>
      <c r="N44" s="101">
        <f t="shared" si="3"/>
        <v>723012.48</v>
      </c>
      <c r="O44" s="101">
        <f t="shared" si="4"/>
        <v>3434309.2800000003</v>
      </c>
      <c r="Q44" s="166"/>
    </row>
    <row r="45" spans="2:18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4'!L45</f>
        <v>0.75</v>
      </c>
      <c r="K45" s="158">
        <v>0.15</v>
      </c>
      <c r="L45" s="100">
        <f t="shared" si="7"/>
        <v>0.9</v>
      </c>
      <c r="M45" s="101">
        <f t="shared" si="2"/>
        <v>5834613</v>
      </c>
      <c r="N45" s="101">
        <f t="shared" si="3"/>
        <v>1166922.5999999999</v>
      </c>
      <c r="O45" s="101">
        <f t="shared" si="4"/>
        <v>7001535.6000000006</v>
      </c>
    </row>
    <row r="46" spans="2:18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4'!L46</f>
        <v>0.45000000000000007</v>
      </c>
      <c r="K46" s="158">
        <v>0.12</v>
      </c>
      <c r="L46" s="100">
        <f t="shared" si="7"/>
        <v>0.57000000000000006</v>
      </c>
      <c r="M46" s="101">
        <f t="shared" si="2"/>
        <v>678718.8</v>
      </c>
      <c r="N46" s="101">
        <f t="shared" si="3"/>
        <v>180991.68</v>
      </c>
      <c r="O46" s="101">
        <f t="shared" si="4"/>
        <v>859710.4800000001</v>
      </c>
    </row>
    <row r="47" spans="2:18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4'!L47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8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4'!L48</f>
        <v>0</v>
      </c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4'!L49</f>
        <v>0.2</v>
      </c>
      <c r="K49" s="163">
        <v>0.05</v>
      </c>
      <c r="L49" s="100">
        <f t="shared" si="7"/>
        <v>0.25</v>
      </c>
      <c r="M49" s="101">
        <f t="shared" si="2"/>
        <v>723732.8</v>
      </c>
      <c r="N49" s="101">
        <f t="shared" si="3"/>
        <v>180933.2</v>
      </c>
      <c r="O49" s="101">
        <f t="shared" si="4"/>
        <v>904666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4'!L50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4'!L51</f>
        <v>0.05</v>
      </c>
      <c r="K51" s="163">
        <v>0.1</v>
      </c>
      <c r="L51" s="100">
        <f t="shared" si="7"/>
        <v>0.15000000000000002</v>
      </c>
      <c r="M51" s="101">
        <f t="shared" si="2"/>
        <v>125688.40000000001</v>
      </c>
      <c r="N51" s="101">
        <f t="shared" si="3"/>
        <v>251376.80000000002</v>
      </c>
      <c r="O51" s="101">
        <f t="shared" si="4"/>
        <v>377065.20000000007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4'!L52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4'!L53</f>
        <v>0</v>
      </c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4'!L55</f>
        <v>0.45000000000000007</v>
      </c>
      <c r="K55" s="164">
        <v>0.12</v>
      </c>
      <c r="L55" s="157">
        <f t="shared" si="7"/>
        <v>0.57000000000000006</v>
      </c>
      <c r="M55" s="101">
        <f t="shared" si="2"/>
        <v>17186781.600000001</v>
      </c>
      <c r="N55" s="101">
        <f t="shared" si="3"/>
        <v>4583141.76</v>
      </c>
      <c r="O55" s="101">
        <f t="shared" si="4"/>
        <v>21769923.360000003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4'!L56</f>
        <v>0.45000000000000007</v>
      </c>
      <c r="K56" s="165">
        <v>0.12</v>
      </c>
      <c r="L56" s="160">
        <f t="shared" si="7"/>
        <v>0.57000000000000006</v>
      </c>
      <c r="M56" s="101">
        <f t="shared" si="2"/>
        <v>2262391.2000000002</v>
      </c>
      <c r="N56" s="101">
        <f t="shared" si="3"/>
        <v>603304.31999999995</v>
      </c>
      <c r="O56" s="101">
        <f t="shared" si="4"/>
        <v>2865695.5200000005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131999427.93434744</v>
      </c>
      <c r="N57" s="154">
        <f>+SUM(N10:N56)</f>
        <v>40708425.684391953</v>
      </c>
      <c r="O57" s="155">
        <f>+SUM(O10:O56)</f>
        <v>172707853.6187394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0.40993442367815641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5</v>
      </c>
      <c r="N60" s="112"/>
      <c r="O60" s="113">
        <f>+O6</f>
        <v>45861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40708425.684391953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-8141685.1368783908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32566740.547513563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31" priority="4" operator="equal">
      <formula>"x"</formula>
    </cfRule>
  </conditionalFormatting>
  <conditionalFormatting sqref="D43:D54">
    <cfRule type="cellIs" dxfId="30" priority="3" operator="equal">
      <formula>"x"</formula>
    </cfRule>
  </conditionalFormatting>
  <conditionalFormatting sqref="D57:D58">
    <cfRule type="cellIs" dxfId="29" priority="2" operator="equal">
      <formula>"x"</formula>
    </cfRule>
  </conditionalFormatting>
  <conditionalFormatting sqref="L11:L20 L22:L24 L26:L42 L44:L53 L55:L56">
    <cfRule type="cellIs" dxfId="28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996F-5DC5-4EEB-8850-BB42E7977276}">
  <dimension ref="B1:T70"/>
  <sheetViews>
    <sheetView topLeftCell="A38" zoomScaleNormal="100" workbookViewId="0">
      <pane xSplit="2" topLeftCell="C1" activePane="topRight" state="frozen"/>
      <selection pane="topRight" activeCell="H25" sqref="H25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42578125" style="8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6</v>
      </c>
      <c r="L6" s="91"/>
      <c r="M6" s="92"/>
      <c r="N6" s="93"/>
      <c r="O6" s="94">
        <v>45898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5'!L11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5'!L12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5'!L13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5'!L14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5'!L15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5'!L16</f>
        <v>1</v>
      </c>
      <c r="K16" s="158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</row>
    <row r="17" spans="2:20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5'!L17</f>
        <v>0.7</v>
      </c>
      <c r="K17" s="158">
        <v>0.3</v>
      </c>
      <c r="L17" s="100">
        <f t="shared" si="1"/>
        <v>1</v>
      </c>
      <c r="M17" s="101">
        <f t="shared" si="2"/>
        <v>1211924</v>
      </c>
      <c r="N17" s="101">
        <f t="shared" si="3"/>
        <v>519396</v>
      </c>
      <c r="O17" s="101">
        <f t="shared" si="4"/>
        <v>1731320</v>
      </c>
    </row>
    <row r="18" spans="2:20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5'!L18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20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5'!L19</f>
        <v>0.5</v>
      </c>
      <c r="K19" s="158">
        <v>0.15</v>
      </c>
      <c r="L19" s="100">
        <f t="shared" si="1"/>
        <v>0.65</v>
      </c>
      <c r="M19" s="101">
        <f t="shared" si="2"/>
        <v>213243.5</v>
      </c>
      <c r="N19" s="101">
        <f t="shared" si="3"/>
        <v>63973.049999999996</v>
      </c>
      <c r="O19" s="101">
        <f t="shared" si="4"/>
        <v>277216.55</v>
      </c>
    </row>
    <row r="20" spans="2:20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5'!L20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20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20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5'!L22</f>
        <v>0.89999999999999991</v>
      </c>
      <c r="K22" s="156">
        <v>0.1</v>
      </c>
      <c r="L22" s="157">
        <f t="shared" si="1"/>
        <v>0.99999999999999989</v>
      </c>
      <c r="M22" s="101">
        <f t="shared" si="2"/>
        <v>37702746</v>
      </c>
      <c r="N22" s="101">
        <f t="shared" si="3"/>
        <v>4189194</v>
      </c>
      <c r="O22" s="101">
        <f t="shared" si="4"/>
        <v>41891939.999999993</v>
      </c>
      <c r="S22" s="166"/>
    </row>
    <row r="23" spans="2:20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5'!L23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0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5'!L24</f>
        <v>0</v>
      </c>
      <c r="K24" s="159">
        <v>1</v>
      </c>
      <c r="L24" s="160">
        <f t="shared" si="1"/>
        <v>1</v>
      </c>
      <c r="M24" s="101">
        <f t="shared" si="2"/>
        <v>0</v>
      </c>
      <c r="N24" s="101">
        <f t="shared" si="3"/>
        <v>125524</v>
      </c>
      <c r="O24" s="101">
        <f t="shared" si="4"/>
        <v>125524</v>
      </c>
    </row>
    <row r="25" spans="2:20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20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5'!L26</f>
        <v>0.6</v>
      </c>
      <c r="K26" s="156">
        <v>0.4</v>
      </c>
      <c r="L26" s="157">
        <f t="shared" si="1"/>
        <v>1</v>
      </c>
      <c r="M26" s="101">
        <f t="shared" si="2"/>
        <v>6604038</v>
      </c>
      <c r="N26" s="101">
        <f t="shared" si="3"/>
        <v>4402692</v>
      </c>
      <c r="O26" s="101">
        <f t="shared" si="4"/>
        <v>11006730</v>
      </c>
    </row>
    <row r="27" spans="2:20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5'!L27</f>
        <v>0.6</v>
      </c>
      <c r="K27" s="158">
        <v>0.4</v>
      </c>
      <c r="L27" s="100">
        <f t="shared" si="1"/>
        <v>1</v>
      </c>
      <c r="M27" s="101">
        <f t="shared" si="2"/>
        <v>12865478.511239821</v>
      </c>
      <c r="N27" s="101">
        <f t="shared" si="3"/>
        <v>8576985.6741598826</v>
      </c>
      <c r="O27" s="101">
        <f t="shared" si="4"/>
        <v>21442464.185399704</v>
      </c>
      <c r="S27" s="193"/>
    </row>
    <row r="28" spans="2:20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5'!L28</f>
        <v>0.6</v>
      </c>
      <c r="K28" s="158">
        <v>0.4</v>
      </c>
      <c r="L28" s="100">
        <f t="shared" si="1"/>
        <v>1</v>
      </c>
      <c r="M28" s="101">
        <f t="shared" si="2"/>
        <v>7353036.7516302653</v>
      </c>
      <c r="N28" s="101">
        <f t="shared" si="3"/>
        <v>4902024.5010868441</v>
      </c>
      <c r="O28" s="101">
        <f t="shared" si="4"/>
        <v>12255061.252717109</v>
      </c>
    </row>
    <row r="29" spans="2:20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5'!L29</f>
        <v>0.6</v>
      </c>
      <c r="K29" s="158">
        <v>0.4</v>
      </c>
      <c r="L29" s="100">
        <f t="shared" si="1"/>
        <v>1</v>
      </c>
      <c r="M29" s="101">
        <f t="shared" si="2"/>
        <v>23033188.524988353</v>
      </c>
      <c r="N29" s="101">
        <f t="shared" si="3"/>
        <v>15355459.016658902</v>
      </c>
      <c r="O29" s="101">
        <f t="shared" si="4"/>
        <v>38388647.541647255</v>
      </c>
    </row>
    <row r="30" spans="2:20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5'!L30</f>
        <v>0</v>
      </c>
      <c r="K30" s="158">
        <v>0.05</v>
      </c>
      <c r="L30" s="100">
        <f t="shared" si="1"/>
        <v>0.05</v>
      </c>
      <c r="M30" s="101">
        <f t="shared" si="2"/>
        <v>0</v>
      </c>
      <c r="N30" s="101">
        <f t="shared" si="3"/>
        <v>231365.82657612168</v>
      </c>
      <c r="O30" s="101">
        <f t="shared" si="4"/>
        <v>231365.82657612168</v>
      </c>
    </row>
    <row r="31" spans="2:20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5'!L31</f>
        <v>0.1</v>
      </c>
      <c r="K31" s="158">
        <v>0.05</v>
      </c>
      <c r="L31" s="100">
        <f t="shared" si="1"/>
        <v>0.15000000000000002</v>
      </c>
      <c r="M31" s="101">
        <f t="shared" si="2"/>
        <v>5615866.8631176781</v>
      </c>
      <c r="N31" s="101">
        <f t="shared" si="3"/>
        <v>2807933.431558839</v>
      </c>
      <c r="O31" s="101">
        <f t="shared" si="4"/>
        <v>8423800.2946765181</v>
      </c>
      <c r="R31" s="202"/>
      <c r="S31" s="203"/>
      <c r="T31" s="203"/>
    </row>
    <row r="32" spans="2:20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5'!L32</f>
        <v>0.22</v>
      </c>
      <c r="K32" s="163">
        <v>0.08</v>
      </c>
      <c r="L32" s="100">
        <f t="shared" si="1"/>
        <v>0.3</v>
      </c>
      <c r="M32" s="101">
        <f t="shared" si="2"/>
        <v>11283421.245966436</v>
      </c>
      <c r="N32" s="101">
        <f t="shared" si="3"/>
        <v>4103062.2712605228</v>
      </c>
      <c r="O32" s="101">
        <f t="shared" si="4"/>
        <v>15386483.517226959</v>
      </c>
      <c r="R32" s="203"/>
      <c r="S32" s="203"/>
    </row>
    <row r="33" spans="2:19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5'!L33</f>
        <v>0</v>
      </c>
      <c r="K33" s="163"/>
      <c r="L33" s="100">
        <f t="shared" si="1"/>
        <v>0</v>
      </c>
      <c r="M33" s="101">
        <f t="shared" si="2"/>
        <v>0</v>
      </c>
      <c r="N33" s="101">
        <f t="shared" si="3"/>
        <v>0</v>
      </c>
      <c r="O33" s="101">
        <f t="shared" si="4"/>
        <v>0</v>
      </c>
    </row>
    <row r="34" spans="2:19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5'!L34</f>
        <v>0.1</v>
      </c>
      <c r="K34" s="163">
        <v>0.05</v>
      </c>
      <c r="L34" s="100">
        <f t="shared" si="1"/>
        <v>0.15000000000000002</v>
      </c>
      <c r="M34" s="101">
        <f t="shared" si="2"/>
        <v>1500972.4929779796</v>
      </c>
      <c r="N34" s="101">
        <f t="shared" si="3"/>
        <v>750486.2464889898</v>
      </c>
      <c r="O34" s="101">
        <f t="shared" si="4"/>
        <v>2251458.7394669694</v>
      </c>
      <c r="Q34" s="203"/>
      <c r="S34" s="203"/>
    </row>
    <row r="35" spans="2:19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5'!L35</f>
        <v>0.1</v>
      </c>
      <c r="K35" s="163">
        <v>0.1</v>
      </c>
      <c r="L35" s="100">
        <f t="shared" si="1"/>
        <v>0.2</v>
      </c>
      <c r="M35" s="101">
        <f t="shared" si="2"/>
        <v>2558838.438818851</v>
      </c>
      <c r="N35" s="101">
        <f t="shared" si="3"/>
        <v>2558838.438818851</v>
      </c>
      <c r="O35" s="101">
        <f t="shared" si="4"/>
        <v>5117676.877637702</v>
      </c>
      <c r="S35" s="203"/>
    </row>
    <row r="36" spans="2:19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5'!L36</f>
        <v>0</v>
      </c>
      <c r="K36" s="158"/>
      <c r="L36" s="100">
        <f t="shared" si="1"/>
        <v>0</v>
      </c>
      <c r="M36" s="101">
        <f t="shared" si="2"/>
        <v>0</v>
      </c>
      <c r="N36" s="101">
        <f t="shared" si="3"/>
        <v>0</v>
      </c>
      <c r="O36" s="101">
        <f t="shared" si="4"/>
        <v>0</v>
      </c>
    </row>
    <row r="37" spans="2:19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5'!L37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</row>
    <row r="38" spans="2:19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5'!L38</f>
        <v>0.7</v>
      </c>
      <c r="K38" s="158">
        <v>0.3</v>
      </c>
      <c r="L38" s="100">
        <f t="shared" si="1"/>
        <v>1</v>
      </c>
      <c r="M38" s="101">
        <f t="shared" si="2"/>
        <v>5231016</v>
      </c>
      <c r="N38" s="101">
        <f t="shared" si="3"/>
        <v>2241864</v>
      </c>
      <c r="O38" s="101">
        <f t="shared" si="4"/>
        <v>7472880</v>
      </c>
    </row>
    <row r="39" spans="2:19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5'!L39</f>
        <v>0.15</v>
      </c>
      <c r="K39" s="163">
        <v>0.05</v>
      </c>
      <c r="L39" s="100">
        <f t="shared" si="1"/>
        <v>0.2</v>
      </c>
      <c r="M39" s="101">
        <f t="shared" si="2"/>
        <v>1663374.15</v>
      </c>
      <c r="N39" s="101">
        <f t="shared" si="3"/>
        <v>554458.05000000005</v>
      </c>
      <c r="O39" s="101">
        <f t="shared" si="4"/>
        <v>2217832.2000000002</v>
      </c>
    </row>
    <row r="40" spans="2:19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5'!L40</f>
        <v>0.35000000000000003</v>
      </c>
      <c r="K40" s="158">
        <v>0.05</v>
      </c>
      <c r="L40" s="100">
        <f t="shared" si="1"/>
        <v>0.4</v>
      </c>
      <c r="M40" s="101">
        <f t="shared" si="2"/>
        <v>760563.3</v>
      </c>
      <c r="N40" s="101">
        <f t="shared" si="3"/>
        <v>108651.90000000001</v>
      </c>
      <c r="O40" s="101">
        <f t="shared" si="4"/>
        <v>869215.20000000007</v>
      </c>
    </row>
    <row r="41" spans="2:19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5'!L41</f>
        <v>0.5</v>
      </c>
      <c r="K41" s="158"/>
      <c r="L41" s="100">
        <f t="shared" si="1"/>
        <v>0.5</v>
      </c>
      <c r="M41" s="101">
        <f t="shared" si="2"/>
        <v>138258</v>
      </c>
      <c r="N41" s="101">
        <f t="shared" si="3"/>
        <v>0</v>
      </c>
      <c r="O41" s="101">
        <f t="shared" si="4"/>
        <v>138258</v>
      </c>
      <c r="R41" s="202"/>
    </row>
    <row r="42" spans="2:19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5'!L42</f>
        <v>0</v>
      </c>
      <c r="K42" s="159">
        <v>0.1</v>
      </c>
      <c r="L42" s="160">
        <f t="shared" si="1"/>
        <v>0.1</v>
      </c>
      <c r="M42" s="101">
        <f t="shared" si="2"/>
        <v>0</v>
      </c>
      <c r="N42" s="101">
        <f t="shared" si="3"/>
        <v>228594</v>
      </c>
      <c r="O42" s="101">
        <f t="shared" si="4"/>
        <v>228594</v>
      </c>
    </row>
    <row r="43" spans="2:19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19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5'!L44</f>
        <v>0.57000000000000006</v>
      </c>
      <c r="K44" s="156">
        <v>0.13</v>
      </c>
      <c r="L44" s="157">
        <f t="shared" ref="L44:L56" si="7">+J44+K44</f>
        <v>0.70000000000000007</v>
      </c>
      <c r="M44" s="101">
        <f t="shared" si="2"/>
        <v>3434309.2800000003</v>
      </c>
      <c r="N44" s="101">
        <f t="shared" si="3"/>
        <v>783263.52</v>
      </c>
      <c r="O44" s="101">
        <f t="shared" si="4"/>
        <v>4217572.8000000007</v>
      </c>
      <c r="Q44" s="166"/>
    </row>
    <row r="45" spans="2:19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5'!L45</f>
        <v>0.9</v>
      </c>
      <c r="K45" s="158">
        <v>0.1</v>
      </c>
      <c r="L45" s="100">
        <f t="shared" si="7"/>
        <v>1</v>
      </c>
      <c r="M45" s="101">
        <f t="shared" si="2"/>
        <v>7001535.6000000006</v>
      </c>
      <c r="N45" s="101">
        <f t="shared" si="3"/>
        <v>777948.4</v>
      </c>
      <c r="O45" s="101">
        <f t="shared" si="4"/>
        <v>7779484</v>
      </c>
    </row>
    <row r="46" spans="2:19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5'!L46</f>
        <v>0.57000000000000006</v>
      </c>
      <c r="K46" s="158">
        <v>0.13</v>
      </c>
      <c r="L46" s="100">
        <f t="shared" si="7"/>
        <v>0.70000000000000007</v>
      </c>
      <c r="M46" s="101">
        <f t="shared" si="2"/>
        <v>859710.4800000001</v>
      </c>
      <c r="N46" s="101">
        <f t="shared" si="3"/>
        <v>196074.32</v>
      </c>
      <c r="O46" s="101">
        <f t="shared" si="4"/>
        <v>1055784.8</v>
      </c>
    </row>
    <row r="47" spans="2:19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5'!L47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19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5'!L48</f>
        <v>0</v>
      </c>
      <c r="K48" s="163"/>
      <c r="L48" s="100">
        <f t="shared" si="7"/>
        <v>0</v>
      </c>
      <c r="M48" s="101">
        <f t="shared" si="2"/>
        <v>0</v>
      </c>
      <c r="N48" s="101">
        <f t="shared" si="3"/>
        <v>0</v>
      </c>
      <c r="O48" s="101">
        <f t="shared" si="4"/>
        <v>0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5'!L49</f>
        <v>0.25</v>
      </c>
      <c r="K49" s="163">
        <v>0.25</v>
      </c>
      <c r="L49" s="100">
        <f t="shared" si="7"/>
        <v>0.5</v>
      </c>
      <c r="M49" s="101">
        <f t="shared" si="2"/>
        <v>904666</v>
      </c>
      <c r="N49" s="101">
        <f t="shared" si="3"/>
        <v>904666</v>
      </c>
      <c r="O49" s="101">
        <f t="shared" si="4"/>
        <v>1809332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5'!L50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5'!L51</f>
        <v>0.15000000000000002</v>
      </c>
      <c r="K51" s="163">
        <v>0.35</v>
      </c>
      <c r="L51" s="100">
        <f t="shared" si="7"/>
        <v>0.5</v>
      </c>
      <c r="M51" s="101">
        <f t="shared" si="2"/>
        <v>377065.20000000007</v>
      </c>
      <c r="N51" s="101">
        <f t="shared" si="3"/>
        <v>879818.79999999993</v>
      </c>
      <c r="O51" s="101">
        <f t="shared" si="4"/>
        <v>1256884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5'!L52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5'!L53</f>
        <v>0</v>
      </c>
      <c r="K53" s="159"/>
      <c r="L53" s="160">
        <f t="shared" si="7"/>
        <v>0</v>
      </c>
      <c r="M53" s="101">
        <f t="shared" si="2"/>
        <v>0</v>
      </c>
      <c r="N53" s="101">
        <f t="shared" si="3"/>
        <v>0</v>
      </c>
      <c r="O53" s="101">
        <f t="shared" si="4"/>
        <v>0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5'!L55</f>
        <v>0.57000000000000006</v>
      </c>
      <c r="K55" s="164">
        <v>0.13</v>
      </c>
      <c r="L55" s="157">
        <f t="shared" si="7"/>
        <v>0.70000000000000007</v>
      </c>
      <c r="M55" s="101">
        <f t="shared" si="2"/>
        <v>21769923.360000003</v>
      </c>
      <c r="N55" s="101">
        <f t="shared" si="3"/>
        <v>4965070.24</v>
      </c>
      <c r="O55" s="101">
        <f t="shared" si="4"/>
        <v>26734993.600000001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5'!L56</f>
        <v>0.57000000000000006</v>
      </c>
      <c r="K56" s="165">
        <v>0.13</v>
      </c>
      <c r="L56" s="160">
        <f t="shared" si="7"/>
        <v>0.70000000000000007</v>
      </c>
      <c r="M56" s="101">
        <f t="shared" si="2"/>
        <v>2865695.5200000005</v>
      </c>
      <c r="N56" s="101">
        <f t="shared" si="3"/>
        <v>653579.68000000005</v>
      </c>
      <c r="O56" s="101">
        <f t="shared" si="4"/>
        <v>3519275.2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172707853.6187394</v>
      </c>
      <c r="N57" s="154">
        <f>+SUM(N10:N56)</f>
        <v>60880923.366608948</v>
      </c>
      <c r="O57" s="155">
        <f>+SUM(O10:O56)</f>
        <v>233588776.98534831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0.55443964281184432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6</v>
      </c>
      <c r="N60" s="112"/>
      <c r="O60" s="113">
        <f>+O6</f>
        <v>45898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60880923.366608948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-12176184.673321791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48704738.693287157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27" priority="4" operator="equal">
      <formula>"x"</formula>
    </cfRule>
  </conditionalFormatting>
  <conditionalFormatting sqref="D43:D54">
    <cfRule type="cellIs" dxfId="26" priority="3" operator="equal">
      <formula>"x"</formula>
    </cfRule>
  </conditionalFormatting>
  <conditionalFormatting sqref="D57:D58">
    <cfRule type="cellIs" dxfId="25" priority="2" operator="equal">
      <formula>"x"</formula>
    </cfRule>
  </conditionalFormatting>
  <conditionalFormatting sqref="L11:L20 L22:L24 L26:L42 L44:L53 L55:L56">
    <cfRule type="cellIs" dxfId="24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84BD-A518-4896-8906-49B700168D69}">
  <dimension ref="B1:X70"/>
  <sheetViews>
    <sheetView zoomScale="98" zoomScaleNormal="98" workbookViewId="0">
      <pane xSplit="2" topLeftCell="C1" activePane="topRight" state="frozen"/>
      <selection pane="topRight" activeCell="K36" sqref="K36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42578125" style="8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22" width="11.5703125" style="8"/>
    <col min="23" max="24" width="13.42578125" style="8" bestFit="1" customWidth="1"/>
    <col min="25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7</v>
      </c>
      <c r="L6" s="91"/>
      <c r="M6" s="92"/>
      <c r="N6" s="93"/>
      <c r="O6" s="94">
        <v>45931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6'!L11</f>
        <v>0</v>
      </c>
      <c r="K11" s="15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6'!L12</f>
        <v>0.65</v>
      </c>
      <c r="K12" s="158"/>
      <c r="L12" s="100">
        <f t="shared" si="1"/>
        <v>0.65</v>
      </c>
      <c r="M12" s="101">
        <f t="shared" si="2"/>
        <v>740196.6</v>
      </c>
      <c r="N12" s="101">
        <f t="shared" si="3"/>
        <v>0</v>
      </c>
      <c r="O12" s="101">
        <f t="shared" si="4"/>
        <v>740196.6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6'!L13</f>
        <v>0</v>
      </c>
      <c r="K13" s="158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6'!L14</f>
        <v>0</v>
      </c>
      <c r="K14" s="158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6'!L15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6'!L16</f>
        <v>1</v>
      </c>
      <c r="K16" s="158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6'!L17</f>
        <v>1</v>
      </c>
      <c r="K17" s="158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6'!L18</f>
        <v>0</v>
      </c>
      <c r="K18" s="158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21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6'!L19</f>
        <v>0.65</v>
      </c>
      <c r="K19" s="158"/>
      <c r="L19" s="100">
        <f t="shared" si="1"/>
        <v>0.65</v>
      </c>
      <c r="M19" s="101">
        <f t="shared" si="2"/>
        <v>277216.55</v>
      </c>
      <c r="N19" s="101">
        <f t="shared" si="3"/>
        <v>0</v>
      </c>
      <c r="O19" s="101">
        <f t="shared" si="4"/>
        <v>277216.55</v>
      </c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6'!L20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6'!L22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6'!L23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6'!L24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6'!L26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6'!L27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6'!L28</f>
        <v>1</v>
      </c>
      <c r="K28" s="158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6'!L29</f>
        <v>1</v>
      </c>
      <c r="K29" s="158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6'!L30</f>
        <v>0.05</v>
      </c>
      <c r="K30" s="158">
        <v>0.95</v>
      </c>
      <c r="L30" s="100">
        <f t="shared" si="1"/>
        <v>1</v>
      </c>
      <c r="M30" s="101">
        <f t="shared" si="2"/>
        <v>231365.82657612168</v>
      </c>
      <c r="N30" s="101">
        <f t="shared" si="3"/>
        <v>4395950.7049463112</v>
      </c>
      <c r="O30" s="101">
        <f t="shared" si="4"/>
        <v>4627316.5315224333</v>
      </c>
      <c r="U30" s="202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6'!L31</f>
        <v>0.15000000000000002</v>
      </c>
      <c r="K31" s="158">
        <v>0.15</v>
      </c>
      <c r="L31" s="100">
        <f t="shared" si="1"/>
        <v>0.30000000000000004</v>
      </c>
      <c r="M31" s="101">
        <f t="shared" si="2"/>
        <v>8423800.2946765181</v>
      </c>
      <c r="N31" s="101">
        <f t="shared" si="3"/>
        <v>8423800.2946765162</v>
      </c>
      <c r="O31" s="101">
        <f t="shared" si="4"/>
        <v>16847600.589353036</v>
      </c>
      <c r="R31" s="202"/>
      <c r="S31" s="203"/>
      <c r="U31" s="202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6'!L32</f>
        <v>0.3</v>
      </c>
      <c r="K32" s="163">
        <v>0.2</v>
      </c>
      <c r="L32" s="100">
        <f t="shared" si="1"/>
        <v>0.5</v>
      </c>
      <c r="M32" s="101">
        <f t="shared" si="2"/>
        <v>15386483.517226959</v>
      </c>
      <c r="N32" s="101">
        <f t="shared" si="3"/>
        <v>10257655.678151308</v>
      </c>
      <c r="O32" s="101">
        <f t="shared" si="4"/>
        <v>25644139.195378266</v>
      </c>
      <c r="R32" s="203"/>
      <c r="S32" s="203"/>
      <c r="U32" s="202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6'!L33</f>
        <v>0</v>
      </c>
      <c r="K33" s="163">
        <v>0.25</v>
      </c>
      <c r="L33" s="100">
        <f t="shared" si="1"/>
        <v>0.25</v>
      </c>
      <c r="M33" s="101">
        <f t="shared" si="2"/>
        <v>0</v>
      </c>
      <c r="N33" s="101">
        <f t="shared" si="3"/>
        <v>2751353.45566482</v>
      </c>
      <c r="O33" s="101">
        <f t="shared" si="4"/>
        <v>2751353.45566482</v>
      </c>
      <c r="S33" s="166"/>
      <c r="U33" s="202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6'!L34</f>
        <v>0.15000000000000002</v>
      </c>
      <c r="K34" s="163">
        <v>0.15</v>
      </c>
      <c r="L34" s="100">
        <f t="shared" si="1"/>
        <v>0.30000000000000004</v>
      </c>
      <c r="M34" s="101">
        <f t="shared" si="2"/>
        <v>2251458.7394669694</v>
      </c>
      <c r="N34" s="101">
        <f t="shared" si="3"/>
        <v>2251458.7394669689</v>
      </c>
      <c r="O34" s="101">
        <f t="shared" si="4"/>
        <v>4502917.4789339388</v>
      </c>
      <c r="Q34" s="203"/>
      <c r="S34" s="166"/>
      <c r="U34" s="202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6'!L35</f>
        <v>0.2</v>
      </c>
      <c r="K35" s="163">
        <v>0.2</v>
      </c>
      <c r="L35" s="100">
        <f t="shared" si="1"/>
        <v>0.4</v>
      </c>
      <c r="M35" s="101">
        <f t="shared" si="2"/>
        <v>5117676.877637702</v>
      </c>
      <c r="N35" s="101">
        <f t="shared" si="3"/>
        <v>5117676.877637702</v>
      </c>
      <c r="O35" s="101">
        <f t="shared" si="4"/>
        <v>10235353.755275404</v>
      </c>
      <c r="S35" s="166"/>
      <c r="U35" s="202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6'!L36</f>
        <v>0</v>
      </c>
      <c r="K36" s="158">
        <v>0.35</v>
      </c>
      <c r="L36" s="100">
        <f t="shared" si="1"/>
        <v>0.35</v>
      </c>
      <c r="M36" s="101">
        <f t="shared" si="2"/>
        <v>0</v>
      </c>
      <c r="N36" s="101">
        <f t="shared" si="3"/>
        <v>1915712.9292866699</v>
      </c>
      <c r="O36" s="101">
        <f t="shared" si="4"/>
        <v>1915712.9292866699</v>
      </c>
      <c r="U36" s="202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6'!L37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  <c r="T37" s="205"/>
      <c r="U37" s="202"/>
    </row>
    <row r="38" spans="2:24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6'!L38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6'!L39</f>
        <v>0.2</v>
      </c>
      <c r="K39" s="163">
        <v>0.15</v>
      </c>
      <c r="L39" s="100">
        <f t="shared" si="1"/>
        <v>0.35</v>
      </c>
      <c r="M39" s="101">
        <f t="shared" si="2"/>
        <v>2217832.2000000002</v>
      </c>
      <c r="N39" s="101">
        <f t="shared" si="3"/>
        <v>1663374.15</v>
      </c>
      <c r="O39" s="101">
        <f t="shared" si="4"/>
        <v>3881206.3499999996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6'!L40</f>
        <v>0.4</v>
      </c>
      <c r="K40" s="158">
        <v>0.1</v>
      </c>
      <c r="L40" s="100">
        <f t="shared" si="1"/>
        <v>0.5</v>
      </c>
      <c r="M40" s="101">
        <f t="shared" si="2"/>
        <v>869215.20000000007</v>
      </c>
      <c r="N40" s="101">
        <f t="shared" si="3"/>
        <v>217303.80000000002</v>
      </c>
      <c r="O40" s="101">
        <f t="shared" si="4"/>
        <v>1086519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6'!L41</f>
        <v>0.5</v>
      </c>
      <c r="K41" s="158"/>
      <c r="L41" s="100">
        <f t="shared" si="1"/>
        <v>0.5</v>
      </c>
      <c r="M41" s="101">
        <f t="shared" si="2"/>
        <v>138258</v>
      </c>
      <c r="N41" s="101">
        <f t="shared" si="3"/>
        <v>0</v>
      </c>
      <c r="O41" s="101">
        <f t="shared" si="4"/>
        <v>138258</v>
      </c>
      <c r="R41" s="202"/>
      <c r="X41" s="166"/>
    </row>
    <row r="42" spans="2:24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6'!L42</f>
        <v>0.1</v>
      </c>
      <c r="K42" s="159">
        <v>0.4</v>
      </c>
      <c r="L42" s="160">
        <f t="shared" si="1"/>
        <v>0.5</v>
      </c>
      <c r="M42" s="101">
        <f t="shared" si="2"/>
        <v>228594</v>
      </c>
      <c r="N42" s="101">
        <f t="shared" si="3"/>
        <v>914376</v>
      </c>
      <c r="O42" s="101">
        <f t="shared" si="4"/>
        <v>1142970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6'!L44</f>
        <v>0.70000000000000007</v>
      </c>
      <c r="K44" s="156">
        <v>0.1</v>
      </c>
      <c r="L44" s="157">
        <f t="shared" ref="L44:L56" si="7">+J44+K44</f>
        <v>0.8</v>
      </c>
      <c r="M44" s="101">
        <f t="shared" si="2"/>
        <v>4217572.8000000007</v>
      </c>
      <c r="N44" s="101">
        <f t="shared" si="3"/>
        <v>602510.4</v>
      </c>
      <c r="O44" s="101">
        <f t="shared" si="4"/>
        <v>4820083.2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6'!L45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6'!L46</f>
        <v>0.70000000000000007</v>
      </c>
      <c r="K46" s="158">
        <v>0.1</v>
      </c>
      <c r="L46" s="100">
        <f t="shared" si="7"/>
        <v>0.8</v>
      </c>
      <c r="M46" s="101">
        <f t="shared" si="2"/>
        <v>1055784.8</v>
      </c>
      <c r="N46" s="101">
        <f t="shared" si="3"/>
        <v>150826.4</v>
      </c>
      <c r="O46" s="101">
        <f t="shared" si="4"/>
        <v>1206611.2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6'!L47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6'!L48</f>
        <v>0</v>
      </c>
      <c r="K48" s="163">
        <v>0.1</v>
      </c>
      <c r="L48" s="100">
        <f t="shared" si="7"/>
        <v>0.1</v>
      </c>
      <c r="M48" s="101">
        <f t="shared" si="2"/>
        <v>0</v>
      </c>
      <c r="N48" s="101">
        <f t="shared" si="3"/>
        <v>556921.59999999998</v>
      </c>
      <c r="O48" s="101">
        <f t="shared" si="4"/>
        <v>556921.59999999998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6'!L49</f>
        <v>0.5</v>
      </c>
      <c r="K49" s="163">
        <v>0.1</v>
      </c>
      <c r="L49" s="100">
        <f t="shared" si="7"/>
        <v>0.6</v>
      </c>
      <c r="M49" s="101">
        <f t="shared" si="2"/>
        <v>1809332</v>
      </c>
      <c r="N49" s="101">
        <f t="shared" si="3"/>
        <v>361866.4</v>
      </c>
      <c r="O49" s="101">
        <f t="shared" si="4"/>
        <v>2171198.4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6'!L50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6'!L51</f>
        <v>0.5</v>
      </c>
      <c r="K51" s="163"/>
      <c r="L51" s="100">
        <f t="shared" si="7"/>
        <v>0.5</v>
      </c>
      <c r="M51" s="101">
        <f t="shared" si="2"/>
        <v>1256884</v>
      </c>
      <c r="N51" s="101">
        <f t="shared" si="3"/>
        <v>0</v>
      </c>
      <c r="O51" s="101">
        <f t="shared" si="4"/>
        <v>1256884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6'!L52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6'!L53</f>
        <v>0</v>
      </c>
      <c r="K53" s="159">
        <v>0.25</v>
      </c>
      <c r="L53" s="160">
        <f t="shared" si="7"/>
        <v>0.25</v>
      </c>
      <c r="M53" s="101">
        <f t="shared" si="2"/>
        <v>0</v>
      </c>
      <c r="N53" s="101">
        <f t="shared" si="3"/>
        <v>628276</v>
      </c>
      <c r="O53" s="101">
        <f t="shared" si="4"/>
        <v>628276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6'!L55</f>
        <v>0.70000000000000007</v>
      </c>
      <c r="K55" s="164">
        <v>0.1</v>
      </c>
      <c r="L55" s="157">
        <f t="shared" si="7"/>
        <v>0.8</v>
      </c>
      <c r="M55" s="101">
        <f t="shared" si="2"/>
        <v>26734993.600000001</v>
      </c>
      <c r="N55" s="101">
        <f t="shared" si="3"/>
        <v>3819284.8000000003</v>
      </c>
      <c r="O55" s="101">
        <f t="shared" si="4"/>
        <v>30554278.400000002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6'!L56</f>
        <v>0.70000000000000007</v>
      </c>
      <c r="K56" s="165">
        <v>0.1</v>
      </c>
      <c r="L56" s="160">
        <f t="shared" si="7"/>
        <v>0.8</v>
      </c>
      <c r="M56" s="101">
        <f t="shared" si="2"/>
        <v>3519275.2</v>
      </c>
      <c r="N56" s="101">
        <f t="shared" si="3"/>
        <v>502753.60000000003</v>
      </c>
      <c r="O56" s="101">
        <f t="shared" si="4"/>
        <v>4022028.8000000003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233588776.98534831</v>
      </c>
      <c r="N57" s="154">
        <f>+SUM(N10:N56)</f>
        <v>44531101.829830289</v>
      </c>
      <c r="O57" s="155">
        <f>+SUM(O10:O56)</f>
        <v>278119878.81517857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0.66013739298285368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7</v>
      </c>
      <c r="N60" s="112"/>
      <c r="O60" s="113">
        <f>+O6</f>
        <v>45931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44531101.829830289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-8906220.3659660574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35624881.46386423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23" priority="4" operator="equal">
      <formula>"x"</formula>
    </cfRule>
  </conditionalFormatting>
  <conditionalFormatting sqref="D43:D54">
    <cfRule type="cellIs" dxfId="22" priority="3" operator="equal">
      <formula>"x"</formula>
    </cfRule>
  </conditionalFormatting>
  <conditionalFormatting sqref="D57:D58">
    <cfRule type="cellIs" dxfId="21" priority="2" operator="equal">
      <formula>"x"</formula>
    </cfRule>
  </conditionalFormatting>
  <conditionalFormatting sqref="L11:L20 L22:L24 L26:L42 L44:L53 L55:L56">
    <cfRule type="cellIs" dxfId="20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E1DA-B7B8-4F30-88B8-F3154F6491D8}">
  <dimension ref="B1:X70"/>
  <sheetViews>
    <sheetView topLeftCell="A19" zoomScale="98" zoomScaleNormal="98" workbookViewId="0">
      <pane xSplit="2" topLeftCell="C1" activePane="topRight" state="frozen"/>
      <selection pane="topRight" activeCell="K47" sqref="C47:K48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42578125" style="8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22" width="11.5703125" style="8"/>
    <col min="23" max="24" width="13.42578125" style="8" bestFit="1" customWidth="1"/>
    <col min="25" max="16384" width="11.5703125" style="8"/>
  </cols>
  <sheetData>
    <row r="1" spans="2:15" ht="8.4499999999999993" customHeight="1" x14ac:dyDescent="0.2"/>
    <row r="2" spans="2:15" ht="12.75" customHeight="1" x14ac:dyDescent="0.2">
      <c r="G2" s="7" t="s">
        <v>0</v>
      </c>
      <c r="H2" s="7" t="s">
        <v>1</v>
      </c>
    </row>
    <row r="3" spans="2:15" x14ac:dyDescent="0.2">
      <c r="F3" s="88"/>
      <c r="G3" s="10">
        <v>1005</v>
      </c>
      <c r="H3" s="10">
        <v>1170</v>
      </c>
    </row>
    <row r="4" spans="2:15" s="16" customFormat="1" x14ac:dyDescent="0.2">
      <c r="B4" s="11"/>
      <c r="C4" s="12"/>
      <c r="D4" s="13"/>
      <c r="E4" s="14"/>
      <c r="F4" s="14"/>
      <c r="G4" s="14"/>
      <c r="H4" s="15"/>
    </row>
    <row r="5" spans="2:15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5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8</v>
      </c>
      <c r="L6" s="91"/>
      <c r="M6" s="92"/>
      <c r="N6" s="93"/>
      <c r="O6" s="94">
        <v>45957</v>
      </c>
    </row>
    <row r="7" spans="2:15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5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5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5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7'!L11</f>
        <v>0</v>
      </c>
      <c r="K11" s="20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</row>
    <row r="12" spans="2:15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7'!L12</f>
        <v>0.65</v>
      </c>
      <c r="K12" s="163">
        <v>0.35</v>
      </c>
      <c r="L12" s="100">
        <f t="shared" si="1"/>
        <v>1</v>
      </c>
      <c r="M12" s="101">
        <f t="shared" si="2"/>
        <v>740196.6</v>
      </c>
      <c r="N12" s="101">
        <f t="shared" si="3"/>
        <v>398567.39999999997</v>
      </c>
      <c r="O12" s="101">
        <f t="shared" si="4"/>
        <v>1138764</v>
      </c>
    </row>
    <row r="13" spans="2:15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7'!L13</f>
        <v>0</v>
      </c>
      <c r="K13" s="163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</row>
    <row r="14" spans="2:1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7'!L14</f>
        <v>0</v>
      </c>
      <c r="K14" s="163"/>
      <c r="L14" s="100">
        <f t="shared" si="1"/>
        <v>0</v>
      </c>
      <c r="M14" s="101">
        <f t="shared" si="2"/>
        <v>0</v>
      </c>
      <c r="N14" s="101">
        <f t="shared" si="3"/>
        <v>0</v>
      </c>
      <c r="O14" s="101">
        <f t="shared" si="4"/>
        <v>0</v>
      </c>
    </row>
    <row r="15" spans="2:15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7'!L15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</row>
    <row r="16" spans="2:15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7'!L16</f>
        <v>1</v>
      </c>
      <c r="K16" s="163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7'!L17</f>
        <v>1</v>
      </c>
      <c r="K17" s="163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7'!L18</f>
        <v>0</v>
      </c>
      <c r="K18" s="163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</row>
    <row r="19" spans="2:21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7'!L19</f>
        <v>0.65</v>
      </c>
      <c r="K19" s="163"/>
      <c r="L19" s="100">
        <f t="shared" si="1"/>
        <v>0.65</v>
      </c>
      <c r="M19" s="101">
        <f t="shared" si="2"/>
        <v>277216.55</v>
      </c>
      <c r="N19" s="101">
        <f t="shared" si="3"/>
        <v>0</v>
      </c>
      <c r="O19" s="101">
        <f t="shared" si="4"/>
        <v>277216.55</v>
      </c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7'!L20</f>
        <v>1</v>
      </c>
      <c r="K20" s="159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/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7'!L22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7'!L23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7'!L24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/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7'!L26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7'!L27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7'!L28</f>
        <v>1</v>
      </c>
      <c r="K28" s="158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7'!L29</f>
        <v>1</v>
      </c>
      <c r="K29" s="158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7'!L30</f>
        <v>1</v>
      </c>
      <c r="K30" s="158"/>
      <c r="L30" s="100">
        <f t="shared" si="1"/>
        <v>1</v>
      </c>
      <c r="M30" s="101">
        <f t="shared" si="2"/>
        <v>4627316.5315224333</v>
      </c>
      <c r="N30" s="101">
        <f t="shared" si="3"/>
        <v>0</v>
      </c>
      <c r="O30" s="101">
        <f t="shared" si="4"/>
        <v>4627316.5315224333</v>
      </c>
      <c r="U30" s="207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7'!L31</f>
        <v>0.30000000000000004</v>
      </c>
      <c r="K31" s="158">
        <v>0.15</v>
      </c>
      <c r="L31" s="100">
        <f t="shared" si="1"/>
        <v>0.45000000000000007</v>
      </c>
      <c r="M31" s="101">
        <f t="shared" si="2"/>
        <v>16847600.589353036</v>
      </c>
      <c r="N31" s="101">
        <f t="shared" si="3"/>
        <v>8423800.2946765162</v>
      </c>
      <c r="O31" s="101">
        <f t="shared" si="4"/>
        <v>25271400.884029552</v>
      </c>
      <c r="Q31" s="193"/>
      <c r="R31" s="202"/>
      <c r="S31" s="203"/>
      <c r="T31" s="208"/>
      <c r="U31" s="207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7'!L32</f>
        <v>0.5</v>
      </c>
      <c r="K32" s="163">
        <v>0.2</v>
      </c>
      <c r="L32" s="100">
        <f t="shared" si="1"/>
        <v>0.7</v>
      </c>
      <c r="M32" s="101">
        <f t="shared" si="2"/>
        <v>25644139.195378266</v>
      </c>
      <c r="N32" s="101">
        <f t="shared" si="3"/>
        <v>10257655.678151308</v>
      </c>
      <c r="O32" s="101">
        <f t="shared" si="4"/>
        <v>35901794.873529568</v>
      </c>
      <c r="R32" s="203"/>
      <c r="S32" s="203"/>
      <c r="T32" s="208"/>
      <c r="U32" s="207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7'!L33</f>
        <v>0.25</v>
      </c>
      <c r="K33" s="163">
        <v>0.3</v>
      </c>
      <c r="L33" s="100">
        <f t="shared" si="1"/>
        <v>0.55000000000000004</v>
      </c>
      <c r="M33" s="101">
        <f t="shared" si="2"/>
        <v>2751353.45566482</v>
      </c>
      <c r="N33" s="101">
        <f t="shared" si="3"/>
        <v>3301624.1467977841</v>
      </c>
      <c r="O33" s="101">
        <f t="shared" si="4"/>
        <v>6052977.6024626046</v>
      </c>
      <c r="S33" s="203"/>
      <c r="T33" s="208"/>
      <c r="U33" s="207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7'!L34</f>
        <v>0.30000000000000004</v>
      </c>
      <c r="K34" s="163">
        <v>0.15</v>
      </c>
      <c r="L34" s="100">
        <f t="shared" si="1"/>
        <v>0.45000000000000007</v>
      </c>
      <c r="M34" s="101">
        <f t="shared" si="2"/>
        <v>4502917.4789339388</v>
      </c>
      <c r="N34" s="101">
        <f t="shared" si="3"/>
        <v>2251458.7394669689</v>
      </c>
      <c r="O34" s="101">
        <f t="shared" si="4"/>
        <v>6754376.2184009086</v>
      </c>
      <c r="Q34" s="203"/>
      <c r="S34" s="203"/>
      <c r="T34" s="208"/>
      <c r="U34" s="207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7'!L35</f>
        <v>0.4</v>
      </c>
      <c r="K35" s="163">
        <v>0.2</v>
      </c>
      <c r="L35" s="100">
        <f t="shared" si="1"/>
        <v>0.60000000000000009</v>
      </c>
      <c r="M35" s="101">
        <f t="shared" si="2"/>
        <v>10235353.755275404</v>
      </c>
      <c r="N35" s="101">
        <f t="shared" si="3"/>
        <v>5117676.877637702</v>
      </c>
      <c r="O35" s="101">
        <f t="shared" si="4"/>
        <v>15353030.632913107</v>
      </c>
      <c r="S35" s="203"/>
      <c r="T35" s="208"/>
      <c r="U35" s="207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7'!L36</f>
        <v>0.35</v>
      </c>
      <c r="K36" s="158">
        <v>0.15</v>
      </c>
      <c r="L36" s="100">
        <f t="shared" si="1"/>
        <v>0.5</v>
      </c>
      <c r="M36" s="101">
        <f t="shared" si="2"/>
        <v>1915712.9292866699</v>
      </c>
      <c r="N36" s="101">
        <f t="shared" si="3"/>
        <v>821019.82683714421</v>
      </c>
      <c r="O36" s="101">
        <f t="shared" si="4"/>
        <v>2736732.7561238143</v>
      </c>
      <c r="R36" s="193"/>
      <c r="U36" s="202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7'!L37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  <c r="T37" s="205"/>
      <c r="U37" s="202"/>
    </row>
    <row r="38" spans="2:24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7'!L38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7'!L39</f>
        <v>0.35</v>
      </c>
      <c r="K39" s="163">
        <v>0.2</v>
      </c>
      <c r="L39" s="100">
        <f t="shared" si="1"/>
        <v>0.55000000000000004</v>
      </c>
      <c r="M39" s="101">
        <f t="shared" si="2"/>
        <v>3881206.3499999996</v>
      </c>
      <c r="N39" s="101">
        <f t="shared" si="3"/>
        <v>2217832.2000000002</v>
      </c>
      <c r="O39" s="101">
        <f t="shared" si="4"/>
        <v>6099038.5500000007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7'!L40</f>
        <v>0.5</v>
      </c>
      <c r="K40" s="158">
        <v>0.15</v>
      </c>
      <c r="L40" s="100">
        <f t="shared" si="1"/>
        <v>0.65</v>
      </c>
      <c r="M40" s="101">
        <f t="shared" si="2"/>
        <v>1086519</v>
      </c>
      <c r="N40" s="101">
        <f t="shared" si="3"/>
        <v>325955.7</v>
      </c>
      <c r="O40" s="101">
        <f t="shared" si="4"/>
        <v>1412474.7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7'!L41</f>
        <v>0.5</v>
      </c>
      <c r="K41" s="158">
        <v>0.25</v>
      </c>
      <c r="L41" s="100">
        <f t="shared" si="1"/>
        <v>0.75</v>
      </c>
      <c r="M41" s="101">
        <f t="shared" si="2"/>
        <v>138258</v>
      </c>
      <c r="N41" s="101">
        <f t="shared" si="3"/>
        <v>69129</v>
      </c>
      <c r="O41" s="101">
        <f t="shared" si="4"/>
        <v>207387</v>
      </c>
      <c r="R41" s="202"/>
      <c r="X41" s="166"/>
    </row>
    <row r="42" spans="2:24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7'!L42</f>
        <v>0.5</v>
      </c>
      <c r="K42" s="159">
        <v>0.5</v>
      </c>
      <c r="L42" s="160">
        <f t="shared" si="1"/>
        <v>1</v>
      </c>
      <c r="M42" s="101">
        <f t="shared" si="2"/>
        <v>1142970</v>
      </c>
      <c r="N42" s="101">
        <f t="shared" si="3"/>
        <v>1142970</v>
      </c>
      <c r="O42" s="101">
        <f t="shared" si="4"/>
        <v>2285940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/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7'!L44</f>
        <v>0.8</v>
      </c>
      <c r="K44" s="156">
        <v>0.1</v>
      </c>
      <c r="L44" s="157">
        <f t="shared" ref="L44:L56" si="7">+J44+K44</f>
        <v>0.9</v>
      </c>
      <c r="M44" s="101">
        <f t="shared" si="2"/>
        <v>4820083.2</v>
      </c>
      <c r="N44" s="101">
        <f t="shared" si="3"/>
        <v>602510.4</v>
      </c>
      <c r="O44" s="101">
        <f t="shared" si="4"/>
        <v>5422593.6000000006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7'!L45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7'!L46</f>
        <v>0.8</v>
      </c>
      <c r="K46" s="158">
        <v>0.1</v>
      </c>
      <c r="L46" s="100">
        <f t="shared" si="7"/>
        <v>0.9</v>
      </c>
      <c r="M46" s="101">
        <f t="shared" si="2"/>
        <v>1206611.2</v>
      </c>
      <c r="N46" s="101">
        <f t="shared" si="3"/>
        <v>150826.4</v>
      </c>
      <c r="O46" s="101">
        <f t="shared" si="4"/>
        <v>1357437.6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7'!L47</f>
        <v>0</v>
      </c>
      <c r="K47" s="163"/>
      <c r="L47" s="100">
        <f t="shared" si="7"/>
        <v>0</v>
      </c>
      <c r="M47" s="101">
        <f t="shared" si="2"/>
        <v>0</v>
      </c>
      <c r="N47" s="101">
        <f t="shared" si="3"/>
        <v>0</v>
      </c>
      <c r="O47" s="101">
        <f t="shared" si="4"/>
        <v>0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7'!L48</f>
        <v>0.1</v>
      </c>
      <c r="K48" s="163">
        <v>0.15</v>
      </c>
      <c r="L48" s="100">
        <f t="shared" si="7"/>
        <v>0.25</v>
      </c>
      <c r="M48" s="101">
        <f t="shared" si="2"/>
        <v>556921.59999999998</v>
      </c>
      <c r="N48" s="101">
        <f t="shared" si="3"/>
        <v>835382.4</v>
      </c>
      <c r="O48" s="101">
        <f t="shared" si="4"/>
        <v>1392304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7'!L49</f>
        <v>0.6</v>
      </c>
      <c r="K49" s="163">
        <v>0.1</v>
      </c>
      <c r="L49" s="100">
        <f t="shared" si="7"/>
        <v>0.7</v>
      </c>
      <c r="M49" s="101">
        <f t="shared" si="2"/>
        <v>2171198.4</v>
      </c>
      <c r="N49" s="101">
        <f t="shared" si="3"/>
        <v>361866.4</v>
      </c>
      <c r="O49" s="101">
        <f t="shared" si="4"/>
        <v>2533064.7999999998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7'!L50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7'!L51</f>
        <v>0.5</v>
      </c>
      <c r="K51" s="163">
        <v>0.15</v>
      </c>
      <c r="L51" s="100">
        <f t="shared" si="7"/>
        <v>0.65</v>
      </c>
      <c r="M51" s="101">
        <f t="shared" si="2"/>
        <v>1256884</v>
      </c>
      <c r="N51" s="101">
        <f t="shared" si="3"/>
        <v>377065.2</v>
      </c>
      <c r="O51" s="101">
        <f t="shared" si="4"/>
        <v>1633949.2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7'!L52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7'!L53</f>
        <v>0.25</v>
      </c>
      <c r="K53" s="159">
        <v>0.1</v>
      </c>
      <c r="L53" s="160">
        <f t="shared" si="7"/>
        <v>0.35</v>
      </c>
      <c r="M53" s="101">
        <f t="shared" si="2"/>
        <v>628276</v>
      </c>
      <c r="N53" s="101">
        <f t="shared" si="3"/>
        <v>251310.40000000002</v>
      </c>
      <c r="O53" s="101">
        <f t="shared" si="4"/>
        <v>879586.39999999991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7'!L55</f>
        <v>0.8</v>
      </c>
      <c r="K55" s="164">
        <v>0.1</v>
      </c>
      <c r="L55" s="157">
        <f t="shared" si="7"/>
        <v>0.9</v>
      </c>
      <c r="M55" s="101">
        <f t="shared" si="2"/>
        <v>30554278.400000002</v>
      </c>
      <c r="N55" s="101">
        <f t="shared" si="3"/>
        <v>3819284.8000000003</v>
      </c>
      <c r="O55" s="101">
        <f t="shared" si="4"/>
        <v>34373563.200000003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7'!L56</f>
        <v>0.8</v>
      </c>
      <c r="K56" s="165">
        <v>0.1</v>
      </c>
      <c r="L56" s="160">
        <f t="shared" si="7"/>
        <v>0.9</v>
      </c>
      <c r="M56" s="101">
        <f t="shared" si="2"/>
        <v>4022028.8000000003</v>
      </c>
      <c r="N56" s="101">
        <f t="shared" si="3"/>
        <v>502753.60000000003</v>
      </c>
      <c r="O56" s="101">
        <f t="shared" si="4"/>
        <v>4524782.4000000004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278119878.81517857</v>
      </c>
      <c r="N57" s="154">
        <f>+SUM(N10:N56)</f>
        <v>41228689.463567421</v>
      </c>
      <c r="O57" s="155">
        <f>+SUM(O10:O56)</f>
        <v>319348568.27874595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0.75799663157638653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8</v>
      </c>
      <c r="N60" s="112"/>
      <c r="O60" s="113">
        <f>+O6</f>
        <v>45957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41228689.463567421</v>
      </c>
      <c r="Q64" s="195"/>
      <c r="R64" s="198"/>
    </row>
    <row r="65" spans="2:18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-8245737.8927134844</v>
      </c>
      <c r="Q65" s="199"/>
      <c r="R65" s="200"/>
    </row>
    <row r="66" spans="2:18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32982951.570853937</v>
      </c>
      <c r="Q66" s="195"/>
      <c r="R66" s="201"/>
    </row>
    <row r="67" spans="2:18" ht="12.75" customHeight="1" x14ac:dyDescent="0.2">
      <c r="C67" s="3" t="s">
        <v>88</v>
      </c>
    </row>
    <row r="70" spans="2:18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19" priority="4" operator="equal">
      <formula>"x"</formula>
    </cfRule>
  </conditionalFormatting>
  <conditionalFormatting sqref="D43:D54">
    <cfRule type="cellIs" dxfId="18" priority="3" operator="equal">
      <formula>"x"</formula>
    </cfRule>
  </conditionalFormatting>
  <conditionalFormatting sqref="D57:D58">
    <cfRule type="cellIs" dxfId="17" priority="2" operator="equal">
      <formula>"x"</formula>
    </cfRule>
  </conditionalFormatting>
  <conditionalFormatting sqref="L11:L20 L22:L24 L26:L42 L44:L53 L55:L56">
    <cfRule type="cellIs" dxfId="16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2C08-EB7E-4137-8C19-3110A862D866}">
  <dimension ref="B1:X70"/>
  <sheetViews>
    <sheetView topLeftCell="A7" zoomScale="98" zoomScaleNormal="98" workbookViewId="0">
      <pane xSplit="3" ySplit="2" topLeftCell="D9" activePane="bottomRight" state="frozen"/>
      <selection pane="topRight" activeCell="D7" sqref="D7"/>
      <selection pane="bottomLeft" activeCell="A9" sqref="A9"/>
      <selection pane="bottomRight" activeCell="M29" sqref="M29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2.710937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42578125" style="8" customWidth="1"/>
    <col min="16" max="16" width="1.5703125" style="8" customWidth="1"/>
    <col min="17" max="17" width="11.5703125" style="8"/>
    <col min="18" max="18" width="12" style="8" bestFit="1" customWidth="1"/>
    <col min="19" max="19" width="12.42578125" style="8" bestFit="1" customWidth="1"/>
    <col min="20" max="22" width="11.5703125" style="8"/>
    <col min="23" max="24" width="13.42578125" style="8" bestFit="1" customWidth="1"/>
    <col min="25" max="16384" width="11.5703125" style="8"/>
  </cols>
  <sheetData>
    <row r="1" spans="2:18" ht="8.4499999999999993" customHeight="1" x14ac:dyDescent="0.2"/>
    <row r="2" spans="2:18" ht="12.75" customHeight="1" x14ac:dyDescent="0.2">
      <c r="G2" s="7" t="s">
        <v>0</v>
      </c>
      <c r="H2" s="7" t="s">
        <v>1</v>
      </c>
    </row>
    <row r="3" spans="2:18" x14ac:dyDescent="0.2">
      <c r="F3" s="88"/>
      <c r="G3" s="10">
        <v>1005</v>
      </c>
      <c r="H3" s="10">
        <v>1170</v>
      </c>
    </row>
    <row r="4" spans="2:18" s="16" customFormat="1" x14ac:dyDescent="0.2">
      <c r="B4" s="11"/>
      <c r="C4" s="12"/>
      <c r="D4" s="13"/>
      <c r="E4" s="14"/>
      <c r="F4" s="14"/>
      <c r="G4" s="14"/>
      <c r="H4" s="15"/>
    </row>
    <row r="5" spans="2:18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8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9</v>
      </c>
      <c r="L6" s="91"/>
      <c r="M6" s="92"/>
      <c r="N6" s="93"/>
      <c r="O6" s="94">
        <v>45988</v>
      </c>
    </row>
    <row r="7" spans="2:18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8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8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8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8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8'!L11</f>
        <v>0</v>
      </c>
      <c r="K11" s="20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  <c r="R11" s="209"/>
    </row>
    <row r="12" spans="2:18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8'!L12</f>
        <v>1</v>
      </c>
      <c r="K12" s="163"/>
      <c r="L12" s="100">
        <f t="shared" si="1"/>
        <v>1</v>
      </c>
      <c r="M12" s="101">
        <f t="shared" si="2"/>
        <v>1138764</v>
      </c>
      <c r="N12" s="101">
        <f t="shared" si="3"/>
        <v>0</v>
      </c>
      <c r="O12" s="101">
        <f t="shared" si="4"/>
        <v>1138764</v>
      </c>
      <c r="R12" s="209"/>
    </row>
    <row r="13" spans="2:18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8'!L13</f>
        <v>0</v>
      </c>
      <c r="K13" s="163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  <c r="R13" s="209"/>
    </row>
    <row r="14" spans="2:18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8'!L14</f>
        <v>0</v>
      </c>
      <c r="K14" s="210">
        <v>1</v>
      </c>
      <c r="L14" s="100">
        <f t="shared" si="1"/>
        <v>1</v>
      </c>
      <c r="M14" s="101">
        <f t="shared" si="2"/>
        <v>0</v>
      </c>
      <c r="N14" s="101">
        <f t="shared" si="3"/>
        <v>1553420</v>
      </c>
      <c r="O14" s="101">
        <f t="shared" si="4"/>
        <v>1553420</v>
      </c>
      <c r="R14" s="209"/>
    </row>
    <row r="15" spans="2:18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8'!L15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  <c r="R15" s="209"/>
    </row>
    <row r="16" spans="2:18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8'!L16</f>
        <v>1</v>
      </c>
      <c r="K16" s="163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  <c r="R16" s="209"/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8'!L17</f>
        <v>1</v>
      </c>
      <c r="K17" s="163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  <c r="R17" s="209"/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8'!L18</f>
        <v>0</v>
      </c>
      <c r="K18" s="163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  <c r="R18" s="209"/>
    </row>
    <row r="19" spans="2:21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8'!L19</f>
        <v>0.65</v>
      </c>
      <c r="K19" s="163"/>
      <c r="L19" s="100">
        <f t="shared" si="1"/>
        <v>0.65</v>
      </c>
      <c r="M19" s="101">
        <f t="shared" si="2"/>
        <v>277216.55</v>
      </c>
      <c r="N19" s="101">
        <f t="shared" si="3"/>
        <v>0</v>
      </c>
      <c r="O19" s="101">
        <f t="shared" si="4"/>
        <v>277216.55</v>
      </c>
      <c r="R19" s="209"/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9">
        <f>+'SVD 4140_Pto. 01_Cert. 8'!L20</f>
        <v>1</v>
      </c>
      <c r="K20" s="163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  <c r="R20" s="209"/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1">
        <f>+'SVD 4140_Pto. 01_Cert. 8'!L21</f>
        <v>0</v>
      </c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6">
        <f>+'SVD 4140_Pto. 01_Cert. 8'!L22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8'!L23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9">
        <f>+'SVD 4140_Pto. 01_Cert. 8'!L24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1">
        <f>+'SVD 4140_Pto. 01_Cert. 8'!L25</f>
        <v>0</v>
      </c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6">
        <f>+'SVD 4140_Pto. 01_Cert. 8'!L26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8'!L27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8'!L28</f>
        <v>1</v>
      </c>
      <c r="K28" s="163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8'!L29</f>
        <v>1</v>
      </c>
      <c r="K29" s="163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8'!L30</f>
        <v>1</v>
      </c>
      <c r="K30" s="163"/>
      <c r="L30" s="100">
        <f t="shared" si="1"/>
        <v>1</v>
      </c>
      <c r="M30" s="101">
        <f t="shared" si="2"/>
        <v>4627316.5315224333</v>
      </c>
      <c r="N30" s="101">
        <f t="shared" si="3"/>
        <v>0</v>
      </c>
      <c r="O30" s="101">
        <f t="shared" si="4"/>
        <v>4627316.5315224333</v>
      </c>
      <c r="U30" s="207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8'!L31</f>
        <v>0.45000000000000007</v>
      </c>
      <c r="K31" s="163">
        <v>0.2</v>
      </c>
      <c r="L31" s="100">
        <f t="shared" si="1"/>
        <v>0.65000000000000013</v>
      </c>
      <c r="M31" s="101">
        <f t="shared" si="2"/>
        <v>25271400.884029552</v>
      </c>
      <c r="N31" s="101">
        <f t="shared" si="3"/>
        <v>11231733.726235356</v>
      </c>
      <c r="O31" s="101">
        <f t="shared" si="4"/>
        <v>36503134.610264912</v>
      </c>
      <c r="Q31" s="193"/>
      <c r="R31" s="202"/>
      <c r="S31" s="203"/>
      <c r="T31" s="203"/>
      <c r="U31" s="207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8'!L32</f>
        <v>0.7</v>
      </c>
      <c r="K32" s="163">
        <v>0.1</v>
      </c>
      <c r="L32" s="100">
        <f t="shared" si="1"/>
        <v>0.79999999999999993</v>
      </c>
      <c r="M32" s="101">
        <f t="shared" si="2"/>
        <v>35901794.873529568</v>
      </c>
      <c r="N32" s="101">
        <f t="shared" si="3"/>
        <v>5128827.8390756538</v>
      </c>
      <c r="O32" s="101">
        <f t="shared" si="4"/>
        <v>41030622.712605223</v>
      </c>
      <c r="R32" s="202"/>
      <c r="S32" s="203"/>
      <c r="T32" s="203"/>
      <c r="U32" s="207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8'!L33</f>
        <v>0.55000000000000004</v>
      </c>
      <c r="K33" s="163">
        <v>0.3</v>
      </c>
      <c r="L33" s="100">
        <f t="shared" si="1"/>
        <v>0.85000000000000009</v>
      </c>
      <c r="M33" s="101">
        <f t="shared" si="2"/>
        <v>6052977.6024626046</v>
      </c>
      <c r="N33" s="101">
        <f t="shared" si="3"/>
        <v>3301624.1467977841</v>
      </c>
      <c r="O33" s="101">
        <f t="shared" si="4"/>
        <v>9354601.7492603883</v>
      </c>
      <c r="R33" s="202"/>
      <c r="S33" s="203"/>
      <c r="T33" s="203"/>
      <c r="U33" s="207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8'!L34</f>
        <v>0.45000000000000007</v>
      </c>
      <c r="K34" s="163">
        <v>0.15</v>
      </c>
      <c r="L34" s="100">
        <f t="shared" si="1"/>
        <v>0.60000000000000009</v>
      </c>
      <c r="M34" s="101">
        <f t="shared" si="2"/>
        <v>6754376.2184009086</v>
      </c>
      <c r="N34" s="101">
        <f t="shared" si="3"/>
        <v>2251458.7394669689</v>
      </c>
      <c r="O34" s="101">
        <f t="shared" si="4"/>
        <v>9005834.9578678776</v>
      </c>
      <c r="Q34" s="203"/>
      <c r="R34" s="202"/>
      <c r="S34" s="203"/>
      <c r="T34" s="203"/>
      <c r="U34" s="207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8'!L35</f>
        <v>0.60000000000000009</v>
      </c>
      <c r="K35" s="163">
        <v>0.1</v>
      </c>
      <c r="L35" s="100">
        <f t="shared" si="1"/>
        <v>0.70000000000000007</v>
      </c>
      <c r="M35" s="101">
        <f t="shared" si="2"/>
        <v>15353030.632913107</v>
      </c>
      <c r="N35" s="101">
        <f t="shared" si="3"/>
        <v>2558838.438818851</v>
      </c>
      <c r="O35" s="101">
        <f t="shared" si="4"/>
        <v>17911869.071731959</v>
      </c>
      <c r="R35" s="202"/>
      <c r="S35" s="203"/>
      <c r="T35" s="203"/>
      <c r="U35" s="207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8'!L36</f>
        <v>0.5</v>
      </c>
      <c r="K36" s="163">
        <v>0.15</v>
      </c>
      <c r="L36" s="100">
        <f t="shared" si="1"/>
        <v>0.65</v>
      </c>
      <c r="M36" s="101">
        <f t="shared" si="2"/>
        <v>2736732.7561238143</v>
      </c>
      <c r="N36" s="101">
        <f t="shared" si="3"/>
        <v>821019.82683714421</v>
      </c>
      <c r="O36" s="101">
        <f t="shared" si="4"/>
        <v>3557752.5829609586</v>
      </c>
      <c r="R36" s="202"/>
      <c r="S36" s="203"/>
      <c r="T36" s="203"/>
      <c r="U36" s="207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8'!L37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  <c r="R37" s="202"/>
      <c r="T37" s="205"/>
      <c r="U37" s="202"/>
    </row>
    <row r="38" spans="2:24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8'!L38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R38" s="202"/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8'!L39</f>
        <v>0.55000000000000004</v>
      </c>
      <c r="K39" s="163">
        <v>0.15</v>
      </c>
      <c r="L39" s="100">
        <f t="shared" si="1"/>
        <v>0.70000000000000007</v>
      </c>
      <c r="M39" s="101">
        <f t="shared" si="2"/>
        <v>6099038.5500000007</v>
      </c>
      <c r="N39" s="101">
        <f t="shared" si="3"/>
        <v>1663374.15</v>
      </c>
      <c r="O39" s="101">
        <f t="shared" si="4"/>
        <v>7762412.7000000011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8'!L40</f>
        <v>0.65</v>
      </c>
      <c r="K40" s="158">
        <v>0.15</v>
      </c>
      <c r="L40" s="100">
        <f t="shared" si="1"/>
        <v>0.8</v>
      </c>
      <c r="M40" s="101">
        <f t="shared" si="2"/>
        <v>1412474.7</v>
      </c>
      <c r="N40" s="101">
        <f t="shared" si="3"/>
        <v>325955.7</v>
      </c>
      <c r="O40" s="101">
        <f t="shared" si="4"/>
        <v>1738430.4000000001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8'!L41</f>
        <v>0.75</v>
      </c>
      <c r="K41" s="158"/>
      <c r="L41" s="100">
        <f t="shared" si="1"/>
        <v>0.75</v>
      </c>
      <c r="M41" s="101">
        <f t="shared" si="2"/>
        <v>207387</v>
      </c>
      <c r="N41" s="101">
        <f t="shared" si="3"/>
        <v>0</v>
      </c>
      <c r="O41" s="101">
        <f t="shared" si="4"/>
        <v>207387</v>
      </c>
      <c r="R41" s="202"/>
      <c r="X41" s="166"/>
    </row>
    <row r="42" spans="2:24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9">
        <f>+'SVD 4140_Pto. 01_Cert. 8'!L42</f>
        <v>1</v>
      </c>
      <c r="K42" s="159"/>
      <c r="L42" s="160">
        <f t="shared" si="1"/>
        <v>1</v>
      </c>
      <c r="M42" s="101">
        <f t="shared" si="2"/>
        <v>2285940</v>
      </c>
      <c r="N42" s="101">
        <f t="shared" si="3"/>
        <v>0</v>
      </c>
      <c r="O42" s="101">
        <f t="shared" si="4"/>
        <v>2285940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1">
        <f>+'SVD 4140_Pto. 01_Cert. 8'!L43</f>
        <v>0</v>
      </c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6">
        <f>+'SVD 4140_Pto. 01_Cert. 8'!L44</f>
        <v>0.9</v>
      </c>
      <c r="K44" s="206">
        <v>0.05</v>
      </c>
      <c r="L44" s="157">
        <f t="shared" ref="L44:L56" si="7">+J44+K44</f>
        <v>0.95000000000000007</v>
      </c>
      <c r="M44" s="101">
        <f t="shared" si="2"/>
        <v>5422593.6000000006</v>
      </c>
      <c r="N44" s="101">
        <f t="shared" si="3"/>
        <v>301255.2</v>
      </c>
      <c r="O44" s="101">
        <f t="shared" si="4"/>
        <v>5723848.8000000007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8'!L45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8'!L46</f>
        <v>0.9</v>
      </c>
      <c r="K46" s="163">
        <v>0.05</v>
      </c>
      <c r="L46" s="100">
        <f t="shared" si="7"/>
        <v>0.95000000000000007</v>
      </c>
      <c r="M46" s="101">
        <f t="shared" si="2"/>
        <v>1357437.6</v>
      </c>
      <c r="N46" s="101">
        <f t="shared" si="3"/>
        <v>75413.2</v>
      </c>
      <c r="O46" s="101">
        <f t="shared" si="4"/>
        <v>1432850.8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8'!L47</f>
        <v>0</v>
      </c>
      <c r="K47" s="163">
        <v>0.5</v>
      </c>
      <c r="L47" s="100">
        <f t="shared" si="7"/>
        <v>0.5</v>
      </c>
      <c r="M47" s="101">
        <f t="shared" si="2"/>
        <v>0</v>
      </c>
      <c r="N47" s="101">
        <f t="shared" si="3"/>
        <v>2303281</v>
      </c>
      <c r="O47" s="101">
        <f t="shared" si="4"/>
        <v>2303281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63">
        <f>+'SVD 4140_Pto. 01_Cert. 8'!L48</f>
        <v>0.25</v>
      </c>
      <c r="K48" s="163">
        <v>0.2</v>
      </c>
      <c r="L48" s="100">
        <f t="shared" si="7"/>
        <v>0.45</v>
      </c>
      <c r="M48" s="101">
        <f t="shared" si="2"/>
        <v>1392304</v>
      </c>
      <c r="N48" s="101">
        <f t="shared" si="3"/>
        <v>1113843.2</v>
      </c>
      <c r="O48" s="101">
        <f t="shared" si="4"/>
        <v>2506147.2000000002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63">
        <f>+'SVD 4140_Pto. 01_Cert. 8'!L49</f>
        <v>0.7</v>
      </c>
      <c r="K49" s="163">
        <v>0.1</v>
      </c>
      <c r="L49" s="100">
        <f t="shared" si="7"/>
        <v>0.79999999999999993</v>
      </c>
      <c r="M49" s="101">
        <f t="shared" si="2"/>
        <v>2533064.7999999998</v>
      </c>
      <c r="N49" s="101">
        <f t="shared" si="3"/>
        <v>361866.4</v>
      </c>
      <c r="O49" s="101">
        <f t="shared" si="4"/>
        <v>2894931.1999999997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63">
        <f>+'SVD 4140_Pto. 01_Cert. 8'!L50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63">
        <f>+'SVD 4140_Pto. 01_Cert. 8'!L51</f>
        <v>0.65</v>
      </c>
      <c r="K51" s="163">
        <v>0.15</v>
      </c>
      <c r="L51" s="100">
        <f t="shared" si="7"/>
        <v>0.8</v>
      </c>
      <c r="M51" s="101">
        <f t="shared" si="2"/>
        <v>1633949.2</v>
      </c>
      <c r="N51" s="101">
        <f t="shared" si="3"/>
        <v>377065.2</v>
      </c>
      <c r="O51" s="101">
        <f t="shared" si="4"/>
        <v>2011014.4000000001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8'!L52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9">
        <f>+'SVD 4140_Pto. 01_Cert. 8'!L53</f>
        <v>0.35</v>
      </c>
      <c r="K53" s="159">
        <v>0.25</v>
      </c>
      <c r="L53" s="160">
        <f t="shared" si="7"/>
        <v>0.6</v>
      </c>
      <c r="M53" s="101">
        <f t="shared" si="2"/>
        <v>879586.39999999991</v>
      </c>
      <c r="N53" s="101">
        <f t="shared" si="3"/>
        <v>628276</v>
      </c>
      <c r="O53" s="101">
        <f t="shared" si="4"/>
        <v>1507862.4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1">
        <f>+'SVD 4140_Pto. 01_Cert. 8'!L54</f>
        <v>0</v>
      </c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64">
        <f>+'SVD 4140_Pto. 01_Cert. 8'!L55</f>
        <v>0.9</v>
      </c>
      <c r="K55" s="164">
        <v>0.05</v>
      </c>
      <c r="L55" s="157">
        <f t="shared" si="7"/>
        <v>0.95000000000000007</v>
      </c>
      <c r="M55" s="101">
        <f t="shared" si="2"/>
        <v>34373563.200000003</v>
      </c>
      <c r="N55" s="101">
        <f t="shared" si="3"/>
        <v>1909642.4000000001</v>
      </c>
      <c r="O55" s="101">
        <f t="shared" si="4"/>
        <v>36283205.600000001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65">
        <f>+'SVD 4140_Pto. 01_Cert. 8'!L56</f>
        <v>0.9</v>
      </c>
      <c r="K56" s="165">
        <v>0.05</v>
      </c>
      <c r="L56" s="160">
        <f t="shared" si="7"/>
        <v>0.95000000000000007</v>
      </c>
      <c r="M56" s="101">
        <f t="shared" si="2"/>
        <v>4524782.4000000004</v>
      </c>
      <c r="N56" s="101">
        <f t="shared" si="3"/>
        <v>251376.80000000002</v>
      </c>
      <c r="O56" s="101">
        <f t="shared" si="4"/>
        <v>4776159.2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319348568.27874595</v>
      </c>
      <c r="N57" s="154">
        <f>+SUM(N10:N56)</f>
        <v>36158271.967231743</v>
      </c>
      <c r="O57" s="155">
        <f>+SUM(O10:O56)</f>
        <v>355506840.24597776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0.84382087216249568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f>+K6</f>
        <v>9</v>
      </c>
      <c r="N60" s="112"/>
      <c r="O60" s="113">
        <f>+O6</f>
        <v>45988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36158271.967231743</v>
      </c>
      <c r="Q64" s="195"/>
      <c r="R64" s="198"/>
    </row>
    <row r="65" spans="2:19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-7231654.3934463486</v>
      </c>
      <c r="Q65" s="199"/>
      <c r="R65" s="200"/>
    </row>
    <row r="66" spans="2:19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28926617.573785394</v>
      </c>
      <c r="Q66" s="195"/>
      <c r="R66" s="201"/>
      <c r="S66" s="8">
        <v>26800000</v>
      </c>
    </row>
    <row r="67" spans="2:19" ht="12.75" customHeight="1" x14ac:dyDescent="0.2">
      <c r="C67" s="3" t="s">
        <v>88</v>
      </c>
      <c r="S67" s="8">
        <v>32800000</v>
      </c>
    </row>
    <row r="70" spans="2:19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15" priority="4" operator="equal">
      <formula>"x"</formula>
    </cfRule>
  </conditionalFormatting>
  <conditionalFormatting sqref="D43:D54">
    <cfRule type="cellIs" dxfId="14" priority="3" operator="equal">
      <formula>"x"</formula>
    </cfRule>
  </conditionalFormatting>
  <conditionalFormatting sqref="D57:D58">
    <cfRule type="cellIs" dxfId="13" priority="2" operator="equal">
      <formula>"x"</formula>
    </cfRule>
  </conditionalFormatting>
  <conditionalFormatting sqref="L11:L20 L22:L24 L26:L42 L44:L53 L55:L56">
    <cfRule type="cellIs" dxfId="12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 r:id="rId1"/>
  <headerFooter>
    <oddFooter>&amp;C&amp;P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F419-244C-4FDB-8970-E4D223C8BB05}">
  <dimension ref="B1:X70"/>
  <sheetViews>
    <sheetView zoomScale="98" zoomScaleNormal="98" workbookViewId="0">
      <selection activeCell="J11" sqref="J11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48.85546875" style="3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5" width="12.42578125" style="8" customWidth="1"/>
    <col min="16" max="16" width="1.5703125" style="8" customWidth="1"/>
    <col min="17" max="17" width="9.140625" style="8"/>
    <col min="18" max="18" width="12" style="8" bestFit="1" customWidth="1"/>
    <col min="19" max="19" width="12.42578125" style="8" bestFit="1" customWidth="1"/>
    <col min="20" max="22" width="9.140625" style="8"/>
    <col min="23" max="24" width="13.42578125" style="8" bestFit="1" customWidth="1"/>
    <col min="25" max="16384" width="11.5703125" style="8"/>
  </cols>
  <sheetData>
    <row r="1" spans="2:18" ht="8.4499999999999993" customHeight="1" x14ac:dyDescent="0.2"/>
    <row r="2" spans="2:18" ht="12.75" customHeight="1" x14ac:dyDescent="0.2">
      <c r="G2" s="7" t="s">
        <v>0</v>
      </c>
      <c r="H2" s="7" t="s">
        <v>1</v>
      </c>
    </row>
    <row r="3" spans="2:18" x14ac:dyDescent="0.2">
      <c r="F3" s="88"/>
      <c r="G3" s="10">
        <v>1005</v>
      </c>
      <c r="H3" s="10">
        <v>1170</v>
      </c>
    </row>
    <row r="4" spans="2:18" s="16" customFormat="1" x14ac:dyDescent="0.2">
      <c r="B4" s="11"/>
      <c r="C4" s="12"/>
      <c r="D4" s="13"/>
      <c r="E4" s="14"/>
      <c r="F4" s="14"/>
      <c r="G4" s="14"/>
      <c r="H4" s="15"/>
    </row>
    <row r="5" spans="2:18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8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9</v>
      </c>
      <c r="L6" s="91"/>
      <c r="M6" s="92"/>
      <c r="N6" s="93"/>
      <c r="O6" s="94">
        <v>45988</v>
      </c>
    </row>
    <row r="7" spans="2:18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8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8" ht="25.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8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8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9'!L11</f>
        <v>0</v>
      </c>
      <c r="K11" s="20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  <c r="R11" s="209"/>
    </row>
    <row r="12" spans="2:18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9'!L12</f>
        <v>1</v>
      </c>
      <c r="K12" s="163"/>
      <c r="L12" s="100">
        <f t="shared" si="1"/>
        <v>1</v>
      </c>
      <c r="M12" s="101">
        <f t="shared" si="2"/>
        <v>1138764</v>
      </c>
      <c r="N12" s="101">
        <f t="shared" si="3"/>
        <v>0</v>
      </c>
      <c r="O12" s="101">
        <f t="shared" si="4"/>
        <v>1138764</v>
      </c>
      <c r="R12" s="209"/>
    </row>
    <row r="13" spans="2:18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9'!L13</f>
        <v>0</v>
      </c>
      <c r="K13" s="163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  <c r="R13" s="209"/>
    </row>
    <row r="14" spans="2:18" ht="25.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9'!L14</f>
        <v>1</v>
      </c>
      <c r="K14" s="163"/>
      <c r="L14" s="100">
        <f t="shared" si="1"/>
        <v>1</v>
      </c>
      <c r="M14" s="101">
        <f t="shared" si="2"/>
        <v>1553420</v>
      </c>
      <c r="N14" s="101">
        <f t="shared" si="3"/>
        <v>0</v>
      </c>
      <c r="O14" s="101">
        <f t="shared" si="4"/>
        <v>1553420</v>
      </c>
      <c r="R14" s="209"/>
    </row>
    <row r="15" spans="2:18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9'!L15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  <c r="R15" s="209"/>
    </row>
    <row r="16" spans="2:18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9'!L16</f>
        <v>1</v>
      </c>
      <c r="K16" s="163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  <c r="R16" s="209"/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9'!L17</f>
        <v>1</v>
      </c>
      <c r="K17" s="163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  <c r="R17" s="209"/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9'!L18</f>
        <v>0</v>
      </c>
      <c r="K18" s="163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  <c r="R18" s="209"/>
    </row>
    <row r="19" spans="2:21" ht="25.5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9'!L19</f>
        <v>0.65</v>
      </c>
      <c r="K19" s="163"/>
      <c r="L19" s="100">
        <f t="shared" si="1"/>
        <v>0.65</v>
      </c>
      <c r="M19" s="101">
        <f t="shared" si="2"/>
        <v>277216.55</v>
      </c>
      <c r="N19" s="101">
        <f t="shared" si="3"/>
        <v>0</v>
      </c>
      <c r="O19" s="101">
        <f t="shared" si="4"/>
        <v>277216.55</v>
      </c>
      <c r="R19" s="209"/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8">
        <f>+'SVD 4140_Pto. 01_Cert. 9'!L20</f>
        <v>1</v>
      </c>
      <c r="K20" s="163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  <c r="R20" s="209"/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2"/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8">
        <f>+'SVD 4140_Pto. 01_Cert. 9'!L22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9'!L23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8">
        <f>+'SVD 4140_Pto. 01_Cert. 9'!L24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ht="25.5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2"/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8">
        <f>+'SVD 4140_Pto. 01_Cert. 9'!L26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9'!L27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9'!L28</f>
        <v>1</v>
      </c>
      <c r="K28" s="163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9'!L29</f>
        <v>1</v>
      </c>
      <c r="K29" s="163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9'!L30</f>
        <v>1</v>
      </c>
      <c r="K30" s="163"/>
      <c r="L30" s="100">
        <f t="shared" si="1"/>
        <v>1</v>
      </c>
      <c r="M30" s="101">
        <f t="shared" si="2"/>
        <v>4627316.5315224333</v>
      </c>
      <c r="N30" s="101">
        <f t="shared" si="3"/>
        <v>0</v>
      </c>
      <c r="O30" s="101">
        <f t="shared" si="4"/>
        <v>4627316.5315224333</v>
      </c>
      <c r="U30" s="207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9'!L31</f>
        <v>0.65000000000000013</v>
      </c>
      <c r="K31" s="163">
        <v>0.2</v>
      </c>
      <c r="L31" s="100">
        <f t="shared" si="1"/>
        <v>0.85000000000000009</v>
      </c>
      <c r="M31" s="101">
        <f t="shared" si="2"/>
        <v>36503134.610264912</v>
      </c>
      <c r="N31" s="101">
        <f t="shared" si="3"/>
        <v>11231733.726235356</v>
      </c>
      <c r="O31" s="101">
        <f t="shared" si="4"/>
        <v>47734868.336500265</v>
      </c>
      <c r="Q31" s="193"/>
      <c r="R31" s="202"/>
      <c r="S31" s="203"/>
      <c r="T31" s="203"/>
      <c r="U31" s="207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9'!L32</f>
        <v>0.79999999999999993</v>
      </c>
      <c r="K32" s="163">
        <v>0.05</v>
      </c>
      <c r="L32" s="100">
        <f t="shared" si="1"/>
        <v>0.85</v>
      </c>
      <c r="M32" s="101">
        <f t="shared" si="2"/>
        <v>41030622.712605223</v>
      </c>
      <c r="N32" s="101">
        <f t="shared" si="3"/>
        <v>2564413.9195378269</v>
      </c>
      <c r="O32" s="101">
        <f t="shared" si="4"/>
        <v>43595036.63214305</v>
      </c>
      <c r="R32" s="202"/>
      <c r="S32" s="203"/>
      <c r="T32" s="203"/>
      <c r="U32" s="207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9'!L33</f>
        <v>0.85000000000000009</v>
      </c>
      <c r="K33" s="163">
        <v>0.1</v>
      </c>
      <c r="L33" s="100">
        <f t="shared" si="1"/>
        <v>0.95000000000000007</v>
      </c>
      <c r="M33" s="101">
        <f t="shared" si="2"/>
        <v>9354601.7492603883</v>
      </c>
      <c r="N33" s="101">
        <f t="shared" si="3"/>
        <v>1100541.382265928</v>
      </c>
      <c r="O33" s="101">
        <f t="shared" si="4"/>
        <v>10455143.131526317</v>
      </c>
      <c r="R33" s="202"/>
      <c r="S33" s="203"/>
      <c r="T33" s="203"/>
      <c r="U33" s="207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9'!L34</f>
        <v>0.60000000000000009</v>
      </c>
      <c r="K34" s="163">
        <v>0.05</v>
      </c>
      <c r="L34" s="100">
        <f t="shared" si="1"/>
        <v>0.65000000000000013</v>
      </c>
      <c r="M34" s="101">
        <f t="shared" si="2"/>
        <v>9005834.9578678776</v>
      </c>
      <c r="N34" s="101">
        <f t="shared" si="3"/>
        <v>750486.2464889898</v>
      </c>
      <c r="O34" s="101">
        <f t="shared" si="4"/>
        <v>9756321.2043568678</v>
      </c>
      <c r="Q34" s="203"/>
      <c r="R34" s="202"/>
      <c r="S34" s="203"/>
      <c r="T34" s="203"/>
      <c r="U34" s="207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9'!L35</f>
        <v>0.70000000000000007</v>
      </c>
      <c r="K35" s="163">
        <v>0.1</v>
      </c>
      <c r="L35" s="100">
        <f t="shared" si="1"/>
        <v>0.8</v>
      </c>
      <c r="M35" s="101">
        <f t="shared" si="2"/>
        <v>17911869.071731959</v>
      </c>
      <c r="N35" s="101">
        <f t="shared" si="3"/>
        <v>2558838.438818851</v>
      </c>
      <c r="O35" s="101">
        <f t="shared" si="4"/>
        <v>20470707.510550808</v>
      </c>
      <c r="R35" s="202"/>
      <c r="S35" s="203"/>
      <c r="T35" s="203"/>
      <c r="U35" s="207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9'!L36</f>
        <v>0.65</v>
      </c>
      <c r="K36" s="163">
        <v>0.2</v>
      </c>
      <c r="L36" s="100">
        <f t="shared" si="1"/>
        <v>0.85000000000000009</v>
      </c>
      <c r="M36" s="101">
        <f t="shared" si="2"/>
        <v>3557752.5829609586</v>
      </c>
      <c r="N36" s="101">
        <f t="shared" si="3"/>
        <v>1094693.1024495258</v>
      </c>
      <c r="O36" s="101">
        <f t="shared" si="4"/>
        <v>4652445.6854104847</v>
      </c>
      <c r="R36" s="202"/>
      <c r="S36" s="203"/>
      <c r="T36" s="203"/>
      <c r="U36" s="207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9'!L37</f>
        <v>0</v>
      </c>
      <c r="K37" s="158"/>
      <c r="L37" s="100">
        <f t="shared" si="1"/>
        <v>0</v>
      </c>
      <c r="M37" s="101">
        <f t="shared" si="2"/>
        <v>0</v>
      </c>
      <c r="N37" s="101">
        <f t="shared" si="3"/>
        <v>0</v>
      </c>
      <c r="O37" s="101">
        <f t="shared" si="4"/>
        <v>0</v>
      </c>
      <c r="R37" s="202"/>
      <c r="T37" s="205"/>
      <c r="U37" s="202"/>
    </row>
    <row r="38" spans="2:24" ht="25.5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9'!L38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R38" s="202"/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9'!L39</f>
        <v>0.70000000000000007</v>
      </c>
      <c r="K39" s="163">
        <v>0.1</v>
      </c>
      <c r="L39" s="100">
        <f t="shared" si="1"/>
        <v>0.8</v>
      </c>
      <c r="M39" s="101">
        <f t="shared" si="2"/>
        <v>7762412.7000000011</v>
      </c>
      <c r="N39" s="101">
        <f t="shared" si="3"/>
        <v>1108916.1000000001</v>
      </c>
      <c r="O39" s="101">
        <f t="shared" si="4"/>
        <v>8871328.8000000007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9'!L40</f>
        <v>0.8</v>
      </c>
      <c r="K40" s="158">
        <v>0.05</v>
      </c>
      <c r="L40" s="100">
        <f t="shared" si="1"/>
        <v>0.85000000000000009</v>
      </c>
      <c r="M40" s="101">
        <f t="shared" si="2"/>
        <v>1738430.4000000001</v>
      </c>
      <c r="N40" s="101">
        <f t="shared" si="3"/>
        <v>108651.90000000001</v>
      </c>
      <c r="O40" s="101">
        <f t="shared" si="4"/>
        <v>1847082.3000000003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9'!L41</f>
        <v>0.75</v>
      </c>
      <c r="K41" s="158"/>
      <c r="L41" s="100">
        <f t="shared" si="1"/>
        <v>0.75</v>
      </c>
      <c r="M41" s="101">
        <f t="shared" si="2"/>
        <v>207387</v>
      </c>
      <c r="N41" s="101">
        <f t="shared" si="3"/>
        <v>0</v>
      </c>
      <c r="O41" s="101">
        <f t="shared" si="4"/>
        <v>207387</v>
      </c>
      <c r="R41" s="202"/>
      <c r="X41" s="166"/>
    </row>
    <row r="42" spans="2:24" ht="25.5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8">
        <f>+'SVD 4140_Pto. 01_Cert. 9'!L42</f>
        <v>1</v>
      </c>
      <c r="K42" s="159"/>
      <c r="L42" s="160">
        <f t="shared" si="1"/>
        <v>1</v>
      </c>
      <c r="M42" s="101">
        <f t="shared" si="2"/>
        <v>2285940</v>
      </c>
      <c r="N42" s="101">
        <f t="shared" si="3"/>
        <v>0</v>
      </c>
      <c r="O42" s="101">
        <f t="shared" si="4"/>
        <v>2285940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2"/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8">
        <f>+'SVD 4140_Pto. 01_Cert. 9'!L44</f>
        <v>0.95000000000000007</v>
      </c>
      <c r="K44" s="206">
        <v>0.05</v>
      </c>
      <c r="L44" s="157">
        <f t="shared" ref="L44:L56" si="7">+J44+K44</f>
        <v>1</v>
      </c>
      <c r="M44" s="101">
        <f t="shared" si="2"/>
        <v>5723848.8000000007</v>
      </c>
      <c r="N44" s="101">
        <f t="shared" si="3"/>
        <v>301255.2</v>
      </c>
      <c r="O44" s="101">
        <f t="shared" si="4"/>
        <v>6025104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9'!L45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9'!L46</f>
        <v>0.95000000000000007</v>
      </c>
      <c r="K46" s="163">
        <v>0.05</v>
      </c>
      <c r="L46" s="100">
        <f t="shared" si="7"/>
        <v>1</v>
      </c>
      <c r="M46" s="101">
        <f t="shared" si="2"/>
        <v>1432850.8</v>
      </c>
      <c r="N46" s="101">
        <f t="shared" si="3"/>
        <v>75413.2</v>
      </c>
      <c r="O46" s="101">
        <f t="shared" si="4"/>
        <v>1508264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9'!L47</f>
        <v>0.5</v>
      </c>
      <c r="K47" s="163"/>
      <c r="L47" s="100">
        <f t="shared" si="7"/>
        <v>0.5</v>
      </c>
      <c r="M47" s="101">
        <f t="shared" si="2"/>
        <v>2303281</v>
      </c>
      <c r="N47" s="101">
        <f t="shared" si="3"/>
        <v>0</v>
      </c>
      <c r="O47" s="101">
        <f t="shared" si="4"/>
        <v>2303281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58">
        <f>+'SVD 4140_Pto. 01_Cert. 9'!L48</f>
        <v>0.45</v>
      </c>
      <c r="K48" s="163">
        <v>0.15</v>
      </c>
      <c r="L48" s="100">
        <f t="shared" si="7"/>
        <v>0.6</v>
      </c>
      <c r="M48" s="101">
        <f t="shared" si="2"/>
        <v>2506147.2000000002</v>
      </c>
      <c r="N48" s="101">
        <f t="shared" si="3"/>
        <v>835382.4</v>
      </c>
      <c r="O48" s="101">
        <f t="shared" si="4"/>
        <v>3341529.6</v>
      </c>
    </row>
    <row r="49" spans="2:18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58">
        <f>+'SVD 4140_Pto. 01_Cert. 9'!L49</f>
        <v>0.79999999999999993</v>
      </c>
      <c r="K49" s="163">
        <v>0.05</v>
      </c>
      <c r="L49" s="100">
        <f t="shared" si="7"/>
        <v>0.85</v>
      </c>
      <c r="M49" s="101">
        <f t="shared" si="2"/>
        <v>2894931.1999999997</v>
      </c>
      <c r="N49" s="101">
        <f t="shared" si="3"/>
        <v>180933.2</v>
      </c>
      <c r="O49" s="101">
        <f t="shared" si="4"/>
        <v>3075864.4</v>
      </c>
    </row>
    <row r="50" spans="2:18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58">
        <f>+'SVD 4140_Pto. 01_Cert. 9'!L50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18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58">
        <f>+'SVD 4140_Pto. 01_Cert. 9'!L51</f>
        <v>0.8</v>
      </c>
      <c r="K51" s="163">
        <v>0.1</v>
      </c>
      <c r="L51" s="100">
        <f t="shared" si="7"/>
        <v>0.9</v>
      </c>
      <c r="M51" s="101">
        <f t="shared" si="2"/>
        <v>2011014.4000000001</v>
      </c>
      <c r="N51" s="101">
        <f t="shared" si="3"/>
        <v>251376.80000000002</v>
      </c>
      <c r="O51" s="101">
        <f t="shared" si="4"/>
        <v>2262391.2000000002</v>
      </c>
    </row>
    <row r="52" spans="2:18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9'!L52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18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8">
        <f>+'SVD 4140_Pto. 01_Cert. 9'!L53</f>
        <v>0.6</v>
      </c>
      <c r="K53" s="159">
        <v>0.1</v>
      </c>
      <c r="L53" s="160">
        <f t="shared" si="7"/>
        <v>0.7</v>
      </c>
      <c r="M53" s="101">
        <f t="shared" si="2"/>
        <v>1507862.4</v>
      </c>
      <c r="N53" s="101">
        <f t="shared" si="3"/>
        <v>251310.40000000002</v>
      </c>
      <c r="O53" s="101">
        <f t="shared" si="4"/>
        <v>1759172.7999999998</v>
      </c>
    </row>
    <row r="54" spans="2:18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2"/>
      <c r="K54" s="162"/>
      <c r="L54" s="152"/>
      <c r="M54" s="152"/>
      <c r="N54" s="152"/>
      <c r="O54" s="82"/>
    </row>
    <row r="55" spans="2:18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58">
        <f>+'SVD 4140_Pto. 01_Cert. 9'!L55</f>
        <v>0.95000000000000007</v>
      </c>
      <c r="K55" s="164">
        <v>0.05</v>
      </c>
      <c r="L55" s="157">
        <f t="shared" si="7"/>
        <v>1</v>
      </c>
      <c r="M55" s="101">
        <f t="shared" si="2"/>
        <v>36283205.600000001</v>
      </c>
      <c r="N55" s="101">
        <f t="shared" si="3"/>
        <v>1909642.4000000001</v>
      </c>
      <c r="O55" s="101">
        <f t="shared" si="4"/>
        <v>38192848</v>
      </c>
    </row>
    <row r="56" spans="2:18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58">
        <f>+'SVD 4140_Pto. 01_Cert. 9'!L56</f>
        <v>0.95000000000000007</v>
      </c>
      <c r="K56" s="165">
        <v>0.05</v>
      </c>
      <c r="L56" s="160">
        <f t="shared" si="7"/>
        <v>1</v>
      </c>
      <c r="M56" s="101">
        <f t="shared" si="2"/>
        <v>4776159.2</v>
      </c>
      <c r="N56" s="101">
        <f t="shared" si="3"/>
        <v>251376.80000000002</v>
      </c>
      <c r="O56" s="101">
        <f t="shared" si="4"/>
        <v>5027536</v>
      </c>
    </row>
    <row r="57" spans="2:18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355506840.24597776</v>
      </c>
      <c r="N57" s="154">
        <f>+SUM(N10:N56)</f>
        <v>24574965.215796471</v>
      </c>
      <c r="O57" s="155">
        <f>+SUM(O10:O56)</f>
        <v>380081805.46177435</v>
      </c>
    </row>
    <row r="58" spans="2:18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0.90215130700703616</v>
      </c>
      <c r="Q58" s="192"/>
    </row>
    <row r="59" spans="2:18" ht="12.75" customHeight="1" x14ac:dyDescent="0.2">
      <c r="K59" s="1"/>
      <c r="L59" s="1"/>
      <c r="N59" s="69"/>
      <c r="O59" s="69"/>
    </row>
    <row r="60" spans="2:18" ht="12.75" customHeight="1" x14ac:dyDescent="0.2">
      <c r="B60" s="102"/>
      <c r="C60" s="87" t="s">
        <v>74</v>
      </c>
      <c r="D60" s="103"/>
      <c r="E60" s="104"/>
      <c r="F60" s="105"/>
      <c r="G60" s="106"/>
      <c r="H60" s="107"/>
      <c r="I60" s="107"/>
      <c r="J60" s="108"/>
      <c r="K60" s="109"/>
      <c r="L60" s="110" t="s">
        <v>75</v>
      </c>
      <c r="M60" s="111">
        <v>10</v>
      </c>
      <c r="N60" s="112"/>
      <c r="O60" s="113">
        <f>+O6</f>
        <v>45988</v>
      </c>
    </row>
    <row r="61" spans="2:18" ht="12.75" customHeight="1" x14ac:dyDescent="0.2">
      <c r="B61" s="114"/>
      <c r="C61" s="87" t="s">
        <v>7</v>
      </c>
      <c r="D61" s="112"/>
      <c r="E61" s="115"/>
      <c r="F61" s="116"/>
      <c r="G61" s="107"/>
      <c r="H61" s="107"/>
      <c r="I61" s="107"/>
      <c r="J61" s="117"/>
      <c r="K61" s="118"/>
      <c r="L61" s="117"/>
      <c r="M61" s="87"/>
      <c r="N61" s="112" t="s">
        <v>76</v>
      </c>
      <c r="O61" s="119" t="s">
        <v>77</v>
      </c>
    </row>
    <row r="62" spans="2:18" ht="12.75" customHeight="1" x14ac:dyDescent="0.2">
      <c r="B62" s="168" t="s">
        <v>78</v>
      </c>
      <c r="C62" s="120" t="s">
        <v>79</v>
      </c>
      <c r="D62" s="121"/>
      <c r="E62" s="122"/>
      <c r="F62" s="123"/>
      <c r="G62" s="124"/>
      <c r="H62" s="125"/>
      <c r="I62" s="125"/>
      <c r="J62" s="126"/>
      <c r="K62" s="127"/>
      <c r="L62" s="126"/>
      <c r="M62" s="128"/>
      <c r="N62" s="128"/>
      <c r="O62" s="129">
        <f>+H57</f>
        <v>421306052</v>
      </c>
      <c r="Q62" s="195"/>
      <c r="R62" s="196"/>
    </row>
    <row r="63" spans="2:18" ht="12.75" customHeight="1" x14ac:dyDescent="0.2">
      <c r="B63" s="130" t="s">
        <v>80</v>
      </c>
      <c r="C63" s="131" t="s">
        <v>81</v>
      </c>
      <c r="D63" s="132"/>
      <c r="E63" s="133"/>
      <c r="F63" s="134"/>
      <c r="G63" s="135"/>
      <c r="H63" s="136"/>
      <c r="I63" s="136"/>
      <c r="J63" s="135"/>
      <c r="K63" s="137"/>
      <c r="L63" s="138"/>
      <c r="M63" s="139"/>
      <c r="N63" s="140">
        <v>0.2</v>
      </c>
      <c r="O63" s="141">
        <f>+N63*O62</f>
        <v>84261210.400000006</v>
      </c>
      <c r="Q63" s="197"/>
      <c r="R63" s="196"/>
    </row>
    <row r="64" spans="2:18" ht="12.75" customHeight="1" x14ac:dyDescent="0.2">
      <c r="B64" s="169" t="s">
        <v>82</v>
      </c>
      <c r="C64" s="142" t="s">
        <v>83</v>
      </c>
      <c r="D64" s="143"/>
      <c r="E64" s="144"/>
      <c r="F64" s="145"/>
      <c r="G64" s="146"/>
      <c r="H64" s="147"/>
      <c r="I64" s="147"/>
      <c r="J64" s="148"/>
      <c r="K64" s="149"/>
      <c r="L64" s="148"/>
      <c r="M64" s="150"/>
      <c r="N64" s="150"/>
      <c r="O64" s="151">
        <f>+N57</f>
        <v>24574965.215796471</v>
      </c>
      <c r="Q64" s="195"/>
      <c r="R64" s="198"/>
    </row>
    <row r="65" spans="2:19" ht="12.75" customHeight="1" x14ac:dyDescent="0.2">
      <c r="B65" s="170" t="s">
        <v>84</v>
      </c>
      <c r="C65" s="171" t="s">
        <v>85</v>
      </c>
      <c r="D65" s="172"/>
      <c r="E65" s="173"/>
      <c r="F65" s="174"/>
      <c r="G65" s="175"/>
      <c r="H65" s="176"/>
      <c r="I65" s="176"/>
      <c r="J65" s="177"/>
      <c r="K65" s="178"/>
      <c r="L65" s="177"/>
      <c r="M65" s="179"/>
      <c r="N65" s="180">
        <f>-N63</f>
        <v>-0.2</v>
      </c>
      <c r="O65" s="181">
        <f>+N65*O64</f>
        <v>-4914993.0431592939</v>
      </c>
      <c r="Q65" s="199"/>
      <c r="R65" s="200"/>
    </row>
    <row r="66" spans="2:19" ht="12.75" customHeight="1" x14ac:dyDescent="0.2">
      <c r="B66" s="182" t="s">
        <v>86</v>
      </c>
      <c r="C66" s="183" t="s">
        <v>87</v>
      </c>
      <c r="D66" s="184"/>
      <c r="E66" s="185"/>
      <c r="F66" s="186"/>
      <c r="G66" s="187"/>
      <c r="H66" s="187"/>
      <c r="I66" s="187"/>
      <c r="J66" s="187"/>
      <c r="K66" s="188"/>
      <c r="L66" s="189"/>
      <c r="M66" s="190"/>
      <c r="N66" s="190"/>
      <c r="O66" s="191">
        <f>+O64+O65</f>
        <v>19659972.172637176</v>
      </c>
      <c r="Q66" s="195"/>
      <c r="R66" s="201"/>
      <c r="S66" s="8">
        <v>26800000</v>
      </c>
    </row>
    <row r="67" spans="2:19" ht="12.75" customHeight="1" x14ac:dyDescent="0.2">
      <c r="C67" s="3" t="s">
        <v>88</v>
      </c>
      <c r="S67" s="8">
        <v>32800000</v>
      </c>
    </row>
    <row r="70" spans="2:19" ht="12.75" customHeight="1" x14ac:dyDescent="0.2">
      <c r="J70" s="194"/>
    </row>
  </sheetData>
  <mergeCells count="2">
    <mergeCell ref="J8:L8"/>
    <mergeCell ref="M8:O8"/>
  </mergeCells>
  <conditionalFormatting sqref="D4:D13 D21:D30">
    <cfRule type="cellIs" dxfId="11" priority="4" operator="equal">
      <formula>"x"</formula>
    </cfRule>
  </conditionalFormatting>
  <conditionalFormatting sqref="D43:D54">
    <cfRule type="cellIs" dxfId="10" priority="3" operator="equal">
      <formula>"x"</formula>
    </cfRule>
  </conditionalFormatting>
  <conditionalFormatting sqref="D57:D58">
    <cfRule type="cellIs" dxfId="9" priority="2" operator="equal">
      <formula>"x"</formula>
    </cfRule>
  </conditionalFormatting>
  <conditionalFormatting sqref="L11:L20 L22:L24 L26:L42 L44:L53 L55:L56">
    <cfRule type="cellIs" dxfId="8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/>
  <headerFooter>
    <oddFooter>&amp;C&amp;P de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01CA-C7CB-4DBA-9AE7-7BC416BA2E90}">
  <dimension ref="B1:X71"/>
  <sheetViews>
    <sheetView zoomScale="98" zoomScaleNormal="98" workbookViewId="0">
      <selection activeCell="C37" sqref="C36:K37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48.85546875" style="3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3" width="12.42578125" style="8" customWidth="1"/>
    <col min="14" max="14" width="13.42578125" style="8" bestFit="1" customWidth="1"/>
    <col min="15" max="15" width="12.28515625" style="8" bestFit="1" customWidth="1"/>
    <col min="16" max="16" width="1.5703125" style="8" customWidth="1"/>
    <col min="17" max="17" width="11.5703125" style="8"/>
    <col min="18" max="19" width="13.7109375" style="8" bestFit="1" customWidth="1"/>
    <col min="20" max="22" width="11.5703125" style="8"/>
    <col min="23" max="24" width="13.42578125" style="8" bestFit="1" customWidth="1"/>
    <col min="25" max="16384" width="11.5703125" style="8"/>
  </cols>
  <sheetData>
    <row r="1" spans="2:18" ht="8.4499999999999993" customHeight="1" x14ac:dyDescent="0.2"/>
    <row r="2" spans="2:18" ht="12.75" customHeight="1" x14ac:dyDescent="0.2">
      <c r="G2" s="7" t="s">
        <v>0</v>
      </c>
      <c r="H2" s="7" t="s">
        <v>1</v>
      </c>
    </row>
    <row r="3" spans="2:18" x14ac:dyDescent="0.2">
      <c r="F3" s="88"/>
      <c r="G3" s="10">
        <v>1005</v>
      </c>
      <c r="H3" s="10">
        <v>1170</v>
      </c>
    </row>
    <row r="4" spans="2:18" s="16" customFormat="1" x14ac:dyDescent="0.2">
      <c r="B4" s="11"/>
      <c r="C4" s="12"/>
      <c r="D4" s="13"/>
      <c r="E4" s="14"/>
      <c r="F4" s="14"/>
      <c r="G4" s="14"/>
      <c r="H4" s="15"/>
    </row>
    <row r="5" spans="2:18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8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11</v>
      </c>
      <c r="L6" s="91"/>
      <c r="M6" s="92"/>
      <c r="N6" s="93"/>
      <c r="O6" s="94">
        <v>46050</v>
      </c>
    </row>
    <row r="7" spans="2:18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8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8" ht="25.5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8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8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10'!L11</f>
        <v>0</v>
      </c>
      <c r="K11" s="20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  <c r="R11" s="209"/>
    </row>
    <row r="12" spans="2:18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10'!L12</f>
        <v>1</v>
      </c>
      <c r="K12" s="163"/>
      <c r="L12" s="100">
        <f t="shared" si="1"/>
        <v>1</v>
      </c>
      <c r="M12" s="101">
        <f t="shared" si="2"/>
        <v>1138764</v>
      </c>
      <c r="N12" s="101">
        <f t="shared" si="3"/>
        <v>0</v>
      </c>
      <c r="O12" s="101">
        <f t="shared" si="4"/>
        <v>1138764</v>
      </c>
      <c r="R12" s="209"/>
    </row>
    <row r="13" spans="2:18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10'!L13</f>
        <v>0</v>
      </c>
      <c r="K13" s="163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  <c r="R13" s="209"/>
    </row>
    <row r="14" spans="2:18" ht="25.5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10'!L14</f>
        <v>1</v>
      </c>
      <c r="K14" s="163"/>
      <c r="L14" s="100">
        <f t="shared" si="1"/>
        <v>1</v>
      </c>
      <c r="M14" s="101">
        <f t="shared" si="2"/>
        <v>1553420</v>
      </c>
      <c r="N14" s="101">
        <f t="shared" si="3"/>
        <v>0</v>
      </c>
      <c r="O14" s="101">
        <f t="shared" si="4"/>
        <v>1553420</v>
      </c>
      <c r="R14" s="209"/>
    </row>
    <row r="15" spans="2:18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10'!L15</f>
        <v>0.8</v>
      </c>
      <c r="K15" s="163"/>
      <c r="L15" s="100">
        <f t="shared" si="1"/>
        <v>0.8</v>
      </c>
      <c r="M15" s="101">
        <f t="shared" si="2"/>
        <v>6039016.8000000007</v>
      </c>
      <c r="N15" s="101">
        <f t="shared" si="3"/>
        <v>0</v>
      </c>
      <c r="O15" s="101">
        <f t="shared" si="4"/>
        <v>6039016.8000000007</v>
      </c>
      <c r="R15" s="209"/>
    </row>
    <row r="16" spans="2:18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10'!L16</f>
        <v>1</v>
      </c>
      <c r="K16" s="163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  <c r="R16" s="209"/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10'!L17</f>
        <v>1</v>
      </c>
      <c r="K17" s="163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  <c r="R17" s="209"/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10'!L18</f>
        <v>0</v>
      </c>
      <c r="K18" s="163"/>
      <c r="L18" s="100">
        <f t="shared" si="1"/>
        <v>0</v>
      </c>
      <c r="M18" s="101">
        <f t="shared" si="2"/>
        <v>0</v>
      </c>
      <c r="N18" s="101">
        <f t="shared" si="3"/>
        <v>0</v>
      </c>
      <c r="O18" s="101">
        <f t="shared" si="4"/>
        <v>0</v>
      </c>
      <c r="R18" s="209"/>
    </row>
    <row r="19" spans="2:21" ht="25.5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10'!L19</f>
        <v>0.65</v>
      </c>
      <c r="K19" s="163"/>
      <c r="L19" s="100">
        <f t="shared" si="1"/>
        <v>0.65</v>
      </c>
      <c r="M19" s="101">
        <f t="shared" si="2"/>
        <v>277216.55</v>
      </c>
      <c r="N19" s="101">
        <f t="shared" si="3"/>
        <v>0</v>
      </c>
      <c r="O19" s="101">
        <f t="shared" si="4"/>
        <v>277216.55</v>
      </c>
      <c r="R19" s="209"/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8">
        <f>+'SVD 4140_Pto. 01_Cert. 10'!L20</f>
        <v>1</v>
      </c>
      <c r="K20" s="163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  <c r="R20" s="209"/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2"/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8">
        <f>+'SVD 4140_Pto. 01_Cert. 10'!L22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10'!L23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8">
        <f>+'SVD 4140_Pto. 01_Cert. 10'!L24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ht="25.5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2"/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8">
        <f>+'SVD 4140_Pto. 01_Cert. 10'!L26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10'!L27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10'!L28</f>
        <v>1</v>
      </c>
      <c r="K28" s="163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10'!L29</f>
        <v>1</v>
      </c>
      <c r="K29" s="163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10'!L30</f>
        <v>1</v>
      </c>
      <c r="K30" s="163"/>
      <c r="L30" s="100">
        <f t="shared" si="1"/>
        <v>1</v>
      </c>
      <c r="M30" s="101">
        <f t="shared" si="2"/>
        <v>4627316.5315224333</v>
      </c>
      <c r="N30" s="101">
        <f t="shared" si="3"/>
        <v>0</v>
      </c>
      <c r="O30" s="101">
        <f t="shared" si="4"/>
        <v>4627316.5315224333</v>
      </c>
      <c r="U30" s="207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10'!L31</f>
        <v>0.85000000000000009</v>
      </c>
      <c r="K31" s="163">
        <v>0.15</v>
      </c>
      <c r="L31" s="100">
        <f t="shared" si="1"/>
        <v>1</v>
      </c>
      <c r="M31" s="101">
        <f t="shared" si="2"/>
        <v>47734868.336500265</v>
      </c>
      <c r="N31" s="101">
        <f t="shared" si="3"/>
        <v>8423800.2946765162</v>
      </c>
      <c r="O31" s="101">
        <f t="shared" si="4"/>
        <v>56158668.631176777</v>
      </c>
      <c r="Q31" s="193"/>
      <c r="R31" s="202"/>
      <c r="S31" s="203"/>
      <c r="T31" s="203"/>
      <c r="U31" s="207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10'!L32</f>
        <v>0.85</v>
      </c>
      <c r="K32" s="163">
        <v>0.15</v>
      </c>
      <c r="L32" s="100">
        <f t="shared" si="1"/>
        <v>1</v>
      </c>
      <c r="M32" s="101">
        <f t="shared" si="2"/>
        <v>43595036.63214305</v>
      </c>
      <c r="N32" s="101">
        <f t="shared" si="3"/>
        <v>7693241.7586134793</v>
      </c>
      <c r="O32" s="101">
        <f t="shared" si="4"/>
        <v>51288278.390756533</v>
      </c>
      <c r="R32" s="202"/>
      <c r="S32" s="203"/>
      <c r="T32" s="203"/>
      <c r="U32" s="207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10'!L33</f>
        <v>0.95000000000000007</v>
      </c>
      <c r="K33" s="163">
        <v>0.05</v>
      </c>
      <c r="L33" s="100">
        <f t="shared" si="1"/>
        <v>1</v>
      </c>
      <c r="M33" s="101">
        <f t="shared" si="2"/>
        <v>10455143.131526317</v>
      </c>
      <c r="N33" s="101">
        <f t="shared" si="3"/>
        <v>550270.69113296398</v>
      </c>
      <c r="O33" s="101">
        <f t="shared" si="4"/>
        <v>11005413.82265928</v>
      </c>
      <c r="R33" s="202"/>
      <c r="S33" s="203"/>
      <c r="T33" s="203"/>
      <c r="U33" s="207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10'!L34</f>
        <v>0.65000000000000013</v>
      </c>
      <c r="K34" s="163">
        <v>0.35</v>
      </c>
      <c r="L34" s="100">
        <f t="shared" si="1"/>
        <v>1</v>
      </c>
      <c r="M34" s="101">
        <f t="shared" si="2"/>
        <v>9756321.2043568678</v>
      </c>
      <c r="N34" s="101">
        <f t="shared" si="3"/>
        <v>5253403.7254229272</v>
      </c>
      <c r="O34" s="101">
        <f t="shared" si="4"/>
        <v>15009724.929779794</v>
      </c>
      <c r="Q34" s="203"/>
      <c r="R34" s="202"/>
      <c r="S34" s="203"/>
      <c r="T34" s="203"/>
      <c r="U34" s="207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10'!L35</f>
        <v>0.8</v>
      </c>
      <c r="K35" s="163">
        <v>0.2</v>
      </c>
      <c r="L35" s="100">
        <f t="shared" si="1"/>
        <v>1</v>
      </c>
      <c r="M35" s="101">
        <f t="shared" si="2"/>
        <v>20470707.510550808</v>
      </c>
      <c r="N35" s="101">
        <f t="shared" si="3"/>
        <v>5117676.877637702</v>
      </c>
      <c r="O35" s="101">
        <f t="shared" si="4"/>
        <v>25588384.388188507</v>
      </c>
      <c r="R35" s="202"/>
      <c r="S35" s="203"/>
      <c r="T35" s="203"/>
      <c r="U35" s="207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10'!L36</f>
        <v>0.85000000000000009</v>
      </c>
      <c r="K36" s="163">
        <v>0.15</v>
      </c>
      <c r="L36" s="100">
        <f t="shared" si="1"/>
        <v>1</v>
      </c>
      <c r="M36" s="101">
        <f t="shared" si="2"/>
        <v>4652445.6854104847</v>
      </c>
      <c r="N36" s="101">
        <f t="shared" si="3"/>
        <v>821019.82683714421</v>
      </c>
      <c r="O36" s="101">
        <f t="shared" si="4"/>
        <v>5473465.5122476285</v>
      </c>
      <c r="R36" s="202"/>
      <c r="S36" s="203"/>
      <c r="T36" s="203"/>
      <c r="U36" s="207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10'!L37</f>
        <v>0</v>
      </c>
      <c r="K37" s="158">
        <v>1</v>
      </c>
      <c r="L37" s="100">
        <f t="shared" si="1"/>
        <v>1</v>
      </c>
      <c r="M37" s="101">
        <f t="shared" si="2"/>
        <v>0</v>
      </c>
      <c r="N37" s="101">
        <f t="shared" si="3"/>
        <v>1608184.8139049779</v>
      </c>
      <c r="O37" s="101">
        <f t="shared" si="4"/>
        <v>1608184.8139049779</v>
      </c>
      <c r="R37" s="202"/>
      <c r="T37" s="205"/>
      <c r="U37" s="202"/>
    </row>
    <row r="38" spans="2:24" ht="25.5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10'!L38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R38" s="202"/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10'!L39</f>
        <v>0.8</v>
      </c>
      <c r="K39" s="163"/>
      <c r="L39" s="100">
        <f t="shared" si="1"/>
        <v>0.8</v>
      </c>
      <c r="M39" s="101">
        <f t="shared" si="2"/>
        <v>8871328.8000000007</v>
      </c>
      <c r="N39" s="101">
        <f t="shared" si="3"/>
        <v>0</v>
      </c>
      <c r="O39" s="101">
        <f t="shared" si="4"/>
        <v>8871328.8000000007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10'!L40</f>
        <v>0.85000000000000009</v>
      </c>
      <c r="K40" s="158">
        <v>0.15</v>
      </c>
      <c r="L40" s="100">
        <f t="shared" si="1"/>
        <v>1</v>
      </c>
      <c r="M40" s="101">
        <f t="shared" si="2"/>
        <v>1847082.3000000003</v>
      </c>
      <c r="N40" s="101">
        <f t="shared" si="3"/>
        <v>325955.7</v>
      </c>
      <c r="O40" s="101">
        <f t="shared" si="4"/>
        <v>2173038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10'!L41</f>
        <v>0.75</v>
      </c>
      <c r="K41" s="158">
        <v>0.25</v>
      </c>
      <c r="L41" s="100">
        <f t="shared" si="1"/>
        <v>1</v>
      </c>
      <c r="M41" s="101">
        <f t="shared" si="2"/>
        <v>207387</v>
      </c>
      <c r="N41" s="101">
        <f t="shared" si="3"/>
        <v>69129</v>
      </c>
      <c r="O41" s="101">
        <f t="shared" si="4"/>
        <v>276516</v>
      </c>
      <c r="R41" s="202"/>
      <c r="X41" s="166"/>
    </row>
    <row r="42" spans="2:24" ht="25.5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8">
        <f>+'SVD 4140_Pto. 01_Cert. 10'!L42</f>
        <v>1</v>
      </c>
      <c r="K42" s="159"/>
      <c r="L42" s="160">
        <f t="shared" si="1"/>
        <v>1</v>
      </c>
      <c r="M42" s="101">
        <f t="shared" si="2"/>
        <v>2285940</v>
      </c>
      <c r="N42" s="101">
        <f t="shared" si="3"/>
        <v>0</v>
      </c>
      <c r="O42" s="101">
        <f t="shared" si="4"/>
        <v>2285940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2"/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8">
        <f>+'SVD 4140_Pto. 01_Cert. 10'!L44</f>
        <v>1</v>
      </c>
      <c r="K44" s="206"/>
      <c r="L44" s="157">
        <f t="shared" ref="L44:L56" si="7">+J44+K44</f>
        <v>1</v>
      </c>
      <c r="M44" s="101">
        <f t="shared" si="2"/>
        <v>6025104</v>
      </c>
      <c r="N44" s="101">
        <f t="shared" si="3"/>
        <v>0</v>
      </c>
      <c r="O44" s="101">
        <f t="shared" si="4"/>
        <v>6025104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10'!L45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10'!L46</f>
        <v>1</v>
      </c>
      <c r="K46" s="163"/>
      <c r="L46" s="100">
        <f t="shared" si="7"/>
        <v>1</v>
      </c>
      <c r="M46" s="101">
        <f t="shared" si="2"/>
        <v>1508264</v>
      </c>
      <c r="N46" s="101">
        <f t="shared" si="3"/>
        <v>0</v>
      </c>
      <c r="O46" s="101">
        <f t="shared" si="4"/>
        <v>1508264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10'!L47</f>
        <v>0.5</v>
      </c>
      <c r="K47" s="163">
        <v>0.3</v>
      </c>
      <c r="L47" s="100">
        <f t="shared" si="7"/>
        <v>0.8</v>
      </c>
      <c r="M47" s="101">
        <f t="shared" si="2"/>
        <v>2303281</v>
      </c>
      <c r="N47" s="101">
        <f t="shared" si="3"/>
        <v>1381968.5999999999</v>
      </c>
      <c r="O47" s="101">
        <f t="shared" si="4"/>
        <v>3685249.6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58">
        <f>+'SVD 4140_Pto. 01_Cert. 10'!L48</f>
        <v>0.6</v>
      </c>
      <c r="K48" s="163">
        <v>0.2</v>
      </c>
      <c r="L48" s="100">
        <f t="shared" si="7"/>
        <v>0.8</v>
      </c>
      <c r="M48" s="101">
        <f t="shared" si="2"/>
        <v>3341529.6</v>
      </c>
      <c r="N48" s="101">
        <f t="shared" si="3"/>
        <v>1113843.2</v>
      </c>
      <c r="O48" s="101">
        <f t="shared" si="4"/>
        <v>4455372.7999999998</v>
      </c>
    </row>
    <row r="49" spans="2:21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58">
        <f>+'SVD 4140_Pto. 01_Cert. 10'!L49</f>
        <v>0.85</v>
      </c>
      <c r="K49" s="163">
        <v>0.05</v>
      </c>
      <c r="L49" s="100">
        <f t="shared" si="7"/>
        <v>0.9</v>
      </c>
      <c r="M49" s="101">
        <f t="shared" si="2"/>
        <v>3075864.4</v>
      </c>
      <c r="N49" s="101">
        <f t="shared" si="3"/>
        <v>180933.2</v>
      </c>
      <c r="O49" s="101">
        <f t="shared" si="4"/>
        <v>3256797.6</v>
      </c>
    </row>
    <row r="50" spans="2:21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58">
        <f>+'SVD 4140_Pto. 01_Cert. 10'!L50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21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58">
        <f>+'SVD 4140_Pto. 01_Cert. 10'!L51</f>
        <v>0.9</v>
      </c>
      <c r="K51" s="163">
        <v>0.1</v>
      </c>
      <c r="L51" s="100">
        <f t="shared" si="7"/>
        <v>1</v>
      </c>
      <c r="M51" s="101">
        <f t="shared" si="2"/>
        <v>2262391.2000000002</v>
      </c>
      <c r="N51" s="101">
        <f t="shared" si="3"/>
        <v>251376.80000000002</v>
      </c>
      <c r="O51" s="101">
        <f t="shared" si="4"/>
        <v>2513768</v>
      </c>
    </row>
    <row r="52" spans="2:21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10'!L52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21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8">
        <f>+'SVD 4140_Pto. 01_Cert. 10'!L53</f>
        <v>0.7</v>
      </c>
      <c r="K53" s="159">
        <v>0.1</v>
      </c>
      <c r="L53" s="160">
        <f t="shared" si="7"/>
        <v>0.79999999999999993</v>
      </c>
      <c r="M53" s="101">
        <f t="shared" si="2"/>
        <v>1759172.7999999998</v>
      </c>
      <c r="N53" s="101">
        <f t="shared" si="3"/>
        <v>251310.40000000002</v>
      </c>
      <c r="O53" s="101">
        <f t="shared" si="4"/>
        <v>2010483.1999999997</v>
      </c>
    </row>
    <row r="54" spans="2:21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2"/>
      <c r="K54" s="162"/>
      <c r="L54" s="152"/>
      <c r="M54" s="152"/>
      <c r="N54" s="152"/>
      <c r="O54" s="82"/>
    </row>
    <row r="55" spans="2:21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58">
        <f>+'SVD 4140_Pto. 01_Cert. 10'!L55</f>
        <v>1</v>
      </c>
      <c r="K55" s="164"/>
      <c r="L55" s="157">
        <f t="shared" si="7"/>
        <v>1</v>
      </c>
      <c r="M55" s="101">
        <f t="shared" si="2"/>
        <v>38192848</v>
      </c>
      <c r="N55" s="101">
        <f t="shared" si="3"/>
        <v>0</v>
      </c>
      <c r="O55" s="101">
        <f t="shared" si="4"/>
        <v>38192848</v>
      </c>
    </row>
    <row r="56" spans="2:21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58">
        <f>+'SVD 4140_Pto. 01_Cert. 10'!L56</f>
        <v>1</v>
      </c>
      <c r="K56" s="165"/>
      <c r="L56" s="160">
        <f t="shared" si="7"/>
        <v>1</v>
      </c>
      <c r="M56" s="101">
        <f t="shared" si="2"/>
        <v>5027536</v>
      </c>
      <c r="N56" s="101">
        <f t="shared" si="3"/>
        <v>0</v>
      </c>
      <c r="O56" s="101">
        <f t="shared" si="4"/>
        <v>5027536</v>
      </c>
    </row>
    <row r="57" spans="2:21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/>
      <c r="K57" s="154"/>
      <c r="L57" s="154"/>
      <c r="M57" s="154">
        <f>+SUM(M10:M56)</f>
        <v>380081805.46177435</v>
      </c>
      <c r="N57" s="154">
        <f>+SUM(N10:N56)</f>
        <v>33042114.888225712</v>
      </c>
      <c r="O57" s="155">
        <f>+SUM(O10:O56)</f>
        <v>413123920.34999996</v>
      </c>
    </row>
    <row r="58" spans="2:21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0.98057912624051258</v>
      </c>
      <c r="Q58" s="192"/>
    </row>
    <row r="59" spans="2:21" s="69" customFormat="1" x14ac:dyDescent="0.2">
      <c r="B59" s="211"/>
      <c r="C59" s="167" t="s">
        <v>89</v>
      </c>
      <c r="D59" s="212"/>
      <c r="E59" s="213"/>
      <c r="F59" s="214"/>
      <c r="G59" s="214"/>
      <c r="H59" s="214"/>
      <c r="I59" s="33"/>
      <c r="M59" s="8"/>
      <c r="O59" s="192"/>
      <c r="Q59" s="192"/>
    </row>
    <row r="60" spans="2:21" outlineLevel="1" x14ac:dyDescent="0.2">
      <c r="B60" s="218">
        <v>3.12</v>
      </c>
      <c r="C60" s="219" t="s">
        <v>50</v>
      </c>
      <c r="D60" s="220" t="s">
        <v>35</v>
      </c>
      <c r="E60" s="221">
        <v>-3</v>
      </c>
      <c r="F60" s="222">
        <v>536061.60463499266</v>
      </c>
      <c r="G60" s="222">
        <f>+F60*E60</f>
        <v>-1608184.8139049779</v>
      </c>
      <c r="I60" s="33"/>
      <c r="J60" s="215">
        <f>+'SVD 4140_Pto. 01_Cert. 10'!L61</f>
        <v>0</v>
      </c>
      <c r="K60" s="215">
        <v>1</v>
      </c>
      <c r="L60" s="216">
        <f>+J60+K60</f>
        <v>1</v>
      </c>
      <c r="M60" s="217">
        <f>+G60*J60</f>
        <v>0</v>
      </c>
      <c r="N60" s="217">
        <f>+G60*K60</f>
        <v>-1608184.8139049779</v>
      </c>
      <c r="O60" s="217">
        <f>+G60*L60</f>
        <v>-1608184.8139049779</v>
      </c>
      <c r="R60" s="202"/>
      <c r="T60" s="205"/>
      <c r="U60" s="202"/>
    </row>
    <row r="62" spans="2:21" ht="12.75" customHeight="1" x14ac:dyDescent="0.2">
      <c r="K62" s="1"/>
      <c r="L62" s="1"/>
      <c r="N62" s="69"/>
      <c r="O62" s="69"/>
    </row>
    <row r="63" spans="2:21" ht="12.75" customHeight="1" x14ac:dyDescent="0.2">
      <c r="B63" s="102"/>
      <c r="C63" s="87" t="s">
        <v>74</v>
      </c>
      <c r="D63" s="103"/>
      <c r="E63" s="104"/>
      <c r="F63" s="105"/>
      <c r="G63" s="106"/>
      <c r="H63" s="107"/>
      <c r="I63" s="107"/>
      <c r="J63" s="108"/>
      <c r="K63" s="109"/>
      <c r="L63" s="110" t="s">
        <v>75</v>
      </c>
      <c r="M63" s="111">
        <v>11</v>
      </c>
      <c r="N63" s="112"/>
      <c r="O63" s="113">
        <f>+O6</f>
        <v>46050</v>
      </c>
    </row>
    <row r="64" spans="2:21" ht="12.75" customHeight="1" x14ac:dyDescent="0.2">
      <c r="B64" s="114"/>
      <c r="C64" s="87" t="s">
        <v>7</v>
      </c>
      <c r="D64" s="112"/>
      <c r="E64" s="115"/>
      <c r="F64" s="116"/>
      <c r="G64" s="107"/>
      <c r="H64" s="107"/>
      <c r="I64" s="107"/>
      <c r="J64" s="117"/>
      <c r="K64" s="118"/>
      <c r="L64" s="117"/>
      <c r="M64" s="87"/>
      <c r="N64" s="112" t="s">
        <v>76</v>
      </c>
      <c r="O64" s="119" t="s">
        <v>77</v>
      </c>
    </row>
    <row r="65" spans="2:19" ht="12.75" customHeight="1" x14ac:dyDescent="0.2">
      <c r="B65" s="168" t="s">
        <v>78</v>
      </c>
      <c r="C65" s="120" t="s">
        <v>79</v>
      </c>
      <c r="D65" s="121"/>
      <c r="E65" s="122"/>
      <c r="F65" s="123"/>
      <c r="G65" s="124"/>
      <c r="H65" s="125"/>
      <c r="I65" s="125"/>
      <c r="J65" s="126"/>
      <c r="K65" s="127"/>
      <c r="L65" s="126"/>
      <c r="M65" s="128"/>
      <c r="N65" s="128"/>
      <c r="O65" s="129">
        <f>+H57</f>
        <v>421306052</v>
      </c>
      <c r="Q65" s="195"/>
      <c r="R65" s="196"/>
    </row>
    <row r="66" spans="2:19" ht="12.75" customHeight="1" x14ac:dyDescent="0.2">
      <c r="B66" s="130" t="s">
        <v>80</v>
      </c>
      <c r="C66" s="131" t="s">
        <v>81</v>
      </c>
      <c r="D66" s="132"/>
      <c r="E66" s="133"/>
      <c r="F66" s="134"/>
      <c r="G66" s="135"/>
      <c r="H66" s="136"/>
      <c r="I66" s="136"/>
      <c r="J66" s="135"/>
      <c r="K66" s="137"/>
      <c r="L66" s="138"/>
      <c r="M66" s="139"/>
      <c r="N66" s="140">
        <v>0.2</v>
      </c>
      <c r="O66" s="141">
        <f>+N66*O65</f>
        <v>84261210.400000006</v>
      </c>
      <c r="Q66" s="197"/>
      <c r="R66" s="196"/>
    </row>
    <row r="67" spans="2:19" ht="12.75" customHeight="1" x14ac:dyDescent="0.2">
      <c r="B67" s="169" t="s">
        <v>82</v>
      </c>
      <c r="C67" s="142" t="s">
        <v>83</v>
      </c>
      <c r="D67" s="143"/>
      <c r="E67" s="144"/>
      <c r="F67" s="145"/>
      <c r="G67" s="146"/>
      <c r="H67" s="147"/>
      <c r="I67" s="147"/>
      <c r="J67" s="148"/>
      <c r="K67" s="149"/>
      <c r="L67" s="148"/>
      <c r="M67" s="150"/>
      <c r="N67" s="150"/>
      <c r="O67" s="223">
        <f>+N57</f>
        <v>33042114.888225712</v>
      </c>
      <c r="Q67" s="195"/>
      <c r="R67" s="198"/>
    </row>
    <row r="68" spans="2:19" ht="12.75" customHeight="1" x14ac:dyDescent="0.2">
      <c r="B68" s="170" t="s">
        <v>84</v>
      </c>
      <c r="C68" s="171" t="s">
        <v>85</v>
      </c>
      <c r="D68" s="172"/>
      <c r="E68" s="173"/>
      <c r="F68" s="174"/>
      <c r="G68" s="175"/>
      <c r="H68" s="176"/>
      <c r="I68" s="176"/>
      <c r="J68" s="177"/>
      <c r="K68" s="178"/>
      <c r="L68" s="177"/>
      <c r="M68" s="179"/>
      <c r="N68" s="180">
        <f>-N66</f>
        <v>-0.2</v>
      </c>
      <c r="O68" s="181">
        <f>+N68*O67</f>
        <v>-6608422.9776451429</v>
      </c>
      <c r="Q68" s="199"/>
      <c r="R68" s="200"/>
    </row>
    <row r="69" spans="2:19" ht="12.75" customHeight="1" x14ac:dyDescent="0.2">
      <c r="B69" s="224" t="s">
        <v>86</v>
      </c>
      <c r="C69" s="225" t="s">
        <v>91</v>
      </c>
      <c r="D69" s="226"/>
      <c r="E69" s="227"/>
      <c r="F69" s="228"/>
      <c r="G69" s="229"/>
      <c r="H69" s="230"/>
      <c r="I69" s="230"/>
      <c r="J69" s="231"/>
      <c r="K69" s="232"/>
      <c r="L69" s="231"/>
      <c r="M69" s="233"/>
      <c r="N69" s="234"/>
      <c r="O69" s="235">
        <f>+N60</f>
        <v>-1608184.8139049779</v>
      </c>
      <c r="Q69" s="199"/>
      <c r="R69" s="200"/>
    </row>
    <row r="70" spans="2:19" ht="12.75" customHeight="1" x14ac:dyDescent="0.2">
      <c r="B70" s="236" t="s">
        <v>90</v>
      </c>
      <c r="C70" s="237" t="s">
        <v>87</v>
      </c>
      <c r="D70" s="238"/>
      <c r="E70" s="239"/>
      <c r="F70" s="240"/>
      <c r="G70" s="241"/>
      <c r="H70" s="241"/>
      <c r="I70" s="241"/>
      <c r="J70" s="241"/>
      <c r="K70" s="242"/>
      <c r="L70" s="243"/>
      <c r="M70" s="244"/>
      <c r="N70" s="244"/>
      <c r="O70" s="245">
        <f>+O67+O68+O69</f>
        <v>24825507.09667559</v>
      </c>
      <c r="Q70" s="195"/>
      <c r="R70" s="201"/>
    </row>
    <row r="71" spans="2:19" ht="12.75" customHeight="1" x14ac:dyDescent="0.2">
      <c r="C71" s="3" t="s">
        <v>88</v>
      </c>
      <c r="R71" s="166"/>
      <c r="S71" s="166"/>
    </row>
  </sheetData>
  <mergeCells count="2">
    <mergeCell ref="J8:L8"/>
    <mergeCell ref="M8:O8"/>
  </mergeCells>
  <conditionalFormatting sqref="D4:D13 D21:D30 D57:D60">
    <cfRule type="cellIs" dxfId="7" priority="5" operator="equal">
      <formula>"x"</formula>
    </cfRule>
  </conditionalFormatting>
  <conditionalFormatting sqref="D43:D54">
    <cfRule type="cellIs" dxfId="6" priority="4" operator="equal">
      <formula>"x"</formula>
    </cfRule>
  </conditionalFormatting>
  <conditionalFormatting sqref="L11:L20 L22:L24 L26:L42 L44:L53 L55:L56">
    <cfRule type="cellIs" dxfId="5" priority="2" operator="lessThan">
      <formula>1</formula>
    </cfRule>
  </conditionalFormatting>
  <conditionalFormatting sqref="L60">
    <cfRule type="cellIs" dxfId="4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/>
  <headerFooter>
    <oddFooter>&amp;C&amp;P de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BEE6-8D51-4890-9DF8-3090F14617E0}">
  <dimension ref="B1:X71"/>
  <sheetViews>
    <sheetView tabSelected="1" topLeftCell="A34" zoomScale="98" zoomScaleNormal="98" workbookViewId="0">
      <selection activeCell="I66" sqref="I66"/>
    </sheetView>
  </sheetViews>
  <sheetFormatPr baseColWidth="10" defaultColWidth="11.5703125" defaultRowHeight="12.75" customHeight="1" outlineLevelRow="1" x14ac:dyDescent="0.2"/>
  <cols>
    <col min="1" max="1" width="1.7109375" style="8" customWidth="1"/>
    <col min="2" max="2" width="6.5703125" style="2" bestFit="1" customWidth="1"/>
    <col min="3" max="3" width="83.28515625" style="3" bestFit="1" customWidth="1"/>
    <col min="4" max="4" width="5.28515625" style="4" bestFit="1" customWidth="1"/>
    <col min="5" max="5" width="7.42578125" style="5" bestFit="1" customWidth="1"/>
    <col min="6" max="6" width="11.7109375" style="6" bestFit="1" customWidth="1"/>
    <col min="7" max="7" width="13" style="6" bestFit="1" customWidth="1"/>
    <col min="8" max="8" width="13.28515625" style="27" customWidth="1"/>
    <col min="9" max="9" width="5.42578125" style="8" bestFit="1" customWidth="1"/>
    <col min="10" max="10" width="12.42578125" style="8" customWidth="1"/>
    <col min="11" max="11" width="11.140625" style="8" customWidth="1"/>
    <col min="12" max="13" width="12.42578125" style="8" customWidth="1"/>
    <col min="14" max="14" width="13.42578125" style="8" bestFit="1" customWidth="1"/>
    <col min="15" max="15" width="12.28515625" style="8" bestFit="1" customWidth="1"/>
    <col min="16" max="16" width="1.5703125" style="8" customWidth="1"/>
    <col min="17" max="17" width="11.5703125" style="8"/>
    <col min="18" max="19" width="13.7109375" style="8" bestFit="1" customWidth="1"/>
    <col min="20" max="22" width="11.5703125" style="8"/>
    <col min="23" max="24" width="13.42578125" style="8" bestFit="1" customWidth="1"/>
    <col min="25" max="16384" width="11.5703125" style="8"/>
  </cols>
  <sheetData>
    <row r="1" spans="2:18" ht="8.4499999999999993" customHeight="1" x14ac:dyDescent="0.2"/>
    <row r="2" spans="2:18" ht="12.75" customHeight="1" x14ac:dyDescent="0.2">
      <c r="G2" s="7" t="s">
        <v>0</v>
      </c>
      <c r="H2" s="7" t="s">
        <v>1</v>
      </c>
    </row>
    <row r="3" spans="2:18" x14ac:dyDescent="0.2">
      <c r="F3" s="88"/>
      <c r="G3" s="10">
        <v>1005</v>
      </c>
      <c r="H3" s="10">
        <v>1170</v>
      </c>
    </row>
    <row r="4" spans="2:18" s="16" customFormat="1" x14ac:dyDescent="0.2">
      <c r="B4" s="11"/>
      <c r="C4" s="12"/>
      <c r="D4" s="13"/>
      <c r="E4" s="14"/>
      <c r="F4" s="14"/>
      <c r="G4" s="14"/>
      <c r="H4" s="15"/>
    </row>
    <row r="5" spans="2:18" s="16" customFormat="1" x14ac:dyDescent="0.2">
      <c r="B5" s="11"/>
      <c r="C5" s="12"/>
      <c r="D5" s="13"/>
      <c r="E5" s="14"/>
      <c r="F5" s="14"/>
      <c r="G5" s="17">
        <v>45628</v>
      </c>
      <c r="H5" s="15"/>
    </row>
    <row r="6" spans="2:18" s="16" customFormat="1" x14ac:dyDescent="0.2">
      <c r="B6" s="11"/>
      <c r="C6" s="9" t="s">
        <v>3</v>
      </c>
      <c r="D6" s="13"/>
      <c r="E6" s="14"/>
      <c r="F6" s="18"/>
      <c r="G6" s="18"/>
      <c r="H6" s="15"/>
      <c r="J6" s="89" t="s">
        <v>4</v>
      </c>
      <c r="K6" s="204">
        <v>12</v>
      </c>
      <c r="L6" s="91"/>
      <c r="M6" s="92"/>
      <c r="N6" s="93"/>
      <c r="O6" s="94">
        <v>46080</v>
      </c>
    </row>
    <row r="7" spans="2:18" s="16" customFormat="1" x14ac:dyDescent="0.2">
      <c r="B7" s="11"/>
      <c r="C7" s="9" t="s">
        <v>5</v>
      </c>
      <c r="D7" s="19"/>
      <c r="E7" s="20"/>
      <c r="F7" s="21"/>
      <c r="G7" s="21"/>
      <c r="H7" s="15"/>
      <c r="J7" s="95"/>
      <c r="K7" s="96"/>
      <c r="L7" s="95"/>
      <c r="M7" s="97"/>
      <c r="N7" s="97"/>
      <c r="O7" s="97"/>
    </row>
    <row r="8" spans="2:18" x14ac:dyDescent="0.2">
      <c r="B8" s="22" t="s">
        <v>6</v>
      </c>
      <c r="C8" s="23" t="s">
        <v>7</v>
      </c>
      <c r="D8" s="24" t="s">
        <v>8</v>
      </c>
      <c r="E8" s="25" t="s">
        <v>9</v>
      </c>
      <c r="F8" s="26" t="s">
        <v>10</v>
      </c>
      <c r="G8" s="26" t="s">
        <v>11</v>
      </c>
      <c r="J8" s="246" t="s">
        <v>12</v>
      </c>
      <c r="K8" s="246"/>
      <c r="L8" s="246"/>
      <c r="M8" s="247" t="s">
        <v>13</v>
      </c>
      <c r="N8" s="247"/>
      <c r="O8" s="247"/>
    </row>
    <row r="9" spans="2:18" x14ac:dyDescent="0.2">
      <c r="B9" s="28"/>
      <c r="C9" s="29" t="s">
        <v>14</v>
      </c>
      <c r="D9" s="30"/>
      <c r="E9" s="31"/>
      <c r="F9" s="31"/>
      <c r="G9" s="31"/>
      <c r="H9" s="32"/>
      <c r="I9" s="33"/>
      <c r="J9" s="98" t="s">
        <v>15</v>
      </c>
      <c r="K9" s="98" t="s">
        <v>16</v>
      </c>
      <c r="L9" s="98" t="s">
        <v>17</v>
      </c>
      <c r="M9" s="99" t="s">
        <v>15</v>
      </c>
      <c r="N9" s="99" t="s">
        <v>16</v>
      </c>
      <c r="O9" s="99" t="s">
        <v>17</v>
      </c>
    </row>
    <row r="10" spans="2:18" x14ac:dyDescent="0.2">
      <c r="B10" s="28">
        <v>1</v>
      </c>
      <c r="C10" s="29" t="s">
        <v>18</v>
      </c>
      <c r="D10" s="30"/>
      <c r="E10" s="31"/>
      <c r="F10" s="31"/>
      <c r="G10" s="31"/>
      <c r="H10" s="32">
        <f>SUM(G11:G20)</f>
        <v>24784163</v>
      </c>
      <c r="I10" s="33">
        <f>+H10/$H$57</f>
        <v>5.8826980724217083E-2</v>
      </c>
      <c r="J10" s="161"/>
      <c r="K10" s="162"/>
      <c r="L10" s="152"/>
      <c r="M10" s="152"/>
      <c r="N10" s="152"/>
      <c r="O10" s="82"/>
    </row>
    <row r="11" spans="2:18" outlineLevel="1" x14ac:dyDescent="0.2">
      <c r="B11" s="34">
        <v>1.01</v>
      </c>
      <c r="C11" s="35" t="s">
        <v>19</v>
      </c>
      <c r="D11" s="36" t="s">
        <v>20</v>
      </c>
      <c r="E11" s="37">
        <v>0</v>
      </c>
      <c r="F11" s="38">
        <v>0</v>
      </c>
      <c r="G11" s="38">
        <f t="shared" ref="G11:G20" si="0">+F11*E11</f>
        <v>0</v>
      </c>
      <c r="I11" s="33"/>
      <c r="J11" s="156">
        <f>+'SVD 4140_Pto. 01_Cert. 11'!L11</f>
        <v>0</v>
      </c>
      <c r="K11" s="206"/>
      <c r="L11" s="157">
        <f t="shared" ref="L11:L42" si="1">+J11+K11</f>
        <v>0</v>
      </c>
      <c r="M11" s="101">
        <f t="shared" ref="M11:M56" si="2">+G11*J11</f>
        <v>0</v>
      </c>
      <c r="N11" s="101">
        <f t="shared" ref="N11:N56" si="3">+G11*K11</f>
        <v>0</v>
      </c>
      <c r="O11" s="101">
        <f t="shared" ref="O11:O56" si="4">+G11*L11</f>
        <v>0</v>
      </c>
      <c r="R11" s="209"/>
    </row>
    <row r="12" spans="2:18" outlineLevel="1" x14ac:dyDescent="0.2">
      <c r="B12" s="39">
        <v>1.02</v>
      </c>
      <c r="C12" s="40" t="s">
        <v>21</v>
      </c>
      <c r="D12" s="41" t="s">
        <v>22</v>
      </c>
      <c r="E12" s="42">
        <v>3</v>
      </c>
      <c r="F12" s="43">
        <v>379588</v>
      </c>
      <c r="G12" s="43">
        <f t="shared" si="0"/>
        <v>1138764</v>
      </c>
      <c r="I12" s="33"/>
      <c r="J12" s="158">
        <f>+'SVD 4140_Pto. 01_Cert. 11'!L12</f>
        <v>1</v>
      </c>
      <c r="K12" s="163"/>
      <c r="L12" s="100">
        <f t="shared" si="1"/>
        <v>1</v>
      </c>
      <c r="M12" s="101">
        <f t="shared" si="2"/>
        <v>1138764</v>
      </c>
      <c r="N12" s="101">
        <f t="shared" si="3"/>
        <v>0</v>
      </c>
      <c r="O12" s="101">
        <f t="shared" si="4"/>
        <v>1138764</v>
      </c>
      <c r="R12" s="209"/>
    </row>
    <row r="13" spans="2:18" outlineLevel="1" x14ac:dyDescent="0.2">
      <c r="B13" s="39">
        <v>1.03</v>
      </c>
      <c r="C13" s="40" t="s">
        <v>23</v>
      </c>
      <c r="D13" s="44" t="s">
        <v>20</v>
      </c>
      <c r="E13" s="45">
        <v>0</v>
      </c>
      <c r="F13" s="43">
        <v>0</v>
      </c>
      <c r="G13" s="43">
        <f t="shared" si="0"/>
        <v>0</v>
      </c>
      <c r="I13" s="33"/>
      <c r="J13" s="158">
        <f>+'SVD 4140_Pto. 01_Cert. 11'!L13</f>
        <v>0</v>
      </c>
      <c r="K13" s="163"/>
      <c r="L13" s="100">
        <f t="shared" si="1"/>
        <v>0</v>
      </c>
      <c r="M13" s="101">
        <f t="shared" si="2"/>
        <v>0</v>
      </c>
      <c r="N13" s="101">
        <f t="shared" si="3"/>
        <v>0</v>
      </c>
      <c r="O13" s="101">
        <f t="shared" si="4"/>
        <v>0</v>
      </c>
      <c r="R13" s="209"/>
    </row>
    <row r="14" spans="2:18" outlineLevel="1" x14ac:dyDescent="0.2">
      <c r="B14" s="39">
        <v>1.04</v>
      </c>
      <c r="C14" s="40" t="s">
        <v>24</v>
      </c>
      <c r="D14" s="41" t="s">
        <v>25</v>
      </c>
      <c r="E14" s="42">
        <v>11</v>
      </c>
      <c r="F14" s="43">
        <v>141220</v>
      </c>
      <c r="G14" s="43">
        <f t="shared" si="0"/>
        <v>1553420</v>
      </c>
      <c r="I14" s="33"/>
      <c r="J14" s="158">
        <f>+'SVD 4140_Pto. 01_Cert. 11'!L14</f>
        <v>1</v>
      </c>
      <c r="K14" s="163"/>
      <c r="L14" s="100">
        <f t="shared" si="1"/>
        <v>1</v>
      </c>
      <c r="M14" s="101">
        <f t="shared" si="2"/>
        <v>1553420</v>
      </c>
      <c r="N14" s="101">
        <f t="shared" si="3"/>
        <v>0</v>
      </c>
      <c r="O14" s="101">
        <f t="shared" si="4"/>
        <v>1553420</v>
      </c>
      <c r="R14" s="209"/>
    </row>
    <row r="15" spans="2:18" outlineLevel="1" x14ac:dyDescent="0.2">
      <c r="B15" s="39">
        <v>1.05</v>
      </c>
      <c r="C15" s="40" t="s">
        <v>26</v>
      </c>
      <c r="D15" s="41" t="s">
        <v>20</v>
      </c>
      <c r="E15" s="42">
        <v>1</v>
      </c>
      <c r="F15" s="43">
        <v>7548771</v>
      </c>
      <c r="G15" s="43">
        <f t="shared" si="0"/>
        <v>7548771</v>
      </c>
      <c r="I15" s="33"/>
      <c r="J15" s="158">
        <f>+'SVD 4140_Pto. 01_Cert. 11'!L15</f>
        <v>0.8</v>
      </c>
      <c r="K15" s="163">
        <v>0.2</v>
      </c>
      <c r="L15" s="100">
        <f t="shared" si="1"/>
        <v>1</v>
      </c>
      <c r="M15" s="101">
        <f t="shared" si="2"/>
        <v>6039016.8000000007</v>
      </c>
      <c r="N15" s="101">
        <f t="shared" si="3"/>
        <v>1509754.2000000002</v>
      </c>
      <c r="O15" s="101">
        <f t="shared" si="4"/>
        <v>7548771</v>
      </c>
      <c r="R15" s="209"/>
    </row>
    <row r="16" spans="2:18" outlineLevel="1" x14ac:dyDescent="0.2">
      <c r="B16" s="39">
        <v>1.06</v>
      </c>
      <c r="C16" s="40" t="s">
        <v>27</v>
      </c>
      <c r="D16" s="41" t="s">
        <v>28</v>
      </c>
      <c r="E16" s="42">
        <v>3</v>
      </c>
      <c r="F16" s="43">
        <v>392028</v>
      </c>
      <c r="G16" s="43">
        <f t="shared" si="0"/>
        <v>1176084</v>
      </c>
      <c r="I16" s="33"/>
      <c r="J16" s="158">
        <f>+'SVD 4140_Pto. 01_Cert. 11'!L16</f>
        <v>1</v>
      </c>
      <c r="K16" s="163"/>
      <c r="L16" s="100">
        <f t="shared" si="1"/>
        <v>1</v>
      </c>
      <c r="M16" s="101">
        <f t="shared" si="2"/>
        <v>1176084</v>
      </c>
      <c r="N16" s="101">
        <f t="shared" si="3"/>
        <v>0</v>
      </c>
      <c r="O16" s="101">
        <f t="shared" si="4"/>
        <v>1176084</v>
      </c>
      <c r="R16" s="209"/>
    </row>
    <row r="17" spans="2:21" outlineLevel="1" x14ac:dyDescent="0.2">
      <c r="B17" s="39">
        <v>1.07</v>
      </c>
      <c r="C17" s="40" t="s">
        <v>29</v>
      </c>
      <c r="D17" s="41" t="s">
        <v>20</v>
      </c>
      <c r="E17" s="42">
        <v>1</v>
      </c>
      <c r="F17" s="43">
        <v>1731320</v>
      </c>
      <c r="G17" s="43">
        <f t="shared" si="0"/>
        <v>1731320</v>
      </c>
      <c r="I17" s="33"/>
      <c r="J17" s="158">
        <f>+'SVD 4140_Pto. 01_Cert. 11'!L17</f>
        <v>1</v>
      </c>
      <c r="K17" s="163"/>
      <c r="L17" s="100">
        <f t="shared" si="1"/>
        <v>1</v>
      </c>
      <c r="M17" s="101">
        <f t="shared" si="2"/>
        <v>1731320</v>
      </c>
      <c r="N17" s="101">
        <f t="shared" si="3"/>
        <v>0</v>
      </c>
      <c r="O17" s="101">
        <f t="shared" si="4"/>
        <v>1731320</v>
      </c>
      <c r="R17" s="209"/>
    </row>
    <row r="18" spans="2:21" outlineLevel="1" x14ac:dyDescent="0.2">
      <c r="B18" s="39">
        <v>1.08</v>
      </c>
      <c r="C18" s="40" t="s">
        <v>30</v>
      </c>
      <c r="D18" s="41" t="s">
        <v>20</v>
      </c>
      <c r="E18" s="42">
        <v>1</v>
      </c>
      <c r="F18" s="43">
        <v>1405632</v>
      </c>
      <c r="G18" s="43">
        <f t="shared" si="0"/>
        <v>1405632</v>
      </c>
      <c r="I18" s="33"/>
      <c r="J18" s="158">
        <f>+'SVD 4140_Pto. 01_Cert. 11'!L18</f>
        <v>0</v>
      </c>
      <c r="K18" s="163">
        <v>1</v>
      </c>
      <c r="L18" s="100">
        <f t="shared" si="1"/>
        <v>1</v>
      </c>
      <c r="M18" s="101">
        <f t="shared" si="2"/>
        <v>0</v>
      </c>
      <c r="N18" s="101">
        <f t="shared" si="3"/>
        <v>1405632</v>
      </c>
      <c r="O18" s="101">
        <f t="shared" si="4"/>
        <v>1405632</v>
      </c>
      <c r="R18" s="209"/>
    </row>
    <row r="19" spans="2:21" outlineLevel="1" x14ac:dyDescent="0.2">
      <c r="B19" s="39">
        <v>1.0900000000000001</v>
      </c>
      <c r="C19" s="40" t="s">
        <v>31</v>
      </c>
      <c r="D19" s="41" t="s">
        <v>20</v>
      </c>
      <c r="E19" s="42">
        <v>1</v>
      </c>
      <c r="F19" s="43">
        <v>426487</v>
      </c>
      <c r="G19" s="43">
        <f t="shared" si="0"/>
        <v>426487</v>
      </c>
      <c r="I19" s="33"/>
      <c r="J19" s="158">
        <f>+'SVD 4140_Pto. 01_Cert. 11'!L19</f>
        <v>0.65</v>
      </c>
      <c r="K19" s="163">
        <v>0.35</v>
      </c>
      <c r="L19" s="100">
        <f t="shared" si="1"/>
        <v>1</v>
      </c>
      <c r="M19" s="101">
        <f t="shared" si="2"/>
        <v>277216.55</v>
      </c>
      <c r="N19" s="101">
        <f t="shared" si="3"/>
        <v>149270.44999999998</v>
      </c>
      <c r="O19" s="101">
        <f t="shared" si="4"/>
        <v>426487</v>
      </c>
      <c r="R19" s="209"/>
    </row>
    <row r="20" spans="2:21" outlineLevel="1" x14ac:dyDescent="0.2">
      <c r="B20" s="46">
        <v>1.1000000000000001</v>
      </c>
      <c r="C20" s="47" t="s">
        <v>32</v>
      </c>
      <c r="D20" s="48" t="s">
        <v>20</v>
      </c>
      <c r="E20" s="49">
        <v>1</v>
      </c>
      <c r="F20" s="43">
        <v>9803685</v>
      </c>
      <c r="G20" s="43">
        <f t="shared" si="0"/>
        <v>9803685</v>
      </c>
      <c r="I20" s="33"/>
      <c r="J20" s="158">
        <f>+'SVD 4140_Pto. 01_Cert. 11'!L20</f>
        <v>1</v>
      </c>
      <c r="K20" s="163"/>
      <c r="L20" s="160">
        <f t="shared" si="1"/>
        <v>1</v>
      </c>
      <c r="M20" s="101">
        <f t="shared" si="2"/>
        <v>9803685</v>
      </c>
      <c r="N20" s="101">
        <f t="shared" si="3"/>
        <v>0</v>
      </c>
      <c r="O20" s="101">
        <f t="shared" si="4"/>
        <v>9803685</v>
      </c>
      <c r="R20" s="209"/>
    </row>
    <row r="21" spans="2:21" x14ac:dyDescent="0.2">
      <c r="B21" s="28">
        <v>2</v>
      </c>
      <c r="C21" s="29" t="s">
        <v>33</v>
      </c>
      <c r="D21" s="30"/>
      <c r="E21" s="31"/>
      <c r="F21" s="31"/>
      <c r="G21" s="31"/>
      <c r="H21" s="32">
        <f>SUM(G22:G24)</f>
        <v>42017464</v>
      </c>
      <c r="I21" s="33">
        <f>+H21/$H$57</f>
        <v>9.9731451282356609E-2</v>
      </c>
      <c r="J21" s="162"/>
      <c r="K21" s="162"/>
      <c r="L21" s="152"/>
      <c r="M21" s="152"/>
      <c r="N21" s="152"/>
      <c r="O21" s="82"/>
    </row>
    <row r="22" spans="2:21" outlineLevel="1" x14ac:dyDescent="0.2">
      <c r="B22" s="39">
        <v>2.0099999999999998</v>
      </c>
      <c r="C22" s="50" t="s">
        <v>34</v>
      </c>
      <c r="D22" s="51" t="s">
        <v>35</v>
      </c>
      <c r="E22" s="52">
        <v>1266</v>
      </c>
      <c r="F22" s="43">
        <v>33090</v>
      </c>
      <c r="G22" s="43">
        <f>+F22*E22</f>
        <v>41891940</v>
      </c>
      <c r="I22" s="33"/>
      <c r="J22" s="158">
        <f>+'SVD 4140_Pto. 01_Cert. 11'!L22</f>
        <v>0.99999999999999989</v>
      </c>
      <c r="K22" s="156"/>
      <c r="L22" s="157">
        <f t="shared" si="1"/>
        <v>0.99999999999999989</v>
      </c>
      <c r="M22" s="101">
        <f t="shared" si="2"/>
        <v>41891939.999999993</v>
      </c>
      <c r="N22" s="101">
        <f t="shared" si="3"/>
        <v>0</v>
      </c>
      <c r="O22" s="101">
        <f t="shared" si="4"/>
        <v>41891939.999999993</v>
      </c>
      <c r="S22" s="166"/>
    </row>
    <row r="23" spans="2:21" outlineLevel="1" x14ac:dyDescent="0.2">
      <c r="B23" s="39">
        <v>2.02</v>
      </c>
      <c r="C23" s="53" t="s">
        <v>36</v>
      </c>
      <c r="D23" s="41" t="s">
        <v>20</v>
      </c>
      <c r="E23" s="52">
        <v>0</v>
      </c>
      <c r="F23" s="43">
        <v>0</v>
      </c>
      <c r="G23" s="43">
        <f>+F23*E23</f>
        <v>0</v>
      </c>
      <c r="I23" s="33"/>
      <c r="J23" s="158">
        <f>+'SVD 4140_Pto. 01_Cert. 11'!L23</f>
        <v>0</v>
      </c>
      <c r="K23" s="158"/>
      <c r="L23" s="100">
        <f t="shared" si="1"/>
        <v>0</v>
      </c>
      <c r="M23" s="101">
        <f t="shared" si="2"/>
        <v>0</v>
      </c>
      <c r="N23" s="101">
        <f t="shared" si="3"/>
        <v>0</v>
      </c>
      <c r="O23" s="101">
        <f t="shared" si="4"/>
        <v>0</v>
      </c>
    </row>
    <row r="24" spans="2:21" outlineLevel="1" x14ac:dyDescent="0.2">
      <c r="B24" s="39">
        <v>2.0299999999999998</v>
      </c>
      <c r="C24" s="50" t="s">
        <v>37</v>
      </c>
      <c r="D24" s="51" t="s">
        <v>35</v>
      </c>
      <c r="E24" s="52">
        <v>2</v>
      </c>
      <c r="F24" s="43">
        <v>62762</v>
      </c>
      <c r="G24" s="43">
        <f>+F24*E24</f>
        <v>125524</v>
      </c>
      <c r="I24" s="33"/>
      <c r="J24" s="158">
        <f>+'SVD 4140_Pto. 01_Cert. 11'!L24</f>
        <v>1</v>
      </c>
      <c r="K24" s="159"/>
      <c r="L24" s="160">
        <f t="shared" si="1"/>
        <v>1</v>
      </c>
      <c r="M24" s="101">
        <f t="shared" si="2"/>
        <v>125524</v>
      </c>
      <c r="N24" s="101">
        <f t="shared" si="3"/>
        <v>0</v>
      </c>
      <c r="O24" s="101">
        <f t="shared" si="4"/>
        <v>125524</v>
      </c>
    </row>
    <row r="25" spans="2:21" x14ac:dyDescent="0.2">
      <c r="B25" s="28">
        <v>3</v>
      </c>
      <c r="C25" s="29" t="s">
        <v>38</v>
      </c>
      <c r="D25" s="30"/>
      <c r="E25" s="31"/>
      <c r="F25" s="31"/>
      <c r="G25" s="31"/>
      <c r="H25" s="32">
        <f>SUM(G26:G42)</f>
        <v>277149875</v>
      </c>
      <c r="I25" s="33">
        <f>+H25/$H$57</f>
        <v>0.65783501965929514</v>
      </c>
      <c r="J25" s="162"/>
      <c r="K25" s="162"/>
      <c r="L25" s="152"/>
      <c r="M25" s="152"/>
      <c r="N25" s="152"/>
      <c r="O25" s="82"/>
    </row>
    <row r="26" spans="2:21" outlineLevel="1" x14ac:dyDescent="0.2">
      <c r="B26" s="39">
        <v>3.01</v>
      </c>
      <c r="C26" s="56" t="s">
        <v>39</v>
      </c>
      <c r="D26" s="44" t="s">
        <v>35</v>
      </c>
      <c r="E26" s="45">
        <v>35</v>
      </c>
      <c r="F26" s="43">
        <v>314478</v>
      </c>
      <c r="G26" s="43">
        <f t="shared" ref="G26:G42" si="5">+F26*E26</f>
        <v>11006730</v>
      </c>
      <c r="I26" s="33"/>
      <c r="J26" s="158">
        <f>+'SVD 4140_Pto. 01_Cert. 11'!L26</f>
        <v>1</v>
      </c>
      <c r="K26" s="156"/>
      <c r="L26" s="157">
        <f t="shared" si="1"/>
        <v>1</v>
      </c>
      <c r="M26" s="101">
        <f t="shared" si="2"/>
        <v>11006730</v>
      </c>
      <c r="N26" s="101">
        <f t="shared" si="3"/>
        <v>0</v>
      </c>
      <c r="O26" s="101">
        <f t="shared" si="4"/>
        <v>11006730</v>
      </c>
      <c r="U26" s="202"/>
    </row>
    <row r="27" spans="2:21" outlineLevel="1" x14ac:dyDescent="0.2">
      <c r="B27" s="39">
        <v>3.02</v>
      </c>
      <c r="C27" s="56" t="s">
        <v>40</v>
      </c>
      <c r="D27" s="44" t="s">
        <v>35</v>
      </c>
      <c r="E27" s="45">
        <v>40</v>
      </c>
      <c r="F27" s="43">
        <v>536061.60463499255</v>
      </c>
      <c r="G27" s="43">
        <f t="shared" si="5"/>
        <v>21442464.185399704</v>
      </c>
      <c r="I27" s="33"/>
      <c r="J27" s="158">
        <f>+'SVD 4140_Pto. 01_Cert. 11'!L27</f>
        <v>1</v>
      </c>
      <c r="K27" s="158"/>
      <c r="L27" s="100">
        <f t="shared" si="1"/>
        <v>1</v>
      </c>
      <c r="M27" s="101">
        <f t="shared" si="2"/>
        <v>21442464.185399704</v>
      </c>
      <c r="N27" s="101">
        <f t="shared" si="3"/>
        <v>0</v>
      </c>
      <c r="O27" s="101">
        <f t="shared" si="4"/>
        <v>21442464.185399704</v>
      </c>
      <c r="S27" s="193"/>
      <c r="U27" s="202"/>
    </row>
    <row r="28" spans="2:21" outlineLevel="1" x14ac:dyDescent="0.2">
      <c r="B28" s="39">
        <v>3.03</v>
      </c>
      <c r="C28" s="56" t="s">
        <v>41</v>
      </c>
      <c r="D28" s="44" t="s">
        <v>35</v>
      </c>
      <c r="E28" s="45">
        <v>28</v>
      </c>
      <c r="F28" s="43">
        <v>437680.75902561104</v>
      </c>
      <c r="G28" s="43">
        <f t="shared" si="5"/>
        <v>12255061.252717109</v>
      </c>
      <c r="I28" s="33"/>
      <c r="J28" s="158">
        <f>+'SVD 4140_Pto. 01_Cert. 11'!L28</f>
        <v>1</v>
      </c>
      <c r="K28" s="163"/>
      <c r="L28" s="100">
        <f t="shared" si="1"/>
        <v>1</v>
      </c>
      <c r="M28" s="101">
        <f t="shared" si="2"/>
        <v>12255061.252717109</v>
      </c>
      <c r="N28" s="101">
        <f t="shared" si="3"/>
        <v>0</v>
      </c>
      <c r="O28" s="101">
        <f t="shared" si="4"/>
        <v>12255061.252717109</v>
      </c>
      <c r="U28" s="202"/>
    </row>
    <row r="29" spans="2:21" outlineLevel="1" x14ac:dyDescent="0.2">
      <c r="B29" s="39">
        <v>3.04</v>
      </c>
      <c r="C29" s="56" t="s">
        <v>42</v>
      </c>
      <c r="D29" s="44" t="s">
        <v>35</v>
      </c>
      <c r="E29" s="45">
        <v>179</v>
      </c>
      <c r="F29" s="43">
        <v>214461.71810976119</v>
      </c>
      <c r="G29" s="43">
        <f t="shared" si="5"/>
        <v>38388647.541647255</v>
      </c>
      <c r="I29" s="33"/>
      <c r="J29" s="158">
        <f>+'SVD 4140_Pto. 01_Cert. 11'!L29</f>
        <v>1</v>
      </c>
      <c r="K29" s="163"/>
      <c r="L29" s="100">
        <f t="shared" si="1"/>
        <v>1</v>
      </c>
      <c r="M29" s="101">
        <f t="shared" si="2"/>
        <v>38388647.541647255</v>
      </c>
      <c r="N29" s="101">
        <f t="shared" si="3"/>
        <v>0</v>
      </c>
      <c r="O29" s="101">
        <f t="shared" si="4"/>
        <v>38388647.541647255</v>
      </c>
      <c r="U29" s="202"/>
    </row>
    <row r="30" spans="2:21" outlineLevel="1" x14ac:dyDescent="0.2">
      <c r="B30" s="39">
        <v>3.05</v>
      </c>
      <c r="C30" s="56" t="s">
        <v>43</v>
      </c>
      <c r="D30" s="44" t="s">
        <v>35</v>
      </c>
      <c r="E30" s="45">
        <v>10</v>
      </c>
      <c r="F30" s="43">
        <v>462731.65315224335</v>
      </c>
      <c r="G30" s="43">
        <f t="shared" si="5"/>
        <v>4627316.5315224333</v>
      </c>
      <c r="I30" s="33"/>
      <c r="J30" s="158">
        <f>+'SVD 4140_Pto. 01_Cert. 11'!L30</f>
        <v>1</v>
      </c>
      <c r="K30" s="163"/>
      <c r="L30" s="100">
        <f t="shared" si="1"/>
        <v>1</v>
      </c>
      <c r="M30" s="101">
        <f t="shared" si="2"/>
        <v>4627316.5315224333</v>
      </c>
      <c r="N30" s="101">
        <f t="shared" si="3"/>
        <v>0</v>
      </c>
      <c r="O30" s="101">
        <f t="shared" si="4"/>
        <v>4627316.5315224333</v>
      </c>
      <c r="U30" s="207"/>
    </row>
    <row r="31" spans="2:21" outlineLevel="1" x14ac:dyDescent="0.2">
      <c r="B31" s="39">
        <v>3.06</v>
      </c>
      <c r="C31" s="40" t="s">
        <v>44</v>
      </c>
      <c r="D31" s="51" t="s">
        <v>35</v>
      </c>
      <c r="E31" s="42">
        <v>177</v>
      </c>
      <c r="F31" s="43">
        <v>317280.61373546202</v>
      </c>
      <c r="G31" s="43">
        <f t="shared" si="5"/>
        <v>56158668.631176777</v>
      </c>
      <c r="I31" s="33"/>
      <c r="J31" s="158">
        <f>+'SVD 4140_Pto. 01_Cert. 11'!L31</f>
        <v>1</v>
      </c>
      <c r="K31" s="163"/>
      <c r="L31" s="100">
        <f t="shared" si="1"/>
        <v>1</v>
      </c>
      <c r="M31" s="101">
        <f t="shared" si="2"/>
        <v>56158668.631176777</v>
      </c>
      <c r="N31" s="101">
        <f t="shared" si="3"/>
        <v>0</v>
      </c>
      <c r="O31" s="101">
        <f t="shared" si="4"/>
        <v>56158668.631176777</v>
      </c>
      <c r="Q31" s="193"/>
      <c r="R31" s="202"/>
      <c r="S31" s="203"/>
      <c r="T31" s="203"/>
      <c r="U31" s="207"/>
    </row>
    <row r="32" spans="2:21" outlineLevel="1" x14ac:dyDescent="0.2">
      <c r="B32" s="39">
        <v>3.07</v>
      </c>
      <c r="C32" s="40" t="s">
        <v>45</v>
      </c>
      <c r="D32" s="51" t="s">
        <v>35</v>
      </c>
      <c r="E32" s="42">
        <v>65</v>
      </c>
      <c r="F32" s="43">
        <v>789050.43678086973</v>
      </c>
      <c r="G32" s="43">
        <f t="shared" si="5"/>
        <v>51288278.390756533</v>
      </c>
      <c r="I32" s="33"/>
      <c r="J32" s="158">
        <f>+'SVD 4140_Pto. 01_Cert. 11'!L32</f>
        <v>1</v>
      </c>
      <c r="K32" s="163"/>
      <c r="L32" s="100">
        <f t="shared" si="1"/>
        <v>1</v>
      </c>
      <c r="M32" s="101">
        <f t="shared" si="2"/>
        <v>51288278.390756533</v>
      </c>
      <c r="N32" s="101">
        <f t="shared" si="3"/>
        <v>0</v>
      </c>
      <c r="O32" s="101">
        <f t="shared" si="4"/>
        <v>51288278.390756533</v>
      </c>
      <c r="R32" s="202"/>
      <c r="S32" s="203"/>
      <c r="T32" s="203"/>
      <c r="U32" s="207"/>
    </row>
    <row r="33" spans="2:24" outlineLevel="1" x14ac:dyDescent="0.2">
      <c r="B33" s="39">
        <v>3.08</v>
      </c>
      <c r="C33" s="40" t="s">
        <v>46</v>
      </c>
      <c r="D33" s="51" t="s">
        <v>35</v>
      </c>
      <c r="E33" s="42">
        <v>12</v>
      </c>
      <c r="F33" s="43">
        <v>917117.81855494005</v>
      </c>
      <c r="G33" s="43">
        <f t="shared" si="5"/>
        <v>11005413.82265928</v>
      </c>
      <c r="I33" s="33"/>
      <c r="J33" s="158">
        <f>+'SVD 4140_Pto. 01_Cert. 11'!L33</f>
        <v>1</v>
      </c>
      <c r="K33" s="163"/>
      <c r="L33" s="100">
        <f t="shared" si="1"/>
        <v>1</v>
      </c>
      <c r="M33" s="101">
        <f t="shared" si="2"/>
        <v>11005413.82265928</v>
      </c>
      <c r="N33" s="101">
        <f t="shared" si="3"/>
        <v>0</v>
      </c>
      <c r="O33" s="101">
        <f t="shared" si="4"/>
        <v>11005413.82265928</v>
      </c>
      <c r="R33" s="202"/>
      <c r="S33" s="203"/>
      <c r="T33" s="203"/>
      <c r="U33" s="207"/>
    </row>
    <row r="34" spans="2:24" outlineLevel="1" x14ac:dyDescent="0.2">
      <c r="B34" s="39">
        <v>3.09</v>
      </c>
      <c r="C34" s="40" t="s">
        <v>47</v>
      </c>
      <c r="D34" s="51" t="s">
        <v>35</v>
      </c>
      <c r="E34" s="42">
        <v>28</v>
      </c>
      <c r="F34" s="43">
        <v>536061.60463499266</v>
      </c>
      <c r="G34" s="43">
        <f t="shared" si="5"/>
        <v>15009724.929779794</v>
      </c>
      <c r="I34" s="33"/>
      <c r="J34" s="158">
        <f>+'SVD 4140_Pto. 01_Cert. 11'!L34</f>
        <v>1</v>
      </c>
      <c r="K34" s="163"/>
      <c r="L34" s="100">
        <f t="shared" si="1"/>
        <v>1</v>
      </c>
      <c r="M34" s="101">
        <f t="shared" si="2"/>
        <v>15009724.929779794</v>
      </c>
      <c r="N34" s="101">
        <f t="shared" si="3"/>
        <v>0</v>
      </c>
      <c r="O34" s="101">
        <f t="shared" si="4"/>
        <v>15009724.929779794</v>
      </c>
      <c r="Q34" s="203"/>
      <c r="R34" s="202"/>
      <c r="S34" s="203"/>
      <c r="T34" s="203"/>
      <c r="U34" s="207"/>
    </row>
    <row r="35" spans="2:24" outlineLevel="1" x14ac:dyDescent="0.2">
      <c r="B35" s="39">
        <v>3.1</v>
      </c>
      <c r="C35" s="40" t="s">
        <v>48</v>
      </c>
      <c r="D35" s="51" t="s">
        <v>35</v>
      </c>
      <c r="E35" s="42">
        <v>54</v>
      </c>
      <c r="F35" s="43">
        <v>473858.97015163902</v>
      </c>
      <c r="G35" s="43">
        <f t="shared" si="5"/>
        <v>25588384.388188507</v>
      </c>
      <c r="I35" s="33"/>
      <c r="J35" s="158">
        <f>+'SVD 4140_Pto. 01_Cert. 11'!L35</f>
        <v>1</v>
      </c>
      <c r="K35" s="163"/>
      <c r="L35" s="100">
        <f t="shared" si="1"/>
        <v>1</v>
      </c>
      <c r="M35" s="101">
        <f t="shared" si="2"/>
        <v>25588384.388188507</v>
      </c>
      <c r="N35" s="101">
        <f t="shared" si="3"/>
        <v>0</v>
      </c>
      <c r="O35" s="101">
        <f t="shared" si="4"/>
        <v>25588384.388188507</v>
      </c>
      <c r="R35" s="202"/>
      <c r="S35" s="203"/>
      <c r="T35" s="203"/>
      <c r="U35" s="207"/>
    </row>
    <row r="36" spans="2:24" outlineLevel="1" x14ac:dyDescent="0.2">
      <c r="B36" s="39">
        <v>3.11</v>
      </c>
      <c r="C36" s="40" t="s">
        <v>49</v>
      </c>
      <c r="D36" s="51" t="s">
        <v>35</v>
      </c>
      <c r="E36" s="42">
        <v>11</v>
      </c>
      <c r="F36" s="43">
        <v>497587.77384069352</v>
      </c>
      <c r="G36" s="43">
        <f t="shared" si="5"/>
        <v>5473465.5122476285</v>
      </c>
      <c r="I36" s="33"/>
      <c r="J36" s="158">
        <f>+'SVD 4140_Pto. 01_Cert. 11'!L36</f>
        <v>1</v>
      </c>
      <c r="K36" s="163"/>
      <c r="L36" s="100">
        <f t="shared" si="1"/>
        <v>1</v>
      </c>
      <c r="M36" s="101">
        <f t="shared" si="2"/>
        <v>5473465.5122476285</v>
      </c>
      <c r="N36" s="101">
        <f t="shared" si="3"/>
        <v>0</v>
      </c>
      <c r="O36" s="101">
        <f t="shared" si="4"/>
        <v>5473465.5122476285</v>
      </c>
      <c r="R36" s="202"/>
      <c r="S36" s="203"/>
      <c r="T36" s="203"/>
      <c r="U36" s="207"/>
    </row>
    <row r="37" spans="2:24" outlineLevel="1" x14ac:dyDescent="0.2">
      <c r="B37" s="39">
        <v>3.12</v>
      </c>
      <c r="C37" s="40" t="s">
        <v>50</v>
      </c>
      <c r="D37" s="51" t="s">
        <v>35</v>
      </c>
      <c r="E37" s="42">
        <v>3</v>
      </c>
      <c r="F37" s="43">
        <v>536061.60463499266</v>
      </c>
      <c r="G37" s="43">
        <f t="shared" si="5"/>
        <v>1608184.8139049779</v>
      </c>
      <c r="I37" s="33"/>
      <c r="J37" s="158">
        <f>+'SVD 4140_Pto. 01_Cert. 11'!L37</f>
        <v>1</v>
      </c>
      <c r="K37" s="158"/>
      <c r="L37" s="100">
        <f t="shared" si="1"/>
        <v>1</v>
      </c>
      <c r="M37" s="101">
        <f t="shared" si="2"/>
        <v>1608184.8139049779</v>
      </c>
      <c r="N37" s="101">
        <f t="shared" si="3"/>
        <v>0</v>
      </c>
      <c r="O37" s="101">
        <f t="shared" si="4"/>
        <v>1608184.8139049779</v>
      </c>
      <c r="R37" s="202"/>
      <c r="T37" s="205"/>
      <c r="U37" s="202"/>
    </row>
    <row r="38" spans="2:24" outlineLevel="1" x14ac:dyDescent="0.2">
      <c r="B38" s="39">
        <v>3.13</v>
      </c>
      <c r="C38" s="40" t="s">
        <v>51</v>
      </c>
      <c r="D38" s="51" t="s">
        <v>25</v>
      </c>
      <c r="E38" s="42">
        <v>240</v>
      </c>
      <c r="F38" s="43">
        <v>31137</v>
      </c>
      <c r="G38" s="43">
        <f t="shared" si="5"/>
        <v>7472880</v>
      </c>
      <c r="I38" s="33"/>
      <c r="J38" s="158">
        <f>+'SVD 4140_Pto. 01_Cert. 11'!L38</f>
        <v>1</v>
      </c>
      <c r="K38" s="158"/>
      <c r="L38" s="100">
        <f t="shared" si="1"/>
        <v>1</v>
      </c>
      <c r="M38" s="101">
        <f t="shared" si="2"/>
        <v>7472880</v>
      </c>
      <c r="N38" s="101">
        <f t="shared" si="3"/>
        <v>0</v>
      </c>
      <c r="O38" s="101">
        <f t="shared" si="4"/>
        <v>7472880</v>
      </c>
      <c r="R38" s="202"/>
      <c r="U38" s="202"/>
    </row>
    <row r="39" spans="2:24" outlineLevel="1" x14ac:dyDescent="0.2">
      <c r="B39" s="39">
        <v>3.14</v>
      </c>
      <c r="C39" s="57" t="s">
        <v>52</v>
      </c>
      <c r="D39" s="51" t="s">
        <v>20</v>
      </c>
      <c r="E39" s="52">
        <v>1</v>
      </c>
      <c r="F39" s="43">
        <v>11089161</v>
      </c>
      <c r="G39" s="43">
        <f t="shared" si="5"/>
        <v>11089161</v>
      </c>
      <c r="I39" s="33"/>
      <c r="J39" s="158">
        <f>+'SVD 4140_Pto. 01_Cert. 11'!L39</f>
        <v>0.8</v>
      </c>
      <c r="K39" s="163">
        <v>0.2</v>
      </c>
      <c r="L39" s="100">
        <f t="shared" si="1"/>
        <v>1</v>
      </c>
      <c r="M39" s="101">
        <f t="shared" si="2"/>
        <v>8871328.8000000007</v>
      </c>
      <c r="N39" s="101">
        <f t="shared" si="3"/>
        <v>2217832.2000000002</v>
      </c>
      <c r="O39" s="101">
        <f t="shared" si="4"/>
        <v>11089161</v>
      </c>
    </row>
    <row r="40" spans="2:24" outlineLevel="1" x14ac:dyDescent="0.2">
      <c r="B40" s="39">
        <v>3.15</v>
      </c>
      <c r="C40" s="57" t="s">
        <v>53</v>
      </c>
      <c r="D40" s="51" t="s">
        <v>54</v>
      </c>
      <c r="E40" s="52">
        <v>14</v>
      </c>
      <c r="F40" s="43">
        <v>155217</v>
      </c>
      <c r="G40" s="43">
        <f t="shared" si="5"/>
        <v>2173038</v>
      </c>
      <c r="I40" s="33"/>
      <c r="J40" s="158">
        <f>+'SVD 4140_Pto. 01_Cert. 11'!L40</f>
        <v>1</v>
      </c>
      <c r="K40" s="158"/>
      <c r="L40" s="100">
        <f t="shared" si="1"/>
        <v>1</v>
      </c>
      <c r="M40" s="101">
        <f t="shared" si="2"/>
        <v>2173038</v>
      </c>
      <c r="N40" s="101">
        <f t="shared" si="3"/>
        <v>0</v>
      </c>
      <c r="O40" s="101">
        <f t="shared" si="4"/>
        <v>2173038</v>
      </c>
      <c r="U40" s="166"/>
      <c r="W40" s="166"/>
      <c r="X40" s="166"/>
    </row>
    <row r="41" spans="2:24" outlineLevel="1" x14ac:dyDescent="0.2">
      <c r="B41" s="39">
        <v>3.16</v>
      </c>
      <c r="C41" s="58" t="s">
        <v>55</v>
      </c>
      <c r="D41" s="59" t="s">
        <v>20</v>
      </c>
      <c r="E41" s="60">
        <v>4</v>
      </c>
      <c r="F41" s="43">
        <v>69129</v>
      </c>
      <c r="G41" s="43">
        <f t="shared" si="5"/>
        <v>276516</v>
      </c>
      <c r="I41" s="33"/>
      <c r="J41" s="158">
        <f>+'SVD 4140_Pto. 01_Cert. 11'!L41</f>
        <v>1</v>
      </c>
      <c r="K41" s="158"/>
      <c r="L41" s="100">
        <f t="shared" si="1"/>
        <v>1</v>
      </c>
      <c r="M41" s="101">
        <f t="shared" si="2"/>
        <v>276516</v>
      </c>
      <c r="N41" s="101">
        <f t="shared" si="3"/>
        <v>0</v>
      </c>
      <c r="O41" s="101">
        <f t="shared" si="4"/>
        <v>276516</v>
      </c>
      <c r="R41" s="202"/>
      <c r="X41" s="166"/>
    </row>
    <row r="42" spans="2:24" outlineLevel="1" x14ac:dyDescent="0.2">
      <c r="B42" s="39">
        <v>3.17</v>
      </c>
      <c r="C42" s="47" t="s">
        <v>56</v>
      </c>
      <c r="D42" s="48" t="s">
        <v>57</v>
      </c>
      <c r="E42" s="61">
        <v>93</v>
      </c>
      <c r="F42" s="43">
        <v>24580</v>
      </c>
      <c r="G42" s="43">
        <f t="shared" si="5"/>
        <v>2285940</v>
      </c>
      <c r="I42" s="33"/>
      <c r="J42" s="158">
        <f>+'SVD 4140_Pto. 01_Cert. 11'!L42</f>
        <v>1</v>
      </c>
      <c r="K42" s="159"/>
      <c r="L42" s="160">
        <f t="shared" si="1"/>
        <v>1</v>
      </c>
      <c r="M42" s="101">
        <f t="shared" si="2"/>
        <v>2285940</v>
      </c>
      <c r="N42" s="101">
        <f t="shared" si="3"/>
        <v>0</v>
      </c>
      <c r="O42" s="101">
        <f t="shared" si="4"/>
        <v>2285940</v>
      </c>
    </row>
    <row r="43" spans="2:24" x14ac:dyDescent="0.2">
      <c r="B43" s="28">
        <v>24</v>
      </c>
      <c r="C43" s="29" t="s">
        <v>58</v>
      </c>
      <c r="D43" s="30"/>
      <c r="E43" s="31"/>
      <c r="F43" s="31"/>
      <c r="G43" s="31"/>
      <c r="H43" s="32">
        <f>SUM(G44:G53)</f>
        <v>34134166</v>
      </c>
      <c r="I43" s="33">
        <f>+H43/$H$57</f>
        <v>8.101988053093527E-2</v>
      </c>
      <c r="J43" s="162"/>
      <c r="K43" s="162"/>
      <c r="L43" s="152"/>
      <c r="M43" s="152"/>
      <c r="N43" s="152"/>
      <c r="O43" s="82"/>
    </row>
    <row r="44" spans="2:24" outlineLevel="1" x14ac:dyDescent="0.2">
      <c r="B44" s="34">
        <v>24.01</v>
      </c>
      <c r="C44" s="54" t="s">
        <v>59</v>
      </c>
      <c r="D44" s="36" t="s">
        <v>28</v>
      </c>
      <c r="E44" s="37">
        <v>8</v>
      </c>
      <c r="F44" s="43">
        <v>753138</v>
      </c>
      <c r="G44" s="43">
        <f t="shared" ref="G44:G53" si="6">+F44*E44</f>
        <v>6025104</v>
      </c>
      <c r="J44" s="158">
        <f>+'SVD 4140_Pto. 01_Cert. 11'!L44</f>
        <v>1</v>
      </c>
      <c r="K44" s="206"/>
      <c r="L44" s="157">
        <f t="shared" ref="L44:L56" si="7">+J44+K44</f>
        <v>1</v>
      </c>
      <c r="M44" s="101">
        <f t="shared" si="2"/>
        <v>6025104</v>
      </c>
      <c r="N44" s="101">
        <f t="shared" si="3"/>
        <v>0</v>
      </c>
      <c r="O44" s="101">
        <f t="shared" si="4"/>
        <v>6025104</v>
      </c>
      <c r="Q44" s="166"/>
    </row>
    <row r="45" spans="2:24" outlineLevel="1" x14ac:dyDescent="0.2">
      <c r="B45" s="62">
        <v>24.02</v>
      </c>
      <c r="C45" s="63" t="s">
        <v>60</v>
      </c>
      <c r="D45" s="64" t="s">
        <v>28</v>
      </c>
      <c r="E45" s="65">
        <v>4</v>
      </c>
      <c r="F45" s="43">
        <v>1944871</v>
      </c>
      <c r="G45" s="43">
        <f t="shared" si="6"/>
        <v>7779484</v>
      </c>
      <c r="J45" s="158">
        <f>+'SVD 4140_Pto. 01_Cert. 11'!L45</f>
        <v>1</v>
      </c>
      <c r="K45" s="158"/>
      <c r="L45" s="100">
        <f t="shared" si="7"/>
        <v>1</v>
      </c>
      <c r="M45" s="101">
        <f t="shared" si="2"/>
        <v>7779484</v>
      </c>
      <c r="N45" s="101">
        <f t="shared" si="3"/>
        <v>0</v>
      </c>
      <c r="O45" s="101">
        <f t="shared" si="4"/>
        <v>7779484</v>
      </c>
    </row>
    <row r="46" spans="2:24" outlineLevel="1" x14ac:dyDescent="0.2">
      <c r="B46" s="39">
        <v>24.03</v>
      </c>
      <c r="C46" s="66" t="s">
        <v>61</v>
      </c>
      <c r="D46" s="41" t="s">
        <v>28</v>
      </c>
      <c r="E46" s="42">
        <v>8</v>
      </c>
      <c r="F46" s="43">
        <v>188533</v>
      </c>
      <c r="G46" s="43">
        <f t="shared" si="6"/>
        <v>1508264</v>
      </c>
      <c r="J46" s="158">
        <f>+'SVD 4140_Pto. 01_Cert. 11'!L46</f>
        <v>1</v>
      </c>
      <c r="K46" s="163"/>
      <c r="L46" s="100">
        <f t="shared" si="7"/>
        <v>1</v>
      </c>
      <c r="M46" s="101">
        <f t="shared" si="2"/>
        <v>1508264</v>
      </c>
      <c r="N46" s="101">
        <f t="shared" si="3"/>
        <v>0</v>
      </c>
      <c r="O46" s="101">
        <f t="shared" si="4"/>
        <v>1508264</v>
      </c>
    </row>
    <row r="47" spans="2:24" outlineLevel="1" x14ac:dyDescent="0.2">
      <c r="B47" s="62">
        <v>24.04</v>
      </c>
      <c r="C47" s="66" t="s">
        <v>62</v>
      </c>
      <c r="D47" s="41" t="s">
        <v>20</v>
      </c>
      <c r="E47" s="42">
        <v>1</v>
      </c>
      <c r="F47" s="43">
        <v>4606562</v>
      </c>
      <c r="G47" s="43">
        <f t="shared" si="6"/>
        <v>4606562</v>
      </c>
      <c r="J47" s="158">
        <f>+'SVD 4140_Pto. 01_Cert. 11'!L47</f>
        <v>0.8</v>
      </c>
      <c r="K47" s="163">
        <v>0.2</v>
      </c>
      <c r="L47" s="100">
        <f t="shared" si="7"/>
        <v>1</v>
      </c>
      <c r="M47" s="101">
        <f t="shared" si="2"/>
        <v>3685249.6</v>
      </c>
      <c r="N47" s="101">
        <f t="shared" si="3"/>
        <v>921312.4</v>
      </c>
      <c r="O47" s="101">
        <f t="shared" si="4"/>
        <v>4606562</v>
      </c>
    </row>
    <row r="48" spans="2:24" s="69" customFormat="1" outlineLevel="1" x14ac:dyDescent="0.2">
      <c r="B48" s="39">
        <v>24.05</v>
      </c>
      <c r="C48" s="66" t="s">
        <v>63</v>
      </c>
      <c r="D48" s="67" t="s">
        <v>28</v>
      </c>
      <c r="E48" s="42">
        <v>8</v>
      </c>
      <c r="F48" s="43">
        <v>696152</v>
      </c>
      <c r="G48" s="43">
        <f t="shared" si="6"/>
        <v>5569216</v>
      </c>
      <c r="H48" s="68"/>
      <c r="I48" s="33"/>
      <c r="J48" s="158">
        <f>+'SVD 4140_Pto. 01_Cert. 11'!L48</f>
        <v>0.8</v>
      </c>
      <c r="K48" s="163">
        <v>0.2</v>
      </c>
      <c r="L48" s="100">
        <f t="shared" si="7"/>
        <v>1</v>
      </c>
      <c r="M48" s="101">
        <f t="shared" si="2"/>
        <v>4455372.7999999998</v>
      </c>
      <c r="N48" s="101">
        <f t="shared" si="3"/>
        <v>1113843.2</v>
      </c>
      <c r="O48" s="101">
        <f t="shared" si="4"/>
        <v>5569216</v>
      </c>
    </row>
    <row r="49" spans="2:21" s="69" customFormat="1" outlineLevel="1" x14ac:dyDescent="0.2">
      <c r="B49" s="62">
        <v>24.06</v>
      </c>
      <c r="C49" s="66" t="s">
        <v>64</v>
      </c>
      <c r="D49" s="67" t="s">
        <v>28</v>
      </c>
      <c r="E49" s="42">
        <v>8</v>
      </c>
      <c r="F49" s="43">
        <v>452333</v>
      </c>
      <c r="G49" s="43">
        <f t="shared" si="6"/>
        <v>3618664</v>
      </c>
      <c r="H49" s="68"/>
      <c r="I49" s="33"/>
      <c r="J49" s="158">
        <f>+'SVD 4140_Pto. 01_Cert. 11'!L49</f>
        <v>0.9</v>
      </c>
      <c r="K49" s="163">
        <v>0.1</v>
      </c>
      <c r="L49" s="100">
        <f t="shared" si="7"/>
        <v>1</v>
      </c>
      <c r="M49" s="101">
        <f t="shared" si="2"/>
        <v>3256797.6</v>
      </c>
      <c r="N49" s="101">
        <f t="shared" si="3"/>
        <v>361866.4</v>
      </c>
      <c r="O49" s="101">
        <f t="shared" si="4"/>
        <v>3618664</v>
      </c>
    </row>
    <row r="50" spans="2:21" s="69" customFormat="1" outlineLevel="1" x14ac:dyDescent="0.2">
      <c r="B50" s="39">
        <v>24.07</v>
      </c>
      <c r="C50" s="66" t="s">
        <v>65</v>
      </c>
      <c r="D50" s="67" t="s">
        <v>20</v>
      </c>
      <c r="E50" s="42">
        <v>0</v>
      </c>
      <c r="F50" s="43">
        <v>0</v>
      </c>
      <c r="G50" s="43">
        <f t="shared" si="6"/>
        <v>0</v>
      </c>
      <c r="H50" s="68"/>
      <c r="I50" s="33"/>
      <c r="J50" s="158">
        <f>+'SVD 4140_Pto. 01_Cert. 11'!L50</f>
        <v>0</v>
      </c>
      <c r="K50" s="163"/>
      <c r="L50" s="100">
        <f t="shared" si="7"/>
        <v>0</v>
      </c>
      <c r="M50" s="101">
        <f t="shared" si="2"/>
        <v>0</v>
      </c>
      <c r="N50" s="101">
        <f t="shared" si="3"/>
        <v>0</v>
      </c>
      <c r="O50" s="101">
        <f t="shared" si="4"/>
        <v>0</v>
      </c>
    </row>
    <row r="51" spans="2:21" s="69" customFormat="1" outlineLevel="1" x14ac:dyDescent="0.2">
      <c r="B51" s="62">
        <v>24.08</v>
      </c>
      <c r="C51" s="66" t="s">
        <v>66</v>
      </c>
      <c r="D51" s="67" t="s">
        <v>28</v>
      </c>
      <c r="E51" s="42">
        <v>8</v>
      </c>
      <c r="F51" s="43">
        <v>314221</v>
      </c>
      <c r="G51" s="43">
        <f t="shared" si="6"/>
        <v>2513768</v>
      </c>
      <c r="H51" s="68"/>
      <c r="I51" s="33"/>
      <c r="J51" s="158">
        <f>+'SVD 4140_Pto. 01_Cert. 11'!L51</f>
        <v>1</v>
      </c>
      <c r="K51" s="163"/>
      <c r="L51" s="100">
        <f t="shared" si="7"/>
        <v>1</v>
      </c>
      <c r="M51" s="101">
        <f t="shared" si="2"/>
        <v>2513768</v>
      </c>
      <c r="N51" s="101">
        <f t="shared" si="3"/>
        <v>0</v>
      </c>
      <c r="O51" s="101">
        <f t="shared" si="4"/>
        <v>2513768</v>
      </c>
    </row>
    <row r="52" spans="2:21" s="70" customFormat="1" outlineLevel="1" x14ac:dyDescent="0.2">
      <c r="B52" s="39">
        <v>24.09</v>
      </c>
      <c r="C52" s="66" t="s">
        <v>67</v>
      </c>
      <c r="D52" s="67" t="s">
        <v>28</v>
      </c>
      <c r="E52" s="42">
        <v>4</v>
      </c>
      <c r="F52" s="42">
        <v>0</v>
      </c>
      <c r="G52" s="42">
        <f t="shared" si="6"/>
        <v>0</v>
      </c>
      <c r="H52" s="68"/>
      <c r="I52" s="33"/>
      <c r="J52" s="158">
        <f>+'SVD 4140_Pto. 01_Cert. 11'!L52</f>
        <v>0</v>
      </c>
      <c r="K52" s="158"/>
      <c r="L52" s="100">
        <f t="shared" si="7"/>
        <v>0</v>
      </c>
      <c r="M52" s="101">
        <f t="shared" si="2"/>
        <v>0</v>
      </c>
      <c r="N52" s="101">
        <f t="shared" si="3"/>
        <v>0</v>
      </c>
      <c r="O52" s="101">
        <f t="shared" si="4"/>
        <v>0</v>
      </c>
    </row>
    <row r="53" spans="2:21" s="70" customFormat="1" outlineLevel="1" x14ac:dyDescent="0.2">
      <c r="B53" s="62">
        <v>24.1</v>
      </c>
      <c r="C53" s="71" t="s">
        <v>68</v>
      </c>
      <c r="D53" s="72" t="s">
        <v>28</v>
      </c>
      <c r="E53" s="49">
        <v>8</v>
      </c>
      <c r="F53" s="73">
        <v>314138</v>
      </c>
      <c r="G53" s="73">
        <f t="shared" si="6"/>
        <v>2513104</v>
      </c>
      <c r="H53" s="68"/>
      <c r="I53" s="33"/>
      <c r="J53" s="158">
        <f>+'SVD 4140_Pto. 01_Cert. 11'!L53</f>
        <v>0.79999999999999993</v>
      </c>
      <c r="K53" s="159">
        <v>0.2</v>
      </c>
      <c r="L53" s="160">
        <f t="shared" si="7"/>
        <v>1</v>
      </c>
      <c r="M53" s="101">
        <f t="shared" si="2"/>
        <v>2010483.1999999997</v>
      </c>
      <c r="N53" s="101">
        <f t="shared" si="3"/>
        <v>502620.80000000005</v>
      </c>
      <c r="O53" s="101">
        <f t="shared" si="4"/>
        <v>2513104</v>
      </c>
    </row>
    <row r="54" spans="2:21" x14ac:dyDescent="0.2">
      <c r="B54" s="28">
        <v>25</v>
      </c>
      <c r="C54" s="29" t="s">
        <v>69</v>
      </c>
      <c r="D54" s="30"/>
      <c r="E54" s="31"/>
      <c r="F54" s="31"/>
      <c r="G54" s="31"/>
      <c r="H54" s="32">
        <f>SUM(G55:G56)</f>
        <v>43220384</v>
      </c>
      <c r="I54" s="33">
        <f>+H54/$H$57</f>
        <v>0.10258666780319595</v>
      </c>
      <c r="J54" s="162">
        <f>+'SVD 4140_Pto. 01_Cert. 11'!L54</f>
        <v>0</v>
      </c>
      <c r="K54" s="162"/>
      <c r="L54" s="152"/>
      <c r="M54" s="152"/>
      <c r="N54" s="152"/>
      <c r="O54" s="82"/>
    </row>
    <row r="55" spans="2:21" s="78" customFormat="1" outlineLevel="1" x14ac:dyDescent="0.2">
      <c r="B55" s="34">
        <v>25.01</v>
      </c>
      <c r="C55" s="35" t="s">
        <v>70</v>
      </c>
      <c r="D55" s="74" t="s">
        <v>28</v>
      </c>
      <c r="E55" s="75">
        <v>8</v>
      </c>
      <c r="F55" s="55">
        <v>4774106</v>
      </c>
      <c r="G55" s="76">
        <f>+F55*E55</f>
        <v>38192848</v>
      </c>
      <c r="H55" s="77"/>
      <c r="J55" s="158">
        <f>+'SVD 4140_Pto. 01_Cert. 11'!L55</f>
        <v>1</v>
      </c>
      <c r="K55" s="164"/>
      <c r="L55" s="157">
        <f t="shared" si="7"/>
        <v>1</v>
      </c>
      <c r="M55" s="101">
        <f t="shared" si="2"/>
        <v>38192848</v>
      </c>
      <c r="N55" s="101">
        <f t="shared" si="3"/>
        <v>0</v>
      </c>
      <c r="O55" s="101">
        <f t="shared" si="4"/>
        <v>38192848</v>
      </c>
    </row>
    <row r="56" spans="2:21" s="78" customFormat="1" outlineLevel="1" x14ac:dyDescent="0.2">
      <c r="B56" s="46">
        <v>25.02</v>
      </c>
      <c r="C56" s="47" t="s">
        <v>71</v>
      </c>
      <c r="D56" s="79" t="s">
        <v>28</v>
      </c>
      <c r="E56" s="61">
        <v>8</v>
      </c>
      <c r="F56" s="55">
        <v>628442</v>
      </c>
      <c r="G56" s="43">
        <f>+F56*E56</f>
        <v>5027536</v>
      </c>
      <c r="H56" s="80"/>
      <c r="J56" s="158">
        <f>+'SVD 4140_Pto. 01_Cert. 11'!L56</f>
        <v>1</v>
      </c>
      <c r="K56" s="165"/>
      <c r="L56" s="160">
        <f t="shared" si="7"/>
        <v>1</v>
      </c>
      <c r="M56" s="101">
        <f t="shared" si="2"/>
        <v>5027536</v>
      </c>
      <c r="N56" s="101">
        <f t="shared" si="3"/>
        <v>0</v>
      </c>
      <c r="O56" s="101">
        <f t="shared" si="4"/>
        <v>5027536</v>
      </c>
    </row>
    <row r="57" spans="2:21" s="78" customFormat="1" x14ac:dyDescent="0.2">
      <c r="B57" s="28"/>
      <c r="C57" s="29" t="s">
        <v>72</v>
      </c>
      <c r="D57" s="30"/>
      <c r="E57" s="31"/>
      <c r="F57" s="31"/>
      <c r="G57" s="81">
        <f>SUM(G10:G56)</f>
        <v>421306051.99999994</v>
      </c>
      <c r="H57" s="32">
        <f>SUM(H10:H56)</f>
        <v>421306052</v>
      </c>
      <c r="I57" s="33">
        <f>+SUM(I10:I56)</f>
        <v>1</v>
      </c>
      <c r="J57" s="153">
        <f>+'SVD 4140_Pto. 01_Cert. 11'!L57</f>
        <v>0</v>
      </c>
      <c r="K57" s="154"/>
      <c r="L57" s="154"/>
      <c r="M57" s="154">
        <f>+SUM(M10:M56)</f>
        <v>413123920.34999996</v>
      </c>
      <c r="N57" s="154">
        <f>+SUM(N10:N56)</f>
        <v>8182131.6500000013</v>
      </c>
      <c r="O57" s="155">
        <f>+SUM(O10:O56)</f>
        <v>421306051.99999994</v>
      </c>
    </row>
    <row r="58" spans="2:21" s="69" customFormat="1" x14ac:dyDescent="0.2">
      <c r="B58" s="83"/>
      <c r="C58" s="167" t="s">
        <v>73</v>
      </c>
      <c r="D58" s="84"/>
      <c r="E58" s="85"/>
      <c r="F58" s="86"/>
      <c r="G58" s="86"/>
      <c r="H58" s="86"/>
      <c r="I58" s="33"/>
      <c r="M58" s="8"/>
      <c r="O58" s="192">
        <f>+O57/H57</f>
        <v>0.99999999999999989</v>
      </c>
      <c r="Q58" s="192"/>
    </row>
    <row r="59" spans="2:21" s="69" customFormat="1" x14ac:dyDescent="0.2">
      <c r="B59" s="211"/>
      <c r="C59" s="167" t="s">
        <v>89</v>
      </c>
      <c r="D59" s="212"/>
      <c r="E59" s="213"/>
      <c r="F59" s="214"/>
      <c r="G59" s="214"/>
      <c r="H59" s="214"/>
      <c r="I59" s="33"/>
      <c r="M59" s="8"/>
      <c r="O59" s="192"/>
      <c r="Q59" s="192"/>
    </row>
    <row r="60" spans="2:21" outlineLevel="1" x14ac:dyDescent="0.2">
      <c r="B60" s="218">
        <v>3.12</v>
      </c>
      <c r="C60" s="219" t="s">
        <v>50</v>
      </c>
      <c r="D60" s="220" t="s">
        <v>35</v>
      </c>
      <c r="E60" s="221">
        <v>-3</v>
      </c>
      <c r="F60" s="222">
        <v>536061.60463499266</v>
      </c>
      <c r="G60" s="222">
        <f>+F60*E60</f>
        <v>-1608184.8139049779</v>
      </c>
      <c r="I60" s="33"/>
      <c r="J60" s="215">
        <f>+'SVD 4140_Pto. 01_Cert. 11'!L60</f>
        <v>1</v>
      </c>
      <c r="K60" s="215"/>
      <c r="L60" s="216">
        <f>+J60+K60</f>
        <v>1</v>
      </c>
      <c r="M60" s="217">
        <f>+G60*J60</f>
        <v>-1608184.8139049779</v>
      </c>
      <c r="N60" s="217">
        <f>+G60*K60</f>
        <v>0</v>
      </c>
      <c r="O60" s="217">
        <f>+G60*L60</f>
        <v>-1608184.8139049779</v>
      </c>
      <c r="R60" s="202"/>
      <c r="T60" s="205"/>
      <c r="U60" s="202"/>
    </row>
    <row r="62" spans="2:21" ht="12.75" customHeight="1" x14ac:dyDescent="0.2">
      <c r="K62" s="1"/>
      <c r="L62" s="1"/>
      <c r="N62" s="69"/>
      <c r="O62" s="69"/>
    </row>
    <row r="63" spans="2:21" ht="12.75" customHeight="1" x14ac:dyDescent="0.2">
      <c r="B63" s="102"/>
      <c r="C63" s="87" t="s">
        <v>74</v>
      </c>
      <c r="D63" s="103"/>
      <c r="E63" s="104"/>
      <c r="F63" s="105"/>
      <c r="G63" s="106"/>
      <c r="H63" s="107"/>
      <c r="I63" s="107"/>
      <c r="J63" s="108"/>
      <c r="K63" s="109"/>
      <c r="L63" s="110" t="s">
        <v>75</v>
      </c>
      <c r="M63" s="111">
        <f>+K6</f>
        <v>12</v>
      </c>
      <c r="N63" s="112"/>
      <c r="O63" s="113">
        <f>+O6</f>
        <v>46080</v>
      </c>
    </row>
    <row r="64" spans="2:21" ht="12.75" customHeight="1" x14ac:dyDescent="0.2">
      <c r="B64" s="114"/>
      <c r="C64" s="87" t="s">
        <v>7</v>
      </c>
      <c r="D64" s="112"/>
      <c r="E64" s="115"/>
      <c r="F64" s="116"/>
      <c r="G64" s="107"/>
      <c r="H64" s="107"/>
      <c r="I64" s="107"/>
      <c r="J64" s="117"/>
      <c r="K64" s="118"/>
      <c r="L64" s="117"/>
      <c r="M64" s="87"/>
      <c r="N64" s="112" t="s">
        <v>76</v>
      </c>
      <c r="O64" s="119" t="s">
        <v>77</v>
      </c>
    </row>
    <row r="65" spans="2:19" ht="12.75" customHeight="1" x14ac:dyDescent="0.2">
      <c r="B65" s="168" t="s">
        <v>78</v>
      </c>
      <c r="C65" s="120" t="s">
        <v>79</v>
      </c>
      <c r="D65" s="121"/>
      <c r="E65" s="122"/>
      <c r="F65" s="123"/>
      <c r="G65" s="124"/>
      <c r="H65" s="125"/>
      <c r="I65" s="125"/>
      <c r="J65" s="126"/>
      <c r="K65" s="127"/>
      <c r="L65" s="126"/>
      <c r="M65" s="128"/>
      <c r="N65" s="128"/>
      <c r="O65" s="129">
        <f>+H57</f>
        <v>421306052</v>
      </c>
      <c r="Q65" s="195"/>
      <c r="R65" s="196"/>
    </row>
    <row r="66" spans="2:19" ht="12.75" customHeight="1" x14ac:dyDescent="0.2">
      <c r="B66" s="130" t="s">
        <v>80</v>
      </c>
      <c r="C66" s="131" t="s">
        <v>81</v>
      </c>
      <c r="D66" s="132"/>
      <c r="E66" s="133"/>
      <c r="F66" s="134"/>
      <c r="G66" s="135"/>
      <c r="H66" s="136"/>
      <c r="I66" s="136"/>
      <c r="J66" s="135"/>
      <c r="K66" s="137"/>
      <c r="L66" s="138"/>
      <c r="M66" s="139"/>
      <c r="N66" s="140">
        <v>0.2</v>
      </c>
      <c r="O66" s="141">
        <f>+N66*O65</f>
        <v>84261210.400000006</v>
      </c>
      <c r="Q66" s="197"/>
      <c r="R66" s="196"/>
    </row>
    <row r="67" spans="2:19" ht="12.75" customHeight="1" x14ac:dyDescent="0.2">
      <c r="B67" s="169" t="s">
        <v>82</v>
      </c>
      <c r="C67" s="142" t="s">
        <v>83</v>
      </c>
      <c r="D67" s="143"/>
      <c r="E67" s="144"/>
      <c r="F67" s="145"/>
      <c r="G67" s="146"/>
      <c r="H67" s="147"/>
      <c r="I67" s="147"/>
      <c r="J67" s="148"/>
      <c r="K67" s="149"/>
      <c r="L67" s="148"/>
      <c r="M67" s="150"/>
      <c r="N67" s="150"/>
      <c r="O67" s="223">
        <f>+N57</f>
        <v>8182131.6500000013</v>
      </c>
      <c r="Q67" s="195"/>
      <c r="R67" s="198"/>
    </row>
    <row r="68" spans="2:19" ht="12.75" customHeight="1" x14ac:dyDescent="0.2">
      <c r="B68" s="170" t="s">
        <v>84</v>
      </c>
      <c r="C68" s="171" t="s">
        <v>85</v>
      </c>
      <c r="D68" s="172"/>
      <c r="E68" s="173"/>
      <c r="F68" s="174"/>
      <c r="G68" s="175"/>
      <c r="H68" s="176"/>
      <c r="I68" s="176"/>
      <c r="J68" s="177"/>
      <c r="K68" s="178"/>
      <c r="L68" s="177"/>
      <c r="M68" s="179"/>
      <c r="N68" s="180">
        <f>-N66</f>
        <v>-0.2</v>
      </c>
      <c r="O68" s="181">
        <f>+N68*O67</f>
        <v>-1636426.3300000003</v>
      </c>
      <c r="Q68" s="199"/>
      <c r="R68" s="200"/>
    </row>
    <row r="69" spans="2:19" ht="12.75" customHeight="1" x14ac:dyDescent="0.2">
      <c r="B69" s="224" t="s">
        <v>86</v>
      </c>
      <c r="C69" s="225" t="s">
        <v>91</v>
      </c>
      <c r="D69" s="226"/>
      <c r="E69" s="227"/>
      <c r="F69" s="228"/>
      <c r="G69" s="229"/>
      <c r="H69" s="230"/>
      <c r="I69" s="230"/>
      <c r="J69" s="231"/>
      <c r="K69" s="232"/>
      <c r="L69" s="231"/>
      <c r="M69" s="233"/>
      <c r="N69" s="234"/>
      <c r="O69" s="235">
        <f>+N60</f>
        <v>0</v>
      </c>
      <c r="Q69" s="199"/>
      <c r="R69" s="200"/>
    </row>
    <row r="70" spans="2:19" ht="12.75" customHeight="1" x14ac:dyDescent="0.2">
      <c r="B70" s="236" t="s">
        <v>90</v>
      </c>
      <c r="C70" s="237" t="s">
        <v>87</v>
      </c>
      <c r="D70" s="238"/>
      <c r="E70" s="239"/>
      <c r="F70" s="240"/>
      <c r="G70" s="241"/>
      <c r="H70" s="241"/>
      <c r="I70" s="241"/>
      <c r="J70" s="241"/>
      <c r="K70" s="242"/>
      <c r="L70" s="243"/>
      <c r="M70" s="244"/>
      <c r="N70" s="244"/>
      <c r="O70" s="245">
        <f>+O67+O68+O69</f>
        <v>6545705.3200000012</v>
      </c>
      <c r="Q70" s="195"/>
      <c r="R70" s="201"/>
    </row>
    <row r="71" spans="2:19" ht="12.75" customHeight="1" x14ac:dyDescent="0.2">
      <c r="C71" s="3" t="s">
        <v>88</v>
      </c>
      <c r="R71" s="166"/>
      <c r="S71" s="166"/>
    </row>
  </sheetData>
  <mergeCells count="2">
    <mergeCell ref="J8:L8"/>
    <mergeCell ref="M8:O8"/>
  </mergeCells>
  <conditionalFormatting sqref="D4:D13 D21:D30 D57:D60">
    <cfRule type="cellIs" dxfId="3" priority="4" operator="equal">
      <formula>"x"</formula>
    </cfRule>
  </conditionalFormatting>
  <conditionalFormatting sqref="D43:D54">
    <cfRule type="cellIs" dxfId="2" priority="3" operator="equal">
      <formula>"x"</formula>
    </cfRule>
  </conditionalFormatting>
  <conditionalFormatting sqref="L11:L20 L22:L24 L26:L42 L44:L53 L55:L56">
    <cfRule type="cellIs" dxfId="1" priority="2" operator="lessThan">
      <formula>1</formula>
    </cfRule>
  </conditionalFormatting>
  <conditionalFormatting sqref="L60">
    <cfRule type="cellIs" dxfId="0" priority="1" operator="lessThan">
      <formula>1</formula>
    </cfRule>
  </conditionalFormatting>
  <pageMargins left="0.45" right="0.25" top="0.63" bottom="0.55118110236220474" header="0.31496062992125984" footer="0.31496062992125984"/>
  <pageSetup paperSize="9" scale="57" fitToHeight="8" orientation="landscape"/>
  <headerFooter>
    <oddFooter>&amp;C&amp;P de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1" ma:contentTypeDescription="Crear nuevo documento." ma:contentTypeScope="" ma:versionID="b15eebc804a8fbf045000ac25683a7b0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c0cb28085f369e9ff2995073d0cd571e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e3bcdee-b468-46d9-b6dd-c6303f0feb33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Props1.xml><?xml version="1.0" encoding="utf-8"?>
<ds:datastoreItem xmlns:ds="http://schemas.openxmlformats.org/officeDocument/2006/customXml" ds:itemID="{E5DFFF17-D67E-405E-8D09-7BEB0ED082CC}"/>
</file>

<file path=customXml/itemProps2.xml><?xml version="1.0" encoding="utf-8"?>
<ds:datastoreItem xmlns:ds="http://schemas.openxmlformats.org/officeDocument/2006/customXml" ds:itemID="{D755C461-6601-44C9-98DC-55FE68FD3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05F3C-5827-40AD-A39F-E973AE716590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SVD 4140_Pto. 01_Cert. 01</vt:lpstr>
      <vt:lpstr>SVD 4140_Pto. 01_Cert. 2</vt:lpstr>
      <vt:lpstr>SVD 4140_Pto. 01_Cert. 3</vt:lpstr>
      <vt:lpstr>SVD 4140_Pto. 01_Cert. 4</vt:lpstr>
      <vt:lpstr>SVD 4140_Pto. 01_Cert. 5</vt:lpstr>
      <vt:lpstr>SVD 4140_Pto. 01_Cert. 6</vt:lpstr>
      <vt:lpstr>SVD 4140_Pto. 01_Cert. 7</vt:lpstr>
      <vt:lpstr>SVD 4140_Pto. 01_Cert. 8</vt:lpstr>
      <vt:lpstr>SVD 4140_Pto. 01_Cert. 9</vt:lpstr>
      <vt:lpstr>SVD 4140_Pto. 01_Cert. 10</vt:lpstr>
      <vt:lpstr>SVD 4140_Pto. 01_Cert. 11</vt:lpstr>
      <vt:lpstr>SVD 4140_Pto. 01_Cert. 12</vt:lpstr>
      <vt:lpstr>'SVD 4140_Pto. 01_Cert. 01'!Área_de_impresión</vt:lpstr>
      <vt:lpstr>'SVD 4140_Pto. 01_Cert. 10'!Área_de_impresión</vt:lpstr>
      <vt:lpstr>'SVD 4140_Pto. 01_Cert. 11'!Área_de_impresión</vt:lpstr>
      <vt:lpstr>'SVD 4140_Pto. 01_Cert. 12'!Área_de_impresión</vt:lpstr>
      <vt:lpstr>'SVD 4140_Pto. 01_Cert. 2'!Área_de_impresión</vt:lpstr>
      <vt:lpstr>'SVD 4140_Pto. 01_Cert. 3'!Área_de_impresión</vt:lpstr>
      <vt:lpstr>'SVD 4140_Pto. 01_Cert. 4'!Área_de_impresión</vt:lpstr>
      <vt:lpstr>'SVD 4140_Pto. 01_Cert. 5'!Área_de_impresión</vt:lpstr>
      <vt:lpstr>'SVD 4140_Pto. 01_Cert. 6'!Área_de_impresión</vt:lpstr>
      <vt:lpstr>'SVD 4140_Pto. 01_Cert. 7'!Área_de_impresión</vt:lpstr>
      <vt:lpstr>'SVD 4140_Pto. 01_Cert. 8'!Área_de_impresión</vt:lpstr>
      <vt:lpstr>'SVD 4140_Pto. 01_Cert. 9'!Área_de_impresión</vt:lpstr>
      <vt:lpstr>'SVD 4140_Pto. 01_Cert. 01'!Títulos_a_imprimir</vt:lpstr>
      <vt:lpstr>'SVD 4140_Pto. 01_Cert. 10'!Títulos_a_imprimir</vt:lpstr>
      <vt:lpstr>'SVD 4140_Pto. 01_Cert. 11'!Títulos_a_imprimir</vt:lpstr>
      <vt:lpstr>'SVD 4140_Pto. 01_Cert. 12'!Títulos_a_imprimir</vt:lpstr>
      <vt:lpstr>'SVD 4140_Pto. 01_Cert. 2'!Títulos_a_imprimir</vt:lpstr>
      <vt:lpstr>'SVD 4140_Pto. 01_Cert. 3'!Títulos_a_imprimir</vt:lpstr>
      <vt:lpstr>'SVD 4140_Pto. 01_Cert. 4'!Títulos_a_imprimir</vt:lpstr>
      <vt:lpstr>'SVD 4140_Pto. 01_Cert. 5'!Títulos_a_imprimir</vt:lpstr>
      <vt:lpstr>'SVD 4140_Pto. 01_Cert. 6'!Títulos_a_imprimir</vt:lpstr>
      <vt:lpstr>'SVD 4140_Pto. 01_Cert. 7'!Títulos_a_imprimir</vt:lpstr>
      <vt:lpstr>'SVD 4140_Pto. 01_Cert. 8'!Títulos_a_imprimir</vt:lpstr>
      <vt:lpstr>'SVD 4140_Pto. 01_Cert. 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Pagliaricci</dc:creator>
  <cp:keywords/>
  <dc:description/>
  <cp:lastModifiedBy>Agustina Lomo</cp:lastModifiedBy>
  <cp:revision/>
  <dcterms:created xsi:type="dcterms:W3CDTF">2024-12-02T20:17:56Z</dcterms:created>
  <dcterms:modified xsi:type="dcterms:W3CDTF">2026-04-30T18:41:07Z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