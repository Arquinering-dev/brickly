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8_{0E89F1FE-1611-4A3B-A094-51479F184EBE}" xr6:coauthVersionLast="47" xr6:coauthVersionMax="47" xr10:uidLastSave="{00000000-0000-0000-0000-000000000000}"/>
  <bookViews>
    <workbookView xWindow="-110" yWindow="-110" windowWidth="19420" windowHeight="11500" xr2:uid="{3305415A-F65D-470B-B12A-90292FB8500B}"/>
  </bookViews>
  <sheets>
    <sheet name="Adic. N°1" sheetId="26" r:id="rId1"/>
    <sheet name="Adic. N°2" sheetId="141" r:id="rId2"/>
    <sheet name="Adic. N°3" sheetId="142" r:id="rId3"/>
    <sheet name="Computos" sheetId="140" r:id="rId4"/>
  </sheets>
  <definedNames>
    <definedName name="\0">#REF!</definedName>
    <definedName name="\c">#REF!</definedName>
    <definedName name="\E">#REF!</definedName>
    <definedName name="\i">#REF!</definedName>
    <definedName name="\j">#REF!</definedName>
    <definedName name="\m">#REF!</definedName>
    <definedName name="\P" localSheetId="0">#REF!</definedName>
    <definedName name="\P" localSheetId="1">#REF!</definedName>
    <definedName name="\P" localSheetId="2">#REF!</definedName>
    <definedName name="\P">#REF!</definedName>
    <definedName name="\r">#N/A</definedName>
    <definedName name="\x">#REF!</definedName>
    <definedName name="\z">#REF!</definedName>
    <definedName name="__________ben1" localSheetId="0">#REF!</definedName>
    <definedName name="__________ben1" localSheetId="1">#REF!</definedName>
    <definedName name="__________ben1" localSheetId="2">#REF!</definedName>
    <definedName name="__________ben1">#REF!</definedName>
    <definedName name="__________ben10" localSheetId="0">#REF!</definedName>
    <definedName name="__________ben10" localSheetId="1">#REF!</definedName>
    <definedName name="__________ben10" localSheetId="2">#REF!</definedName>
    <definedName name="__________ben10">#REF!</definedName>
    <definedName name="__________ben15" localSheetId="0">#REF!</definedName>
    <definedName name="__________ben15" localSheetId="1">#REF!</definedName>
    <definedName name="__________ben15" localSheetId="2">#REF!</definedName>
    <definedName name="__________ben15">#REF!</definedName>
    <definedName name="__________BEN2">#REF!</definedName>
    <definedName name="__________ben20" localSheetId="0">#REF!</definedName>
    <definedName name="__________ben20" localSheetId="1">#REF!</definedName>
    <definedName name="__________ben20" localSheetId="2">#REF!</definedName>
    <definedName name="__________ben20">#REF!</definedName>
    <definedName name="__________ben25" localSheetId="0">#REF!</definedName>
    <definedName name="__________ben25" localSheetId="1">#REF!</definedName>
    <definedName name="__________ben25" localSheetId="2">#REF!</definedName>
    <definedName name="__________ben25">#REF!</definedName>
    <definedName name="__________BEN3" localSheetId="0">#REF!</definedName>
    <definedName name="__________BEN3" localSheetId="1">#REF!</definedName>
    <definedName name="__________BEN3" localSheetId="2">#REF!</definedName>
    <definedName name="__________BEN3">#REF!</definedName>
    <definedName name="__________BEN4" localSheetId="0">#REF!</definedName>
    <definedName name="__________BEN4" localSheetId="1">#REF!</definedName>
    <definedName name="__________BEN4" localSheetId="2">#REF!</definedName>
    <definedName name="__________BEN4">#REF!</definedName>
    <definedName name="__________ben5" localSheetId="0">#REF!</definedName>
    <definedName name="__________ben5" localSheetId="1">#REF!</definedName>
    <definedName name="__________ben5" localSheetId="2">#REF!</definedName>
    <definedName name="__________ben5">#REF!</definedName>
    <definedName name="_________ben1" localSheetId="0">#REF!</definedName>
    <definedName name="_________ben1" localSheetId="1">#REF!</definedName>
    <definedName name="_________ben1" localSheetId="2">#REF!</definedName>
    <definedName name="_________ben1">#REF!</definedName>
    <definedName name="_________ben10" localSheetId="0">#REF!</definedName>
    <definedName name="_________ben10" localSheetId="1">#REF!</definedName>
    <definedName name="_________ben10" localSheetId="2">#REF!</definedName>
    <definedName name="_________ben10">#REF!</definedName>
    <definedName name="_________ben15" localSheetId="0">#REF!</definedName>
    <definedName name="_________ben15" localSheetId="1">#REF!</definedName>
    <definedName name="_________ben15" localSheetId="2">#REF!</definedName>
    <definedName name="_________ben15">#REF!</definedName>
    <definedName name="_________BEN2">#REF!</definedName>
    <definedName name="_________ben20" localSheetId="0">#REF!</definedName>
    <definedName name="_________ben20" localSheetId="1">#REF!</definedName>
    <definedName name="_________ben20" localSheetId="2">#REF!</definedName>
    <definedName name="_________ben20">#REF!</definedName>
    <definedName name="_________ben25" localSheetId="0">#REF!</definedName>
    <definedName name="_________ben25" localSheetId="1">#REF!</definedName>
    <definedName name="_________ben25" localSheetId="2">#REF!</definedName>
    <definedName name="_________ben25">#REF!</definedName>
    <definedName name="_________BEN3" localSheetId="0">#REF!</definedName>
    <definedName name="_________BEN3" localSheetId="1">#REF!</definedName>
    <definedName name="_________BEN3" localSheetId="2">#REF!</definedName>
    <definedName name="_________BEN3">#REF!</definedName>
    <definedName name="_________BEN4" localSheetId="0">#REF!</definedName>
    <definedName name="_________BEN4" localSheetId="1">#REF!</definedName>
    <definedName name="_________BEN4" localSheetId="2">#REF!</definedName>
    <definedName name="_________BEN4">#REF!</definedName>
    <definedName name="_________ben5" localSheetId="0">#REF!</definedName>
    <definedName name="_________ben5" localSheetId="1">#REF!</definedName>
    <definedName name="_________ben5" localSheetId="2">#REF!</definedName>
    <definedName name="_________ben5">#REF!</definedName>
    <definedName name="________ben1" localSheetId="0">#REF!</definedName>
    <definedName name="________ben1" localSheetId="1">#REF!</definedName>
    <definedName name="________ben1" localSheetId="2">#REF!</definedName>
    <definedName name="________ben1">#REF!</definedName>
    <definedName name="________ben10" localSheetId="0">#REF!</definedName>
    <definedName name="________ben10" localSheetId="1">#REF!</definedName>
    <definedName name="________ben10" localSheetId="2">#REF!</definedName>
    <definedName name="________ben10">#REF!</definedName>
    <definedName name="________ben15" localSheetId="0">#REF!</definedName>
    <definedName name="________ben15" localSheetId="1">#REF!</definedName>
    <definedName name="________ben15" localSheetId="2">#REF!</definedName>
    <definedName name="________ben15">#REF!</definedName>
    <definedName name="________BEN2">#REF!</definedName>
    <definedName name="________ben20" localSheetId="0">#REF!</definedName>
    <definedName name="________ben20" localSheetId="1">#REF!</definedName>
    <definedName name="________ben20" localSheetId="2">#REF!</definedName>
    <definedName name="________ben20">#REF!</definedName>
    <definedName name="________ben25" localSheetId="0">#REF!</definedName>
    <definedName name="________ben25" localSheetId="1">#REF!</definedName>
    <definedName name="________ben25" localSheetId="2">#REF!</definedName>
    <definedName name="________ben25">#REF!</definedName>
    <definedName name="________BEN3" localSheetId="0">#REF!</definedName>
    <definedName name="________BEN3" localSheetId="1">#REF!</definedName>
    <definedName name="________BEN3" localSheetId="2">#REF!</definedName>
    <definedName name="________BEN3">#REF!</definedName>
    <definedName name="________BEN4" localSheetId="0">#REF!</definedName>
    <definedName name="________BEN4" localSheetId="1">#REF!</definedName>
    <definedName name="________BEN4" localSheetId="2">#REF!</definedName>
    <definedName name="________BEN4">#REF!</definedName>
    <definedName name="________ben5" localSheetId="0">#REF!</definedName>
    <definedName name="________ben5" localSheetId="1">#REF!</definedName>
    <definedName name="________ben5" localSheetId="2">#REF!</definedName>
    <definedName name="________ben5">#REF!</definedName>
    <definedName name="________tu3" localSheetId="0">#REF!</definedName>
    <definedName name="________tu3" localSheetId="1">#REF!</definedName>
    <definedName name="________tu3" localSheetId="2">#REF!</definedName>
    <definedName name="________tu3">#REF!</definedName>
    <definedName name="_______ben1" localSheetId="0">#REF!</definedName>
    <definedName name="_______ben1" localSheetId="1">#REF!</definedName>
    <definedName name="_______ben1" localSheetId="2">#REF!</definedName>
    <definedName name="_______ben1">#REF!</definedName>
    <definedName name="_______ben10" localSheetId="0">#REF!</definedName>
    <definedName name="_______ben10" localSheetId="1">#REF!</definedName>
    <definedName name="_______ben10" localSheetId="2">#REF!</definedName>
    <definedName name="_______ben10">#REF!</definedName>
    <definedName name="_______ben15" localSheetId="0">#REF!</definedName>
    <definedName name="_______ben15" localSheetId="1">#REF!</definedName>
    <definedName name="_______ben15" localSheetId="2">#REF!</definedName>
    <definedName name="_______ben15">#REF!</definedName>
    <definedName name="_______BEN2">#REF!</definedName>
    <definedName name="_______ben20" localSheetId="0">#REF!</definedName>
    <definedName name="_______ben20" localSheetId="1">#REF!</definedName>
    <definedName name="_______ben20" localSheetId="2">#REF!</definedName>
    <definedName name="_______ben20">#REF!</definedName>
    <definedName name="_______ben25" localSheetId="0">#REF!</definedName>
    <definedName name="_______ben25" localSheetId="1">#REF!</definedName>
    <definedName name="_______ben25" localSheetId="2">#REF!</definedName>
    <definedName name="_______ben25">#REF!</definedName>
    <definedName name="_______BEN3" localSheetId="0">#REF!</definedName>
    <definedName name="_______BEN3" localSheetId="1">#REF!</definedName>
    <definedName name="_______BEN3" localSheetId="2">#REF!</definedName>
    <definedName name="_______BEN3">#REF!</definedName>
    <definedName name="_______BEN4" localSheetId="0">#REF!</definedName>
    <definedName name="_______BEN4" localSheetId="1">#REF!</definedName>
    <definedName name="_______BEN4" localSheetId="2">#REF!</definedName>
    <definedName name="_______BEN4">#REF!</definedName>
    <definedName name="_______ben5" localSheetId="0">#REF!</definedName>
    <definedName name="_______ben5" localSheetId="1">#REF!</definedName>
    <definedName name="_______ben5" localSheetId="2">#REF!</definedName>
    <definedName name="_______ben5">#REF!</definedName>
    <definedName name="_______tu3" localSheetId="0">#REF!</definedName>
    <definedName name="_______tu3" localSheetId="1">#REF!</definedName>
    <definedName name="_______tu3" localSheetId="2">#REF!</definedName>
    <definedName name="_______tu3">#REF!</definedName>
    <definedName name="______ben1" localSheetId="0">#REF!</definedName>
    <definedName name="______ben1" localSheetId="1">#REF!</definedName>
    <definedName name="______ben1" localSheetId="2">#REF!</definedName>
    <definedName name="______ben1">#REF!</definedName>
    <definedName name="______ben10" localSheetId="0">#REF!</definedName>
    <definedName name="______ben10" localSheetId="1">#REF!</definedName>
    <definedName name="______ben10" localSheetId="2">#REF!</definedName>
    <definedName name="______ben10">#REF!</definedName>
    <definedName name="______ben15" localSheetId="0">#REF!</definedName>
    <definedName name="______ben15" localSheetId="1">#REF!</definedName>
    <definedName name="______ben15" localSheetId="2">#REF!</definedName>
    <definedName name="______ben15">#REF!</definedName>
    <definedName name="______BEN2">#REF!</definedName>
    <definedName name="______ben20" localSheetId="0">#REF!</definedName>
    <definedName name="______ben20" localSheetId="1">#REF!</definedName>
    <definedName name="______ben20" localSheetId="2">#REF!</definedName>
    <definedName name="______ben20">#REF!</definedName>
    <definedName name="______ben25" localSheetId="0">#REF!</definedName>
    <definedName name="______ben25" localSheetId="1">#REF!</definedName>
    <definedName name="______ben25" localSheetId="2">#REF!</definedName>
    <definedName name="______ben25">#REF!</definedName>
    <definedName name="______BEN3" localSheetId="0">#REF!</definedName>
    <definedName name="______BEN3" localSheetId="1">#REF!</definedName>
    <definedName name="______BEN3" localSheetId="2">#REF!</definedName>
    <definedName name="______BEN3">#REF!</definedName>
    <definedName name="______BEN4" localSheetId="0">#REF!</definedName>
    <definedName name="______BEN4" localSheetId="1">#REF!</definedName>
    <definedName name="______BEN4" localSheetId="2">#REF!</definedName>
    <definedName name="______BEN4">#REF!</definedName>
    <definedName name="______ben5" localSheetId="0">#REF!</definedName>
    <definedName name="______ben5" localSheetId="1">#REF!</definedName>
    <definedName name="______ben5" localSheetId="2">#REF!</definedName>
    <definedName name="______ben5">#REF!</definedName>
    <definedName name="______tu3" localSheetId="0">#REF!</definedName>
    <definedName name="______tu3" localSheetId="1">#REF!</definedName>
    <definedName name="______tu3" localSheetId="2">#REF!</definedName>
    <definedName name="______tu3">#REF!</definedName>
    <definedName name="_____ben1" localSheetId="0">#REF!</definedName>
    <definedName name="_____ben1" localSheetId="1">#REF!</definedName>
    <definedName name="_____ben1" localSheetId="2">#REF!</definedName>
    <definedName name="_____ben1">#REF!</definedName>
    <definedName name="_____ben10" localSheetId="0">#REF!</definedName>
    <definedName name="_____ben10" localSheetId="1">#REF!</definedName>
    <definedName name="_____ben10" localSheetId="2">#REF!</definedName>
    <definedName name="_____ben10">#REF!</definedName>
    <definedName name="_____ben15" localSheetId="0">#REF!</definedName>
    <definedName name="_____ben15" localSheetId="1">#REF!</definedName>
    <definedName name="_____ben15" localSheetId="2">#REF!</definedName>
    <definedName name="_____ben15">#REF!</definedName>
    <definedName name="_____BEN2">#REF!</definedName>
    <definedName name="_____ben20" localSheetId="0">#REF!</definedName>
    <definedName name="_____ben20" localSheetId="1">#REF!</definedName>
    <definedName name="_____ben20" localSheetId="2">#REF!</definedName>
    <definedName name="_____ben20">#REF!</definedName>
    <definedName name="_____ben25" localSheetId="0">#REF!</definedName>
    <definedName name="_____ben25" localSheetId="1">#REF!</definedName>
    <definedName name="_____ben25" localSheetId="2">#REF!</definedName>
    <definedName name="_____ben25">#REF!</definedName>
    <definedName name="_____BEN3" localSheetId="0">#REF!</definedName>
    <definedName name="_____BEN3" localSheetId="1">#REF!</definedName>
    <definedName name="_____BEN3" localSheetId="2">#REF!</definedName>
    <definedName name="_____BEN3">#REF!</definedName>
    <definedName name="_____BEN4" localSheetId="0">#REF!</definedName>
    <definedName name="_____BEN4" localSheetId="1">#REF!</definedName>
    <definedName name="_____BEN4" localSheetId="2">#REF!</definedName>
    <definedName name="_____BEN4">#REF!</definedName>
    <definedName name="_____ben5" localSheetId="0">#REF!</definedName>
    <definedName name="_____ben5" localSheetId="1">#REF!</definedName>
    <definedName name="_____ben5" localSheetId="2">#REF!</definedName>
    <definedName name="_____ben5">#REF!</definedName>
    <definedName name="_____tu3" localSheetId="0">#REF!</definedName>
    <definedName name="_____tu3" localSheetId="1">#REF!</definedName>
    <definedName name="_____tu3" localSheetId="2">#REF!</definedName>
    <definedName name="_____tu3">#REF!</definedName>
    <definedName name="____ben1" localSheetId="0">#REF!</definedName>
    <definedName name="____ben1" localSheetId="1">#REF!</definedName>
    <definedName name="____ben1" localSheetId="2">#REF!</definedName>
    <definedName name="____ben1">#REF!</definedName>
    <definedName name="____ben10" localSheetId="0">#REF!</definedName>
    <definedName name="____ben10" localSheetId="1">#REF!</definedName>
    <definedName name="____ben10" localSheetId="2">#REF!</definedName>
    <definedName name="____ben10">#REF!</definedName>
    <definedName name="____ben15" localSheetId="0">#REF!</definedName>
    <definedName name="____ben15" localSheetId="1">#REF!</definedName>
    <definedName name="____ben15" localSheetId="2">#REF!</definedName>
    <definedName name="____ben15">#REF!</definedName>
    <definedName name="____BEN2">#REF!</definedName>
    <definedName name="____ben20" localSheetId="0">#REF!</definedName>
    <definedName name="____ben20" localSheetId="1">#REF!</definedName>
    <definedName name="____ben20" localSheetId="2">#REF!</definedName>
    <definedName name="____ben20">#REF!</definedName>
    <definedName name="____ben25" localSheetId="0">#REF!</definedName>
    <definedName name="____ben25" localSheetId="1">#REF!</definedName>
    <definedName name="____ben25" localSheetId="2">#REF!</definedName>
    <definedName name="____ben25">#REF!</definedName>
    <definedName name="____BEN3" localSheetId="0">#REF!</definedName>
    <definedName name="____BEN3" localSheetId="1">#REF!</definedName>
    <definedName name="____BEN3" localSheetId="2">#REF!</definedName>
    <definedName name="____BEN3">#REF!</definedName>
    <definedName name="____BEN4" localSheetId="0">#REF!</definedName>
    <definedName name="____BEN4" localSheetId="1">#REF!</definedName>
    <definedName name="____BEN4" localSheetId="2">#REF!</definedName>
    <definedName name="____BEN4">#REF!</definedName>
    <definedName name="____ben5" localSheetId="0">#REF!</definedName>
    <definedName name="____ben5" localSheetId="1">#REF!</definedName>
    <definedName name="____ben5" localSheetId="2">#REF!</definedName>
    <definedName name="____ben5">#REF!</definedName>
    <definedName name="____tu3" localSheetId="0">#REF!</definedName>
    <definedName name="____tu3" localSheetId="1">#REF!</definedName>
    <definedName name="____tu3" localSheetId="2">#REF!</definedName>
    <definedName name="____tu3">#REF!</definedName>
    <definedName name="___ben1" localSheetId="0">#REF!</definedName>
    <definedName name="___ben1" localSheetId="1">#REF!</definedName>
    <definedName name="___ben1" localSheetId="2">#REF!</definedName>
    <definedName name="___ben1">#REF!</definedName>
    <definedName name="___ben10" localSheetId="0">#REF!</definedName>
    <definedName name="___ben10" localSheetId="1">#REF!</definedName>
    <definedName name="___ben10" localSheetId="2">#REF!</definedName>
    <definedName name="___ben10">#REF!</definedName>
    <definedName name="___ben15" localSheetId="0">#REF!</definedName>
    <definedName name="___ben15" localSheetId="1">#REF!</definedName>
    <definedName name="___ben15" localSheetId="2">#REF!</definedName>
    <definedName name="___ben15">#REF!</definedName>
    <definedName name="___BEN2">#REF!</definedName>
    <definedName name="___ben20" localSheetId="0">#REF!</definedName>
    <definedName name="___ben20" localSheetId="1">#REF!</definedName>
    <definedName name="___ben20" localSheetId="2">#REF!</definedName>
    <definedName name="___ben20">#REF!</definedName>
    <definedName name="___ben25" localSheetId="0">#REF!</definedName>
    <definedName name="___ben25" localSheetId="1">#REF!</definedName>
    <definedName name="___ben25" localSheetId="2">#REF!</definedName>
    <definedName name="___ben25">#REF!</definedName>
    <definedName name="___BEN3" localSheetId="0">#REF!</definedName>
    <definedName name="___BEN3" localSheetId="1">#REF!</definedName>
    <definedName name="___BEN3" localSheetId="2">#REF!</definedName>
    <definedName name="___BEN3">#REF!</definedName>
    <definedName name="___BEN4" localSheetId="0">#REF!</definedName>
    <definedName name="___BEN4" localSheetId="1">#REF!</definedName>
    <definedName name="___BEN4" localSheetId="2">#REF!</definedName>
    <definedName name="___BEN4">#REF!</definedName>
    <definedName name="___ben5" localSheetId="0">#REF!</definedName>
    <definedName name="___ben5" localSheetId="1">#REF!</definedName>
    <definedName name="___ben5" localSheetId="2">#REF!</definedName>
    <definedName name="___ben5">#REF!</definedName>
    <definedName name="___tu3" localSheetId="0">#REF!</definedName>
    <definedName name="___tu3" localSheetId="1">#REF!</definedName>
    <definedName name="___tu3" localSheetId="2">#REF!</definedName>
    <definedName name="___tu3">#REF!</definedName>
    <definedName name="__ben1" localSheetId="0">#REF!</definedName>
    <definedName name="__ben1" localSheetId="1">#REF!</definedName>
    <definedName name="__ben1" localSheetId="2">#REF!</definedName>
    <definedName name="__ben1">#REF!</definedName>
    <definedName name="__ben10" localSheetId="0">#REF!</definedName>
    <definedName name="__ben10" localSheetId="1">#REF!</definedName>
    <definedName name="__ben10" localSheetId="2">#REF!</definedName>
    <definedName name="__ben10">#REF!</definedName>
    <definedName name="__ben15" localSheetId="0">#REF!</definedName>
    <definedName name="__ben15" localSheetId="1">#REF!</definedName>
    <definedName name="__ben15" localSheetId="2">#REF!</definedName>
    <definedName name="__ben15">#REF!</definedName>
    <definedName name="__BEN2">#REF!</definedName>
    <definedName name="__ben20" localSheetId="0">#REF!</definedName>
    <definedName name="__ben20" localSheetId="1">#REF!</definedName>
    <definedName name="__ben20" localSheetId="2">#REF!</definedName>
    <definedName name="__ben20">#REF!</definedName>
    <definedName name="__ben25" localSheetId="0">#REF!</definedName>
    <definedName name="__ben25" localSheetId="1">#REF!</definedName>
    <definedName name="__ben25" localSheetId="2">#REF!</definedName>
    <definedName name="__ben25">#REF!</definedName>
    <definedName name="__BEN3" localSheetId="0">#REF!</definedName>
    <definedName name="__BEN3" localSheetId="1">#REF!</definedName>
    <definedName name="__BEN3" localSheetId="2">#REF!</definedName>
    <definedName name="__BEN3">#REF!</definedName>
    <definedName name="__BEN4" localSheetId="0">#REF!</definedName>
    <definedName name="__BEN4" localSheetId="1">#REF!</definedName>
    <definedName name="__BEN4" localSheetId="2">#REF!</definedName>
    <definedName name="__BEN4">#REF!</definedName>
    <definedName name="__ben5" localSheetId="0">#REF!</definedName>
    <definedName name="__ben5" localSheetId="1">#REF!</definedName>
    <definedName name="__ben5" localSheetId="2">#REF!</definedName>
    <definedName name="__ben5">#REF!</definedName>
    <definedName name="__HJJ2">#REF!</definedName>
    <definedName name="__tu3" localSheetId="0">#REF!</definedName>
    <definedName name="__tu3" localSheetId="1">#REF!</definedName>
    <definedName name="__tu3" localSheetId="2">#REF!</definedName>
    <definedName name="__tu3">#REF!</definedName>
    <definedName name="_3FLE">#REF!</definedName>
    <definedName name="_6PRINT_AREA">#REF!</definedName>
    <definedName name="_ben1" localSheetId="0">#REF!</definedName>
    <definedName name="_ben1" localSheetId="1">#REF!</definedName>
    <definedName name="_ben1" localSheetId="2">#REF!</definedName>
    <definedName name="_ben1">#REF!</definedName>
    <definedName name="_ben10" localSheetId="0">#REF!</definedName>
    <definedName name="_ben10" localSheetId="1">#REF!</definedName>
    <definedName name="_ben10" localSheetId="2">#REF!</definedName>
    <definedName name="_ben10">#REF!</definedName>
    <definedName name="_ben15" localSheetId="0">#REF!</definedName>
    <definedName name="_ben15" localSheetId="1">#REF!</definedName>
    <definedName name="_ben15" localSheetId="2">#REF!</definedName>
    <definedName name="_ben15">#REF!</definedName>
    <definedName name="_BEN2">#REF!</definedName>
    <definedName name="_ben20" localSheetId="0">#REF!</definedName>
    <definedName name="_ben20" localSheetId="1">#REF!</definedName>
    <definedName name="_ben20" localSheetId="2">#REF!</definedName>
    <definedName name="_ben20">#REF!</definedName>
    <definedName name="_ben21" localSheetId="0">#REF!</definedName>
    <definedName name="_ben21" localSheetId="1">#REF!</definedName>
    <definedName name="_ben21" localSheetId="2">#REF!</definedName>
    <definedName name="_ben21">#REF!</definedName>
    <definedName name="_ben25" localSheetId="0">#REF!</definedName>
    <definedName name="_ben25" localSheetId="1">#REF!</definedName>
    <definedName name="_ben25" localSheetId="2">#REF!</definedName>
    <definedName name="_ben25">#REF!</definedName>
    <definedName name="_ben29" localSheetId="0">#REF!</definedName>
    <definedName name="_ben29" localSheetId="1">#REF!</definedName>
    <definedName name="_ben29" localSheetId="2">#REF!</definedName>
    <definedName name="_ben29">#REF!</definedName>
    <definedName name="_BEN3" localSheetId="0">#REF!</definedName>
    <definedName name="_BEN3" localSheetId="1">#REF!</definedName>
    <definedName name="_BEN3" localSheetId="2">#REF!</definedName>
    <definedName name="_BEN3">#REF!</definedName>
    <definedName name="_ben30" localSheetId="0">#REF!</definedName>
    <definedName name="_ben30" localSheetId="1">#REF!</definedName>
    <definedName name="_ben30" localSheetId="2">#REF!</definedName>
    <definedName name="_ben30">#REF!</definedName>
    <definedName name="_BEN4" localSheetId="0">#REF!</definedName>
    <definedName name="_BEN4" localSheetId="1">#REF!</definedName>
    <definedName name="_BEN4" localSheetId="2">#REF!</definedName>
    <definedName name="_BEN4">#REF!</definedName>
    <definedName name="_ben5" localSheetId="0">#REF!</definedName>
    <definedName name="_ben5" localSheetId="1">#REF!</definedName>
    <definedName name="_ben5" localSheetId="2">#REF!</definedName>
    <definedName name="_ben5">#REF!</definedName>
    <definedName name="_ben52" localSheetId="0">#REF!</definedName>
    <definedName name="_ben52" localSheetId="1">#REF!</definedName>
    <definedName name="_ben52" localSheetId="2">#REF!</definedName>
    <definedName name="_ben52">#REF!</definedName>
    <definedName name="_d2" hidden="1">{"NORMAL",#N/A,FALSE,"02"}</definedName>
    <definedName name="_f" hidden="1">{"DECIMAL",#N/A,FALSE,"02"}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hidden="1">#REF!</definedName>
    <definedName name="_xlnm._FilterDatabase" localSheetId="0" hidden="1">'Adic. N°1'!#REF!</definedName>
    <definedName name="_xlnm._FilterDatabase" localSheetId="1" hidden="1">'Adic. N°2'!#REF!</definedName>
    <definedName name="_xlnm._FilterDatabase" localSheetId="2" hidden="1">'Adic. N°3'!#REF!</definedName>
    <definedName name="_GoBack" localSheetId="0">'Adic. N°1'!#REF!</definedName>
    <definedName name="_GoBack" localSheetId="1">'Adic. N°2'!#REF!</definedName>
    <definedName name="_GoBack" localSheetId="2">'Adic. N°3'!#REF!</definedName>
    <definedName name="_HJJ2">#REF!</definedName>
    <definedName name="_Key1" hidden="1">#REF!</definedName>
    <definedName name="_KH170">#REF!</definedName>
    <definedName name="_MatMult_A" localSheetId="0" hidden="1">#REF!</definedName>
    <definedName name="_MatMult_A" localSheetId="1" hidden="1">#REF!</definedName>
    <definedName name="_MatMult_A" localSheetId="2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0">'Adic. N°1'!#REF!</definedName>
    <definedName name="_Toc502326724" localSheetId="1">'Adic. N°2'!#REF!</definedName>
    <definedName name="_Toc502326724" localSheetId="2">'Adic. N°3'!#REF!</definedName>
    <definedName name="_Toc502326725" localSheetId="0">'Adic. N°1'!#REF!</definedName>
    <definedName name="_Toc502326725" localSheetId="1">'Adic. N°2'!#REF!</definedName>
    <definedName name="_Toc502326725" localSheetId="2">'Adic. N°3'!#REF!</definedName>
    <definedName name="_Toc502326726" localSheetId="0">'Adic. N°1'!#REF!</definedName>
    <definedName name="_Toc502326726" localSheetId="1">'Adic. N°2'!#REF!</definedName>
    <definedName name="_Toc502326726" localSheetId="2">'Adic. N°3'!#REF!</definedName>
    <definedName name="_tu3" localSheetId="0">#REF!</definedName>
    <definedName name="_tu3" localSheetId="1">#REF!</definedName>
    <definedName name="_tu3" localSheetId="2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1">L2C1:L372C15</definedName>
    <definedName name="Adecuación" localSheetId="2">L2C1:L372C15</definedName>
    <definedName name="Adecuación">L2C1:L372C15</definedName>
    <definedName name="ADICT">#REF!</definedName>
    <definedName name="ADICT1">#REF!</definedName>
    <definedName name="aeir">#REF!</definedName>
    <definedName name="AIML">#REF!</definedName>
    <definedName name="AISS">#REF!</definedName>
    <definedName name="ALFA">#REF!</definedName>
    <definedName name="alfa_s">#REF!</definedName>
    <definedName name="alfa_s_c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>#REF!</definedName>
    <definedName name="aMEcolumnas">#REF!</definedName>
    <definedName name="aMEcortepasto">#REF!</definedName>
    <definedName name="AMECT">#REF!</definedName>
    <definedName name="aMEdemolicion">#REF!</definedName>
    <definedName name="aMEdesembanque">#REF!</definedName>
    <definedName name="aMEdren">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>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>#REF!</definedName>
    <definedName name="Ana_Ed_3">#REF!</definedName>
    <definedName name="Ana_Edi_1">#REF!</definedName>
    <definedName name="Ana_Edi_2">#REF!</definedName>
    <definedName name="Ana_Edi_2_Var">#REF!</definedName>
    <definedName name="Ana_Edi_3_Var">#REF!</definedName>
    <definedName name="Ana_OEX">#REF!</definedName>
    <definedName name="Ana_Resumen">#REF!</definedName>
    <definedName name="ANAE1">#REF!</definedName>
    <definedName name="analiprecios" localSheetId="0">#REF!</definedName>
    <definedName name="analiprecios" localSheetId="1">#REF!</definedName>
    <definedName name="analiprecios" localSheetId="2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0">#REF!</definedName>
    <definedName name="analisisequipo" localSheetId="1">#REF!</definedName>
    <definedName name="analisisequipo" localSheetId="2">#REF!</definedName>
    <definedName name="analisisequipo">#REF!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AREA1">#REF!</definedName>
    <definedName name="AREA2">#REF!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>#REF!</definedName>
    <definedName name="ARRC">#REF!</definedName>
    <definedName name="ARREM">#REF!</definedName>
    <definedName name="ARREP">#REF!</definedName>
    <definedName name="arriba">#REF!</definedName>
    <definedName name="ARRRR">#REF!</definedName>
    <definedName name="ARSC">#REF!</definedName>
    <definedName name="ARSCE">#REF!</definedName>
    <definedName name="ARSDA">#REF!</definedName>
    <definedName name="ARSEC">#REF!</definedName>
    <definedName name="ARSED">#REF!</definedName>
    <definedName name="ARSEM">#REF!</definedName>
    <definedName name="ARSEP">#REF!</definedName>
    <definedName name="ARSLE">#REF!</definedName>
    <definedName name="ARSNA">#REF!</definedName>
    <definedName name="ART">#REF!</definedName>
    <definedName name="ART_Cargo_Fijo">#REF!</definedName>
    <definedName name="aruno">#REF!</definedName>
    <definedName name="as">#REF!</definedName>
    <definedName name="asd" localSheetId="1">L2C1:L372C15</definedName>
    <definedName name="asd" localSheetId="2">L2C1:L372C15</definedName>
    <definedName name="asd">L2C1:L372C15</definedName>
    <definedName name="asdaaa">#REF!</definedName>
    <definedName name="ASDAASD" localSheetId="1">L2C1:L372C15</definedName>
    <definedName name="ASDAASD" localSheetId="2">L2C1:L372C15</definedName>
    <definedName name="ASDAASD">L2C1:L372C15</definedName>
    <definedName name="asdis">#REF!</definedName>
    <definedName name="asew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>#REF!</definedName>
    <definedName name="BASEABELSON">#REF!</definedName>
    <definedName name="BASEINSU" localSheetId="1">L2C1:L372C15</definedName>
    <definedName name="BASEINSU" localSheetId="2">L2C1:L372C15</definedName>
    <definedName name="BASEINSU">L2C1:L372C15</definedName>
    <definedName name="baseinsumos" localSheetId="1">L2C1:L372C15</definedName>
    <definedName name="baseinsumos" localSheetId="2">L2C1:L372C15</definedName>
    <definedName name="baseinsumos">L2C1:L372C15</definedName>
    <definedName name="be">#REF!</definedName>
    <definedName name="Beg_Bal">#REF!</definedName>
    <definedName name="bene" localSheetId="0">#REF!</definedName>
    <definedName name="bene" localSheetId="1">#REF!</definedName>
    <definedName name="bene" localSheetId="2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1">L2C1:L372C15</definedName>
    <definedName name="BI" localSheetId="2">L2C1:L372C15</definedName>
    <definedName name="BI">L2C1:L372C15</definedName>
    <definedName name="bloque20x20x40">#REF!</definedName>
    <definedName name="br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>#REF!</definedName>
    <definedName name="CalidadAcero">#REF!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>#REF!</definedName>
    <definedName name="carlosa">#REF!</definedName>
    <definedName name="carlosar">#REF!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>#REF!</definedName>
    <definedName name="CE1_">#REF!</definedName>
    <definedName name="CE2_">#REF!</definedName>
    <definedName name="CE3_">#REF!</definedName>
    <definedName name="CEBE">#REF!</definedName>
    <definedName name="CECF">#REF!</definedName>
    <definedName name="CEGG">#REF!</definedName>
    <definedName name="CEIM">#REF!</definedName>
    <definedName name="ceme">#REF!</definedName>
    <definedName name="cemento">#REF!</definedName>
    <definedName name="CEMR">#REF!</definedName>
    <definedName name="CEo">#REF!</definedName>
    <definedName name="Certificado2" localSheetId="0">#REF!</definedName>
    <definedName name="Certificado2" localSheetId="1">#REF!</definedName>
    <definedName name="Certificado2" localSheetId="2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>#REF!</definedName>
    <definedName name="CIEA">#REF!</definedName>
    <definedName name="CIEE">#REF!</definedName>
    <definedName name="CIEF">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>#REF!</definedName>
    <definedName name="CM1_">#REF!</definedName>
    <definedName name="CM3_">#REF!</definedName>
    <definedName name="CM4_">#REF!</definedName>
    <definedName name="CMA">#REF!</definedName>
    <definedName name="CMAX">#REF!</definedName>
    <definedName name="CMMO">#REF!</definedName>
    <definedName name="CMO">#REF!</definedName>
    <definedName name="CMOE">#REF!</definedName>
    <definedName name="CMP">#REF!</definedName>
    <definedName name="CMZ">#REF!</definedName>
    <definedName name="codigoanalisis">#REF!</definedName>
    <definedName name="codigoformulas">#REF!</definedName>
    <definedName name="codigoinsumos">#REF!</definedName>
    <definedName name="codigoitems">#REF!</definedName>
    <definedName name="codigomat">#REF!</definedName>
    <definedName name="CodigoParametrico">#REF!</definedName>
    <definedName name="coef" localSheetId="0">#REF!</definedName>
    <definedName name="coef" localSheetId="1">#REF!</definedName>
    <definedName name="coef" localSheetId="2">#REF!</definedName>
    <definedName name="coef">#REF!</definedName>
    <definedName name="Coef_GG_B_I">#REF!</definedName>
    <definedName name="columna">#REF!</definedName>
    <definedName name="COLUMNAS">#REF!</definedName>
    <definedName name="Comb">#REF!</definedName>
    <definedName name="Combinaciones_cargas">#REF!</definedName>
    <definedName name="COMPANIA">#REF!</definedName>
    <definedName name="COMPUTO">#REF!</definedName>
    <definedName name="COMPUTOS">#REF!</definedName>
    <definedName name="Constante_de_los_Gases">#REF!</definedName>
    <definedName name="constantes">#REF!</definedName>
    <definedName name="Consumo">#REF!</definedName>
    <definedName name="Contribucion_Patronal_s_Decreto_2641">#REF!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>#REF!</definedName>
    <definedName name="coti4">#REF!</definedName>
    <definedName name="Cotizador_automatico_del_pedido.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0">#REF!</definedName>
    <definedName name="d" localSheetId="1">#REF!</definedName>
    <definedName name="d" localSheetId="2">#REF!</definedName>
    <definedName name="d">#REF!</definedName>
    <definedName name="d.10">#REF!</definedName>
    <definedName name="d.12">#REF!</definedName>
    <definedName name="d.16">#REF!</definedName>
    <definedName name="d.20">#REF!</definedName>
    <definedName name="d.25">#REF!</definedName>
    <definedName name="d.6">#REF!</definedName>
    <definedName name="d.8">#REF!</definedName>
    <definedName name="Data">#REF!</definedName>
    <definedName name="_xlnm.Database">#REF!</definedName>
    <definedName name="DATOS">#REF!</definedName>
    <definedName name="DCC">#REF!</definedName>
    <definedName name="ddlim">#REF!</definedName>
    <definedName name="decimal" hidden="1">{"DECIMAL",#N/A,FALSE,"02"}</definedName>
    <definedName name="Decreto_2641_02">#REF!</definedName>
    <definedName name="DEESP">#REF!</definedName>
    <definedName name="DELTA">#N/A</definedName>
    <definedName name="DenominacionAcero">#REF!</definedName>
    <definedName name="DenominacioPerfiles">#REF!</definedName>
    <definedName name="Descuentos">#REF!</definedName>
    <definedName name="Descuentos2">#REF!</definedName>
    <definedName name="Desperdicio_Armadura">#REF!</definedName>
    <definedName name="Destino_Edificio">#REF!</definedName>
    <definedName name="Detalle" hidden="1">{"NORMAL",#N/A,FALSE,"02"}</definedName>
    <definedName name="dF">#REF!</definedName>
    <definedName name="dfgsgsg">#REF!</definedName>
    <definedName name="DHDAM">#REF!</definedName>
    <definedName name="DHDD">#REF!</definedName>
    <definedName name="DHDDA">#REF!</definedName>
    <definedName name="DHDDB">#REF!</definedName>
    <definedName name="DHDDE">#REF!</definedName>
    <definedName name="DHDEM">#REF!</definedName>
    <definedName name="DHDPO">#REF!</definedName>
    <definedName name="DHMPO">#REF!</definedName>
    <definedName name="DIAMETROS">#REF!</definedName>
    <definedName name="Diámetros_y_Espesores_de_P.V.C.">#REF!</definedName>
    <definedName name="Dias_Enfermedad">#REF!</definedName>
    <definedName name="Diesel">#REF!</definedName>
    <definedName name="dil">#REF!</definedName>
    <definedName name="DINTS">#REF!</definedName>
    <definedName name="dlim">#REF!</definedName>
    <definedName name="DMPGR">#REF!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>#REF!</definedName>
    <definedName name="DTHDABM">#REF!</definedName>
    <definedName name="DTHDAPM">#REF!</definedName>
    <definedName name="DTHDBPM">#REF!</definedName>
    <definedName name="DTHPDCO">#REF!</definedName>
    <definedName name="DTHPDDA">#REF!</definedName>
    <definedName name="DTHPDDB">#REF!</definedName>
    <definedName name="DTHPGCO">#REF!</definedName>
    <definedName name="DTHPMBM">#REF!</definedName>
    <definedName name="DVDD">#REF!</definedName>
    <definedName name="DVDEM">#REF!</definedName>
    <definedName name="DVEM">#REF!</definedName>
    <definedName name="E">#N/A</definedName>
    <definedName name="EASP">#REF!</definedName>
    <definedName name="Ee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>#REF!</definedName>
    <definedName name="EncabezadoAnalisis">#REF!</definedName>
    <definedName name="End_Bal">#REF!</definedName>
    <definedName name="ENERGIA">#REF!</definedName>
    <definedName name="ENREUTAB">#REF!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>#REF!</definedName>
    <definedName name="EXAPI">#REF!</definedName>
    <definedName name="EXAS">#REF!</definedName>
    <definedName name="EXAZ">#REF!</definedName>
    <definedName name="EXBE">#REF!</definedName>
    <definedName name="EXCD">#REF!</definedName>
    <definedName name="EXCM">#REF!</definedName>
    <definedName name="EXCT">#REF!</definedName>
    <definedName name="EXESP">#REF!</definedName>
    <definedName name="EXLP">#REF!</definedName>
    <definedName name="EXLS">#REF!</definedName>
    <definedName name="EXNC">#REF!</definedName>
    <definedName name="EXNP">#REF!</definedName>
    <definedName name="EXPOSICION">#REF!</definedName>
    <definedName name="EXPZ">#REF!</definedName>
    <definedName name="EXSP">#REF!</definedName>
    <definedName name="Extra_Pay">#REF!</definedName>
    <definedName name="EY">#N/A</definedName>
    <definedName name="FASES">#N/A</definedName>
    <definedName name="FCT">#REF!</definedName>
    <definedName name="Fe">#REF!</definedName>
    <definedName name="Fecha">#REF!</definedName>
    <definedName name="FF">#REF!</definedName>
    <definedName name="ffdfsd">#REF!</definedName>
    <definedName name="fi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>#REF!</definedName>
    <definedName name="formula_analisis">#REF!</definedName>
    <definedName name="formula_formula">#REF!</definedName>
    <definedName name="Fórmula_General_para_Determinación_de_f">#REF!</definedName>
    <definedName name="formula_insumo">#REF!</definedName>
    <definedName name="formula_presupuesto">#REF!</definedName>
    <definedName name="formula_rubro">#REF!</definedName>
    <definedName name="formulapatron">#REF!</definedName>
    <definedName name="formulas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>#REF!</definedName>
    <definedName name="guarderia" localSheetId="0">#REF!</definedName>
    <definedName name="guarderia" localSheetId="1">#REF!</definedName>
    <definedName name="guarderia" localSheetId="2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>#REF!</definedName>
    <definedName name="HAADC">#REF!</definedName>
    <definedName name="HAADE">#REF!</definedName>
    <definedName name="HAADL">#REF!</definedName>
    <definedName name="HAADT">#REF!</definedName>
    <definedName name="HAADV">#REF!</definedName>
    <definedName name="HAAP">#REF!</definedName>
    <definedName name="HAAT">#REF!</definedName>
    <definedName name="HAAV">#REF!</definedName>
    <definedName name="HACAB">#REF!</definedName>
    <definedName name="HACABCP">#REF!</definedName>
    <definedName name="HACABE">#REF!</definedName>
    <definedName name="HACABEE">#REF!</definedName>
    <definedName name="HACABLA">#REF!</definedName>
    <definedName name="HACABLB">#REF!</definedName>
    <definedName name="HACAC">#REF!</definedName>
    <definedName name="HACACT">#REF!</definedName>
    <definedName name="HACAE">#REF!</definedName>
    <definedName name="HACAL">#REF!</definedName>
    <definedName name="HACALF">#REF!</definedName>
    <definedName name="HACAP">#REF!</definedName>
    <definedName name="HACAT">#REF!</definedName>
    <definedName name="HACATS">#REF!</definedName>
    <definedName name="HACAV">#REF!</definedName>
    <definedName name="HACAVF">#REF!</definedName>
    <definedName name="HACHE">#N/A</definedName>
    <definedName name="HACLB">#REF!</definedName>
    <definedName name="HACLD">#REF!</definedName>
    <definedName name="HACTLB">#REF!</definedName>
    <definedName name="HACTLD">#REF!</definedName>
    <definedName name="HAEL">#REF!</definedName>
    <definedName name="HAEMPSA">#REF!</definedName>
    <definedName name="HAEMZA">#REF!</definedName>
    <definedName name="HAET">#REF!</definedName>
    <definedName name="HAETBCP">#REF!</definedName>
    <definedName name="HAETS">#REF!</definedName>
    <definedName name="HAEV">#REF!</definedName>
    <definedName name="HAMH">#REF!</definedName>
    <definedName name="HAPC">#REF!</definedName>
    <definedName name="HAPL">#REF!</definedName>
    <definedName name="HAPV">#REF!</definedName>
    <definedName name="HAREM">#REF!</definedName>
    <definedName name="HARHE">#REF!</definedName>
    <definedName name="HATF">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>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>#REF!</definedName>
    <definedName name="HORM">#REF!</definedName>
    <definedName name="HORMA">#REF!</definedName>
    <definedName name="HP">#REF!</definedName>
    <definedName name="HR">#REF!</definedName>
    <definedName name="Hs">#REF!</definedName>
    <definedName name="HTR">#REF!</definedName>
    <definedName name="Huno">#REF!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>#REF!</definedName>
    <definedName name="Jornal_Basico_Oficial">#REF!</definedName>
    <definedName name="Jornal_Basico_Oficial_Especializado">#REF!</definedName>
    <definedName name="JP">#REF!</definedName>
    <definedName name="JT">#REF!</definedName>
    <definedName name="JUBI">#REF!</definedName>
    <definedName name="K" localSheetId="0">#REF!</definedName>
    <definedName name="K" localSheetId="1">#REF!</definedName>
    <definedName name="K" localSheetId="2">#REF!</definedName>
    <definedName name="K">#REF!</definedName>
    <definedName name="kh">#REF!</definedName>
    <definedName name="kha">#REF!</definedName>
    <definedName name="l" localSheetId="0">#REF!</definedName>
    <definedName name="l" localSheetId="1">#REF!</definedName>
    <definedName name="l" localSheetId="2">#REF!</definedName>
    <definedName name="l">#REF!</definedName>
    <definedName name="LA">#N/A</definedName>
    <definedName name="Last_Row">#N/A</definedName>
    <definedName name="LB">#N/A</definedName>
    <definedName name="LCPCB">#REF!</definedName>
    <definedName name="LCPCI06">#REF!</definedName>
    <definedName name="LCPCID12">#REF!</definedName>
    <definedName name="LCPCR">#REF!</definedName>
    <definedName name="LCPCRE">#REF!</definedName>
    <definedName name="LCPCV">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>#REF!</definedName>
    <definedName name="MAABY">#REF!</definedName>
    <definedName name="MAALC">#REF!</definedName>
    <definedName name="MAALH">#REF!</definedName>
    <definedName name="MAALHP">#REF!</definedName>
    <definedName name="MAALV">#REF!</definedName>
    <definedName name="MAAP">#REF!</definedName>
    <definedName name="MAAPY">#REF!</definedName>
    <definedName name="MABBC">#REF!</definedName>
    <definedName name="MABBY">#REF!</definedName>
    <definedName name="MABLC">#REF!</definedName>
    <definedName name="MABLH">#REF!</definedName>
    <definedName name="MABLHP">#REF!</definedName>
    <definedName name="MABLV">#REF!</definedName>
    <definedName name="MABP">#REF!</definedName>
    <definedName name="MABPY">#REF!</definedName>
    <definedName name="MACBC">#REF!</definedName>
    <definedName name="MACBY">#REF!</definedName>
    <definedName name="MACLC">#REF!</definedName>
    <definedName name="MACLH">#REF!</definedName>
    <definedName name="MACLHP">#REF!</definedName>
    <definedName name="MACLV">#REF!</definedName>
    <definedName name="MACPLY">#REF!</definedName>
    <definedName name="MACPY">#REF!</definedName>
    <definedName name="MACV">#REF!</definedName>
    <definedName name="mad">#REF!</definedName>
    <definedName name="MADLH">#REF!</definedName>
    <definedName name="MAEJ">#REF!</definedName>
    <definedName name="MAENM">#REF!</definedName>
    <definedName name="MAMPOSTERIA">#REF!</definedName>
    <definedName name="MANOBRA">#N/A</definedName>
    <definedName name="manodeo">#REF!</definedName>
    <definedName name="manodeobra" localSheetId="0">#REF!</definedName>
    <definedName name="manodeobra" localSheetId="1">#REF!</definedName>
    <definedName name="manodeobra" localSheetId="2">#REF!</definedName>
    <definedName name="manodeobra">#REF!</definedName>
    <definedName name="MAPBC">#REF!</definedName>
    <definedName name="MAPBY">#REF!</definedName>
    <definedName name="MAPJ">#REF!</definedName>
    <definedName name="MAPLC">#REF!</definedName>
    <definedName name="MAPLH">#REF!</definedName>
    <definedName name="MAPLHP">#REF!</definedName>
    <definedName name="MAPLV">#REF!</definedName>
    <definedName name="MAPPY">#REF!</definedName>
    <definedName name="MAR">#REF!</definedName>
    <definedName name="MARHD">#REF!</definedName>
    <definedName name="MARHH">#REF!</definedName>
    <definedName name="MARHM">#REF!</definedName>
    <definedName name="MARHR">#REF!</definedName>
    <definedName name="MARHT">#REF!</definedName>
    <definedName name="MARLA">#REF!</definedName>
    <definedName name="MARLB">#REF!</definedName>
    <definedName name="MARP">#REF!</definedName>
    <definedName name="mat">#REF!</definedName>
    <definedName name="materiales">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>#REF!</definedName>
    <definedName name="MMCCA">#REF!</definedName>
    <definedName name="MMCDE">#REF!</definedName>
    <definedName name="MMDMA">#REF!</definedName>
    <definedName name="MMDMC">#REF!</definedName>
    <definedName name="MMDMD">#REF!</definedName>
    <definedName name="MMDME">#REF!</definedName>
    <definedName name="MMDMP">#REF!</definedName>
    <definedName name="MMDMT">#REF!</definedName>
    <definedName name="MMDMV">#REF!</definedName>
    <definedName name="mmm">#REF!</definedName>
    <definedName name="MMRC">#REF!</definedName>
    <definedName name="MMVC">#REF!</definedName>
    <definedName name="Monto_Certif.">#REF!</definedName>
    <definedName name="MOREGAS">#REF!</definedName>
    <definedName name="mov">#REF!</definedName>
    <definedName name="movilizacion">#REF!</definedName>
    <definedName name="MQ">#REF!</definedName>
    <definedName name="MSAP">#REF!</definedName>
    <definedName name="MSAS">#REF!</definedName>
    <definedName name="MSLS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>#REF!</definedName>
    <definedName name="nago">#REF!</definedName>
    <definedName name="NEW">#REF!</definedName>
    <definedName name="NEW_E1">#REF!</definedName>
    <definedName name="Normal">#REF!</definedName>
    <definedName name="NRO">#REF!</definedName>
    <definedName name="Nro_Pisos">#REF!</definedName>
    <definedName name="NUEVAHOJA">#REF!</definedName>
    <definedName name="Num_Pmt_Per_Year">#REF!</definedName>
    <definedName name="Number_of_Payments">MATCH(0.01,End_Bal,-1)+1</definedName>
    <definedName name="Numero_Unidades_Funcionales">#REF!</definedName>
    <definedName name="OBR">#REF!</definedName>
    <definedName name="Obra">#REF!</definedName>
    <definedName name="OBRA__CASA_LOUZAN" localSheetId="0">#REF!</definedName>
    <definedName name="OBRA__CASA_LOUZAN" localSheetId="1">#REF!</definedName>
    <definedName name="OBRA__CASA_LOUZAN" localSheetId="2">#REF!</definedName>
    <definedName name="OBRA__CASA_LOUZAN">#REF!</definedName>
    <definedName name="OBRA_DE_TOMA">#REF!</definedName>
    <definedName name="OFER">#REF!</definedName>
    <definedName name="ofEspecial">#REF!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0">#REF!</definedName>
    <definedName name="PASE" localSheetId="1">#REF!</definedName>
    <definedName name="PASE" localSheetId="2">#REF!</definedName>
    <definedName name="PASE">#REF!</definedName>
    <definedName name="paso">#REF!</definedName>
    <definedName name="Pay_Date">#REF!</definedName>
    <definedName name="Pay_Num">#REF!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>DATE(YEAR(Loan_Start),MONTH(Loan_Start)+Payment_Number,DAY(Loan_Start))</definedName>
    <definedName name="PEESC">#REF!</definedName>
    <definedName name="pepe">#REF!</definedName>
    <definedName name="PerfilC" comment="PERFIL C">#REF!</definedName>
    <definedName name="perfiles">#REF!</definedName>
    <definedName name="Pern.">#REF!</definedName>
    <definedName name="pf">#REF!</definedName>
    <definedName name="PIAM">#REF!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>#REF!</definedName>
    <definedName name="Plazo_de_obra">#REF!</definedName>
    <definedName name="Plazo_Obra">#REF!</definedName>
    <definedName name="Plus">#REF!</definedName>
    <definedName name="Plus_No_Remunerativo">#REF!</definedName>
    <definedName name="Plus_No_Remunerativo_Ayudante">#REF!</definedName>
    <definedName name="Plus_No_Remunerativo_Oficial">#REF!</definedName>
    <definedName name="Plus_No_Remunerativo_Oficial_Especializado">#REF!</definedName>
    <definedName name="Pmax">#REF!</definedName>
    <definedName name="PNA">#REF!</definedName>
    <definedName name="PNAV">#REF!</definedName>
    <definedName name="PNL">#REF!</definedName>
    <definedName name="PNP">#REF!</definedName>
    <definedName name="POficial">#REF!</definedName>
    <definedName name="Pp">#REF!</definedName>
    <definedName name="PPA">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>#REF!</definedName>
    <definedName name="PRECIO">#REF!</definedName>
    <definedName name="PRECIO_TOTAL">#REF!</definedName>
    <definedName name="premerreadec">#REF!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0">#REF!</definedName>
    <definedName name="PRESUP" localSheetId="1">#REF!</definedName>
    <definedName name="PRESUP" localSheetId="2">#REF!</definedName>
    <definedName name="PRESUP">#REF!</definedName>
    <definedName name="presuporcentaje" localSheetId="0">#REF!</definedName>
    <definedName name="presuporcentaje" localSheetId="1">#REF!</definedName>
    <definedName name="presuporcentaje" localSheetId="2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_xlnm.Print_Area" localSheetId="0">'Adic. N°1'!$A$1:$I$7</definedName>
    <definedName name="_xlnm.Print_Area" localSheetId="1">'Adic. N°2'!$A$1:$H$7</definedName>
    <definedName name="_xlnm.Print_Area" localSheetId="2">'Adic. N°3'!$A$1:$H$7</definedName>
    <definedName name="_xlnm.Print_Area">#REF!</definedName>
    <definedName name="PRINT_AREA_MI">#REF!</definedName>
    <definedName name="Print_Area_Reset">OFFSET(Full_Print,0,0,Last_Row)</definedName>
    <definedName name="_xlnm.Print_Titles" localSheetId="0">'Adic. N°1'!$7:$7</definedName>
    <definedName name="_xlnm.Print_Titles" localSheetId="1">'Adic. N°2'!$7:$7</definedName>
    <definedName name="_xlnm.Print_Titles" localSheetId="2">'Adic. N°3'!$7:$7</definedName>
    <definedName name="_xlnm.Print_Titles">#REF!</definedName>
    <definedName name="printercanal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hidden="1">{"DECIMAL",#N/A,FALSE,"02"}</definedName>
    <definedName name="Prof_fund">#REF!</definedName>
    <definedName name="Prof_Tensor">#REF!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1">L2C1:L372C15</definedName>
    <definedName name="rangobase" localSheetId="2">L2C1:L372C15</definedName>
    <definedName name="rangobase">L2C1:L372C15</definedName>
    <definedName name="rangoformulas">#REF!</definedName>
    <definedName name="RB" localSheetId="1">L2C1:L372C15</definedName>
    <definedName name="RB" localSheetId="2">L2C1:L372C15</definedName>
    <definedName name="RB">L2C1:L372C15</definedName>
    <definedName name="RBASE" localSheetId="1">L2C1:L372C15</definedName>
    <definedName name="RBASE" localSheetId="2">L2C1:L372C15</definedName>
    <definedName name="RBASE">L2C1:L372C15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>#REF!</definedName>
    <definedName name="RSARL">#REF!</definedName>
    <definedName name="RSAZCE">#REF!</definedName>
    <definedName name="RSAZM">#REF!</definedName>
    <definedName name="RSCOL">#REF!</definedName>
    <definedName name="RSLD">#REF!</definedName>
    <definedName name="RSPD">#REF!</definedName>
    <definedName name="RSPZM">#REF!</definedName>
    <definedName name="ryrc">#REF!</definedName>
    <definedName name="ryrr">#REF!</definedName>
    <definedName name="S">#REF!</definedName>
    <definedName name="sa" localSheetId="0" hidden="1">#REF!</definedName>
    <definedName name="sa" localSheetId="1" hidden="1">#REF!</definedName>
    <definedName name="sa" localSheetId="2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>#REF!</definedName>
    <definedName name="SECCIONES_DIV">#REF!</definedName>
    <definedName name="SEG">#REF!</definedName>
    <definedName name="SEGUNDA">#REF!</definedName>
    <definedName name="Seguro_de_Vida_Obligatorio">#REF!</definedName>
    <definedName name="SIG__">#N/A</definedName>
    <definedName name="SIG2__">#N/A</definedName>
    <definedName name="sigmabk">#REF!</definedName>
    <definedName name="sigmabk_c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ssssssssss">#REF!</definedName>
    <definedName name="ssssssssssssssss">#REF!</definedName>
    <definedName name="SUBTOTAL">#REF!</definedName>
    <definedName name="Sueldo_Anual_Complementario">#REF!</definedName>
    <definedName name="Suelo">#REF!</definedName>
    <definedName name="SumaItems">#REF!</definedName>
    <definedName name="Summary">#REF!</definedName>
    <definedName name="Sup_Cubierta">#REF!</definedName>
    <definedName name="Sup_Lote">#REF!</definedName>
    <definedName name="Sup_Proyecto">#REF!</definedName>
    <definedName name="Sup_Terreno">#REF!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>#REF!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>#REF!</definedName>
    <definedName name="TITULOS">#REF!</definedName>
    <definedName name="TITULOS_A_IMPRIMIR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>#REF!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1">Scheduled_Payment+Extra_Payment</definedName>
    <definedName name="Total_Payment" localSheetId="2">Scheduled_Payment+Extra_Payment</definedName>
    <definedName name="Total_Payment">Scheduled_Payment+Extra_Payment</definedName>
    <definedName name="TOTAL_SISTEMA_DE_ACUEDUCTOS_A_PRECIO_FINAL">#REF!</definedName>
    <definedName name="totalcert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>#REF!</definedName>
    <definedName name="UOCRA">#REF!</definedName>
    <definedName name="UOCRA_Cargo_Fijo">#REF!</definedName>
    <definedName name="UPN">#REF!</definedName>
    <definedName name="USD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0">#REF!</definedName>
    <definedName name="valoresequipo" localSheetId="1">#REF!</definedName>
    <definedName name="valoresequipo" localSheetId="2">#REF!</definedName>
    <definedName name="valoresequipo">#REF!</definedName>
    <definedName name="Values_Entered">IF(Loan_Amount*Interest_Rate*Loan_Years*Loan_Start&gt;0,1,0)</definedName>
    <definedName name="vaponeo">#REF!</definedName>
    <definedName name="varmco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hidden="1">{"NORMAL",#N/A,FALSE,"02"}</definedName>
    <definedName name="we" localSheetId="0">#REF!</definedName>
    <definedName name="we" localSheetId="1">#REF!</definedName>
    <definedName name="we" localSheetId="2">#REF!</definedName>
    <definedName name="we">#REF!</definedName>
    <definedName name="wrn.02INFORME." hidden="1">{"NORMAL",#N/A,FALSE,"02"}</definedName>
    <definedName name="wrn.DECIMAL." hidden="1">{"DECIMAL",#N/A,FALSE,"02"}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hidden="1">{"DECIMAL",#N/A,FALSE,"02"}</definedName>
    <definedName name="XXX" hidden="1">{"NORMAL",#N/A,FALSE,"02"}</definedName>
    <definedName name="z">#REF!</definedName>
    <definedName name="Z_3EF0D3E3_8069_11D6_A032_005004A43871_.wvu.PrintTitles" hidden="1">#REF!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1" i="140" l="1"/>
  <c r="I10" i="142"/>
  <c r="M24" i="142"/>
  <c r="N19" i="142"/>
  <c r="L19" i="142"/>
  <c r="M13" i="142"/>
  <c r="K13" i="142"/>
  <c r="N13" i="142" s="1"/>
  <c r="F13" i="142"/>
  <c r="L13" i="142" s="1"/>
  <c r="G12" i="142"/>
  <c r="K11" i="142"/>
  <c r="D11" i="142"/>
  <c r="F11" i="142" s="1"/>
  <c r="K10" i="142"/>
  <c r="D10" i="142"/>
  <c r="F10" i="142" s="1"/>
  <c r="N19" i="141"/>
  <c r="L19" i="141"/>
  <c r="N21" i="141"/>
  <c r="N22" i="141" s="1"/>
  <c r="M24" i="141"/>
  <c r="M13" i="141"/>
  <c r="K13" i="141"/>
  <c r="N13" i="141" s="1"/>
  <c r="F13" i="141"/>
  <c r="L13" i="141" s="1"/>
  <c r="K11" i="141"/>
  <c r="D11" i="141"/>
  <c r="F11" i="141" s="1"/>
  <c r="K10" i="141"/>
  <c r="D10" i="141"/>
  <c r="F10" i="141" s="1"/>
  <c r="O13" i="26"/>
  <c r="P13" i="26"/>
  <c r="N13" i="26"/>
  <c r="N11" i="26"/>
  <c r="N10" i="26"/>
  <c r="O11" i="26"/>
  <c r="O10" i="26"/>
  <c r="O12" i="26"/>
  <c r="N10" i="142" l="1"/>
  <c r="G9" i="142"/>
  <c r="F14" i="142"/>
  <c r="M10" i="142"/>
  <c r="L10" i="142"/>
  <c r="N11" i="142"/>
  <c r="M11" i="142"/>
  <c r="L11" i="142"/>
  <c r="G9" i="141"/>
  <c r="F14" i="141"/>
  <c r="N10" i="141"/>
  <c r="M10" i="141"/>
  <c r="L10" i="141"/>
  <c r="N11" i="141"/>
  <c r="M11" i="141"/>
  <c r="L11" i="141"/>
  <c r="G12" i="141"/>
  <c r="M13" i="26"/>
  <c r="M11" i="26"/>
  <c r="P11" i="26" s="1"/>
  <c r="M10" i="26"/>
  <c r="P10" i="26" s="1"/>
  <c r="L14" i="142" l="1"/>
  <c r="M14" i="142"/>
  <c r="N23" i="142" s="1"/>
  <c r="G14" i="142"/>
  <c r="H9" i="142" s="1"/>
  <c r="N14" i="142"/>
  <c r="L14" i="141"/>
  <c r="M14" i="141"/>
  <c r="N23" i="141" s="1"/>
  <c r="N14" i="141"/>
  <c r="G14" i="141"/>
  <c r="E11" i="26"/>
  <c r="E10" i="26"/>
  <c r="R20" i="140"/>
  <c r="R14" i="140"/>
  <c r="R13" i="140"/>
  <c r="R12" i="140"/>
  <c r="R11" i="140"/>
  <c r="M21" i="140"/>
  <c r="K21" i="140"/>
  <c r="J21" i="140"/>
  <c r="I21" i="140"/>
  <c r="H21" i="140"/>
  <c r="G21" i="140"/>
  <c r="F21" i="140"/>
  <c r="E21" i="140"/>
  <c r="O21" i="140"/>
  <c r="P7" i="140"/>
  <c r="P8" i="140"/>
  <c r="P21" i="140" s="1"/>
  <c r="P9" i="140"/>
  <c r="P10" i="140"/>
  <c r="P11" i="140"/>
  <c r="P12" i="140"/>
  <c r="P13" i="140"/>
  <c r="P14" i="140"/>
  <c r="P15" i="140"/>
  <c r="P16" i="140"/>
  <c r="P17" i="140"/>
  <c r="P18" i="140"/>
  <c r="P19" i="140"/>
  <c r="P20" i="140"/>
  <c r="P6" i="140"/>
  <c r="N24" i="142" l="1"/>
  <c r="N25" i="142" s="1"/>
  <c r="N21" i="142"/>
  <c r="N22" i="142" s="1"/>
  <c r="H12" i="142"/>
  <c r="H14" i="142" s="1"/>
  <c r="N24" i="141"/>
  <c r="N25" i="141" s="1"/>
  <c r="H9" i="141"/>
  <c r="H12" i="141"/>
  <c r="G13" i="26"/>
  <c r="G10" i="26"/>
  <c r="G11" i="26"/>
  <c r="H14" i="141" l="1"/>
  <c r="G14" i="26"/>
  <c r="O14" i="26"/>
  <c r="H12" i="26"/>
  <c r="H9" i="26"/>
  <c r="H14" i="26" s="1"/>
  <c r="N14" i="26" l="1"/>
  <c r="P14" i="26"/>
  <c r="I12" i="26"/>
  <c r="I9" i="26"/>
  <c r="H16" i="26"/>
  <c r="I14" i="26" l="1"/>
</calcChain>
</file>

<file path=xl/sharedStrings.xml><?xml version="1.0" encoding="utf-8"?>
<sst xmlns="http://schemas.openxmlformats.org/spreadsheetml/2006/main" count="171" uniqueCount="75">
  <si>
    <t>m2</t>
  </si>
  <si>
    <t>Subtotal</t>
  </si>
  <si>
    <t>OK</t>
  </si>
  <si>
    <t>C</t>
  </si>
  <si>
    <t>OBRA: EDIFICIO GDR 3760</t>
  </si>
  <si>
    <t xml:space="preserve"> </t>
  </si>
  <si>
    <t>E</t>
  </si>
  <si>
    <t>Descripción</t>
  </si>
  <si>
    <t>U</t>
  </si>
  <si>
    <t>Cant</t>
  </si>
  <si>
    <t xml:space="preserve">P unit </t>
  </si>
  <si>
    <t>m3</t>
  </si>
  <si>
    <t>ESTRUCTURA RESISTENTE</t>
  </si>
  <si>
    <t xml:space="preserve">Losa maciza de Hº visto - H35 (100 kg/m3 de hierro) </t>
  </si>
  <si>
    <t xml:space="preserve">Vigas de H° visto - H35 (180 kg/m3 de hierro) </t>
  </si>
  <si>
    <t>CIELORRASOS</t>
  </si>
  <si>
    <t>Hormigon visto, maquillaje</t>
  </si>
  <si>
    <t>B</t>
  </si>
  <si>
    <t>Viga</t>
  </si>
  <si>
    <t>Losa</t>
  </si>
  <si>
    <t>Elemento</t>
  </si>
  <si>
    <t>Unidad</t>
  </si>
  <si>
    <t>Fund</t>
  </si>
  <si>
    <t>s/PB</t>
  </si>
  <si>
    <t>s/1º</t>
  </si>
  <si>
    <t>s/2º</t>
  </si>
  <si>
    <t>s/3º</t>
  </si>
  <si>
    <t>s/4º</t>
  </si>
  <si>
    <t>s/5º</t>
  </si>
  <si>
    <t>Zapata Aislada</t>
  </si>
  <si>
    <t>Vigas de Fundacion</t>
  </si>
  <si>
    <t>Platea</t>
  </si>
  <si>
    <t>Tabique de submuración</t>
  </si>
  <si>
    <t>Zapata corrida tabique</t>
  </si>
  <si>
    <t>Losa vista</t>
  </si>
  <si>
    <t>Viga vista</t>
  </si>
  <si>
    <t>Tabiques</t>
  </si>
  <si>
    <t>Columna</t>
  </si>
  <si>
    <t>Columna vista</t>
  </si>
  <si>
    <t>Troncos de Zapatas</t>
  </si>
  <si>
    <t>Escaleras</t>
  </si>
  <si>
    <t>Tanque</t>
  </si>
  <si>
    <t>Cantidad</t>
  </si>
  <si>
    <t>ADICIONALES</t>
  </si>
  <si>
    <t>ADICIONALES Y DEDUCTIVOS N° 1</t>
  </si>
  <si>
    <t>Tabla resumen de Hº</t>
  </si>
  <si>
    <t>SDM</t>
  </si>
  <si>
    <t>Total m3</t>
  </si>
  <si>
    <t>Proyecto orig</t>
  </si>
  <si>
    <t>Dif.</t>
  </si>
  <si>
    <t>COMPUTO AUXILIAR</t>
  </si>
  <si>
    <t>GDR_Computo Hormigon_Modificado</t>
  </si>
  <si>
    <t>SUB TOTAL ADICIONALES</t>
  </si>
  <si>
    <t>SUBTOTAL (B-A)</t>
  </si>
  <si>
    <t xml:space="preserve">Precios sin IVA. Base indice CAC Diciembre 2024 </t>
  </si>
  <si>
    <t xml:space="preserve">Certificado </t>
  </si>
  <si>
    <t>Avance</t>
  </si>
  <si>
    <t>Importe</t>
  </si>
  <si>
    <t>Anterior</t>
  </si>
  <si>
    <t>Actual</t>
  </si>
  <si>
    <t>Acumulado</t>
  </si>
  <si>
    <t>RESUMEN CERTIFICADO</t>
  </si>
  <si>
    <t xml:space="preserve">CERT. N° </t>
  </si>
  <si>
    <t>%</t>
  </si>
  <si>
    <t>IMPORTE</t>
  </si>
  <si>
    <t>A</t>
  </si>
  <si>
    <t>Presupuesto aprobado</t>
  </si>
  <si>
    <t>Anticipo</t>
  </si>
  <si>
    <t>Certificado actual</t>
  </si>
  <si>
    <t>D</t>
  </si>
  <si>
    <t xml:space="preserve">Desacopio </t>
  </si>
  <si>
    <t>Subtotal certificacion actual completa (SIN IVA)</t>
  </si>
  <si>
    <t>Actualizacion por CAC por fuera de OC</t>
  </si>
  <si>
    <t>ADICIONALES Y DEDUCTIVOS N° 2</t>
  </si>
  <si>
    <t>ADICIONALES Y DEDUCTIVOS N°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</si>
</sst>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 &quot;$&quot;\ * #,##0.00_ ;_ &quot;$&quot;\ * \-#,##0.00_ ;_ &quot;$&quot;\ * &quot;-&quot;??_ ;_ @_ "/>
    <numFmt numFmtId="166" formatCode="_ * #,##0.00_ ;_ * \-#,##0.00_ ;_ * &quot;-&quot;??_ ;_ @_ "/>
    <numFmt numFmtId="167" formatCode="_-* #,##0.00\ _€_-;\-* #,##0.00\ _€_-;_-* &quot;-&quot;??\ _€_-;_-@_-"/>
    <numFmt numFmtId="168" formatCode="_-* #,##0.00\ _$_-;\-* #,##0.00\ _$_-;_-* &quot;-&quot;??\ _$_-;_-@_-"/>
    <numFmt numFmtId="169" formatCode="_ [$€-2]\ * #,##0.00_ ;_ [$€-2]\ * \-#,##0.00_ ;_ [$€-2]\ * &quot;-&quot;??_ "/>
    <numFmt numFmtId="170" formatCode="#,##0&quot;    &quot;;&quot;-&quot;#,##0&quot;    &quot;;&quot; -    &quot;;@&quot; &quot;"/>
    <numFmt numFmtId="171" formatCode="_-* #,##0.00\ &quot;$&quot;_-;\-* #,##0.00\ &quot;$&quot;_-;_-* &quot;-&quot;??\ &quot;$&quot;_-;_-@_-"/>
    <numFmt numFmtId="172" formatCode="_(* #,##0_);_(* \(#,##0\);_(* &quot;-&quot;??_);_(@_)"/>
    <numFmt numFmtId="173" formatCode="_-* #,##0.00\ _p_t_a_-;\-* #,##0.00\ _p_t_a_-;_-* &quot;-&quot;??\ _p_t_a_-;_-@_-"/>
    <numFmt numFmtId="174" formatCode="_-* #,##0_-;\-* #,##0_-;_-* &quot;-&quot;??_-;_-@_-"/>
    <numFmt numFmtId="175" formatCode="_-* #,##0.0_-;\-* #,##0.0_-;_-* &quot;-&quot;??_-;_-@_-"/>
  </numFmts>
  <fonts count="6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MS Sans Serif"/>
    </font>
    <font>
      <sz val="8"/>
      <name val="Arial"/>
      <family val="2"/>
    </font>
    <font>
      <sz val="10"/>
      <name val="MS Sans Serif"/>
    </font>
    <font>
      <sz val="11"/>
      <color rgb="FF000000"/>
      <name val="Arial1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1"/>
      <color rgb="FF000000"/>
      <name val="Calibri"/>
      <family val="2"/>
      <charset val="1"/>
    </font>
    <font>
      <sz val="10"/>
      <color rgb="FF000000"/>
      <name val="Times New Roman"/>
      <family val="1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/>
      <top/>
      <bottom/>
      <diagonal/>
    </border>
  </borders>
  <cellStyleXfs count="149">
    <xf numFmtId="0" fontId="0" fillId="0" borderId="1"/>
    <xf numFmtId="43" fontId="45" fillId="0" borderId="0" applyFont="0" applyFill="0" applyBorder="0" applyAlignment="0" applyProtection="0"/>
    <xf numFmtId="0" fontId="44" fillId="0" borderId="0"/>
    <xf numFmtId="166" fontId="44" fillId="0" borderId="0" applyFont="0" applyFill="0" applyBorder="0" applyAlignment="0" applyProtection="0"/>
    <xf numFmtId="167" fontId="43" fillId="0" borderId="0" applyFont="0" applyFill="0" applyBorder="0" applyAlignment="0" applyProtection="0"/>
    <xf numFmtId="166" fontId="44" fillId="0" borderId="0" applyFont="0" applyFill="0" applyBorder="0" applyAlignment="0" applyProtection="0"/>
    <xf numFmtId="0" fontId="44" fillId="0" borderId="0"/>
    <xf numFmtId="168" fontId="42" fillId="0" borderId="0" applyFont="0" applyFill="0" applyBorder="0" applyAlignment="0" applyProtection="0"/>
    <xf numFmtId="0" fontId="42" fillId="0" borderId="0"/>
    <xf numFmtId="167" fontId="42" fillId="0" borderId="0" applyFont="0" applyFill="0" applyBorder="0" applyAlignment="0" applyProtection="0"/>
    <xf numFmtId="9" fontId="42" fillId="0" borderId="0" applyFont="0" applyFill="0" applyBorder="0" applyAlignment="0" applyProtection="0"/>
    <xf numFmtId="0" fontId="41" fillId="0" borderId="0"/>
    <xf numFmtId="168" fontId="41" fillId="0" borderId="0" applyFont="0" applyFill="0" applyBorder="0" applyAlignment="0" applyProtection="0"/>
    <xf numFmtId="167" fontId="52" fillId="0" borderId="0" applyFont="0" applyFill="0" applyBorder="0" applyAlignment="0" applyProtection="0"/>
    <xf numFmtId="9" fontId="41" fillId="0" borderId="0" applyFont="0" applyFill="0" applyBorder="0" applyAlignment="0" applyProtection="0"/>
    <xf numFmtId="166" fontId="41" fillId="0" borderId="0" applyFont="0" applyFill="0" applyBorder="0" applyAlignment="0" applyProtection="0"/>
    <xf numFmtId="0" fontId="40" fillId="0" borderId="0"/>
    <xf numFmtId="0" fontId="44" fillId="0" borderId="0"/>
    <xf numFmtId="165" fontId="44" fillId="0" borderId="0" applyFont="0" applyFill="0" applyBorder="0" applyAlignment="0" applyProtection="0"/>
    <xf numFmtId="168" fontId="40" fillId="0" borderId="0" applyFont="0" applyFill="0" applyBorder="0" applyAlignment="0" applyProtection="0"/>
    <xf numFmtId="166" fontId="40" fillId="0" borderId="0" applyFont="0" applyFill="0" applyBorder="0" applyAlignment="0" applyProtection="0"/>
    <xf numFmtId="167" fontId="40" fillId="0" borderId="0" applyFont="0" applyFill="0" applyBorder="0" applyAlignment="0" applyProtection="0"/>
    <xf numFmtId="43" fontId="44" fillId="0" borderId="0" applyFont="0" applyFill="0" applyBorder="0" applyAlignment="0" applyProtection="0"/>
    <xf numFmtId="168" fontId="39" fillId="0" borderId="0" applyFont="0" applyFill="0" applyBorder="0" applyAlignment="0" applyProtection="0"/>
    <xf numFmtId="0" fontId="44" fillId="0" borderId="0"/>
    <xf numFmtId="167" fontId="39" fillId="0" borderId="0" applyFont="0" applyFill="0" applyBorder="0" applyAlignment="0" applyProtection="0"/>
    <xf numFmtId="0" fontId="39" fillId="0" borderId="0"/>
    <xf numFmtId="167" fontId="39" fillId="0" borderId="0" applyFont="0" applyFill="0" applyBorder="0" applyAlignment="0" applyProtection="0"/>
    <xf numFmtId="0" fontId="38" fillId="0" borderId="0"/>
    <xf numFmtId="9" fontId="53" fillId="0" borderId="0" applyFont="0" applyFill="0" applyBorder="0" applyAlignment="0" applyProtection="0"/>
    <xf numFmtId="0" fontId="44" fillId="0" borderId="1"/>
    <xf numFmtId="43" fontId="44" fillId="0" borderId="0" applyFont="0" applyFill="0" applyBorder="0" applyAlignment="0" applyProtection="0"/>
    <xf numFmtId="0" fontId="37" fillId="0" borderId="0"/>
    <xf numFmtId="169" fontId="44" fillId="0" borderId="0" applyFont="0" applyFill="0" applyBorder="0" applyAlignment="0" applyProtection="0"/>
    <xf numFmtId="43" fontId="54" fillId="0" borderId="0" applyFont="0" applyFill="0" applyBorder="0" applyAlignment="0" applyProtection="0"/>
    <xf numFmtId="0" fontId="55" fillId="0" borderId="0"/>
    <xf numFmtId="0" fontId="54" fillId="0" borderId="0"/>
    <xf numFmtId="0" fontId="36" fillId="0" borderId="0"/>
    <xf numFmtId="43" fontId="35" fillId="0" borderId="0" applyFont="0" applyFill="0" applyBorder="0" applyAlignment="0" applyProtection="0"/>
    <xf numFmtId="0" fontId="35" fillId="0" borderId="0"/>
    <xf numFmtId="0" fontId="34" fillId="0" borderId="0"/>
    <xf numFmtId="166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44" fontId="34" fillId="0" borderId="0" applyFont="0" applyFill="0" applyBorder="0" applyAlignment="0" applyProtection="0"/>
    <xf numFmtId="168" fontId="34" fillId="0" borderId="0" applyFont="0" applyFill="0" applyBorder="0" applyAlignment="0" applyProtection="0"/>
    <xf numFmtId="166" fontId="44" fillId="0" borderId="0" applyFont="0" applyFill="0" applyBorder="0" applyAlignment="0" applyProtection="0"/>
    <xf numFmtId="167" fontId="34" fillId="0" borderId="0" applyFont="0" applyFill="0" applyBorder="0" applyAlignment="0" applyProtection="0"/>
    <xf numFmtId="0" fontId="34" fillId="0" borderId="0"/>
    <xf numFmtId="167" fontId="34" fillId="0" borderId="0" applyFont="0" applyFill="0" applyBorder="0" applyAlignment="0" applyProtection="0"/>
    <xf numFmtId="167" fontId="34" fillId="0" borderId="0" applyFont="0" applyFill="0" applyBorder="0" applyAlignment="0" applyProtection="0"/>
    <xf numFmtId="43" fontId="34" fillId="0" borderId="0" applyFont="0" applyFill="0" applyBorder="0" applyAlignment="0" applyProtection="0"/>
    <xf numFmtId="0" fontId="34" fillId="0" borderId="0"/>
    <xf numFmtId="43" fontId="34" fillId="0" borderId="0" applyFont="0" applyFill="0" applyBorder="0" applyAlignment="0" applyProtection="0"/>
    <xf numFmtId="9" fontId="44" fillId="0" borderId="0" applyFont="0" applyFill="0" applyBorder="0" applyAlignment="0" applyProtection="0"/>
    <xf numFmtId="0" fontId="44" fillId="0" borderId="1"/>
    <xf numFmtId="43" fontId="44" fillId="0" borderId="0" applyFont="0" applyFill="0" applyBorder="0" applyAlignment="0" applyProtection="0"/>
    <xf numFmtId="9" fontId="44" fillId="0" borderId="0" applyFont="0" applyFill="0" applyBorder="0" applyAlignment="0" applyProtection="0"/>
    <xf numFmtId="44" fontId="44" fillId="0" borderId="0" applyFont="0" applyFill="0" applyBorder="0" applyAlignment="0" applyProtection="0"/>
    <xf numFmtId="9" fontId="34" fillId="0" borderId="0" applyFont="0" applyFill="0" applyBorder="0" applyAlignment="0" applyProtection="0"/>
    <xf numFmtId="43" fontId="57" fillId="0" borderId="0" applyFont="0" applyFill="0" applyBorder="0" applyAlignment="0" applyProtection="0"/>
    <xf numFmtId="0" fontId="33" fillId="0" borderId="0"/>
    <xf numFmtId="43" fontId="33" fillId="0" borderId="0" applyFont="0" applyFill="0" applyBorder="0" applyAlignment="0" applyProtection="0"/>
    <xf numFmtId="170" fontId="58" fillId="0" borderId="0"/>
    <xf numFmtId="44" fontId="33" fillId="0" borderId="0" applyFont="0" applyFill="0" applyBorder="0" applyAlignment="0" applyProtection="0"/>
    <xf numFmtId="43" fontId="32" fillId="0" borderId="0" applyFont="0" applyFill="0" applyBorder="0" applyAlignment="0" applyProtection="0"/>
    <xf numFmtId="0" fontId="32" fillId="0" borderId="0"/>
    <xf numFmtId="43" fontId="31" fillId="0" borderId="0" applyFont="0" applyFill="0" applyBorder="0" applyAlignment="0" applyProtection="0"/>
    <xf numFmtId="0" fontId="31" fillId="0" borderId="0"/>
    <xf numFmtId="44" fontId="31" fillId="0" borderId="0" applyFont="0" applyFill="0" applyBorder="0" applyAlignment="0" applyProtection="0"/>
    <xf numFmtId="0" fontId="57" fillId="0" borderId="0"/>
    <xf numFmtId="43" fontId="44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9" fillId="0" borderId="0"/>
    <xf numFmtId="0" fontId="28" fillId="0" borderId="0"/>
    <xf numFmtId="43" fontId="28" fillId="0" borderId="0" applyFont="0" applyFill="0" applyBorder="0" applyAlignment="0" applyProtection="0"/>
    <xf numFmtId="0" fontId="27" fillId="0" borderId="0"/>
    <xf numFmtId="43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49" fillId="0" borderId="0"/>
    <xf numFmtId="43" fontId="26" fillId="0" borderId="0" applyFont="0" applyFill="0" applyBorder="0" applyAlignment="0" applyProtection="0"/>
    <xf numFmtId="0" fontId="26" fillId="0" borderId="0"/>
    <xf numFmtId="9" fontId="26" fillId="0" borderId="0" applyFont="0" applyFill="0" applyBorder="0" applyAlignment="0" applyProtection="0"/>
    <xf numFmtId="171" fontId="26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164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60" fillId="0" borderId="0" applyNumberFormat="0" applyFill="0" applyBorder="0" applyProtection="0"/>
    <xf numFmtId="164" fontId="44" fillId="0" borderId="0" applyFont="0" applyFill="0" applyBorder="0" applyAlignment="0" applyProtection="0"/>
    <xf numFmtId="0" fontId="61" fillId="0" borderId="0"/>
    <xf numFmtId="173" fontId="61" fillId="0" borderId="0" applyFont="0" applyFill="0" applyBorder="0" applyAlignment="0" applyProtection="0"/>
    <xf numFmtId="168" fontId="22" fillId="0" borderId="0" applyFont="0" applyFill="0" applyBorder="0" applyAlignment="0" applyProtection="0"/>
    <xf numFmtId="164" fontId="44" fillId="0" borderId="0" applyFont="0" applyFill="0" applyBorder="0" applyAlignment="0" applyProtection="0"/>
    <xf numFmtId="167" fontId="2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22" fillId="0" borderId="0"/>
    <xf numFmtId="0" fontId="61" fillId="0" borderId="0"/>
    <xf numFmtId="0" fontId="61" fillId="0" borderId="0"/>
    <xf numFmtId="0" fontId="62" fillId="0" borderId="0"/>
    <xf numFmtId="43" fontId="21" fillId="0" borderId="0" applyFont="0" applyFill="0" applyBorder="0" applyAlignment="0" applyProtection="0"/>
    <xf numFmtId="0" fontId="21" fillId="0" borderId="0"/>
    <xf numFmtId="44" fontId="21" fillId="0" borderId="0" applyFont="0" applyFill="0" applyBorder="0" applyAlignment="0" applyProtection="0"/>
    <xf numFmtId="164" fontId="20" fillId="0" borderId="0" applyFont="0" applyFill="0" applyBorder="0" applyAlignment="0" applyProtection="0"/>
    <xf numFmtId="0" fontId="20" fillId="0" borderId="0"/>
    <xf numFmtId="0" fontId="19" fillId="0" borderId="0"/>
    <xf numFmtId="168" fontId="19" fillId="0" borderId="0" applyFont="0" applyFill="0" applyBorder="0" applyAlignment="0" applyProtection="0"/>
    <xf numFmtId="0" fontId="59" fillId="0" borderId="0"/>
    <xf numFmtId="9" fontId="59" fillId="0" borderId="0" applyFont="0" applyFill="0" applyBorder="0" applyAlignment="0" applyProtection="0"/>
    <xf numFmtId="164" fontId="18" fillId="0" borderId="0" applyFont="0" applyFill="0" applyBorder="0" applyAlignment="0" applyProtection="0"/>
    <xf numFmtId="0" fontId="18" fillId="0" borderId="0"/>
    <xf numFmtId="164" fontId="17" fillId="0" borderId="0" applyFont="0" applyFill="0" applyBorder="0" applyAlignment="0" applyProtection="0"/>
    <xf numFmtId="0" fontId="17" fillId="0" borderId="0"/>
    <xf numFmtId="164" fontId="16" fillId="0" borderId="0" applyFont="0" applyFill="0" applyBorder="0" applyAlignment="0" applyProtection="0"/>
    <xf numFmtId="0" fontId="16" fillId="0" borderId="0"/>
    <xf numFmtId="0" fontId="63" fillId="0" borderId="0"/>
    <xf numFmtId="164" fontId="63" fillId="0" borderId="0" applyFont="0" applyFill="0" applyBorder="0" applyAlignment="0" applyProtection="0"/>
    <xf numFmtId="0" fontId="15" fillId="0" borderId="0"/>
    <xf numFmtId="167" fontId="15" fillId="0" borderId="0" applyFont="0" applyFill="0" applyBorder="0" applyAlignment="0" applyProtection="0"/>
    <xf numFmtId="164" fontId="15" fillId="0" borderId="0" applyFont="0" applyFill="0" applyBorder="0" applyAlignment="0" applyProtection="0"/>
    <xf numFmtId="164" fontId="44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  <xf numFmtId="164" fontId="44" fillId="0" borderId="0" applyFont="0" applyFill="0" applyBorder="0" applyAlignment="0" applyProtection="0"/>
    <xf numFmtId="0" fontId="13" fillId="0" borderId="0"/>
    <xf numFmtId="164" fontId="12" fillId="0" borderId="0" applyFont="0" applyFill="0" applyBorder="0" applyAlignment="0" applyProtection="0"/>
    <xf numFmtId="0" fontId="11" fillId="0" borderId="0"/>
    <xf numFmtId="164" fontId="10" fillId="0" borderId="0" applyFont="0" applyFill="0" applyBorder="0" applyAlignment="0" applyProtection="0"/>
    <xf numFmtId="164" fontId="9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8" fillId="0" borderId="0"/>
    <xf numFmtId="164" fontId="7" fillId="0" borderId="0" applyFont="0" applyFill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44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44" fillId="0" borderId="0" applyFont="0" applyFill="0" applyBorder="0" applyAlignment="0" applyProtection="0"/>
    <xf numFmtId="9" fontId="44" fillId="0" borderId="0" applyFont="0" applyFill="0" applyBorder="0" applyAlignment="0" applyProtection="0"/>
  </cellStyleXfs>
  <cellXfs count="222">
    <xf numFmtId="0" fontId="0" fillId="0" borderId="1" xfId="0"/>
    <xf numFmtId="0" fontId="46" fillId="0" borderId="0" xfId="2" applyFont="1" applyAlignment="1">
      <alignment vertical="center" wrapText="1"/>
    </xf>
    <xf numFmtId="0" fontId="46" fillId="0" borderId="0" xfId="2" applyFont="1" applyAlignment="1">
      <alignment horizontal="center" vertical="center" wrapText="1"/>
    </xf>
    <xf numFmtId="43" fontId="46" fillId="0" borderId="0" xfId="1" applyFont="1" applyAlignment="1">
      <alignment vertical="center" wrapText="1"/>
    </xf>
    <xf numFmtId="0" fontId="49" fillId="0" borderId="0" xfId="8" applyFont="1"/>
    <xf numFmtId="43" fontId="49" fillId="0" borderId="3" xfId="1" applyFont="1" applyFill="1" applyBorder="1" applyAlignment="1">
      <alignment horizontal="center" vertical="center"/>
    </xf>
    <xf numFmtId="43" fontId="49" fillId="0" borderId="0" xfId="1" applyFont="1"/>
    <xf numFmtId="9" fontId="49" fillId="0" borderId="0" xfId="59" applyFont="1"/>
    <xf numFmtId="0" fontId="46" fillId="0" borderId="3" xfId="0" applyFont="1" applyBorder="1" applyAlignment="1">
      <alignment horizontal="center" vertical="center"/>
    </xf>
    <xf numFmtId="43" fontId="46" fillId="0" borderId="3" xfId="1" applyFont="1" applyFill="1" applyBorder="1" applyAlignment="1">
      <alignment horizontal="center" vertical="center"/>
    </xf>
    <xf numFmtId="43" fontId="46" fillId="0" borderId="0" xfId="1" applyFont="1" applyFill="1" applyAlignment="1">
      <alignment horizontal="center" vertical="center" wrapText="1"/>
    </xf>
    <xf numFmtId="0" fontId="47" fillId="0" borderId="20" xfId="2" applyFont="1" applyBorder="1" applyAlignment="1">
      <alignment horizontal="center" vertical="center" wrapText="1"/>
    </xf>
    <xf numFmtId="0" fontId="46" fillId="0" borderId="19" xfId="2" applyFont="1" applyBorder="1" applyAlignment="1">
      <alignment horizontal="center" vertical="center" wrapText="1"/>
    </xf>
    <xf numFmtId="172" fontId="46" fillId="0" borderId="19" xfId="1" applyNumberFormat="1" applyFont="1" applyFill="1" applyBorder="1" applyAlignment="1">
      <alignment horizontal="center" vertical="center" wrapText="1"/>
    </xf>
    <xf numFmtId="43" fontId="47" fillId="0" borderId="19" xfId="1" applyFont="1" applyFill="1" applyBorder="1" applyAlignment="1">
      <alignment horizontal="center" vertical="center" wrapText="1"/>
    </xf>
    <xf numFmtId="0" fontId="46" fillId="0" borderId="0" xfId="0" applyFont="1" applyBorder="1"/>
    <xf numFmtId="172" fontId="46" fillId="0" borderId="0" xfId="1" applyNumberFormat="1" applyFont="1" applyBorder="1" applyAlignment="1">
      <alignment horizontal="center" vertical="center" wrapText="1"/>
    </xf>
    <xf numFmtId="172" fontId="47" fillId="0" borderId="20" xfId="1" applyNumberFormat="1" applyFont="1" applyFill="1" applyBorder="1" applyAlignment="1">
      <alignment horizontal="center" vertical="center"/>
    </xf>
    <xf numFmtId="172" fontId="47" fillId="0" borderId="14" xfId="1" applyNumberFormat="1" applyFont="1" applyFill="1" applyBorder="1" applyAlignment="1">
      <alignment horizontal="center" vertical="center"/>
    </xf>
    <xf numFmtId="172" fontId="46" fillId="0" borderId="0" xfId="1" applyNumberFormat="1" applyFont="1" applyFill="1" applyBorder="1" applyAlignment="1">
      <alignment horizontal="center" vertical="center" wrapText="1"/>
    </xf>
    <xf numFmtId="0" fontId="46" fillId="0" borderId="0" xfId="0" applyFont="1" applyBorder="1" applyAlignment="1">
      <alignment horizontal="center" vertical="center"/>
    </xf>
    <xf numFmtId="172" fontId="47" fillId="0" borderId="0" xfId="1" applyNumberFormat="1" applyFont="1" applyFill="1" applyBorder="1" applyAlignment="1">
      <alignment horizontal="center" vertical="center" wrapText="1"/>
    </xf>
    <xf numFmtId="0" fontId="46" fillId="0" borderId="3" xfId="0" applyFont="1" applyBorder="1" applyAlignment="1">
      <alignment horizontal="left" vertical="center"/>
    </xf>
    <xf numFmtId="9" fontId="49" fillId="0" borderId="0" xfId="29" applyFont="1"/>
    <xf numFmtId="43" fontId="46" fillId="0" borderId="2" xfId="1" applyFont="1" applyFill="1" applyBorder="1" applyAlignment="1">
      <alignment horizontal="center" vertical="center"/>
    </xf>
    <xf numFmtId="172" fontId="47" fillId="0" borderId="19" xfId="1" applyNumberFormat="1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9" fillId="0" borderId="3" xfId="8" applyFont="1" applyBorder="1" applyAlignment="1">
      <alignment horizontal="center" vertical="center"/>
    </xf>
    <xf numFmtId="172" fontId="49" fillId="0" borderId="3" xfId="1" applyNumberFormat="1" applyFont="1" applyFill="1" applyBorder="1" applyAlignment="1">
      <alignment horizontal="center" vertical="center"/>
    </xf>
    <xf numFmtId="172" fontId="46" fillId="0" borderId="0" xfId="1" applyNumberFormat="1" applyFont="1" applyBorder="1" applyAlignment="1">
      <alignment horizontal="center" vertical="center"/>
    </xf>
    <xf numFmtId="43" fontId="49" fillId="0" borderId="2" xfId="1" applyFont="1" applyFill="1" applyBorder="1" applyAlignment="1">
      <alignment horizontal="center" vertical="center"/>
    </xf>
    <xf numFmtId="172" fontId="49" fillId="0" borderId="2" xfId="1" applyNumberFormat="1" applyFont="1" applyFill="1" applyBorder="1" applyAlignment="1">
      <alignment horizontal="center" vertical="center"/>
    </xf>
    <xf numFmtId="43" fontId="49" fillId="0" borderId="0" xfId="1" applyFont="1" applyFill="1" applyAlignment="1">
      <alignment horizontal="center" vertical="center"/>
    </xf>
    <xf numFmtId="43" fontId="47" fillId="0" borderId="16" xfId="1" applyFont="1" applyFill="1" applyBorder="1" applyAlignment="1">
      <alignment horizontal="center" vertical="center"/>
    </xf>
    <xf numFmtId="49" fontId="46" fillId="0" borderId="3" xfId="6" applyNumberFormat="1" applyFont="1" applyBorder="1" applyAlignment="1">
      <alignment horizontal="center" vertical="center"/>
    </xf>
    <xf numFmtId="0" fontId="49" fillId="0" borderId="0" xfId="8" applyFont="1" applyAlignment="1">
      <alignment horizontal="center" vertical="center"/>
    </xf>
    <xf numFmtId="43" fontId="47" fillId="0" borderId="19" xfId="1" applyFont="1" applyFill="1" applyBorder="1" applyAlignment="1">
      <alignment horizontal="center" vertical="center"/>
    </xf>
    <xf numFmtId="0" fontId="46" fillId="0" borderId="4" xfId="0" applyFont="1" applyBorder="1" applyAlignment="1">
      <alignment horizontal="center" vertical="center"/>
    </xf>
    <xf numFmtId="0" fontId="49" fillId="0" borderId="0" xfId="1" applyNumberFormat="1" applyFont="1"/>
    <xf numFmtId="0" fontId="46" fillId="0" borderId="4" xfId="0" applyFont="1" applyBorder="1" applyAlignment="1">
      <alignment horizontal="left" vertical="center"/>
    </xf>
    <xf numFmtId="0" fontId="46" fillId="0" borderId="15" xfId="0" applyFont="1" applyBorder="1" applyAlignment="1">
      <alignment horizontal="left" vertical="center"/>
    </xf>
    <xf numFmtId="172" fontId="47" fillId="0" borderId="24" xfId="1" applyNumberFormat="1" applyFont="1" applyFill="1" applyBorder="1" applyAlignment="1">
      <alignment horizontal="center" vertical="center"/>
    </xf>
    <xf numFmtId="0" fontId="46" fillId="0" borderId="0" xfId="1" applyNumberFormat="1" applyFont="1" applyAlignment="1">
      <alignment vertical="center" wrapText="1"/>
    </xf>
    <xf numFmtId="0" fontId="47" fillId="0" borderId="0" xfId="1" applyNumberFormat="1" applyFont="1" applyAlignment="1">
      <alignment vertical="center"/>
    </xf>
    <xf numFmtId="0" fontId="47" fillId="0" borderId="20" xfId="1" applyNumberFormat="1" applyFont="1" applyBorder="1" applyAlignment="1">
      <alignment horizontal="center" vertical="center" wrapText="1"/>
    </xf>
    <xf numFmtId="0" fontId="47" fillId="0" borderId="19" xfId="1" applyNumberFormat="1" applyFont="1" applyBorder="1" applyAlignment="1">
      <alignment vertical="center" wrapText="1"/>
    </xf>
    <xf numFmtId="0" fontId="46" fillId="0" borderId="3" xfId="1" applyNumberFormat="1" applyFont="1" applyBorder="1" applyAlignment="1">
      <alignment vertical="top" wrapText="1"/>
    </xf>
    <xf numFmtId="0" fontId="46" fillId="0" borderId="2" xfId="1" applyNumberFormat="1" applyFont="1" applyBorder="1" applyAlignment="1">
      <alignment vertical="top" wrapText="1"/>
    </xf>
    <xf numFmtId="0" fontId="50" fillId="0" borderId="19" xfId="1" applyNumberFormat="1" applyFont="1" applyBorder="1"/>
    <xf numFmtId="0" fontId="46" fillId="0" borderId="27" xfId="2" applyFont="1" applyBorder="1" applyAlignment="1">
      <alignment horizontal="center" vertical="center" wrapText="1"/>
    </xf>
    <xf numFmtId="172" fontId="46" fillId="0" borderId="27" xfId="1" applyNumberFormat="1" applyFont="1" applyFill="1" applyBorder="1" applyAlignment="1">
      <alignment horizontal="center" vertical="center" wrapText="1"/>
    </xf>
    <xf numFmtId="164" fontId="46" fillId="0" borderId="0" xfId="122" applyFont="1" applyFill="1" applyBorder="1"/>
    <xf numFmtId="0" fontId="47" fillId="0" borderId="0" xfId="0" applyFont="1" applyBorder="1"/>
    <xf numFmtId="164" fontId="46" fillId="0" borderId="0" xfId="122" applyFont="1" applyBorder="1"/>
    <xf numFmtId="164" fontId="46" fillId="0" borderId="0" xfId="122" applyFont="1" applyFill="1" applyBorder="1" applyAlignment="1">
      <alignment horizontal="center" vertical="center"/>
    </xf>
    <xf numFmtId="0" fontId="47" fillId="0" borderId="19" xfId="1" applyNumberFormat="1" applyFont="1" applyFill="1" applyBorder="1" applyAlignment="1">
      <alignment vertical="center" wrapText="1"/>
    </xf>
    <xf numFmtId="9" fontId="49" fillId="0" borderId="0" xfId="59" applyFont="1" applyFill="1"/>
    <xf numFmtId="43" fontId="46" fillId="0" borderId="0" xfId="1" applyFont="1" applyFill="1" applyAlignment="1">
      <alignment horizontal="center" vertical="center"/>
    </xf>
    <xf numFmtId="14" fontId="47" fillId="0" borderId="0" xfId="1" applyNumberFormat="1" applyFont="1" applyFill="1" applyBorder="1" applyAlignment="1">
      <alignment horizontal="center" vertical="center" wrapText="1"/>
    </xf>
    <xf numFmtId="49" fontId="46" fillId="0" borderId="2" xfId="6" applyNumberFormat="1" applyFont="1" applyBorder="1" applyAlignment="1">
      <alignment horizontal="center" vertical="center"/>
    </xf>
    <xf numFmtId="0" fontId="0" fillId="0" borderId="0" xfId="0" applyBorder="1"/>
    <xf numFmtId="172" fontId="47" fillId="0" borderId="19" xfId="1" applyNumberFormat="1" applyFont="1" applyFill="1" applyBorder="1" applyAlignment="1">
      <alignment horizontal="center" vertical="center"/>
    </xf>
    <xf numFmtId="172" fontId="49" fillId="0" borderId="3" xfId="56" applyNumberFormat="1" applyFont="1" applyBorder="1" applyAlignment="1">
      <alignment horizontal="center" vertical="center"/>
    </xf>
    <xf numFmtId="172" fontId="49" fillId="0" borderId="2" xfId="56" applyNumberFormat="1" applyFont="1" applyBorder="1" applyAlignment="1">
      <alignment horizontal="center" vertical="center"/>
    </xf>
    <xf numFmtId="0" fontId="46" fillId="0" borderId="0" xfId="0" applyFont="1" applyBorder="1" applyAlignment="1">
      <alignment horizontal="right" vertical="center"/>
    </xf>
    <xf numFmtId="164" fontId="47" fillId="2" borderId="14" xfId="122" applyFont="1" applyFill="1" applyBorder="1" applyAlignment="1">
      <alignment horizontal="left" vertical="center"/>
    </xf>
    <xf numFmtId="164" fontId="47" fillId="2" borderId="14" xfId="122" applyFont="1" applyFill="1" applyBorder="1" applyAlignment="1">
      <alignment horizontal="center" vertical="center"/>
    </xf>
    <xf numFmtId="164" fontId="47" fillId="2" borderId="17" xfId="122" applyFont="1" applyFill="1" applyBorder="1" applyAlignment="1">
      <alignment horizontal="center" vertical="center"/>
    </xf>
    <xf numFmtId="164" fontId="47" fillId="2" borderId="22" xfId="122" applyFont="1" applyFill="1" applyBorder="1" applyAlignment="1">
      <alignment horizontal="center" vertical="center"/>
    </xf>
    <xf numFmtId="164" fontId="47" fillId="2" borderId="18" xfId="122" applyFont="1" applyFill="1" applyBorder="1" applyAlignment="1">
      <alignment horizontal="center" vertical="center"/>
    </xf>
    <xf numFmtId="164" fontId="48" fillId="0" borderId="14" xfId="122" applyFont="1" applyBorder="1" applyAlignment="1">
      <alignment horizontal="center" vertical="center"/>
    </xf>
    <xf numFmtId="164" fontId="48" fillId="0" borderId="0" xfId="122" applyFont="1" applyBorder="1" applyAlignment="1">
      <alignment horizontal="center" vertical="center"/>
    </xf>
    <xf numFmtId="164" fontId="46" fillId="0" borderId="2" xfId="122" applyFont="1" applyBorder="1" applyAlignment="1">
      <alignment horizontal="center" vertical="center"/>
    </xf>
    <xf numFmtId="164" fontId="51" fillId="0" borderId="2" xfId="122" applyFont="1" applyBorder="1"/>
    <xf numFmtId="164" fontId="51" fillId="0" borderId="0" xfId="122" applyFont="1" applyBorder="1"/>
    <xf numFmtId="164" fontId="46" fillId="0" borderId="3" xfId="122" applyFont="1" applyBorder="1" applyAlignment="1">
      <alignment horizontal="center" vertical="center"/>
    </xf>
    <xf numFmtId="164" fontId="46" fillId="0" borderId="5" xfId="122" applyFont="1" applyBorder="1" applyAlignment="1">
      <alignment horizontal="center" vertical="center"/>
    </xf>
    <xf numFmtId="164" fontId="46" fillId="0" borderId="6" xfId="122" applyFont="1" applyBorder="1" applyAlignment="1">
      <alignment horizontal="center" vertical="center"/>
    </xf>
    <xf numFmtId="164" fontId="46" fillId="0" borderId="7" xfId="122" applyFont="1" applyBorder="1" applyAlignment="1">
      <alignment horizontal="center" vertical="center"/>
    </xf>
    <xf numFmtId="164" fontId="46" fillId="0" borderId="4" xfId="122" applyFont="1" applyBorder="1" applyAlignment="1">
      <alignment horizontal="center" vertical="center"/>
    </xf>
    <xf numFmtId="164" fontId="46" fillId="0" borderId="10" xfId="122" applyFont="1" applyBorder="1" applyAlignment="1">
      <alignment horizontal="center" vertical="center"/>
    </xf>
    <xf numFmtId="164" fontId="46" fillId="0" borderId="11" xfId="122" applyFont="1" applyBorder="1" applyAlignment="1">
      <alignment horizontal="center" vertical="center"/>
    </xf>
    <xf numFmtId="164" fontId="46" fillId="0" borderId="12" xfId="122" applyFont="1" applyBorder="1" applyAlignment="1">
      <alignment horizontal="center" vertical="center"/>
    </xf>
    <xf numFmtId="164" fontId="46" fillId="0" borderId="4" xfId="122" applyFont="1" applyBorder="1"/>
    <xf numFmtId="164" fontId="47" fillId="0" borderId="21" xfId="122" applyFont="1" applyBorder="1" applyAlignment="1">
      <alignment horizontal="center" vertical="center"/>
    </xf>
    <xf numFmtId="164" fontId="48" fillId="0" borderId="0" xfId="122" applyFont="1" applyBorder="1"/>
    <xf numFmtId="164" fontId="48" fillId="0" borderId="0" xfId="122" applyFont="1" applyFill="1" applyBorder="1"/>
    <xf numFmtId="0" fontId="46" fillId="0" borderId="0" xfId="0" applyFont="1" applyBorder="1" applyAlignment="1">
      <alignment horizontal="left"/>
    </xf>
    <xf numFmtId="164" fontId="51" fillId="0" borderId="0" xfId="122" applyFont="1" applyFill="1" applyBorder="1"/>
    <xf numFmtId="164" fontId="47" fillId="0" borderId="0" xfId="122" applyFont="1" applyFill="1" applyBorder="1" applyAlignment="1">
      <alignment horizontal="center" vertical="center"/>
    </xf>
    <xf numFmtId="164" fontId="46" fillId="0" borderId="15" xfId="122" applyFont="1" applyBorder="1" applyAlignment="1">
      <alignment horizontal="center" vertical="center"/>
    </xf>
    <xf numFmtId="164" fontId="46" fillId="0" borderId="23" xfId="122" applyFont="1" applyBorder="1" applyAlignment="1">
      <alignment horizontal="center" vertical="center"/>
    </xf>
    <xf numFmtId="164" fontId="46" fillId="0" borderId="8" xfId="122" applyFont="1" applyBorder="1" applyAlignment="1">
      <alignment horizontal="center" vertical="center"/>
    </xf>
    <xf numFmtId="164" fontId="46" fillId="0" borderId="9" xfId="122" applyFont="1" applyBorder="1" applyAlignment="1">
      <alignment horizontal="center" vertical="center"/>
    </xf>
    <xf numFmtId="9" fontId="49" fillId="0" borderId="0" xfId="29" applyFont="1" applyFill="1"/>
    <xf numFmtId="43" fontId="47" fillId="0" borderId="27" xfId="1" applyFont="1" applyFill="1" applyBorder="1" applyAlignment="1">
      <alignment horizontal="center" vertical="center"/>
    </xf>
    <xf numFmtId="43" fontId="47" fillId="0" borderId="27" xfId="1" applyFont="1" applyFill="1" applyBorder="1" applyAlignment="1">
      <alignment horizontal="center" vertical="center" wrapText="1"/>
    </xf>
    <xf numFmtId="0" fontId="47" fillId="0" borderId="27" xfId="1" applyNumberFormat="1" applyFont="1" applyBorder="1" applyAlignment="1">
      <alignment horizontal="left" vertical="center" wrapText="1"/>
    </xf>
    <xf numFmtId="0" fontId="47" fillId="0" borderId="27" xfId="2" applyFont="1" applyBorder="1" applyAlignment="1">
      <alignment horizontal="center" vertical="center" wrapText="1"/>
    </xf>
    <xf numFmtId="172" fontId="47" fillId="0" borderId="27" xfId="1" applyNumberFormat="1" applyFont="1" applyFill="1" applyBorder="1" applyAlignment="1">
      <alignment horizontal="center" vertical="center"/>
    </xf>
    <xf numFmtId="43" fontId="50" fillId="0" borderId="16" xfId="1" applyFont="1" applyFill="1" applyBorder="1" applyAlignment="1">
      <alignment horizontal="center" vertical="center"/>
    </xf>
    <xf numFmtId="43" fontId="50" fillId="0" borderId="19" xfId="1" applyFont="1" applyFill="1" applyBorder="1" applyAlignment="1">
      <alignment horizontal="center" vertical="center"/>
    </xf>
    <xf numFmtId="0" fontId="50" fillId="0" borderId="19" xfId="8" applyFont="1" applyBorder="1" applyAlignment="1">
      <alignment horizontal="center" vertical="center"/>
    </xf>
    <xf numFmtId="0" fontId="50" fillId="0" borderId="0" xfId="1" applyNumberFormat="1" applyFont="1"/>
    <xf numFmtId="172" fontId="49" fillId="0" borderId="0" xfId="1" applyNumberFormat="1" applyFont="1" applyFill="1" applyBorder="1" applyAlignment="1">
      <alignment horizontal="center" vertical="center"/>
    </xf>
    <xf numFmtId="172" fontId="47" fillId="0" borderId="0" xfId="1" applyNumberFormat="1" applyFont="1" applyAlignment="1">
      <alignment horizontal="center" vertical="center" wrapText="1"/>
    </xf>
    <xf numFmtId="172" fontId="47" fillId="0" borderId="0" xfId="1" applyNumberFormat="1" applyFont="1" applyBorder="1" applyAlignment="1">
      <alignment horizontal="center" vertical="center" wrapText="1"/>
    </xf>
    <xf numFmtId="172" fontId="50" fillId="0" borderId="0" xfId="1" applyNumberFormat="1" applyFont="1" applyAlignment="1">
      <alignment horizontal="center" vertical="center"/>
    </xf>
    <xf numFmtId="172" fontId="49" fillId="0" borderId="3" xfId="1" applyNumberFormat="1" applyFont="1" applyBorder="1" applyAlignment="1">
      <alignment horizontal="center" vertical="center"/>
    </xf>
    <xf numFmtId="172" fontId="49" fillId="0" borderId="0" xfId="1" applyNumberFormat="1" applyFont="1" applyAlignment="1">
      <alignment horizontal="center" vertical="center"/>
    </xf>
    <xf numFmtId="172" fontId="49" fillId="0" borderId="2" xfId="1" applyNumberFormat="1" applyFont="1" applyBorder="1" applyAlignment="1">
      <alignment horizontal="center" vertical="center"/>
    </xf>
    <xf numFmtId="172" fontId="50" fillId="0" borderId="19" xfId="1" applyNumberFormat="1" applyFont="1" applyBorder="1" applyAlignment="1">
      <alignment horizontal="center" vertical="center"/>
    </xf>
    <xf numFmtId="172" fontId="50" fillId="0" borderId="20" xfId="1" applyNumberFormat="1" applyFont="1" applyBorder="1" applyAlignment="1">
      <alignment horizontal="center" vertical="center"/>
    </xf>
    <xf numFmtId="175" fontId="65" fillId="0" borderId="27" xfId="56" applyNumberFormat="1" applyFont="1" applyBorder="1" applyAlignment="1">
      <alignment horizontal="left"/>
    </xf>
    <xf numFmtId="174" fontId="65" fillId="0" borderId="27" xfId="56" applyNumberFormat="1" applyFont="1" applyFill="1" applyBorder="1" applyAlignment="1">
      <alignment horizontal="center"/>
    </xf>
    <xf numFmtId="175" fontId="64" fillId="0" borderId="0" xfId="56" applyNumberFormat="1" applyFont="1"/>
    <xf numFmtId="43" fontId="64" fillId="0" borderId="0" xfId="56" applyFont="1"/>
    <xf numFmtId="43" fontId="65" fillId="0" borderId="0" xfId="56" applyFont="1" applyAlignment="1">
      <alignment horizontal="right"/>
    </xf>
    <xf numFmtId="14" fontId="65" fillId="0" borderId="0" xfId="56" applyNumberFormat="1" applyFont="1" applyFill="1" applyAlignment="1">
      <alignment horizontal="right"/>
    </xf>
    <xf numFmtId="175" fontId="66" fillId="0" borderId="0" xfId="56" applyNumberFormat="1" applyFont="1" applyAlignment="1">
      <alignment vertical="center" wrapText="1"/>
    </xf>
    <xf numFmtId="175" fontId="66" fillId="0" borderId="0" xfId="56" applyNumberFormat="1" applyFont="1" applyAlignment="1">
      <alignment horizontal="center" vertical="center" wrapText="1"/>
    </xf>
    <xf numFmtId="43" fontId="66" fillId="0" borderId="0" xfId="56" applyFont="1" applyAlignment="1">
      <alignment vertical="center" wrapText="1"/>
    </xf>
    <xf numFmtId="175" fontId="65" fillId="0" borderId="14" xfId="56" applyNumberFormat="1" applyFont="1" applyBorder="1" applyAlignment="1">
      <alignment horizontal="center" vertical="center"/>
    </xf>
    <xf numFmtId="43" fontId="65" fillId="0" borderId="14" xfId="56" applyFont="1" applyBorder="1" applyAlignment="1">
      <alignment horizontal="center" vertical="center"/>
    </xf>
    <xf numFmtId="9" fontId="64" fillId="0" borderId="3" xfId="147" applyFont="1" applyBorder="1" applyAlignment="1">
      <alignment horizontal="center" vertical="center"/>
    </xf>
    <xf numFmtId="9" fontId="66" fillId="0" borderId="3" xfId="148" applyFont="1" applyFill="1" applyBorder="1" applyAlignment="1">
      <alignment horizontal="center" vertical="center" wrapText="1"/>
    </xf>
    <xf numFmtId="172" fontId="64" fillId="0" borderId="2" xfId="137" applyNumberFormat="1" applyFont="1" applyBorder="1" applyAlignment="1">
      <alignment vertical="center"/>
    </xf>
    <xf numFmtId="9" fontId="64" fillId="0" borderId="3" xfId="147" applyFont="1" applyFill="1" applyBorder="1" applyAlignment="1">
      <alignment horizontal="center" vertical="center"/>
    </xf>
    <xf numFmtId="0" fontId="64" fillId="0" borderId="13" xfId="8" applyFont="1" applyBorder="1" applyAlignment="1">
      <alignment horizontal="center" vertical="center"/>
    </xf>
    <xf numFmtId="0" fontId="64" fillId="0" borderId="27" xfId="8" applyFont="1" applyBorder="1" applyAlignment="1">
      <alignment horizontal="center" vertical="center"/>
    </xf>
    <xf numFmtId="0" fontId="64" fillId="0" borderId="27" xfId="8" applyFont="1" applyBorder="1"/>
    <xf numFmtId="0" fontId="64" fillId="0" borderId="28" xfId="8" applyFont="1" applyBorder="1"/>
    <xf numFmtId="10" fontId="49" fillId="0" borderId="0" xfId="29" applyNumberFormat="1" applyFont="1"/>
    <xf numFmtId="0" fontId="64" fillId="3" borderId="16" xfId="8" applyFont="1" applyFill="1" applyBorder="1" applyAlignment="1">
      <alignment horizontal="center" vertical="center"/>
    </xf>
    <xf numFmtId="0" fontId="64" fillId="3" borderId="19" xfId="8" applyFont="1" applyFill="1" applyBorder="1" applyAlignment="1">
      <alignment horizontal="center" vertical="center"/>
    </xf>
    <xf numFmtId="0" fontId="64" fillId="3" borderId="19" xfId="8" applyFont="1" applyFill="1" applyBorder="1"/>
    <xf numFmtId="0" fontId="64" fillId="3" borderId="20" xfId="8" applyFont="1" applyFill="1" applyBorder="1"/>
    <xf numFmtId="172" fontId="64" fillId="3" borderId="2" xfId="137" applyNumberFormat="1" applyFont="1" applyFill="1" applyBorder="1" applyAlignment="1">
      <alignment vertical="center"/>
    </xf>
    <xf numFmtId="43" fontId="65" fillId="3" borderId="19" xfId="1" applyFont="1" applyFill="1" applyBorder="1"/>
    <xf numFmtId="0" fontId="64" fillId="0" borderId="25" xfId="8" applyFont="1" applyBorder="1" applyAlignment="1">
      <alignment horizontal="center" vertical="center"/>
    </xf>
    <xf numFmtId="0" fontId="64" fillId="0" borderId="21" xfId="8" applyFont="1" applyBorder="1" applyAlignment="1">
      <alignment horizontal="center" vertical="center"/>
    </xf>
    <xf numFmtId="0" fontId="64" fillId="0" borderId="21" xfId="8" applyFont="1" applyBorder="1"/>
    <xf numFmtId="0" fontId="64" fillId="0" borderId="26" xfId="8" applyFont="1" applyBorder="1"/>
    <xf numFmtId="0" fontId="64" fillId="0" borderId="0" xfId="8" applyFont="1" applyAlignment="1">
      <alignment horizontal="center" vertical="center"/>
    </xf>
    <xf numFmtId="0" fontId="64" fillId="0" borderId="0" xfId="8" applyFont="1"/>
    <xf numFmtId="172" fontId="64" fillId="0" borderId="0" xfId="8" applyNumberFormat="1" applyFont="1"/>
    <xf numFmtId="9" fontId="64" fillId="0" borderId="0" xfId="29" applyFont="1" applyBorder="1"/>
    <xf numFmtId="172" fontId="49" fillId="0" borderId="0" xfId="8" applyNumberFormat="1" applyFont="1"/>
    <xf numFmtId="43" fontId="64" fillId="0" borderId="16" xfId="56" applyFont="1" applyFill="1" applyBorder="1" applyAlignment="1">
      <alignment horizontal="center"/>
    </xf>
    <xf numFmtId="43" fontId="65" fillId="0" borderId="19" xfId="56" applyFont="1" applyBorder="1"/>
    <xf numFmtId="43" fontId="64" fillId="0" borderId="19" xfId="56" applyFont="1" applyBorder="1" applyAlignment="1">
      <alignment horizontal="center" vertical="center"/>
    </xf>
    <xf numFmtId="43" fontId="66" fillId="0" borderId="19" xfId="56" applyFont="1" applyBorder="1"/>
    <xf numFmtId="172" fontId="66" fillId="0" borderId="19" xfId="56" applyNumberFormat="1" applyFont="1" applyBorder="1"/>
    <xf numFmtId="172" fontId="64" fillId="0" borderId="19" xfId="56" applyNumberFormat="1" applyFont="1" applyBorder="1"/>
    <xf numFmtId="172" fontId="65" fillId="0" borderId="19" xfId="56" applyNumberFormat="1" applyFont="1" applyBorder="1"/>
    <xf numFmtId="172" fontId="64" fillId="0" borderId="19" xfId="56" applyNumberFormat="1" applyFont="1" applyBorder="1" applyAlignment="1">
      <alignment horizontal="center" vertical="center"/>
    </xf>
    <xf numFmtId="172" fontId="65" fillId="0" borderId="19" xfId="56" applyNumberFormat="1" applyFont="1" applyBorder="1" applyAlignment="1">
      <alignment horizontal="right" vertical="center"/>
    </xf>
    <xf numFmtId="172" fontId="65" fillId="0" borderId="19" xfId="56" applyNumberFormat="1" applyFont="1" applyBorder="1" applyAlignment="1">
      <alignment horizontal="left" vertical="center"/>
    </xf>
    <xf numFmtId="172" fontId="65" fillId="0" borderId="19" xfId="56" applyNumberFormat="1" applyFont="1" applyBorder="1" applyAlignment="1">
      <alignment horizontal="center" vertical="center"/>
    </xf>
    <xf numFmtId="14" fontId="65" fillId="0" borderId="20" xfId="56" applyNumberFormat="1" applyFont="1" applyBorder="1" applyAlignment="1">
      <alignment horizontal="center" vertical="center"/>
    </xf>
    <xf numFmtId="43" fontId="65" fillId="0" borderId="16" xfId="56" applyFont="1" applyFill="1" applyBorder="1" applyAlignment="1">
      <alignment horizontal="center"/>
    </xf>
    <xf numFmtId="43" fontId="65" fillId="0" borderId="19" xfId="56" applyFont="1" applyBorder="1" applyAlignment="1">
      <alignment horizontal="center" vertical="center"/>
    </xf>
    <xf numFmtId="43" fontId="67" fillId="0" borderId="19" xfId="56" applyFont="1" applyBorder="1"/>
    <xf numFmtId="172" fontId="67" fillId="0" borderId="19" xfId="56" applyNumberFormat="1" applyFont="1" applyBorder="1"/>
    <xf numFmtId="172" fontId="65" fillId="0" borderId="20" xfId="56" applyNumberFormat="1" applyFont="1" applyBorder="1" applyAlignment="1">
      <alignment horizontal="center" vertical="center"/>
    </xf>
    <xf numFmtId="43" fontId="64" fillId="0" borderId="3" xfId="56" applyFont="1" applyFill="1" applyBorder="1" applyAlignment="1">
      <alignment horizontal="center"/>
    </xf>
    <xf numFmtId="43" fontId="64" fillId="0" borderId="32" xfId="56" applyFont="1" applyBorder="1"/>
    <xf numFmtId="43" fontId="64" fillId="0" borderId="33" xfId="56" applyFont="1" applyBorder="1" applyAlignment="1">
      <alignment horizontal="center" vertical="center"/>
    </xf>
    <xf numFmtId="43" fontId="66" fillId="0" borderId="33" xfId="56" applyFont="1" applyBorder="1"/>
    <xf numFmtId="172" fontId="66" fillId="0" borderId="33" xfId="56" applyNumberFormat="1" applyFont="1" applyBorder="1"/>
    <xf numFmtId="172" fontId="64" fillId="0" borderId="33" xfId="56" applyNumberFormat="1" applyFont="1" applyBorder="1"/>
    <xf numFmtId="172" fontId="65" fillId="0" borderId="33" xfId="56" applyNumberFormat="1" applyFont="1" applyBorder="1"/>
    <xf numFmtId="172" fontId="64" fillId="0" borderId="33" xfId="56" applyNumberFormat="1" applyFont="1" applyBorder="1" applyAlignment="1">
      <alignment horizontal="center" vertical="center"/>
    </xf>
    <xf numFmtId="172" fontId="64" fillId="0" borderId="34" xfId="56" applyNumberFormat="1" applyFont="1" applyBorder="1"/>
    <xf numFmtId="43" fontId="64" fillId="0" borderId="35" xfId="56" applyFont="1" applyFill="1" applyBorder="1" applyAlignment="1">
      <alignment horizontal="center"/>
    </xf>
    <xf numFmtId="43" fontId="64" fillId="0" borderId="36" xfId="56" applyFont="1" applyBorder="1"/>
    <xf numFmtId="43" fontId="64" fillId="0" borderId="37" xfId="56" applyFont="1" applyBorder="1" applyAlignment="1">
      <alignment horizontal="center" vertical="center"/>
    </xf>
    <xf numFmtId="43" fontId="66" fillId="0" borderId="37" xfId="56" applyFont="1" applyBorder="1"/>
    <xf numFmtId="172" fontId="66" fillId="0" borderId="37" xfId="56" applyNumberFormat="1" applyFont="1" applyBorder="1"/>
    <xf numFmtId="172" fontId="64" fillId="0" borderId="37" xfId="56" applyNumberFormat="1" applyFont="1" applyBorder="1"/>
    <xf numFmtId="172" fontId="65" fillId="0" borderId="37" xfId="56" applyNumberFormat="1" applyFont="1" applyBorder="1"/>
    <xf numFmtId="172" fontId="64" fillId="0" borderId="37" xfId="56" applyNumberFormat="1" applyFont="1" applyBorder="1" applyAlignment="1">
      <alignment horizontal="center" vertical="center"/>
    </xf>
    <xf numFmtId="9" fontId="64" fillId="0" borderId="37" xfId="57" applyFont="1" applyBorder="1"/>
    <xf numFmtId="43" fontId="64" fillId="0" borderId="38" xfId="56" applyFont="1" applyBorder="1"/>
    <xf numFmtId="9" fontId="64" fillId="0" borderId="33" xfId="57" applyFont="1" applyFill="1" applyBorder="1"/>
    <xf numFmtId="43" fontId="64" fillId="3" borderId="29" xfId="56" applyFont="1" applyFill="1" applyBorder="1" applyAlignment="1">
      <alignment horizontal="center" vertical="center"/>
    </xf>
    <xf numFmtId="43" fontId="64" fillId="3" borderId="30" xfId="56" applyFont="1" applyFill="1" applyBorder="1"/>
    <xf numFmtId="43" fontId="66" fillId="3" borderId="29" xfId="56" applyFont="1" applyFill="1" applyBorder="1"/>
    <xf numFmtId="172" fontId="66" fillId="3" borderId="29" xfId="56" applyNumberFormat="1" applyFont="1" applyFill="1" applyBorder="1"/>
    <xf numFmtId="172" fontId="64" fillId="3" borderId="29" xfId="56" applyNumberFormat="1" applyFont="1" applyFill="1" applyBorder="1"/>
    <xf numFmtId="172" fontId="65" fillId="3" borderId="29" xfId="56" applyNumberFormat="1" applyFont="1" applyFill="1" applyBorder="1"/>
    <xf numFmtId="172" fontId="64" fillId="3" borderId="29" xfId="56" applyNumberFormat="1" applyFont="1" applyFill="1" applyBorder="1" applyAlignment="1">
      <alignment horizontal="center" vertical="center"/>
    </xf>
    <xf numFmtId="172" fontId="64" fillId="3" borderId="31" xfId="56" applyNumberFormat="1" applyFont="1" applyFill="1" applyBorder="1"/>
    <xf numFmtId="174" fontId="64" fillId="3" borderId="33" xfId="56" applyNumberFormat="1" applyFont="1" applyFill="1" applyBorder="1" applyAlignment="1">
      <alignment horizontal="center" vertical="center"/>
    </xf>
    <xf numFmtId="43" fontId="64" fillId="3" borderId="32" xfId="56" applyFont="1" applyFill="1" applyBorder="1"/>
    <xf numFmtId="43" fontId="64" fillId="3" borderId="33" xfId="56" applyFont="1" applyFill="1" applyBorder="1" applyAlignment="1">
      <alignment horizontal="center" vertical="center"/>
    </xf>
    <xf numFmtId="43" fontId="66" fillId="3" borderId="33" xfId="56" applyFont="1" applyFill="1" applyBorder="1"/>
    <xf numFmtId="172" fontId="66" fillId="3" borderId="33" xfId="56" applyNumberFormat="1" applyFont="1" applyFill="1" applyBorder="1"/>
    <xf numFmtId="172" fontId="64" fillId="3" borderId="33" xfId="56" applyNumberFormat="1" applyFont="1" applyFill="1" applyBorder="1"/>
    <xf numFmtId="172" fontId="65" fillId="3" borderId="33" xfId="56" applyNumberFormat="1" applyFont="1" applyFill="1" applyBorder="1"/>
    <xf numFmtId="172" fontId="64" fillId="3" borderId="33" xfId="56" applyNumberFormat="1" applyFont="1" applyFill="1" applyBorder="1" applyAlignment="1">
      <alignment horizontal="center" vertical="center"/>
    </xf>
    <xf numFmtId="9" fontId="64" fillId="3" borderId="33" xfId="57" applyFont="1" applyFill="1" applyBorder="1"/>
    <xf numFmtId="172" fontId="64" fillId="3" borderId="34" xfId="56" applyNumberFormat="1" applyFont="1" applyFill="1" applyBorder="1"/>
    <xf numFmtId="174" fontId="65" fillId="3" borderId="33" xfId="56" applyNumberFormat="1" applyFont="1" applyFill="1" applyBorder="1" applyAlignment="1">
      <alignment horizontal="center" vertical="center"/>
    </xf>
    <xf numFmtId="43" fontId="65" fillId="3" borderId="32" xfId="56" applyFont="1" applyFill="1" applyBorder="1"/>
    <xf numFmtId="43" fontId="65" fillId="3" borderId="33" xfId="56" applyFont="1" applyFill="1" applyBorder="1" applyAlignment="1">
      <alignment horizontal="center" vertical="center"/>
    </xf>
    <xf numFmtId="43" fontId="67" fillId="3" borderId="33" xfId="56" applyFont="1" applyFill="1" applyBorder="1"/>
    <xf numFmtId="172" fontId="67" fillId="3" borderId="33" xfId="56" applyNumberFormat="1" applyFont="1" applyFill="1" applyBorder="1"/>
    <xf numFmtId="172" fontId="65" fillId="3" borderId="33" xfId="56" applyNumberFormat="1" applyFont="1" applyFill="1" applyBorder="1" applyAlignment="1">
      <alignment horizontal="right" vertical="center"/>
    </xf>
    <xf numFmtId="9" fontId="65" fillId="3" borderId="33" xfId="57" applyFont="1" applyFill="1" applyBorder="1"/>
    <xf numFmtId="43" fontId="65" fillId="3" borderId="34" xfId="56" applyFont="1" applyFill="1" applyBorder="1"/>
    <xf numFmtId="0" fontId="64" fillId="0" borderId="16" xfId="8" applyFont="1" applyBorder="1" applyAlignment="1">
      <alignment horizontal="center" vertical="center"/>
    </xf>
    <xf numFmtId="0" fontId="64" fillId="0" borderId="19" xfId="8" applyFont="1" applyBorder="1" applyAlignment="1">
      <alignment horizontal="center" vertical="center"/>
    </xf>
    <xf numFmtId="0" fontId="64" fillId="0" borderId="19" xfId="8" applyFont="1" applyBorder="1"/>
    <xf numFmtId="43" fontId="65" fillId="0" borderId="19" xfId="1" applyFont="1" applyFill="1" applyBorder="1"/>
    <xf numFmtId="172" fontId="64" fillId="0" borderId="4" xfId="137" applyNumberFormat="1" applyFont="1" applyBorder="1" applyAlignment="1">
      <alignment vertical="center"/>
    </xf>
    <xf numFmtId="172" fontId="64" fillId="0" borderId="14" xfId="137" applyNumberFormat="1" applyFont="1" applyBorder="1" applyAlignment="1">
      <alignment vertical="center"/>
    </xf>
    <xf numFmtId="43" fontId="65" fillId="0" borderId="20" xfId="1" applyFont="1" applyFill="1" applyBorder="1"/>
    <xf numFmtId="9" fontId="49" fillId="0" borderId="39" xfId="29" applyFont="1" applyFill="1" applyBorder="1"/>
    <xf numFmtId="9" fontId="49" fillId="0" borderId="39" xfId="59" applyFont="1" applyFill="1" applyBorder="1"/>
    <xf numFmtId="172" fontId="64" fillId="0" borderId="19" xfId="137" applyNumberFormat="1" applyFont="1" applyFill="1" applyBorder="1" applyAlignment="1">
      <alignment vertical="center"/>
    </xf>
    <xf numFmtId="164" fontId="47" fillId="0" borderId="0" xfId="122" applyFont="1" applyBorder="1" applyAlignment="1">
      <alignment horizontal="center" vertical="center"/>
    </xf>
  </cellXfs>
  <cellStyles count="149">
    <cellStyle name="Comma" xfId="1" builtinId="3"/>
    <cellStyle name="Euro" xfId="33" xr:uid="{00000000-0005-0000-0000-000001000000}"/>
    <cellStyle name="Excel Built-in Comma [0]" xfId="63" xr:uid="{00000000-0005-0000-0000-000002000000}"/>
    <cellStyle name="Millares 10" xfId="42" xr:uid="{00000000-0005-0000-0000-000005000000}"/>
    <cellStyle name="Millares 10 2" xfId="102" xr:uid="{E5C698FE-2B84-4DCC-A6B6-ECDA79CE9F4C}"/>
    <cellStyle name="Millares 10 3" xfId="142" xr:uid="{61A4F8CE-B8AD-412F-8EC2-1F3B69A0A52F}"/>
    <cellStyle name="Millares 10 4" xfId="145" xr:uid="{45641182-E706-4E67-93D6-E2FE4043F5F7}"/>
    <cellStyle name="Millares 11" xfId="27" xr:uid="{00000000-0005-0000-0000-000006000000}"/>
    <cellStyle name="Millares 11 2" xfId="49" xr:uid="{00000000-0005-0000-0000-000007000000}"/>
    <cellStyle name="Millares 12" xfId="62" xr:uid="{00000000-0005-0000-0000-000008000000}"/>
    <cellStyle name="Millares 12 2" xfId="56" xr:uid="{00000000-0005-0000-0000-000009000000}"/>
    <cellStyle name="Millares 13" xfId="65" xr:uid="{00000000-0005-0000-0000-00000A000000}"/>
    <cellStyle name="Millares 14" xfId="15" xr:uid="{00000000-0005-0000-0000-00000B000000}"/>
    <cellStyle name="Millares 14 2" xfId="20" xr:uid="{00000000-0005-0000-0000-00000C000000}"/>
    <cellStyle name="Millares 14 2 2" xfId="41" xr:uid="{00000000-0005-0000-0000-00000D000000}"/>
    <cellStyle name="Millares 15" xfId="67" xr:uid="{00000000-0005-0000-0000-00000E000000}"/>
    <cellStyle name="Millares 16" xfId="72" xr:uid="{00000000-0005-0000-0000-00000F000000}"/>
    <cellStyle name="Millares 17" xfId="53" xr:uid="{00000000-0005-0000-0000-000010000000}"/>
    <cellStyle name="Millares 18" xfId="22" xr:uid="{00000000-0005-0000-0000-000011000000}"/>
    <cellStyle name="Millares 19" xfId="73" xr:uid="{00000000-0005-0000-0000-000012000000}"/>
    <cellStyle name="Millares 2" xfId="3" xr:uid="{00000000-0005-0000-0000-000013000000}"/>
    <cellStyle name="Millares 2 2" xfId="46" xr:uid="{00000000-0005-0000-0000-000014000000}"/>
    <cellStyle name="Millares 2 3" xfId="79" xr:uid="{00000000-0005-0000-0000-000015000000}"/>
    <cellStyle name="Millares 2 4" xfId="5" xr:uid="{00000000-0005-0000-0000-000016000000}"/>
    <cellStyle name="Millares 2 5" xfId="122" xr:uid="{13979146-C849-4773-B246-7505D0E23784}"/>
    <cellStyle name="Millares 2 6" xfId="137" xr:uid="{6003CF8D-AF4F-4511-A0EB-318E3B30D20E}"/>
    <cellStyle name="Millares 20" xfId="13" xr:uid="{00000000-0005-0000-0000-000017000000}"/>
    <cellStyle name="Millares 21" xfId="76" xr:uid="{00000000-0005-0000-0000-000018000000}"/>
    <cellStyle name="Millares 22" xfId="86" xr:uid="{00000000-0005-0000-0000-000019000000}"/>
    <cellStyle name="Millares 23" xfId="87" xr:uid="{00000000-0005-0000-0000-00001A000000}"/>
    <cellStyle name="Millares 23 2" xfId="111" xr:uid="{B56D480C-2DED-46DE-B174-9F30A7B29992}"/>
    <cellStyle name="Millares 23 2 2" xfId="121" xr:uid="{65EA6826-ECA2-446E-AF82-6B1164B7EFF4}"/>
    <cellStyle name="Millares 23 2 3" xfId="127" xr:uid="{871CDAF4-89B3-4733-8DAC-4F3BB4F3D56B}"/>
    <cellStyle name="Millares 24" xfId="91" xr:uid="{00000000-0005-0000-0000-00001B000000}"/>
    <cellStyle name="Millares 25" xfId="93" xr:uid="{00000000-0005-0000-0000-00001C000000}"/>
    <cellStyle name="Millares 26" xfId="105" xr:uid="{7D75E608-F5B8-4761-BDB1-8558659491AC}"/>
    <cellStyle name="Millares 26 2" xfId="113" xr:uid="{162B1448-2B2B-4329-880E-6089E74F803F}"/>
    <cellStyle name="Millares 26 2 2" xfId="136" xr:uid="{DEE05028-A6B3-42F1-9E65-0C500A9BA7E5}"/>
    <cellStyle name="Millares 26 2 3" xfId="139" xr:uid="{407DF86D-74CB-4045-B134-4BE22A609441}"/>
    <cellStyle name="Millares 26 3" xfId="115" xr:uid="{2D743C02-BC7B-4D57-85AA-AC8CD12FCEC3}"/>
    <cellStyle name="Millares 26 3 2" xfId="140" xr:uid="{61504158-AC4A-425D-958D-AA12360F6204}"/>
    <cellStyle name="Millares 26 4" xfId="131" xr:uid="{F425C2A0-17C7-4E17-9D79-97C7C2514122}"/>
    <cellStyle name="Millares 26 4 2" xfId="133" xr:uid="{9987ACE5-5028-4E0C-A689-36F782F55A24}"/>
    <cellStyle name="Millares 27" xfId="108" xr:uid="{BFCB44A0-1566-4570-92FF-3962E27A1002}"/>
    <cellStyle name="Millares 28" xfId="118" xr:uid="{D6ADCD09-C01B-4024-BFE3-EB18DD7F50DA}"/>
    <cellStyle name="Millares 29" xfId="120" xr:uid="{33329ADB-31CA-4FD4-923D-06832478427B}"/>
    <cellStyle name="Millares 3" xfId="7" xr:uid="{00000000-0005-0000-0000-00001D000000}"/>
    <cellStyle name="Millares 3 2" xfId="94" xr:uid="{00000000-0005-0000-0000-00001E000000}"/>
    <cellStyle name="Millares 3 3" xfId="95" xr:uid="{00000000-0005-0000-0000-00001F000000}"/>
    <cellStyle name="Millares 3 5" xfId="4" xr:uid="{00000000-0005-0000-0000-000020000000}"/>
    <cellStyle name="Millares 3 5 2" xfId="9" xr:uid="{00000000-0005-0000-0000-000021000000}"/>
    <cellStyle name="Millares 3 5 2 2" xfId="50" xr:uid="{00000000-0005-0000-0000-000022000000}"/>
    <cellStyle name="Millares 3 5 2 3" xfId="96" xr:uid="{00000000-0005-0000-0000-000023000000}"/>
    <cellStyle name="Millares 3 5 3" xfId="21" xr:uid="{00000000-0005-0000-0000-000024000000}"/>
    <cellStyle name="Millares 3 5 4" xfId="25" xr:uid="{00000000-0005-0000-0000-000025000000}"/>
    <cellStyle name="Millares 3 5 4 2" xfId="47" xr:uid="{00000000-0005-0000-0000-000026000000}"/>
    <cellStyle name="Millares 30" xfId="123" xr:uid="{8751487E-83E6-4A6D-A0FD-86A8409683A8}"/>
    <cellStyle name="Millares 31" xfId="125" xr:uid="{1FDFA573-2006-4C5B-9127-0820E633A136}"/>
    <cellStyle name="Millares 32" xfId="129" xr:uid="{A3EEF76E-ECC5-479B-9FA8-9295149859E3}"/>
    <cellStyle name="Millares 32 2" xfId="130" xr:uid="{12207403-90D8-4507-BFAE-FD10BD460D63}"/>
    <cellStyle name="Millares 32 3" xfId="135" xr:uid="{151F7432-284E-4E84-810B-B497EBF385B5}"/>
    <cellStyle name="Millares 32 4" xfId="138" xr:uid="{68A040B7-BFC9-4789-807D-5704E2D3EBB6}"/>
    <cellStyle name="Millares 32 5" xfId="141" xr:uid="{9F149E31-30F9-4EE1-B2BA-3E4ABB081027}"/>
    <cellStyle name="Millares 4" xfId="12" xr:uid="{00000000-0005-0000-0000-000027000000}"/>
    <cellStyle name="Millares 4 2" xfId="97" xr:uid="{00000000-0005-0000-0000-000028000000}"/>
    <cellStyle name="Millares 4 3" xfId="71" xr:uid="{00000000-0005-0000-0000-000029000000}"/>
    <cellStyle name="Millares 5" xfId="19" xr:uid="{00000000-0005-0000-0000-00002A000000}"/>
    <cellStyle name="Millares 5 2" xfId="43" xr:uid="{00000000-0005-0000-0000-00002B000000}"/>
    <cellStyle name="Millares 5 3" xfId="51" xr:uid="{00000000-0005-0000-0000-00002C000000}"/>
    <cellStyle name="Millares 6" xfId="23" xr:uid="{00000000-0005-0000-0000-00002D000000}"/>
    <cellStyle name="Millares 6 2" xfId="45" xr:uid="{00000000-0005-0000-0000-00002E000000}"/>
    <cellStyle name="Millares 6 3" xfId="60" xr:uid="{00000000-0005-0000-0000-00002F000000}"/>
    <cellStyle name="Millares 7" xfId="31" xr:uid="{00000000-0005-0000-0000-000030000000}"/>
    <cellStyle name="Millares 8" xfId="34" xr:uid="{00000000-0005-0000-0000-000031000000}"/>
    <cellStyle name="Millares 9" xfId="38" xr:uid="{00000000-0005-0000-0000-000032000000}"/>
    <cellStyle name="Millares 9 2" xfId="78" xr:uid="{00000000-0005-0000-0000-000033000000}"/>
    <cellStyle name="Millares 9 3" xfId="81" xr:uid="{00000000-0005-0000-0000-000034000000}"/>
    <cellStyle name="Millares 9 3 2" xfId="88" xr:uid="{00000000-0005-0000-0000-000035000000}"/>
    <cellStyle name="Moneda 2" xfId="18" xr:uid="{00000000-0005-0000-0000-000037000000}"/>
    <cellStyle name="Moneda 2 3" xfId="64" xr:uid="{00000000-0005-0000-0000-000038000000}"/>
    <cellStyle name="Moneda 3" xfId="44" xr:uid="{00000000-0005-0000-0000-000039000000}"/>
    <cellStyle name="Moneda 3 2" xfId="104" xr:uid="{5E235BF7-1E3A-4ADE-B3EE-4A0748086F13}"/>
    <cellStyle name="Moneda 4" xfId="69" xr:uid="{00000000-0005-0000-0000-00003A000000}"/>
    <cellStyle name="Moneda 5" xfId="58" xr:uid="{00000000-0005-0000-0000-00003B000000}"/>
    <cellStyle name="Moneda 6" xfId="84" xr:uid="{00000000-0005-0000-0000-00003C000000}"/>
    <cellStyle name="Normal" xfId="0" builtinId="0"/>
    <cellStyle name="Normal 10" xfId="52" xr:uid="{00000000-0005-0000-0000-00003E000000}"/>
    <cellStyle name="Normal 10 2" xfId="103" xr:uid="{3C07F71E-9294-49B3-A02B-DB340F4A0F55}"/>
    <cellStyle name="Normal 11" xfId="61" xr:uid="{00000000-0005-0000-0000-00003F000000}"/>
    <cellStyle name="Normal 12" xfId="6" xr:uid="{00000000-0005-0000-0000-000040000000}"/>
    <cellStyle name="Normal 13" xfId="66" xr:uid="{00000000-0005-0000-0000-000041000000}"/>
    <cellStyle name="Normal 14" xfId="68" xr:uid="{00000000-0005-0000-0000-000042000000}"/>
    <cellStyle name="Normal 15" xfId="75" xr:uid="{00000000-0005-0000-0000-000043000000}"/>
    <cellStyle name="Normal 16" xfId="80" xr:uid="{00000000-0005-0000-0000-000044000000}"/>
    <cellStyle name="Normal 17" xfId="85" xr:uid="{00000000-0005-0000-0000-000045000000}"/>
    <cellStyle name="Normal 18" xfId="17" xr:uid="{00000000-0005-0000-0000-000046000000}"/>
    <cellStyle name="Normal 19" xfId="90" xr:uid="{00000000-0005-0000-0000-000047000000}"/>
    <cellStyle name="Normal 2" xfId="8" xr:uid="{00000000-0005-0000-0000-000048000000}"/>
    <cellStyle name="Normal 2 2" xfId="2" xr:uid="{00000000-0005-0000-0000-000049000000}"/>
    <cellStyle name="Normal 2 3" xfId="35" xr:uid="{00000000-0005-0000-0000-00004A000000}"/>
    <cellStyle name="Normal 2 4" xfId="74" xr:uid="{00000000-0005-0000-0000-00004B000000}"/>
    <cellStyle name="Normal 2 5" xfId="98" xr:uid="{00000000-0005-0000-0000-00004C000000}"/>
    <cellStyle name="Normal 2 5 2" xfId="146" xr:uid="{24F649A7-AAE5-47A4-B193-26D7078E0697}"/>
    <cellStyle name="Normal 2 6" xfId="112" xr:uid="{DCED6DF7-595B-4164-B97A-EF6C78C0DE8E}"/>
    <cellStyle name="Normal 2 7" xfId="143" xr:uid="{8BD6AEDA-64C7-446F-B099-FADDBA3E5D4F}"/>
    <cellStyle name="Normal 20" xfId="30" xr:uid="{00000000-0005-0000-0000-00004D000000}"/>
    <cellStyle name="Normal 21" xfId="92" xr:uid="{00000000-0005-0000-0000-00004E000000}"/>
    <cellStyle name="Normal 22" xfId="99" xr:uid="{00000000-0005-0000-0000-00004F000000}"/>
    <cellStyle name="Normal 23" xfId="100" xr:uid="{00000000-0005-0000-0000-000050000000}"/>
    <cellStyle name="Normal 24" xfId="101" xr:uid="{00000000-0005-0000-0000-000051000000}"/>
    <cellStyle name="Normal 25" xfId="106" xr:uid="{41976CED-5EB8-4C63-9817-D2AFFFAC7CF7}"/>
    <cellStyle name="Normal 25 2" xfId="114" xr:uid="{7E9445B8-AF1C-4601-8B4F-D509BF705A6D}"/>
    <cellStyle name="Normal 25 3" xfId="116" xr:uid="{720270B3-0AE9-4C29-9101-FB9923337FDD}"/>
    <cellStyle name="Normal 25 4" xfId="132" xr:uid="{B27ABDAF-0596-4A68-868F-2070012443FB}"/>
    <cellStyle name="Normal 26" xfId="107" xr:uid="{098590AB-3AED-4208-91DC-4521A83E1CB9}"/>
    <cellStyle name="Normal 27" xfId="109" xr:uid="{CEDD172B-C9EA-474C-AC79-739E8829C6AC}"/>
    <cellStyle name="Normal 28" xfId="117" xr:uid="{7227B9E6-52A4-4172-B736-55256D97AF6B}"/>
    <cellStyle name="Normal 29" xfId="119" xr:uid="{480D4456-E241-4A06-8475-7B365DA713F2}"/>
    <cellStyle name="Normal 3" xfId="11" xr:uid="{00000000-0005-0000-0000-000052000000}"/>
    <cellStyle name="Normal 3 3" xfId="24" xr:uid="{00000000-0005-0000-0000-000053000000}"/>
    <cellStyle name="Normal 3 3 2" xfId="55" xr:uid="{00000000-0005-0000-0000-000054000000}"/>
    <cellStyle name="Normal 30" xfId="124" xr:uid="{BCF36CF0-77D0-4D6D-97C4-A69105AF3AF6}"/>
    <cellStyle name="Normal 31" xfId="126" xr:uid="{F16A7135-75E0-4A14-8039-F7DE9508F217}"/>
    <cellStyle name="Normal 32" xfId="128" xr:uid="{A97967CA-131C-4236-9250-48403EACA8F8}"/>
    <cellStyle name="Normal 33" xfId="134" xr:uid="{7D3C94BF-20B0-49BB-8D97-A25363CA17EB}"/>
    <cellStyle name="Normal 4" xfId="16" xr:uid="{00000000-0005-0000-0000-000055000000}"/>
    <cellStyle name="Normal 4 2" xfId="40" xr:uid="{00000000-0005-0000-0000-000056000000}"/>
    <cellStyle name="Normal 4 3" xfId="70" xr:uid="{00000000-0005-0000-0000-000057000000}"/>
    <cellStyle name="Normal 5" xfId="26" xr:uid="{00000000-0005-0000-0000-000058000000}"/>
    <cellStyle name="Normal 5 2" xfId="37" xr:uid="{00000000-0005-0000-0000-000059000000}"/>
    <cellStyle name="Normal 5 2 2" xfId="48" xr:uid="{00000000-0005-0000-0000-00005A000000}"/>
    <cellStyle name="Normal 6" xfId="28" xr:uid="{00000000-0005-0000-0000-00005B000000}"/>
    <cellStyle name="Normal 7" xfId="32" xr:uid="{00000000-0005-0000-0000-00005C000000}"/>
    <cellStyle name="Normal 8" xfId="36" xr:uid="{00000000-0005-0000-0000-00005D000000}"/>
    <cellStyle name="Normal 9" xfId="39" xr:uid="{00000000-0005-0000-0000-00005E000000}"/>
    <cellStyle name="Normal 9 2" xfId="77" xr:uid="{00000000-0005-0000-0000-00005F000000}"/>
    <cellStyle name="Normal 9 3" xfId="82" xr:uid="{00000000-0005-0000-0000-000060000000}"/>
    <cellStyle name="Normal 9 3 2" xfId="89" xr:uid="{00000000-0005-0000-0000-000061000000}"/>
    <cellStyle name="Percent" xfId="29" builtinId="5"/>
    <cellStyle name="Porcentaje 2" xfId="10" xr:uid="{00000000-0005-0000-0000-000063000000}"/>
    <cellStyle name="Porcentaje 2 2" xfId="57" xr:uid="{00000000-0005-0000-0000-000064000000}"/>
    <cellStyle name="Porcentaje 2 2 2" xfId="147" xr:uid="{16590F49-ED96-4828-AE59-08B0A0654767}"/>
    <cellStyle name="Porcentaje 3" xfId="14" xr:uid="{00000000-0005-0000-0000-000065000000}"/>
    <cellStyle name="Porcentaje 4" xfId="54" xr:uid="{00000000-0005-0000-0000-000066000000}"/>
    <cellStyle name="Porcentaje 5" xfId="59" xr:uid="{00000000-0005-0000-0000-000067000000}"/>
    <cellStyle name="Porcentaje 5 2" xfId="144" xr:uid="{41D53D17-8F8E-4D0A-9DFA-82743823FBB1}"/>
    <cellStyle name="Porcentaje 6" xfId="83" xr:uid="{00000000-0005-0000-0000-000068000000}"/>
    <cellStyle name="Porcentaje 7" xfId="110" xr:uid="{95808023-F18D-4536-91B0-10BA510D6154}"/>
    <cellStyle name="Porcentual 2" xfId="148" xr:uid="{C9E68E49-C8E8-44EC-BE9E-ECF970ACD199}"/>
  </cellStyles>
  <dxfs count="21">
    <dxf>
      <numFmt numFmtId="176" formatCode="\-"/>
      <fill>
        <patternFill>
          <bgColor theme="0"/>
        </patternFill>
      </fill>
    </dxf>
    <dxf>
      <numFmt numFmtId="176" formatCode="\-"/>
      <fill>
        <patternFill>
          <bgColor theme="0"/>
        </patternFill>
      </fill>
    </dxf>
    <dxf>
      <numFmt numFmtId="176" formatCode="\-"/>
      <fill>
        <patternFill>
          <bgColor theme="0"/>
        </patternFill>
      </fill>
    </dxf>
    <dxf>
      <numFmt numFmtId="176" formatCode="\-"/>
      <fill>
        <patternFill>
          <bgColor theme="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 patternType="solid">
          <bgColor theme="9" tint="0.39994506668294322"/>
        </patternFill>
      </fill>
    </dxf>
    <dxf>
      <fill>
        <patternFill>
          <bgColor theme="7" tint="0.39994506668294322"/>
        </patternFill>
      </fill>
    </dxf>
  </dxfs>
  <tableStyles count="0" defaultTableStyle="TableStyleMedium9" defaultPivotStyle="PivotStyleLight16"/>
  <colors>
    <mruColors>
      <color rgb="FFFFCC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0</xdr:row>
      <xdr:rowOff>120016</xdr:rowOff>
    </xdr:from>
    <xdr:to>
      <xdr:col>2</xdr:col>
      <xdr:colOff>2306955</xdr:colOff>
      <xdr:row>3</xdr:row>
      <xdr:rowOff>96497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23875" y="120016"/>
          <a:ext cx="2240280" cy="4736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120016</xdr:rowOff>
    </xdr:from>
    <xdr:to>
      <xdr:col>1</xdr:col>
      <xdr:colOff>2306955</xdr:colOff>
      <xdr:row>3</xdr:row>
      <xdr:rowOff>96497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4140B51-DD91-418A-8733-DA1D0FBA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28675" y="120016"/>
          <a:ext cx="2230755" cy="4622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120016</xdr:rowOff>
    </xdr:from>
    <xdr:to>
      <xdr:col>1</xdr:col>
      <xdr:colOff>2306955</xdr:colOff>
      <xdr:row>3</xdr:row>
      <xdr:rowOff>96497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9B29CBD-7EA6-4549-9369-977C04DD9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14350" y="120016"/>
          <a:ext cx="2230755" cy="462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19"/>
  <sheetViews>
    <sheetView tabSelected="1" workbookViewId="0">
      <selection activeCell="C20" sqref="C20"/>
    </sheetView>
  </sheetViews>
  <sheetFormatPr defaultColWidth="11.54296875" defaultRowHeight="12.75" customHeight="1" outlineLevelRow="1" outlineLevelCol="1"/>
  <cols>
    <col min="1" max="1" width="6.54296875" style="32" bestFit="1" customWidth="1"/>
    <col min="2" max="2" width="4.7265625" style="32" customWidth="1" outlineLevel="1"/>
    <col min="3" max="3" width="53.26953125" style="38" bestFit="1" customWidth="1"/>
    <col min="4" max="4" width="3.54296875" style="35" customWidth="1"/>
    <col min="5" max="5" width="5.7265625" style="29" bestFit="1" customWidth="1"/>
    <col min="6" max="6" width="10" style="109" bestFit="1" customWidth="1"/>
    <col min="7" max="7" width="12" style="109" bestFit="1" customWidth="1"/>
    <col min="8" max="8" width="12" style="107" bestFit="1" customWidth="1"/>
    <col min="9" max="9" width="5.26953125" style="4" bestFit="1" customWidth="1"/>
    <col min="10" max="10" width="13.7265625" style="4" bestFit="1" customWidth="1"/>
    <col min="11" max="11" width="14.453125" style="4" bestFit="1" customWidth="1"/>
    <col min="12" max="12" width="16.26953125" style="4" bestFit="1" customWidth="1"/>
    <col min="13" max="13" width="18.7265625" style="4" customWidth="1"/>
    <col min="14" max="15" width="13.453125" style="4" bestFit="1" customWidth="1"/>
    <col min="16" max="16" width="15.453125" style="4" customWidth="1"/>
    <col min="17" max="17" width="12.453125" style="4" bestFit="1" customWidth="1"/>
    <col min="18" max="16384" width="11.54296875" style="4"/>
  </cols>
  <sheetData>
    <row r="1" spans="1:19" ht="12.75" customHeight="1">
      <c r="F1" s="104"/>
      <c r="G1" s="21"/>
      <c r="H1" s="21"/>
    </row>
    <row r="2" spans="1:19" ht="13">
      <c r="F2" s="104"/>
      <c r="G2" s="21"/>
      <c r="H2" s="21"/>
      <c r="J2" s="6"/>
    </row>
    <row r="3" spans="1:19" s="1" customFormat="1" ht="13">
      <c r="A3" s="57"/>
      <c r="B3" s="10"/>
      <c r="C3" s="42"/>
      <c r="D3" s="2"/>
      <c r="E3" s="19"/>
      <c r="F3" s="19"/>
      <c r="G3" s="19"/>
      <c r="H3" s="105"/>
      <c r="J3" s="3"/>
    </row>
    <row r="4" spans="1:19" s="1" customFormat="1" ht="13">
      <c r="A4" s="57"/>
      <c r="B4" s="10"/>
      <c r="C4" s="42"/>
      <c r="D4" s="2"/>
      <c r="E4" s="19"/>
      <c r="F4" s="19"/>
      <c r="G4" s="58">
        <v>45900</v>
      </c>
      <c r="H4" s="105"/>
      <c r="J4" s="3"/>
      <c r="K4" s="113" t="s">
        <v>55</v>
      </c>
      <c r="L4" s="114">
        <v>1</v>
      </c>
      <c r="M4" s="115"/>
      <c r="N4" s="116"/>
      <c r="O4" s="117"/>
      <c r="P4" s="118">
        <v>45900</v>
      </c>
    </row>
    <row r="5" spans="1:19" s="1" customFormat="1" ht="13">
      <c r="A5" s="57"/>
      <c r="B5" s="10"/>
      <c r="C5" s="43" t="s">
        <v>4</v>
      </c>
      <c r="D5" s="2"/>
      <c r="E5" s="19"/>
      <c r="F5" s="16"/>
      <c r="G5" s="16"/>
      <c r="H5" s="105"/>
      <c r="J5" s="3"/>
      <c r="K5" s="119"/>
      <c r="L5" s="120"/>
      <c r="M5" s="119"/>
      <c r="N5" s="121"/>
      <c r="O5" s="121"/>
      <c r="P5" s="121"/>
    </row>
    <row r="6" spans="1:19" s="1" customFormat="1" ht="13">
      <c r="A6" s="57"/>
      <c r="B6" s="10"/>
      <c r="C6" s="43" t="s">
        <v>44</v>
      </c>
      <c r="D6" s="49"/>
      <c r="E6" s="50"/>
      <c r="F6" s="106"/>
      <c r="G6" s="106"/>
      <c r="H6" s="105"/>
      <c r="K6" s="122" t="s">
        <v>56</v>
      </c>
      <c r="L6" s="122"/>
      <c r="M6" s="122"/>
      <c r="N6" s="123" t="s">
        <v>57</v>
      </c>
      <c r="O6" s="123"/>
      <c r="P6" s="123"/>
    </row>
    <row r="7" spans="1:19" ht="13">
      <c r="A7" s="33" t="s">
        <v>5</v>
      </c>
      <c r="B7" s="14" t="s">
        <v>6</v>
      </c>
      <c r="C7" s="44" t="s">
        <v>7</v>
      </c>
      <c r="D7" s="11" t="s">
        <v>8</v>
      </c>
      <c r="E7" s="18" t="s">
        <v>9</v>
      </c>
      <c r="F7" s="41" t="s">
        <v>10</v>
      </c>
      <c r="G7" s="41" t="s">
        <v>1</v>
      </c>
      <c r="K7" s="122" t="s">
        <v>58</v>
      </c>
      <c r="L7" s="122" t="s">
        <v>59</v>
      </c>
      <c r="M7" s="122" t="s">
        <v>60</v>
      </c>
      <c r="N7" s="123" t="s">
        <v>58</v>
      </c>
      <c r="O7" s="123" t="s">
        <v>59</v>
      </c>
      <c r="P7" s="123" t="s">
        <v>60</v>
      </c>
    </row>
    <row r="8" spans="1:19" ht="12.75" customHeight="1">
      <c r="A8" s="95"/>
      <c r="B8" s="96"/>
      <c r="C8" s="97" t="s">
        <v>43</v>
      </c>
      <c r="D8" s="98"/>
      <c r="E8" s="99"/>
      <c r="F8" s="99"/>
      <c r="G8" s="99"/>
      <c r="J8" s="6"/>
      <c r="K8" s="128"/>
      <c r="L8" s="129"/>
      <c r="M8" s="130"/>
      <c r="N8" s="130"/>
      <c r="O8" s="130"/>
      <c r="P8" s="131"/>
    </row>
    <row r="9" spans="1:19" ht="12.75" customHeight="1">
      <c r="A9" s="33">
        <v>5</v>
      </c>
      <c r="B9" s="36"/>
      <c r="C9" s="55" t="s">
        <v>12</v>
      </c>
      <c r="D9" s="12"/>
      <c r="E9" s="13"/>
      <c r="F9" s="61"/>
      <c r="G9" s="61"/>
      <c r="H9" s="17">
        <f>SUM(G10:G11)</f>
        <v>93845459</v>
      </c>
      <c r="I9" s="94">
        <f>+H9/$H$14</f>
        <v>0.97451132382434935</v>
      </c>
      <c r="J9" s="6"/>
      <c r="K9" s="133"/>
      <c r="L9" s="134"/>
      <c r="M9" s="135"/>
      <c r="N9" s="135"/>
      <c r="O9" s="135"/>
      <c r="P9" s="136"/>
      <c r="R9" s="23"/>
    </row>
    <row r="10" spans="1:19" ht="13" outlineLevel="1">
      <c r="A10" s="30">
        <v>5.01</v>
      </c>
      <c r="B10" s="24" t="s">
        <v>2</v>
      </c>
      <c r="C10" s="47" t="s">
        <v>13</v>
      </c>
      <c r="D10" s="59" t="s">
        <v>11</v>
      </c>
      <c r="E10" s="31">
        <f>+Computos!R12</f>
        <v>83</v>
      </c>
      <c r="F10" s="63">
        <v>888733</v>
      </c>
      <c r="G10" s="110">
        <f>+F10*E10</f>
        <v>73764839</v>
      </c>
      <c r="I10" s="7"/>
      <c r="K10" s="124">
        <v>0</v>
      </c>
      <c r="L10" s="124">
        <v>0.03</v>
      </c>
      <c r="M10" s="125">
        <f>+K10+L10</f>
        <v>0.03</v>
      </c>
      <c r="N10" s="126">
        <f>G10*K10</f>
        <v>0</v>
      </c>
      <c r="O10" s="126">
        <f>G10*L10</f>
        <v>2212945.17</v>
      </c>
      <c r="P10" s="126">
        <f>G10*M10</f>
        <v>2212945.17</v>
      </c>
      <c r="S10" s="132"/>
    </row>
    <row r="11" spans="1:19" ht="13" outlineLevel="1">
      <c r="A11" s="5">
        <v>5.0199999999999996</v>
      </c>
      <c r="B11" s="9" t="s">
        <v>2</v>
      </c>
      <c r="C11" s="46" t="s">
        <v>14</v>
      </c>
      <c r="D11" s="34" t="s">
        <v>11</v>
      </c>
      <c r="E11" s="28">
        <f>+Computos!R14</f>
        <v>12</v>
      </c>
      <c r="F11" s="62">
        <v>1673385</v>
      </c>
      <c r="G11" s="108">
        <f>+F11*E11</f>
        <v>20080620</v>
      </c>
      <c r="I11" s="7"/>
      <c r="K11" s="124">
        <v>0</v>
      </c>
      <c r="L11" s="124"/>
      <c r="M11" s="125">
        <f>+K11+L11</f>
        <v>0</v>
      </c>
      <c r="N11" s="126">
        <f>G11*K11</f>
        <v>0</v>
      </c>
      <c r="O11" s="126">
        <f>G11*L11</f>
        <v>0</v>
      </c>
      <c r="P11" s="126">
        <f>G11*M11</f>
        <v>0</v>
      </c>
      <c r="S11" s="132"/>
    </row>
    <row r="12" spans="1:19" ht="12.75" customHeight="1">
      <c r="A12" s="33">
        <v>6</v>
      </c>
      <c r="B12" s="36"/>
      <c r="C12" s="55" t="s">
        <v>15</v>
      </c>
      <c r="D12" s="12"/>
      <c r="E12" s="13"/>
      <c r="F12" s="61"/>
      <c r="G12" s="61"/>
      <c r="H12" s="17">
        <f>SUM(G13:G13)</f>
        <v>2454560</v>
      </c>
      <c r="I12" s="56">
        <f>+H12/$H$14</f>
        <v>2.54886761756506E-2</v>
      </c>
      <c r="K12" s="133"/>
      <c r="L12" s="134"/>
      <c r="M12" s="135"/>
      <c r="N12" s="135"/>
      <c r="O12" s="137">
        <f t="shared" ref="O12" si="0">+G12*L12</f>
        <v>0</v>
      </c>
      <c r="P12" s="136"/>
    </row>
    <row r="13" spans="1:19" ht="13" outlineLevel="1">
      <c r="A13" s="5">
        <v>6.01</v>
      </c>
      <c r="B13" s="9" t="s">
        <v>2</v>
      </c>
      <c r="C13" s="46" t="s">
        <v>16</v>
      </c>
      <c r="D13" s="27" t="s">
        <v>0</v>
      </c>
      <c r="E13" s="28">
        <v>460</v>
      </c>
      <c r="F13" s="62">
        <v>5336</v>
      </c>
      <c r="G13" s="108">
        <f>+F13*E13</f>
        <v>2454560</v>
      </c>
      <c r="I13" s="7"/>
      <c r="K13" s="124">
        <v>0</v>
      </c>
      <c r="L13" s="127">
        <v>0</v>
      </c>
      <c r="M13" s="125">
        <f>+K13+L13</f>
        <v>0</v>
      </c>
      <c r="N13" s="126">
        <f>+G13*K13</f>
        <v>0</v>
      </c>
      <c r="O13" s="126">
        <f t="shared" ref="O13:P13" si="1">+H13*L13</f>
        <v>0</v>
      </c>
      <c r="P13" s="126">
        <f t="shared" si="1"/>
        <v>0</v>
      </c>
    </row>
    <row r="14" spans="1:19" ht="12.75" customHeight="1">
      <c r="A14" s="33" t="s">
        <v>17</v>
      </c>
      <c r="B14" s="36"/>
      <c r="C14" s="45" t="s">
        <v>52</v>
      </c>
      <c r="D14" s="12"/>
      <c r="E14" s="13"/>
      <c r="F14" s="61"/>
      <c r="G14" s="61">
        <f>SUM(G10:G13)</f>
        <v>96300019</v>
      </c>
      <c r="H14" s="17">
        <f>SUM(H9:H13)</f>
        <v>96300019</v>
      </c>
      <c r="I14" s="7">
        <f>+SUM(I9:I13)</f>
        <v>1</v>
      </c>
      <c r="K14" s="133"/>
      <c r="L14" s="134"/>
      <c r="M14" s="135"/>
      <c r="N14" s="135">
        <f>+SUM(N9:N13)</f>
        <v>0</v>
      </c>
      <c r="O14" s="138">
        <f>+SUM(O9:O13)</f>
        <v>2212945.17</v>
      </c>
      <c r="P14" s="138">
        <f>+SUM(P9:P13)</f>
        <v>2212945.17</v>
      </c>
    </row>
    <row r="15" spans="1:19" ht="12.75" customHeight="1">
      <c r="K15" s="139"/>
      <c r="L15" s="140"/>
      <c r="M15" s="141"/>
      <c r="N15" s="141"/>
      <c r="O15" s="141"/>
      <c r="P15" s="142"/>
    </row>
    <row r="16" spans="1:19" ht="12.75" customHeight="1">
      <c r="A16" s="100" t="s">
        <v>3</v>
      </c>
      <c r="B16" s="101"/>
      <c r="C16" s="48" t="s">
        <v>53</v>
      </c>
      <c r="D16" s="102"/>
      <c r="E16" s="25"/>
      <c r="F16" s="111"/>
      <c r="G16" s="111"/>
      <c r="H16" s="112" t="e">
        <f>+H14-#REF!</f>
        <v>#REF!</v>
      </c>
      <c r="K16" s="143"/>
      <c r="L16" s="143"/>
      <c r="M16" s="144"/>
      <c r="N16" s="145"/>
      <c r="O16" s="145"/>
      <c r="P16" s="145"/>
    </row>
    <row r="17" spans="3:16" ht="12.75" customHeight="1">
      <c r="K17" s="143"/>
      <c r="L17" s="143"/>
      <c r="M17" s="144"/>
      <c r="N17" s="144"/>
      <c r="O17" s="146"/>
      <c r="P17" s="144"/>
    </row>
    <row r="18" spans="3:16" ht="12.75" customHeight="1">
      <c r="C18" s="103" t="s">
        <v>54</v>
      </c>
      <c r="K18" s="143"/>
      <c r="L18" s="143"/>
      <c r="M18" s="144"/>
      <c r="N18" s="144"/>
      <c r="O18" s="144"/>
      <c r="P18" s="144"/>
    </row>
    <row r="19" spans="3:16" ht="12.75" customHeight="1">
      <c r="C19" s="103"/>
    </row>
  </sheetData>
  <phoneticPr fontId="56" type="noConversion"/>
  <conditionalFormatting sqref="B1:B1048576">
    <cfRule type="cellIs" dxfId="20" priority="78" operator="equal">
      <formula>"C"</formula>
    </cfRule>
    <cfRule type="cellIs" dxfId="19" priority="83" operator="equal">
      <formula>"R"</formula>
    </cfRule>
    <cfRule type="cellIs" dxfId="18" priority="84" operator="equal">
      <formula>"IN"</formula>
    </cfRule>
    <cfRule type="cellIs" dxfId="17" priority="85" operator="equal">
      <formula>"OK"</formula>
    </cfRule>
    <cfRule type="cellIs" dxfId="16" priority="86" operator="equal">
      <formula>"SR"</formula>
    </cfRule>
  </conditionalFormatting>
  <conditionalFormatting sqref="D3:D9">
    <cfRule type="cellIs" dxfId="15" priority="8" operator="equal">
      <formula>"x"</formula>
    </cfRule>
  </conditionalFormatting>
  <conditionalFormatting sqref="D12">
    <cfRule type="cellIs" dxfId="14" priority="5" operator="equal">
      <formula>"x"</formula>
    </cfRule>
  </conditionalFormatting>
  <conditionalFormatting sqref="D14">
    <cfRule type="cellIs" dxfId="13" priority="4" operator="equal">
      <formula>"x"</formula>
    </cfRule>
  </conditionalFormatting>
  <conditionalFormatting sqref="M10:M11 M13">
    <cfRule type="cellIs" dxfId="12" priority="3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490BA-1DCC-455F-A3BC-DF347DB89155}">
  <dimension ref="A1:Q26"/>
  <sheetViews>
    <sheetView workbookViewId="0">
      <selection activeCell="K10" sqref="K10"/>
    </sheetView>
  </sheetViews>
  <sheetFormatPr defaultColWidth="11.54296875" defaultRowHeight="12.75" customHeight="1" outlineLevelRow="1"/>
  <cols>
    <col min="1" max="1" width="6.54296875" style="32" bestFit="1" customWidth="1"/>
    <col min="2" max="2" width="53.26953125" style="38" bestFit="1" customWidth="1"/>
    <col min="3" max="3" width="3.54296875" style="35" customWidth="1"/>
    <col min="4" max="4" width="5.7265625" style="29" bestFit="1" customWidth="1"/>
    <col min="5" max="5" width="10" style="109" bestFit="1" customWidth="1"/>
    <col min="6" max="6" width="12" style="109" bestFit="1" customWidth="1"/>
    <col min="7" max="7" width="12" style="107" bestFit="1" customWidth="1"/>
    <col min="8" max="8" width="5.26953125" style="4" bestFit="1" customWidth="1"/>
    <col min="9" max="9" width="14.453125" style="4" bestFit="1" customWidth="1"/>
    <col min="10" max="10" width="16.26953125" style="4" bestFit="1" customWidth="1"/>
    <col min="11" max="11" width="18.7265625" style="4" customWidth="1"/>
    <col min="12" max="13" width="13.453125" style="4" bestFit="1" customWidth="1"/>
    <col min="14" max="14" width="15.453125" style="4" customWidth="1"/>
    <col min="15" max="15" width="12.453125" style="4" bestFit="1" customWidth="1"/>
    <col min="16" max="16384" width="11.54296875" style="4"/>
  </cols>
  <sheetData>
    <row r="1" spans="1:17" ht="12.75" customHeight="1">
      <c r="E1" s="104"/>
      <c r="F1" s="21"/>
      <c r="G1" s="21"/>
    </row>
    <row r="2" spans="1:17" ht="13">
      <c r="E2" s="104"/>
      <c r="F2" s="21"/>
      <c r="G2" s="21"/>
    </row>
    <row r="3" spans="1:17" s="1" customFormat="1" ht="13">
      <c r="A3" s="57"/>
      <c r="B3" s="42"/>
      <c r="C3" s="2"/>
      <c r="D3" s="19"/>
      <c r="E3" s="19"/>
      <c r="F3" s="19"/>
      <c r="G3" s="105"/>
    </row>
    <row r="4" spans="1:17" s="1" customFormat="1" ht="13">
      <c r="A4" s="57"/>
      <c r="B4" s="42"/>
      <c r="C4" s="2"/>
      <c r="D4" s="19"/>
      <c r="E4" s="19"/>
      <c r="F4" s="58">
        <v>45930</v>
      </c>
      <c r="G4" s="105"/>
      <c r="I4" s="113" t="s">
        <v>55</v>
      </c>
      <c r="J4" s="114">
        <v>2</v>
      </c>
      <c r="K4" s="115"/>
      <c r="L4" s="116"/>
      <c r="M4" s="117"/>
      <c r="N4" s="118">
        <v>45930</v>
      </c>
    </row>
    <row r="5" spans="1:17" s="1" customFormat="1" ht="13">
      <c r="A5" s="57"/>
      <c r="B5" s="43" t="s">
        <v>4</v>
      </c>
      <c r="C5" s="2"/>
      <c r="D5" s="19"/>
      <c r="E5" s="16"/>
      <c r="F5" s="16"/>
      <c r="G5" s="105"/>
      <c r="I5" s="119"/>
      <c r="J5" s="120"/>
      <c r="K5" s="119"/>
      <c r="L5" s="121"/>
      <c r="M5" s="121"/>
      <c r="N5" s="121"/>
    </row>
    <row r="6" spans="1:17" s="1" customFormat="1" ht="13">
      <c r="A6" s="57"/>
      <c r="B6" s="43" t="s">
        <v>73</v>
      </c>
      <c r="C6" s="49"/>
      <c r="D6" s="50"/>
      <c r="E6" s="106"/>
      <c r="F6" s="106"/>
      <c r="G6" s="105"/>
      <c r="I6" s="122" t="s">
        <v>56</v>
      </c>
      <c r="J6" s="122"/>
      <c r="K6" s="122"/>
      <c r="L6" s="123" t="s">
        <v>57</v>
      </c>
      <c r="M6" s="123"/>
      <c r="N6" s="123"/>
    </row>
    <row r="7" spans="1:17" ht="13">
      <c r="A7" s="33" t="s">
        <v>5</v>
      </c>
      <c r="B7" s="44" t="s">
        <v>7</v>
      </c>
      <c r="C7" s="11" t="s">
        <v>8</v>
      </c>
      <c r="D7" s="18" t="s">
        <v>9</v>
      </c>
      <c r="E7" s="18" t="s">
        <v>10</v>
      </c>
      <c r="F7" s="18" t="s">
        <v>1</v>
      </c>
      <c r="I7" s="122" t="s">
        <v>58</v>
      </c>
      <c r="J7" s="122" t="s">
        <v>59</v>
      </c>
      <c r="K7" s="122" t="s">
        <v>60</v>
      </c>
      <c r="L7" s="123" t="s">
        <v>58</v>
      </c>
      <c r="M7" s="123" t="s">
        <v>59</v>
      </c>
      <c r="N7" s="123" t="s">
        <v>60</v>
      </c>
    </row>
    <row r="8" spans="1:17" ht="12.75" customHeight="1">
      <c r="A8" s="95"/>
      <c r="B8" s="97" t="s">
        <v>43</v>
      </c>
      <c r="C8" s="98"/>
      <c r="D8" s="99"/>
      <c r="E8" s="99"/>
      <c r="F8" s="99"/>
      <c r="I8" s="140"/>
      <c r="J8" s="140"/>
      <c r="K8" s="141"/>
      <c r="L8" s="141"/>
      <c r="M8" s="141"/>
      <c r="N8" s="141"/>
    </row>
    <row r="9" spans="1:17" ht="12.75" customHeight="1">
      <c r="A9" s="33">
        <v>5</v>
      </c>
      <c r="B9" s="55" t="s">
        <v>12</v>
      </c>
      <c r="C9" s="12"/>
      <c r="D9" s="13"/>
      <c r="E9" s="61"/>
      <c r="F9" s="61"/>
      <c r="G9" s="17">
        <f>SUM(F10:F11)</f>
        <v>93845459</v>
      </c>
      <c r="H9" s="218">
        <f>+G9/$G$14</f>
        <v>0.97451132382434935</v>
      </c>
      <c r="I9" s="129"/>
      <c r="J9" s="129"/>
      <c r="K9" s="130"/>
      <c r="L9" s="130"/>
      <c r="M9" s="130"/>
      <c r="N9" s="130"/>
      <c r="P9" s="23"/>
    </row>
    <row r="10" spans="1:17" ht="13" outlineLevel="1">
      <c r="A10" s="30">
        <v>5.01</v>
      </c>
      <c r="B10" s="47" t="s">
        <v>13</v>
      </c>
      <c r="C10" s="59" t="s">
        <v>11</v>
      </c>
      <c r="D10" s="31">
        <f>+Computos!R12</f>
        <v>83</v>
      </c>
      <c r="E10" s="63">
        <v>888733</v>
      </c>
      <c r="F10" s="110">
        <f>+E10*D10</f>
        <v>73764839</v>
      </c>
      <c r="H10" s="7"/>
      <c r="I10" s="124">
        <v>0.03</v>
      </c>
      <c r="J10" s="124">
        <v>0.32279999999999998</v>
      </c>
      <c r="K10" s="125">
        <f>+I10+J10</f>
        <v>0.3528</v>
      </c>
      <c r="L10" s="126">
        <f>F10*I10</f>
        <v>2212945.17</v>
      </c>
      <c r="M10" s="126">
        <f>F10*J10</f>
        <v>23811290.029199999</v>
      </c>
      <c r="N10" s="126">
        <f>F10*K10</f>
        <v>26024235.199200001</v>
      </c>
      <c r="P10" s="147"/>
      <c r="Q10" s="132"/>
    </row>
    <row r="11" spans="1:17" ht="13" outlineLevel="1">
      <c r="A11" s="5">
        <v>5.0199999999999996</v>
      </c>
      <c r="B11" s="46" t="s">
        <v>14</v>
      </c>
      <c r="C11" s="34" t="s">
        <v>11</v>
      </c>
      <c r="D11" s="28">
        <f>+Computos!R14</f>
        <v>12</v>
      </c>
      <c r="E11" s="62">
        <v>1673385</v>
      </c>
      <c r="F11" s="108">
        <f>+E11*D11</f>
        <v>20080620</v>
      </c>
      <c r="H11" s="7"/>
      <c r="I11" s="124">
        <v>0</v>
      </c>
      <c r="J11" s="124">
        <v>0</v>
      </c>
      <c r="K11" s="125">
        <f>+I11+J11</f>
        <v>0</v>
      </c>
      <c r="L11" s="215">
        <f>F11*I11</f>
        <v>0</v>
      </c>
      <c r="M11" s="215">
        <f>F11*J11</f>
        <v>0</v>
      </c>
      <c r="N11" s="215">
        <f>F11*K11</f>
        <v>0</v>
      </c>
      <c r="Q11" s="132"/>
    </row>
    <row r="12" spans="1:17" ht="12.75" customHeight="1">
      <c r="A12" s="33">
        <v>6</v>
      </c>
      <c r="B12" s="55" t="s">
        <v>15</v>
      </c>
      <c r="C12" s="12"/>
      <c r="D12" s="13"/>
      <c r="E12" s="61"/>
      <c r="F12" s="61"/>
      <c r="G12" s="17">
        <f>SUM(F13:F13)</f>
        <v>2454560</v>
      </c>
      <c r="H12" s="219">
        <f>+G12/$G$14</f>
        <v>2.54886761756506E-2</v>
      </c>
      <c r="I12" s="212"/>
      <c r="J12" s="212"/>
      <c r="K12" s="213"/>
      <c r="L12" s="213"/>
      <c r="M12" s="220"/>
      <c r="N12" s="213"/>
    </row>
    <row r="13" spans="1:17" ht="13" outlineLevel="1">
      <c r="A13" s="5">
        <v>6.01</v>
      </c>
      <c r="B13" s="46" t="s">
        <v>16</v>
      </c>
      <c r="C13" s="27" t="s">
        <v>0</v>
      </c>
      <c r="D13" s="28">
        <v>460</v>
      </c>
      <c r="E13" s="62">
        <v>5336</v>
      </c>
      <c r="F13" s="108">
        <f>+E13*D13</f>
        <v>2454560</v>
      </c>
      <c r="H13" s="7"/>
      <c r="I13" s="124">
        <v>0</v>
      </c>
      <c r="J13" s="127">
        <v>0</v>
      </c>
      <c r="K13" s="125">
        <f>+I13+J13</f>
        <v>0</v>
      </c>
      <c r="L13" s="216">
        <f>+F13*I13</f>
        <v>0</v>
      </c>
      <c r="M13" s="216">
        <f>+G13*J13</f>
        <v>0</v>
      </c>
      <c r="N13" s="216">
        <f>+H13*K13</f>
        <v>0</v>
      </c>
    </row>
    <row r="14" spans="1:17" ht="12.75" customHeight="1">
      <c r="A14" s="33" t="s">
        <v>17</v>
      </c>
      <c r="B14" s="45" t="s">
        <v>52</v>
      </c>
      <c r="C14" s="12"/>
      <c r="D14" s="13"/>
      <c r="E14" s="61"/>
      <c r="F14" s="61">
        <f>SUM(F10:F13)</f>
        <v>96300019</v>
      </c>
      <c r="G14" s="17">
        <f>SUM(G9:G13)</f>
        <v>96300019</v>
      </c>
      <c r="H14" s="7">
        <f>+SUM(H9:H13)</f>
        <v>1</v>
      </c>
      <c r="I14" s="211"/>
      <c r="J14" s="212"/>
      <c r="K14" s="213"/>
      <c r="L14" s="213">
        <f>+SUM(L9:L13)</f>
        <v>2212945.17</v>
      </c>
      <c r="M14" s="214">
        <f>+SUM(M9:M13)</f>
        <v>23811290.029199999</v>
      </c>
      <c r="N14" s="217">
        <f>+SUM(N9:N13)</f>
        <v>26024235.199200001</v>
      </c>
    </row>
    <row r="15" spans="1:17" ht="12.75" customHeight="1">
      <c r="I15" s="140"/>
      <c r="J15" s="140"/>
      <c r="K15" s="141"/>
      <c r="L15" s="141"/>
      <c r="M15" s="141"/>
      <c r="N15" s="141"/>
    </row>
    <row r="16" spans="1:17" ht="12.75" customHeight="1">
      <c r="I16" s="143"/>
      <c r="J16" s="143"/>
      <c r="K16" s="144"/>
      <c r="L16" s="144"/>
      <c r="M16" s="146"/>
      <c r="N16" s="144"/>
    </row>
    <row r="17" spans="1:14" ht="12.75" customHeight="1">
      <c r="B17" s="103" t="s">
        <v>54</v>
      </c>
      <c r="I17" s="143"/>
      <c r="J17" s="143"/>
      <c r="K17" s="144"/>
      <c r="L17" s="144"/>
      <c r="M17" s="144"/>
      <c r="N17" s="144"/>
    </row>
    <row r="18" spans="1:14" ht="12.75" customHeight="1">
      <c r="B18" s="103"/>
    </row>
    <row r="19" spans="1:14" ht="12.75" customHeight="1">
      <c r="A19" s="148"/>
      <c r="B19" s="149" t="s">
        <v>61</v>
      </c>
      <c r="C19" s="150"/>
      <c r="D19" s="151"/>
      <c r="E19" s="152"/>
      <c r="F19" s="153"/>
      <c r="G19" s="154"/>
      <c r="H19" s="154"/>
      <c r="I19" s="153"/>
      <c r="J19" s="155"/>
      <c r="K19" s="156" t="s">
        <v>62</v>
      </c>
      <c r="L19" s="157">
        <f>J4</f>
        <v>2</v>
      </c>
      <c r="M19" s="158"/>
      <c r="N19" s="159">
        <f>N4</f>
        <v>45930</v>
      </c>
    </row>
    <row r="20" spans="1:14" ht="12.75" customHeight="1">
      <c r="A20" s="160"/>
      <c r="B20" s="149" t="s">
        <v>7</v>
      </c>
      <c r="C20" s="161"/>
      <c r="D20" s="162"/>
      <c r="E20" s="163"/>
      <c r="F20" s="154"/>
      <c r="G20" s="154"/>
      <c r="H20" s="154"/>
      <c r="I20" s="154"/>
      <c r="J20" s="158"/>
      <c r="K20" s="154"/>
      <c r="L20" s="154"/>
      <c r="M20" s="158" t="s">
        <v>63</v>
      </c>
      <c r="N20" s="164" t="s">
        <v>64</v>
      </c>
    </row>
    <row r="21" spans="1:14" ht="12.75" customHeight="1">
      <c r="A21" s="185" t="s">
        <v>65</v>
      </c>
      <c r="B21" s="186" t="s">
        <v>66</v>
      </c>
      <c r="C21" s="185"/>
      <c r="D21" s="187"/>
      <c r="E21" s="188"/>
      <c r="F21" s="189"/>
      <c r="G21" s="190"/>
      <c r="H21" s="190"/>
      <c r="I21" s="189"/>
      <c r="J21" s="191"/>
      <c r="K21" s="189"/>
      <c r="L21" s="189"/>
      <c r="M21" s="189"/>
      <c r="N21" s="192">
        <f>G14</f>
        <v>96300019</v>
      </c>
    </row>
    <row r="22" spans="1:14" ht="12.75" customHeight="1">
      <c r="A22" s="165" t="s">
        <v>17</v>
      </c>
      <c r="B22" s="166" t="s">
        <v>67</v>
      </c>
      <c r="C22" s="167"/>
      <c r="D22" s="168"/>
      <c r="E22" s="169"/>
      <c r="F22" s="170"/>
      <c r="G22" s="171"/>
      <c r="H22" s="171"/>
      <c r="I22" s="170"/>
      <c r="J22" s="172"/>
      <c r="K22" s="170"/>
      <c r="L22" s="170"/>
      <c r="M22" s="184"/>
      <c r="N22" s="173">
        <f>+M22*N21</f>
        <v>0</v>
      </c>
    </row>
    <row r="23" spans="1:14" ht="12.75" customHeight="1">
      <c r="A23" s="193" t="s">
        <v>3</v>
      </c>
      <c r="B23" s="194" t="s">
        <v>68</v>
      </c>
      <c r="C23" s="195"/>
      <c r="D23" s="196"/>
      <c r="E23" s="197"/>
      <c r="F23" s="198"/>
      <c r="G23" s="199"/>
      <c r="H23" s="199"/>
      <c r="I23" s="198"/>
      <c r="J23" s="200"/>
      <c r="K23" s="198"/>
      <c r="L23" s="198"/>
      <c r="M23" s="201"/>
      <c r="N23" s="202">
        <f>M14</f>
        <v>23811290.029199999</v>
      </c>
    </row>
    <row r="24" spans="1:14" ht="12.75" customHeight="1">
      <c r="A24" s="174" t="s">
        <v>69</v>
      </c>
      <c r="B24" s="175" t="s">
        <v>70</v>
      </c>
      <c r="C24" s="176"/>
      <c r="D24" s="177"/>
      <c r="E24" s="178"/>
      <c r="F24" s="179"/>
      <c r="G24" s="180"/>
      <c r="H24" s="180"/>
      <c r="I24" s="179"/>
      <c r="J24" s="181"/>
      <c r="K24" s="179"/>
      <c r="L24" s="179"/>
      <c r="M24" s="182">
        <f>-M22</f>
        <v>0</v>
      </c>
      <c r="N24" s="183">
        <f>+M24*N23</f>
        <v>0</v>
      </c>
    </row>
    <row r="25" spans="1:14" ht="12.75" customHeight="1">
      <c r="A25" s="203" t="s">
        <v>6</v>
      </c>
      <c r="B25" s="204" t="s">
        <v>71</v>
      </c>
      <c r="C25" s="205"/>
      <c r="D25" s="206"/>
      <c r="E25" s="207"/>
      <c r="F25" s="199"/>
      <c r="G25" s="199"/>
      <c r="H25" s="199"/>
      <c r="I25" s="199"/>
      <c r="J25" s="208"/>
      <c r="K25" s="199"/>
      <c r="L25" s="199"/>
      <c r="M25" s="209"/>
      <c r="N25" s="210">
        <f>+N23+N24</f>
        <v>23811290.029199999</v>
      </c>
    </row>
    <row r="26" spans="1:14" ht="12.75" customHeight="1">
      <c r="B26" s="38" t="s">
        <v>72</v>
      </c>
    </row>
  </sheetData>
  <conditionalFormatting sqref="C3:C9">
    <cfRule type="cellIs" dxfId="11" priority="4" operator="equal">
      <formula>"x"</formula>
    </cfRule>
  </conditionalFormatting>
  <conditionalFormatting sqref="C12">
    <cfRule type="cellIs" dxfId="10" priority="3" operator="equal">
      <formula>"x"</formula>
    </cfRule>
  </conditionalFormatting>
  <conditionalFormatting sqref="C14">
    <cfRule type="cellIs" dxfId="9" priority="2" operator="equal">
      <formula>"x"</formula>
    </cfRule>
  </conditionalFormatting>
  <conditionalFormatting sqref="K10:K11 K13">
    <cfRule type="cellIs" dxfId="8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B83B2-389D-4F4B-9273-6006C7E6A448}">
  <dimension ref="A1:Q26"/>
  <sheetViews>
    <sheetView workbookViewId="0">
      <selection activeCell="J10" sqref="J10:K10"/>
    </sheetView>
  </sheetViews>
  <sheetFormatPr defaultColWidth="11.54296875" defaultRowHeight="12.75" customHeight="1" outlineLevelRow="1"/>
  <cols>
    <col min="1" max="1" width="6.54296875" style="32" bestFit="1" customWidth="1"/>
    <col min="2" max="2" width="53.26953125" style="38" bestFit="1" customWidth="1"/>
    <col min="3" max="3" width="3.54296875" style="35" customWidth="1"/>
    <col min="4" max="4" width="5.7265625" style="29" bestFit="1" customWidth="1"/>
    <col min="5" max="5" width="10" style="109" bestFit="1" customWidth="1"/>
    <col min="6" max="6" width="12" style="109" bestFit="1" customWidth="1"/>
    <col min="7" max="7" width="12" style="107" bestFit="1" customWidth="1"/>
    <col min="8" max="8" width="5.26953125" style="4" bestFit="1" customWidth="1"/>
    <col min="9" max="9" width="14.453125" style="4" bestFit="1" customWidth="1"/>
    <col min="10" max="10" width="16.26953125" style="4" bestFit="1" customWidth="1"/>
    <col min="11" max="11" width="18.7265625" style="4" customWidth="1"/>
    <col min="12" max="13" width="13.453125" style="4" bestFit="1" customWidth="1"/>
    <col min="14" max="14" width="15.453125" style="4" customWidth="1"/>
    <col min="15" max="15" width="12.453125" style="4" bestFit="1" customWidth="1"/>
    <col min="16" max="16384" width="11.54296875" style="4"/>
  </cols>
  <sheetData>
    <row r="1" spans="1:17" ht="12.75" customHeight="1">
      <c r="E1" s="104"/>
      <c r="F1" s="21"/>
      <c r="G1" s="21"/>
    </row>
    <row r="2" spans="1:17" ht="13">
      <c r="E2" s="104"/>
      <c r="F2" s="21"/>
      <c r="G2" s="21"/>
    </row>
    <row r="3" spans="1:17" s="1" customFormat="1" ht="13">
      <c r="A3" s="57"/>
      <c r="B3" s="42"/>
      <c r="C3" s="2"/>
      <c r="D3" s="19"/>
      <c r="E3" s="19"/>
      <c r="F3" s="19"/>
      <c r="G3" s="105"/>
    </row>
    <row r="4" spans="1:17" s="1" customFormat="1" ht="13">
      <c r="A4" s="57"/>
      <c r="B4" s="42"/>
      <c r="C4" s="2"/>
      <c r="D4" s="19"/>
      <c r="E4" s="19"/>
      <c r="F4" s="58">
        <v>45930</v>
      </c>
      <c r="G4" s="105"/>
      <c r="I4" s="113" t="s">
        <v>55</v>
      </c>
      <c r="J4" s="114">
        <v>3</v>
      </c>
      <c r="K4" s="115"/>
      <c r="L4" s="116"/>
      <c r="M4" s="117"/>
      <c r="N4" s="118">
        <v>45958</v>
      </c>
    </row>
    <row r="5" spans="1:17" s="1" customFormat="1" ht="13">
      <c r="A5" s="57"/>
      <c r="B5" s="43" t="s">
        <v>4</v>
      </c>
      <c r="C5" s="2"/>
      <c r="D5" s="19"/>
      <c r="E5" s="16"/>
      <c r="F5" s="16"/>
      <c r="G5" s="105"/>
      <c r="I5" s="119"/>
      <c r="J5" s="120"/>
      <c r="K5" s="119"/>
      <c r="L5" s="121"/>
      <c r="M5" s="121"/>
      <c r="N5" s="121"/>
    </row>
    <row r="6" spans="1:17" s="1" customFormat="1" ht="13">
      <c r="A6" s="57"/>
      <c r="B6" s="43" t="s">
        <v>74</v>
      </c>
      <c r="C6" s="49"/>
      <c r="D6" s="50"/>
      <c r="E6" s="106"/>
      <c r="F6" s="106"/>
      <c r="G6" s="105"/>
      <c r="I6" s="122" t="s">
        <v>56</v>
      </c>
      <c r="J6" s="122"/>
      <c r="K6" s="122"/>
      <c r="L6" s="123" t="s">
        <v>57</v>
      </c>
      <c r="M6" s="123"/>
      <c r="N6" s="123"/>
    </row>
    <row r="7" spans="1:17" ht="13">
      <c r="A7" s="33" t="s">
        <v>5</v>
      </c>
      <c r="B7" s="44" t="s">
        <v>7</v>
      </c>
      <c r="C7" s="11" t="s">
        <v>8</v>
      </c>
      <c r="D7" s="18" t="s">
        <v>9</v>
      </c>
      <c r="E7" s="18" t="s">
        <v>10</v>
      </c>
      <c r="F7" s="18" t="s">
        <v>1</v>
      </c>
      <c r="I7" s="122" t="s">
        <v>58</v>
      </c>
      <c r="J7" s="122" t="s">
        <v>59</v>
      </c>
      <c r="K7" s="122" t="s">
        <v>60</v>
      </c>
      <c r="L7" s="123" t="s">
        <v>58</v>
      </c>
      <c r="M7" s="123" t="s">
        <v>59</v>
      </c>
      <c r="N7" s="123" t="s">
        <v>60</v>
      </c>
    </row>
    <row r="8" spans="1:17" ht="12.75" customHeight="1">
      <c r="A8" s="95"/>
      <c r="B8" s="97" t="s">
        <v>43</v>
      </c>
      <c r="C8" s="98"/>
      <c r="D8" s="99"/>
      <c r="E8" s="99"/>
      <c r="F8" s="99"/>
      <c r="I8" s="140"/>
      <c r="J8" s="140"/>
      <c r="K8" s="141"/>
      <c r="L8" s="141"/>
      <c r="M8" s="141"/>
      <c r="N8" s="141"/>
    </row>
    <row r="9" spans="1:17" ht="12.75" customHeight="1">
      <c r="A9" s="33">
        <v>5</v>
      </c>
      <c r="B9" s="55" t="s">
        <v>12</v>
      </c>
      <c r="C9" s="12"/>
      <c r="D9" s="13"/>
      <c r="E9" s="61"/>
      <c r="F9" s="61"/>
      <c r="G9" s="17">
        <f>SUM(F10:F11)</f>
        <v>93845459</v>
      </c>
      <c r="H9" s="218">
        <f>+G9/$G$14</f>
        <v>0.97451132382434935</v>
      </c>
      <c r="I9" s="129"/>
      <c r="J9" s="129"/>
      <c r="K9" s="130"/>
      <c r="L9" s="130"/>
      <c r="M9" s="130"/>
      <c r="N9" s="130"/>
      <c r="P9" s="23"/>
    </row>
    <row r="10" spans="1:17" ht="13" outlineLevel="1">
      <c r="A10" s="30">
        <v>5.01</v>
      </c>
      <c r="B10" s="47" t="s">
        <v>13</v>
      </c>
      <c r="C10" s="59" t="s">
        <v>11</v>
      </c>
      <c r="D10" s="31">
        <f>+Computos!R12</f>
        <v>83</v>
      </c>
      <c r="E10" s="63">
        <v>888733</v>
      </c>
      <c r="F10" s="110">
        <f>+E10*D10</f>
        <v>73764839</v>
      </c>
      <c r="H10" s="7"/>
      <c r="I10" s="124">
        <f>32.28%+3%</f>
        <v>0.3528</v>
      </c>
      <c r="J10" s="124">
        <v>0.32279999999999998</v>
      </c>
      <c r="K10" s="125">
        <f>+I10+J10</f>
        <v>0.67559999999999998</v>
      </c>
      <c r="L10" s="126">
        <f>F10*I10</f>
        <v>26024235.199200001</v>
      </c>
      <c r="M10" s="126">
        <f>F10*J10</f>
        <v>23811290.029199999</v>
      </c>
      <c r="N10" s="126">
        <f>F10*K10</f>
        <v>49835525.228399999</v>
      </c>
      <c r="P10" s="147"/>
      <c r="Q10" s="132"/>
    </row>
    <row r="11" spans="1:17" ht="13" outlineLevel="1">
      <c r="A11" s="5">
        <v>5.0199999999999996</v>
      </c>
      <c r="B11" s="46" t="s">
        <v>14</v>
      </c>
      <c r="C11" s="34" t="s">
        <v>11</v>
      </c>
      <c r="D11" s="28">
        <f>+Computos!R14</f>
        <v>12</v>
      </c>
      <c r="E11" s="62">
        <v>1673385</v>
      </c>
      <c r="F11" s="108">
        <f>+E11*D11</f>
        <v>20080620</v>
      </c>
      <c r="H11" s="7"/>
      <c r="I11" s="124">
        <v>0</v>
      </c>
      <c r="J11" s="124">
        <v>0.56599999999999995</v>
      </c>
      <c r="K11" s="125">
        <f>+I11+J11</f>
        <v>0.56599999999999995</v>
      </c>
      <c r="L11" s="215">
        <f>F11*I11</f>
        <v>0</v>
      </c>
      <c r="M11" s="215">
        <f>F11*J11</f>
        <v>11365630.919999998</v>
      </c>
      <c r="N11" s="215">
        <f>F11*K11</f>
        <v>11365630.919999998</v>
      </c>
      <c r="P11" s="147"/>
      <c r="Q11" s="132"/>
    </row>
    <row r="12" spans="1:17" ht="12.75" customHeight="1">
      <c r="A12" s="33">
        <v>6</v>
      </c>
      <c r="B12" s="55" t="s">
        <v>15</v>
      </c>
      <c r="C12" s="12"/>
      <c r="D12" s="13"/>
      <c r="E12" s="61"/>
      <c r="F12" s="61"/>
      <c r="G12" s="17">
        <f>SUM(F13:F13)</f>
        <v>2454560</v>
      </c>
      <c r="H12" s="219">
        <f>+G12/$G$14</f>
        <v>2.54886761756506E-2</v>
      </c>
      <c r="I12" s="212"/>
      <c r="J12" s="212"/>
      <c r="K12" s="213"/>
      <c r="L12" s="213"/>
      <c r="M12" s="220"/>
      <c r="N12" s="213"/>
    </row>
    <row r="13" spans="1:17" ht="13" outlineLevel="1">
      <c r="A13" s="5">
        <v>6.01</v>
      </c>
      <c r="B13" s="46" t="s">
        <v>16</v>
      </c>
      <c r="C13" s="27" t="s">
        <v>0</v>
      </c>
      <c r="D13" s="28">
        <v>460</v>
      </c>
      <c r="E13" s="62">
        <v>5336</v>
      </c>
      <c r="F13" s="108">
        <f>+E13*D13</f>
        <v>2454560</v>
      </c>
      <c r="H13" s="7"/>
      <c r="I13" s="124">
        <v>0</v>
      </c>
      <c r="J13" s="127">
        <v>0</v>
      </c>
      <c r="K13" s="125">
        <f>+I13+J13</f>
        <v>0</v>
      </c>
      <c r="L13" s="216">
        <f>+F13*I13</f>
        <v>0</v>
      </c>
      <c r="M13" s="216">
        <f>+G13*J13</f>
        <v>0</v>
      </c>
      <c r="N13" s="216">
        <f>+H13*K13</f>
        <v>0</v>
      </c>
    </row>
    <row r="14" spans="1:17" ht="12.75" customHeight="1">
      <c r="A14" s="33" t="s">
        <v>17</v>
      </c>
      <c r="B14" s="45" t="s">
        <v>52</v>
      </c>
      <c r="C14" s="12"/>
      <c r="D14" s="13"/>
      <c r="E14" s="61"/>
      <c r="F14" s="61">
        <f>SUM(F10:F13)</f>
        <v>96300019</v>
      </c>
      <c r="G14" s="17">
        <f>SUM(G9:G13)</f>
        <v>96300019</v>
      </c>
      <c r="H14" s="7">
        <f>+SUM(H9:H13)</f>
        <v>1</v>
      </c>
      <c r="I14" s="211"/>
      <c r="J14" s="212"/>
      <c r="K14" s="213"/>
      <c r="L14" s="213">
        <f>+SUM(L9:L13)</f>
        <v>26024235.199200001</v>
      </c>
      <c r="M14" s="214">
        <f>+SUM(M9:M13)</f>
        <v>35176920.949199997</v>
      </c>
      <c r="N14" s="217">
        <f>+SUM(N9:N13)</f>
        <v>61201156.148399994</v>
      </c>
    </row>
    <row r="15" spans="1:17" ht="12.75" customHeight="1">
      <c r="I15" s="140"/>
      <c r="J15" s="140"/>
      <c r="K15" s="141"/>
      <c r="L15" s="141"/>
      <c r="M15" s="141"/>
      <c r="N15" s="141"/>
    </row>
    <row r="16" spans="1:17" ht="12.75" customHeight="1">
      <c r="I16" s="143"/>
      <c r="J16" s="143"/>
      <c r="K16" s="144"/>
      <c r="L16" s="144"/>
      <c r="M16" s="146"/>
      <c r="N16" s="144"/>
    </row>
    <row r="17" spans="1:14" ht="12.75" customHeight="1">
      <c r="B17" s="103" t="s">
        <v>54</v>
      </c>
      <c r="I17" s="143"/>
      <c r="J17" s="143"/>
      <c r="K17" s="144"/>
      <c r="L17" s="144"/>
      <c r="M17" s="144"/>
      <c r="N17" s="144"/>
    </row>
    <row r="18" spans="1:14" ht="12.75" customHeight="1">
      <c r="B18" s="103"/>
    </row>
    <row r="19" spans="1:14" ht="12.75" customHeight="1">
      <c r="A19" s="148"/>
      <c r="B19" s="149" t="s">
        <v>61</v>
      </c>
      <c r="C19" s="150"/>
      <c r="D19" s="151"/>
      <c r="E19" s="152"/>
      <c r="F19" s="153"/>
      <c r="G19" s="154"/>
      <c r="H19" s="154"/>
      <c r="I19" s="153"/>
      <c r="J19" s="155"/>
      <c r="K19" s="156" t="s">
        <v>62</v>
      </c>
      <c r="L19" s="157">
        <f>J4</f>
        <v>3</v>
      </c>
      <c r="M19" s="158"/>
      <c r="N19" s="159">
        <f>N4</f>
        <v>45958</v>
      </c>
    </row>
    <row r="20" spans="1:14" ht="12.75" customHeight="1">
      <c r="A20" s="160"/>
      <c r="B20" s="149" t="s">
        <v>7</v>
      </c>
      <c r="C20" s="161"/>
      <c r="D20" s="162"/>
      <c r="E20" s="163"/>
      <c r="F20" s="154"/>
      <c r="G20" s="154"/>
      <c r="H20" s="154"/>
      <c r="I20" s="154"/>
      <c r="J20" s="158"/>
      <c r="K20" s="154"/>
      <c r="L20" s="154"/>
      <c r="M20" s="158" t="s">
        <v>63</v>
      </c>
      <c r="N20" s="164" t="s">
        <v>64</v>
      </c>
    </row>
    <row r="21" spans="1:14" ht="12.75" customHeight="1">
      <c r="A21" s="185" t="s">
        <v>65</v>
      </c>
      <c r="B21" s="186" t="s">
        <v>66</v>
      </c>
      <c r="C21" s="185"/>
      <c r="D21" s="187"/>
      <c r="E21" s="188"/>
      <c r="F21" s="189"/>
      <c r="G21" s="190"/>
      <c r="H21" s="190"/>
      <c r="I21" s="189"/>
      <c r="J21" s="191"/>
      <c r="K21" s="189"/>
      <c r="L21" s="189"/>
      <c r="M21" s="189"/>
      <c r="N21" s="192">
        <f>G14</f>
        <v>96300019</v>
      </c>
    </row>
    <row r="22" spans="1:14" ht="12.75" customHeight="1">
      <c r="A22" s="165" t="s">
        <v>17</v>
      </c>
      <c r="B22" s="166" t="s">
        <v>67</v>
      </c>
      <c r="C22" s="167"/>
      <c r="D22" s="168"/>
      <c r="E22" s="169"/>
      <c r="F22" s="170"/>
      <c r="G22" s="171"/>
      <c r="H22" s="171"/>
      <c r="I22" s="170"/>
      <c r="J22" s="172"/>
      <c r="K22" s="170"/>
      <c r="L22" s="170"/>
      <c r="M22" s="184"/>
      <c r="N22" s="173">
        <f>+M22*N21</f>
        <v>0</v>
      </c>
    </row>
    <row r="23" spans="1:14" ht="12.75" customHeight="1">
      <c r="A23" s="193" t="s">
        <v>3</v>
      </c>
      <c r="B23" s="194" t="s">
        <v>68</v>
      </c>
      <c r="C23" s="195"/>
      <c r="D23" s="196"/>
      <c r="E23" s="197"/>
      <c r="F23" s="198"/>
      <c r="G23" s="199"/>
      <c r="H23" s="199"/>
      <c r="I23" s="198"/>
      <c r="J23" s="200"/>
      <c r="K23" s="198"/>
      <c r="L23" s="198"/>
      <c r="M23" s="201"/>
      <c r="N23" s="202">
        <f>M14</f>
        <v>35176920.949199997</v>
      </c>
    </row>
    <row r="24" spans="1:14" ht="12.75" customHeight="1">
      <c r="A24" s="174" t="s">
        <v>69</v>
      </c>
      <c r="B24" s="175" t="s">
        <v>70</v>
      </c>
      <c r="C24" s="176"/>
      <c r="D24" s="177"/>
      <c r="E24" s="178"/>
      <c r="F24" s="179"/>
      <c r="G24" s="180"/>
      <c r="H24" s="180"/>
      <c r="I24" s="179"/>
      <c r="J24" s="181"/>
      <c r="K24" s="179"/>
      <c r="L24" s="179"/>
      <c r="M24" s="182">
        <f>-M22</f>
        <v>0</v>
      </c>
      <c r="N24" s="183">
        <f>+M24*N23</f>
        <v>0</v>
      </c>
    </row>
    <row r="25" spans="1:14" ht="12.75" customHeight="1">
      <c r="A25" s="203" t="s">
        <v>6</v>
      </c>
      <c r="B25" s="204" t="s">
        <v>71</v>
      </c>
      <c r="C25" s="205"/>
      <c r="D25" s="206"/>
      <c r="E25" s="207"/>
      <c r="F25" s="199"/>
      <c r="G25" s="199"/>
      <c r="H25" s="199"/>
      <c r="I25" s="199"/>
      <c r="J25" s="208"/>
      <c r="K25" s="199"/>
      <c r="L25" s="199"/>
      <c r="M25" s="209"/>
      <c r="N25" s="210">
        <f>+N23+N24</f>
        <v>35176920.949199997</v>
      </c>
    </row>
    <row r="26" spans="1:14" ht="12.75" customHeight="1">
      <c r="B26" s="38" t="s">
        <v>72</v>
      </c>
    </row>
  </sheetData>
  <conditionalFormatting sqref="C3:C9">
    <cfRule type="cellIs" dxfId="7" priority="4" operator="equal">
      <formula>"x"</formula>
    </cfRule>
  </conditionalFormatting>
  <conditionalFormatting sqref="C12">
    <cfRule type="cellIs" dxfId="6" priority="3" operator="equal">
      <formula>"x"</formula>
    </cfRule>
  </conditionalFormatting>
  <conditionalFormatting sqref="C14">
    <cfRule type="cellIs" dxfId="5" priority="2" operator="equal">
      <formula>"x"</formula>
    </cfRule>
  </conditionalFormatting>
  <conditionalFormatting sqref="K10:K11 K13">
    <cfRule type="cellIs" dxfId="4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569CF-474F-4502-8738-81FA2351AE02}">
  <sheetPr>
    <tabColor rgb="FF92D050"/>
  </sheetPr>
  <dimension ref="B2:T23"/>
  <sheetViews>
    <sheetView workbookViewId="0">
      <selection activeCell="L12" sqref="L12"/>
    </sheetView>
  </sheetViews>
  <sheetFormatPr defaultColWidth="11.54296875" defaultRowHeight="12.5"/>
  <cols>
    <col min="1" max="1" width="11.54296875" style="60"/>
    <col min="2" max="2" width="20.1796875" style="60" bestFit="1" customWidth="1"/>
    <col min="3" max="3" width="7.7265625" style="60" bestFit="1" customWidth="1"/>
    <col min="4" max="4" width="9" style="60" bestFit="1" customWidth="1"/>
    <col min="5" max="5" width="7.54296875" style="60" bestFit="1" customWidth="1"/>
    <col min="6" max="10" width="6.54296875" style="60" bestFit="1" customWidth="1"/>
    <col min="11" max="11" width="5.54296875" style="60" bestFit="1" customWidth="1"/>
    <col min="12" max="12" width="5.81640625" style="60" bestFit="1" customWidth="1"/>
    <col min="13" max="13" width="9" style="60" bestFit="1" customWidth="1"/>
    <col min="14" max="14" width="11.54296875" style="60"/>
    <col min="15" max="15" width="12.54296875" style="60" bestFit="1" customWidth="1"/>
    <col min="16" max="16" width="6.54296875" style="60" bestFit="1" customWidth="1"/>
    <col min="17" max="17" width="11.54296875" style="60"/>
    <col min="18" max="18" width="6.54296875" style="60" bestFit="1" customWidth="1"/>
    <col min="19" max="16384" width="11.54296875" style="60"/>
  </cols>
  <sheetData>
    <row r="2" spans="2:20" ht="13">
      <c r="B2" s="52" t="s">
        <v>50</v>
      </c>
    </row>
    <row r="3" spans="2:20" ht="13">
      <c r="B3" s="15" t="s">
        <v>51</v>
      </c>
    </row>
    <row r="4" spans="2:20" ht="13">
      <c r="B4" s="64"/>
      <c r="C4" s="20"/>
      <c r="D4" s="221" t="s">
        <v>45</v>
      </c>
      <c r="E4" s="221"/>
      <c r="F4" s="221"/>
      <c r="G4" s="221"/>
      <c r="H4" s="221"/>
      <c r="I4" s="221"/>
      <c r="J4" s="221"/>
      <c r="K4" s="221"/>
      <c r="L4" s="221"/>
      <c r="M4" s="53"/>
      <c r="N4" s="53"/>
      <c r="O4" s="53"/>
      <c r="P4" s="53"/>
    </row>
    <row r="5" spans="2:20" ht="13">
      <c r="B5" s="65" t="s">
        <v>20</v>
      </c>
      <c r="C5" s="66" t="s">
        <v>21</v>
      </c>
      <c r="D5" s="66" t="s">
        <v>42</v>
      </c>
      <c r="E5" s="67" t="s">
        <v>22</v>
      </c>
      <c r="F5" s="68" t="s">
        <v>23</v>
      </c>
      <c r="G5" s="68" t="s">
        <v>24</v>
      </c>
      <c r="H5" s="68" t="s">
        <v>25</v>
      </c>
      <c r="I5" s="68" t="s">
        <v>26</v>
      </c>
      <c r="J5" s="68" t="s">
        <v>27</v>
      </c>
      <c r="K5" s="68" t="s">
        <v>28</v>
      </c>
      <c r="L5" s="69" t="s">
        <v>46</v>
      </c>
      <c r="M5" s="66" t="s">
        <v>47</v>
      </c>
      <c r="N5" s="71"/>
      <c r="O5" s="66" t="s">
        <v>48</v>
      </c>
      <c r="P5" s="70" t="s">
        <v>49</v>
      </c>
    </row>
    <row r="6" spans="2:20" ht="13">
      <c r="B6" s="40" t="s">
        <v>29</v>
      </c>
      <c r="C6" s="26" t="s">
        <v>11</v>
      </c>
      <c r="D6" s="90"/>
      <c r="E6" s="91">
        <v>50.826619918206923</v>
      </c>
      <c r="F6" s="92">
        <v>0</v>
      </c>
      <c r="G6" s="92">
        <v>0</v>
      </c>
      <c r="H6" s="92">
        <v>0</v>
      </c>
      <c r="I6" s="92">
        <v>0</v>
      </c>
      <c r="J6" s="92">
        <v>0</v>
      </c>
      <c r="K6" s="92">
        <v>0</v>
      </c>
      <c r="L6" s="93">
        <v>0</v>
      </c>
      <c r="M6" s="90">
        <v>50.8</v>
      </c>
      <c r="N6" s="74"/>
      <c r="O6" s="72">
        <v>50.8</v>
      </c>
      <c r="P6" s="73">
        <f t="shared" ref="P6:P20" si="0">+M6-O6</f>
        <v>0</v>
      </c>
      <c r="T6" s="60">
        <v>50.8</v>
      </c>
    </row>
    <row r="7" spans="2:20" ht="13">
      <c r="B7" s="22" t="s">
        <v>30</v>
      </c>
      <c r="C7" s="8" t="s">
        <v>11</v>
      </c>
      <c r="D7" s="75"/>
      <c r="E7" s="76">
        <v>6.9334500000000023</v>
      </c>
      <c r="F7" s="77">
        <v>0</v>
      </c>
      <c r="G7" s="77">
        <v>0</v>
      </c>
      <c r="H7" s="77">
        <v>0</v>
      </c>
      <c r="I7" s="77">
        <v>0</v>
      </c>
      <c r="J7" s="77">
        <v>0</v>
      </c>
      <c r="K7" s="77">
        <v>0</v>
      </c>
      <c r="L7" s="78">
        <v>0</v>
      </c>
      <c r="M7" s="75">
        <v>6.9</v>
      </c>
      <c r="N7" s="74"/>
      <c r="O7" s="75">
        <v>6.9</v>
      </c>
      <c r="P7" s="73">
        <f t="shared" si="0"/>
        <v>0</v>
      </c>
      <c r="T7" s="60">
        <v>6.9</v>
      </c>
    </row>
    <row r="8" spans="2:20" ht="13">
      <c r="B8" s="22" t="s">
        <v>32</v>
      </c>
      <c r="C8" s="8" t="s">
        <v>11</v>
      </c>
      <c r="D8" s="75"/>
      <c r="E8" s="76">
        <v>20.096999999999994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8">
        <v>0</v>
      </c>
      <c r="M8" s="75">
        <v>20.100000000000001</v>
      </c>
      <c r="N8" s="74"/>
      <c r="O8" s="75">
        <v>20.100000000000001</v>
      </c>
      <c r="P8" s="73">
        <f t="shared" si="0"/>
        <v>0</v>
      </c>
      <c r="T8" s="60">
        <v>20.100000000000001</v>
      </c>
    </row>
    <row r="9" spans="2:20" ht="13">
      <c r="B9" s="22" t="s">
        <v>31</v>
      </c>
      <c r="C9" s="8" t="s">
        <v>11</v>
      </c>
      <c r="D9" s="75"/>
      <c r="E9" s="76">
        <v>37.586559999999999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8">
        <v>0</v>
      </c>
      <c r="M9" s="75">
        <v>37.6</v>
      </c>
      <c r="N9" s="74"/>
      <c r="O9" s="75">
        <v>37.6</v>
      </c>
      <c r="P9" s="73">
        <f t="shared" si="0"/>
        <v>0</v>
      </c>
      <c r="T9" s="60">
        <v>37.6</v>
      </c>
    </row>
    <row r="10" spans="2:20" ht="13">
      <c r="B10" s="22" t="s">
        <v>33</v>
      </c>
      <c r="C10" s="8" t="s">
        <v>11</v>
      </c>
      <c r="D10" s="75"/>
      <c r="E10" s="76">
        <v>11.136000000000001</v>
      </c>
      <c r="F10" s="77">
        <v>0</v>
      </c>
      <c r="G10" s="77">
        <v>0</v>
      </c>
      <c r="H10" s="77">
        <v>0</v>
      </c>
      <c r="I10" s="77">
        <v>0</v>
      </c>
      <c r="J10" s="77">
        <v>0</v>
      </c>
      <c r="K10" s="77">
        <v>0</v>
      </c>
      <c r="L10" s="78">
        <v>0</v>
      </c>
      <c r="M10" s="75">
        <v>11.1</v>
      </c>
      <c r="N10" s="74"/>
      <c r="O10" s="75">
        <v>11.1</v>
      </c>
      <c r="P10" s="73">
        <f t="shared" si="0"/>
        <v>0</v>
      </c>
      <c r="T10" s="60">
        <v>11.1</v>
      </c>
    </row>
    <row r="11" spans="2:20" ht="13">
      <c r="B11" s="22" t="s">
        <v>19</v>
      </c>
      <c r="C11" s="8" t="s">
        <v>11</v>
      </c>
      <c r="D11" s="75"/>
      <c r="E11" s="76">
        <v>0</v>
      </c>
      <c r="F11" s="77">
        <v>11.997383999999998</v>
      </c>
      <c r="G11" s="77">
        <v>0</v>
      </c>
      <c r="H11" s="77">
        <v>0</v>
      </c>
      <c r="I11" s="77">
        <v>0</v>
      </c>
      <c r="J11" s="77">
        <v>0</v>
      </c>
      <c r="K11" s="77">
        <v>0</v>
      </c>
      <c r="L11" s="78">
        <v>2.3273999999999999</v>
      </c>
      <c r="M11" s="75">
        <v>14.3</v>
      </c>
      <c r="N11" s="74"/>
      <c r="O11" s="75">
        <v>89.3</v>
      </c>
      <c r="P11" s="73">
        <f t="shared" si="0"/>
        <v>-75</v>
      </c>
      <c r="R11" s="75">
        <f>-ROUNDUP(P11,0)</f>
        <v>75</v>
      </c>
      <c r="T11" s="60">
        <v>89.3</v>
      </c>
    </row>
    <row r="12" spans="2:20" ht="13">
      <c r="B12" s="22" t="s">
        <v>34</v>
      </c>
      <c r="C12" s="8" t="s">
        <v>11</v>
      </c>
      <c r="D12" s="75"/>
      <c r="E12" s="76"/>
      <c r="F12" s="77">
        <v>7.4543999999999997</v>
      </c>
      <c r="G12" s="77">
        <v>26.797511999999994</v>
      </c>
      <c r="H12" s="77">
        <v>26.797511999999994</v>
      </c>
      <c r="I12" s="77">
        <v>26.866727999999998</v>
      </c>
      <c r="J12" s="77">
        <v>22.882476</v>
      </c>
      <c r="K12" s="77">
        <v>0</v>
      </c>
      <c r="L12" s="78">
        <v>2.9152499999999999</v>
      </c>
      <c r="M12" s="75">
        <v>113.7</v>
      </c>
      <c r="N12" s="74"/>
      <c r="O12" s="75">
        <v>31.6</v>
      </c>
      <c r="P12" s="73">
        <f t="shared" si="0"/>
        <v>82.1</v>
      </c>
      <c r="R12" s="75">
        <f>+ROUNDUP(P12,0)</f>
        <v>83</v>
      </c>
      <c r="T12" s="60">
        <v>31.6</v>
      </c>
    </row>
    <row r="13" spans="2:20" ht="13">
      <c r="B13" s="22" t="s">
        <v>18</v>
      </c>
      <c r="C13" s="8" t="s">
        <v>11</v>
      </c>
      <c r="D13" s="75"/>
      <c r="E13" s="76">
        <v>0</v>
      </c>
      <c r="F13" s="77">
        <v>17.221935000000002</v>
      </c>
      <c r="G13" s="77">
        <v>3.1752199999999995</v>
      </c>
      <c r="H13" s="77">
        <v>3.1752199999999995</v>
      </c>
      <c r="I13" s="77">
        <v>3.2742199999999997</v>
      </c>
      <c r="J13" s="77">
        <v>3.8929799999999988</v>
      </c>
      <c r="K13" s="77">
        <v>1.4460000000000002</v>
      </c>
      <c r="L13" s="78">
        <v>0</v>
      </c>
      <c r="M13" s="75">
        <v>32.200000000000003</v>
      </c>
      <c r="N13" s="74"/>
      <c r="O13" s="75">
        <v>40.5</v>
      </c>
      <c r="P13" s="73">
        <f t="shared" si="0"/>
        <v>-8.2999999999999972</v>
      </c>
      <c r="R13" s="75">
        <f>-ROUNDUP(P13,0)</f>
        <v>9</v>
      </c>
      <c r="T13" s="60">
        <v>40.5</v>
      </c>
    </row>
    <row r="14" spans="2:20" ht="13">
      <c r="B14" s="22" t="s">
        <v>35</v>
      </c>
      <c r="C14" s="8" t="s">
        <v>11</v>
      </c>
      <c r="D14" s="75"/>
      <c r="E14" s="76">
        <v>0</v>
      </c>
      <c r="F14" s="77">
        <v>15.925599999999999</v>
      </c>
      <c r="G14" s="77">
        <v>7.3077599999999991</v>
      </c>
      <c r="H14" s="77">
        <v>7.3077599999999991</v>
      </c>
      <c r="I14" s="77">
        <v>7.3666999999999998</v>
      </c>
      <c r="J14" s="77">
        <v>7.0449599999999979</v>
      </c>
      <c r="K14" s="77">
        <v>1.7083499999999996</v>
      </c>
      <c r="L14" s="78">
        <v>0</v>
      </c>
      <c r="M14" s="75">
        <v>46.7</v>
      </c>
      <c r="N14" s="74"/>
      <c r="O14" s="75">
        <v>35.5</v>
      </c>
      <c r="P14" s="73">
        <f t="shared" si="0"/>
        <v>11.200000000000003</v>
      </c>
      <c r="R14" s="75">
        <f>+ROUNDUP(P14,0)</f>
        <v>12</v>
      </c>
      <c r="T14" s="60">
        <v>35.5</v>
      </c>
    </row>
    <row r="15" spans="2:20" ht="13">
      <c r="B15" s="22" t="s">
        <v>36</v>
      </c>
      <c r="C15" s="8" t="s">
        <v>11</v>
      </c>
      <c r="D15" s="75"/>
      <c r="E15" s="76">
        <v>0</v>
      </c>
      <c r="F15" s="77">
        <v>6.3149250000000006</v>
      </c>
      <c r="G15" s="77">
        <v>3.1106699999999998</v>
      </c>
      <c r="H15" s="77">
        <v>3.1106699999999998</v>
      </c>
      <c r="I15" s="77">
        <v>3.1106699999999998</v>
      </c>
      <c r="J15" s="77">
        <v>3.1106699999999998</v>
      </c>
      <c r="K15" s="77">
        <v>2.8708349999999996</v>
      </c>
      <c r="L15" s="78">
        <v>0</v>
      </c>
      <c r="M15" s="75">
        <v>21.6</v>
      </c>
      <c r="N15" s="74"/>
      <c r="O15" s="75">
        <v>23.2</v>
      </c>
      <c r="P15" s="73">
        <f t="shared" si="0"/>
        <v>-1.5999999999999979</v>
      </c>
      <c r="R15" s="75"/>
      <c r="T15" s="60">
        <v>23.2</v>
      </c>
    </row>
    <row r="16" spans="2:20" ht="13">
      <c r="B16" s="22" t="s">
        <v>37</v>
      </c>
      <c r="C16" s="8" t="s">
        <v>11</v>
      </c>
      <c r="D16" s="75"/>
      <c r="E16" s="76">
        <v>0</v>
      </c>
      <c r="F16" s="77">
        <v>10.416239999999997</v>
      </c>
      <c r="G16" s="77">
        <v>7.246990000000002</v>
      </c>
      <c r="H16" s="77">
        <v>7.246990000000002</v>
      </c>
      <c r="I16" s="77">
        <v>7.0699600000000018</v>
      </c>
      <c r="J16" s="77">
        <v>6.6653200000000012</v>
      </c>
      <c r="K16" s="77">
        <v>0.80478000000000005</v>
      </c>
      <c r="L16" s="78">
        <v>0</v>
      </c>
      <c r="M16" s="75">
        <v>39.5</v>
      </c>
      <c r="N16" s="74"/>
      <c r="O16" s="75">
        <v>38.200000000000003</v>
      </c>
      <c r="P16" s="73">
        <f t="shared" si="0"/>
        <v>1.2999999999999972</v>
      </c>
      <c r="R16" s="75"/>
      <c r="T16" s="60">
        <v>38.200000000000003</v>
      </c>
    </row>
    <row r="17" spans="2:20" ht="13">
      <c r="B17" s="22" t="s">
        <v>38</v>
      </c>
      <c r="C17" s="8" t="s">
        <v>11</v>
      </c>
      <c r="D17" s="75"/>
      <c r="E17" s="76"/>
      <c r="F17" s="77">
        <v>0.76727999999999996</v>
      </c>
      <c r="G17" s="77">
        <v>0.58448000000000011</v>
      </c>
      <c r="H17" s="77">
        <v>0.58448000000000011</v>
      </c>
      <c r="I17" s="77">
        <v>0.58448000000000011</v>
      </c>
      <c r="J17" s="77">
        <v>0.58448000000000011</v>
      </c>
      <c r="K17" s="77">
        <v>0.53248000000000006</v>
      </c>
      <c r="L17" s="78"/>
      <c r="M17" s="75">
        <v>3.6</v>
      </c>
      <c r="N17" s="74"/>
      <c r="O17" s="75">
        <v>3.1</v>
      </c>
      <c r="P17" s="73">
        <f t="shared" si="0"/>
        <v>0.5</v>
      </c>
      <c r="R17" s="75"/>
      <c r="T17" s="60">
        <v>3.1</v>
      </c>
    </row>
    <row r="18" spans="2:20" ht="13">
      <c r="B18" s="22" t="s">
        <v>39</v>
      </c>
      <c r="C18" s="8" t="s">
        <v>11</v>
      </c>
      <c r="D18" s="75"/>
      <c r="E18" s="76">
        <v>15.534710000000004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8">
        <v>0</v>
      </c>
      <c r="M18" s="75">
        <v>15.5</v>
      </c>
      <c r="N18" s="74"/>
      <c r="O18" s="75">
        <v>15.5</v>
      </c>
      <c r="P18" s="73">
        <f t="shared" si="0"/>
        <v>0</v>
      </c>
      <c r="R18" s="75"/>
      <c r="T18" s="60">
        <v>15.5</v>
      </c>
    </row>
    <row r="19" spans="2:20" ht="13">
      <c r="B19" s="22" t="s">
        <v>40</v>
      </c>
      <c r="C19" s="8" t="s">
        <v>11</v>
      </c>
      <c r="D19" s="75"/>
      <c r="E19" s="76">
        <v>0</v>
      </c>
      <c r="F19" s="77">
        <v>1.875</v>
      </c>
      <c r="G19" s="77">
        <v>1.8374999999999999</v>
      </c>
      <c r="H19" s="77">
        <v>1.8374999999999999</v>
      </c>
      <c r="I19" s="77">
        <v>1.8125</v>
      </c>
      <c r="J19" s="77">
        <v>1.875</v>
      </c>
      <c r="K19" s="77">
        <v>0</v>
      </c>
      <c r="L19" s="78">
        <v>0</v>
      </c>
      <c r="M19" s="75">
        <v>9.1999999999999993</v>
      </c>
      <c r="N19" s="74"/>
      <c r="O19" s="75">
        <v>9.1999999999999993</v>
      </c>
      <c r="P19" s="73">
        <f t="shared" si="0"/>
        <v>0</v>
      </c>
      <c r="R19" s="75"/>
      <c r="T19" s="60">
        <v>9.1999999999999993</v>
      </c>
    </row>
    <row r="20" spans="2:20" ht="13">
      <c r="B20" s="39" t="s">
        <v>41</v>
      </c>
      <c r="C20" s="37"/>
      <c r="D20" s="79"/>
      <c r="E20" s="80">
        <v>0</v>
      </c>
      <c r="F20" s="81">
        <v>0</v>
      </c>
      <c r="G20" s="81">
        <v>0</v>
      </c>
      <c r="H20" s="81">
        <v>0</v>
      </c>
      <c r="I20" s="81">
        <v>0</v>
      </c>
      <c r="J20" s="81">
        <v>0</v>
      </c>
      <c r="K20" s="81">
        <v>0</v>
      </c>
      <c r="L20" s="82">
        <v>0</v>
      </c>
      <c r="M20" s="83">
        <v>0</v>
      </c>
      <c r="N20" s="74"/>
      <c r="O20" s="83">
        <v>5.0999999999999996</v>
      </c>
      <c r="P20" s="73">
        <f t="shared" si="0"/>
        <v>-5.0999999999999996</v>
      </c>
      <c r="R20" s="83">
        <f>-ROUNDUP(P20,0)</f>
        <v>6</v>
      </c>
      <c r="T20" s="60">
        <v>5.0999999999999996</v>
      </c>
    </row>
    <row r="21" spans="2:20" ht="13">
      <c r="B21" s="64"/>
      <c r="C21" s="20"/>
      <c r="D21" s="54"/>
      <c r="E21" s="54">
        <f t="shared" ref="E21:M21" si="1">+SUM(E6:E20)</f>
        <v>142.11433991820689</v>
      </c>
      <c r="F21" s="54">
        <f t="shared" si="1"/>
        <v>71.972763999999998</v>
      </c>
      <c r="G21" s="54">
        <f t="shared" si="1"/>
        <v>50.060131999999996</v>
      </c>
      <c r="H21" s="54">
        <f t="shared" si="1"/>
        <v>50.060131999999996</v>
      </c>
      <c r="I21" s="54">
        <f t="shared" si="1"/>
        <v>50.085257999999996</v>
      </c>
      <c r="J21" s="54">
        <f t="shared" si="1"/>
        <v>46.055885999999994</v>
      </c>
      <c r="K21" s="54">
        <f t="shared" si="1"/>
        <v>7.3624449999999992</v>
      </c>
      <c r="L21" s="54">
        <f>+SUM(L6:L20)</f>
        <v>5.2426499999999994</v>
      </c>
      <c r="M21" s="89">
        <f t="shared" si="1"/>
        <v>422.8</v>
      </c>
      <c r="N21" s="86"/>
      <c r="O21" s="84">
        <f>+SUM(O6:O20)</f>
        <v>417.7</v>
      </c>
      <c r="P21" s="85">
        <f>+SUM(P6:P20)</f>
        <v>5.0999999999999996</v>
      </c>
    </row>
    <row r="22" spans="2:20" ht="13">
      <c r="B22" s="87"/>
      <c r="C22" s="20"/>
      <c r="D22" s="54"/>
      <c r="E22" s="88"/>
      <c r="F22" s="88"/>
      <c r="G22" s="88"/>
      <c r="H22" s="88"/>
      <c r="I22" s="88"/>
      <c r="J22" s="88"/>
      <c r="K22" s="88"/>
      <c r="L22" s="88"/>
      <c r="M22" s="86"/>
      <c r="N22" s="51"/>
      <c r="O22" s="53"/>
      <c r="P22" s="53"/>
    </row>
    <row r="23" spans="2:20" ht="13">
      <c r="B23" s="87"/>
      <c r="C23" s="20"/>
      <c r="D23" s="54"/>
      <c r="E23" s="88"/>
      <c r="F23" s="88"/>
      <c r="G23" s="88"/>
      <c r="H23" s="88"/>
      <c r="I23" s="88"/>
      <c r="J23" s="88"/>
      <c r="K23" s="88"/>
      <c r="L23" s="88"/>
      <c r="M23" s="86"/>
      <c r="N23" s="51"/>
      <c r="O23" s="53"/>
      <c r="P23" s="53"/>
    </row>
  </sheetData>
  <mergeCells count="1">
    <mergeCell ref="D4:L4"/>
  </mergeCells>
  <conditionalFormatting sqref="D6:L9 M6:M19 E10:L17 D11:D14 D16:D17 D18:L18 E19:J19 L19 K19:K20 E21:M21">
    <cfRule type="cellIs" dxfId="3" priority="5" operator="equal">
      <formula>0</formula>
    </cfRule>
  </conditionalFormatting>
  <conditionalFormatting sqref="O6:O19">
    <cfRule type="cellIs" dxfId="2" priority="4" operator="equal">
      <formula>0</formula>
    </cfRule>
  </conditionalFormatting>
  <conditionalFormatting sqref="O21">
    <cfRule type="cellIs" dxfId="1" priority="3" operator="equal">
      <formula>0</formula>
    </cfRule>
  </conditionalFormatting>
  <conditionalFormatting sqref="R11:R19">
    <cfRule type="cellIs" dxfId="0" priority="1" operator="equal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2" ma:contentTypeDescription="Crear nuevo documento." ma:contentTypeScope="" ma:versionID="61a71a3d95d7a853bd689e1010fefd3e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b1a638ef3bf32d927ff5f3c419465762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27e8e7-8070-4f55-ac82-ef9a73aa74fb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1AD27E-EB53-465C-A035-BB47F4EBE295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  <ds:schemaRef ds:uri="ec0867ba-afc9-41d7-832d-70b193b46750"/>
    <ds:schemaRef ds:uri="861eec1e-dfcf-41d4-8b29-b5dd7f9f56d3"/>
  </ds:schemaRefs>
</ds:datastoreItem>
</file>

<file path=customXml/itemProps2.xml><?xml version="1.0" encoding="utf-8"?>
<ds:datastoreItem xmlns:ds="http://schemas.openxmlformats.org/officeDocument/2006/customXml" ds:itemID="{07227BE1-B505-40DE-B097-AFC2C45E90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F463961-2AD1-4AEC-BCC2-AFDB340AFB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Adic. N°1</vt:lpstr>
      <vt:lpstr>Adic. N°2</vt:lpstr>
      <vt:lpstr>Adic. N°3</vt:lpstr>
      <vt:lpstr>Computos</vt:lpstr>
      <vt:lpstr>'Adic. N°1'!Print_Area</vt:lpstr>
      <vt:lpstr>'Adic. N°2'!Print_Area</vt:lpstr>
      <vt:lpstr>'Adic. N°3'!Print_Area</vt:lpstr>
      <vt:lpstr>'Adic. N°1'!Print_Titles</vt:lpstr>
      <vt:lpstr>'Adic. N°2'!Print_Titles</vt:lpstr>
      <vt:lpstr>'Adic. N°3'!Print_Titles</vt:lpstr>
    </vt:vector>
  </TitlesOfParts>
  <Manager/>
  <Company>ALDABE-ARAGON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MARIELA2</dc:creator>
  <cp:keywords/>
  <dc:description/>
  <cp:lastModifiedBy>Pedro Pagliaricci</cp:lastModifiedBy>
  <cp:revision/>
  <dcterms:created xsi:type="dcterms:W3CDTF">2008-01-22T16:54:47Z</dcterms:created>
  <dcterms:modified xsi:type="dcterms:W3CDTF">2026-06-22T12:42:08Z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