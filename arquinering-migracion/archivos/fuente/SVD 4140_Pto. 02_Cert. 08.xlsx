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RQUINERING SRL\Oficina Tecnica - Documentos\1. Obras en Curso\12. SVD 4140\01. El Salvador 4140\09. Certificados de avance de obra\Pto 02\"/>
    </mc:Choice>
  </mc:AlternateContent>
  <xr:revisionPtr revIDLastSave="0" documentId="13_ncr:1_{0315B003-735C-4AE1-B0EE-2C7CAC4A8085}" xr6:coauthVersionLast="47" xr6:coauthVersionMax="47" xr10:uidLastSave="{00000000-0000-0000-0000-000000000000}"/>
  <bookViews>
    <workbookView xWindow="28680" yWindow="-120" windowWidth="29040" windowHeight="15720" firstSheet="3" activeTab="7" xr2:uid="{250B93F4-F0FF-4613-A308-19649844FF57}"/>
  </bookViews>
  <sheets>
    <sheet name="SVD 4140_Pto. 01_Cert. 01" sheetId="6" r:id="rId1"/>
    <sheet name="SVD 4140_Pto. 01_Cert. 02" sheetId="7" r:id="rId2"/>
    <sheet name="SVD 4140_Pto. 01_Cert. 03" sheetId="8" r:id="rId3"/>
    <sheet name="SVD 4140_Pto. 01_Cert. 04" sheetId="9" r:id="rId4"/>
    <sheet name="SVD 4140_Pto. 01_Cert. 05" sheetId="10" r:id="rId5"/>
    <sheet name="SVD 4140_Pto. 01_Cert. 06" sheetId="11" r:id="rId6"/>
    <sheet name="SVD 4140_Pto. 01_Cert. 07" sheetId="12" r:id="rId7"/>
    <sheet name="SVD 4140_Pto. 01_Cert. 08" sheetId="13" r:id="rId8"/>
  </sheets>
  <definedNames>
    <definedName name="\0">#REF!</definedName>
    <definedName name="\c">#REF!</definedName>
    <definedName name="\E">#REF!</definedName>
    <definedName name="\i">#REF!</definedName>
    <definedName name="\j">#REF!</definedName>
    <definedName name="\m">#REF!</definedName>
    <definedName name="\P" localSheetId="0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 localSheetId="5">#REF!</definedName>
    <definedName name="\P" localSheetId="6">#REF!</definedName>
    <definedName name="\P" localSheetId="7">#REF!</definedName>
    <definedName name="\P">#REF!</definedName>
    <definedName name="\r">#N/A</definedName>
    <definedName name="\x">#REF!</definedName>
    <definedName name="\z">#REF!</definedName>
    <definedName name="__________ben1" localSheetId="0">#REF!</definedName>
    <definedName name="__________ben1" localSheetId="1">#REF!</definedName>
    <definedName name="__________ben1" localSheetId="2">#REF!</definedName>
    <definedName name="__________ben1" localSheetId="3">#REF!</definedName>
    <definedName name="__________ben1" localSheetId="4">#REF!</definedName>
    <definedName name="__________ben1" localSheetId="5">#REF!</definedName>
    <definedName name="__________ben1" localSheetId="6">#REF!</definedName>
    <definedName name="__________ben1" localSheetId="7">#REF!</definedName>
    <definedName name="__________ben1">#REF!</definedName>
    <definedName name="__________ben10" localSheetId="0">#REF!</definedName>
    <definedName name="__________ben10" localSheetId="1">#REF!</definedName>
    <definedName name="__________ben10" localSheetId="2">#REF!</definedName>
    <definedName name="__________ben10" localSheetId="3">#REF!</definedName>
    <definedName name="__________ben10" localSheetId="4">#REF!</definedName>
    <definedName name="__________ben10" localSheetId="5">#REF!</definedName>
    <definedName name="__________ben10" localSheetId="6">#REF!</definedName>
    <definedName name="__________ben10" localSheetId="7">#REF!</definedName>
    <definedName name="__________ben10">#REF!</definedName>
    <definedName name="__________ben15" localSheetId="0">#REF!</definedName>
    <definedName name="__________ben15" localSheetId="1">#REF!</definedName>
    <definedName name="__________ben15" localSheetId="2">#REF!</definedName>
    <definedName name="__________ben15" localSheetId="3">#REF!</definedName>
    <definedName name="__________ben15" localSheetId="4">#REF!</definedName>
    <definedName name="__________ben15" localSheetId="5">#REF!</definedName>
    <definedName name="__________ben15" localSheetId="6">#REF!</definedName>
    <definedName name="__________ben15" localSheetId="7">#REF!</definedName>
    <definedName name="__________ben15">#REF!</definedName>
    <definedName name="__________BEN2">#REF!</definedName>
    <definedName name="__________ben20" localSheetId="0">#REF!</definedName>
    <definedName name="__________ben20" localSheetId="1">#REF!</definedName>
    <definedName name="__________ben20" localSheetId="2">#REF!</definedName>
    <definedName name="__________ben20" localSheetId="3">#REF!</definedName>
    <definedName name="__________ben20" localSheetId="4">#REF!</definedName>
    <definedName name="__________ben20" localSheetId="5">#REF!</definedName>
    <definedName name="__________ben20" localSheetId="6">#REF!</definedName>
    <definedName name="__________ben20" localSheetId="7">#REF!</definedName>
    <definedName name="__________ben20">#REF!</definedName>
    <definedName name="__________ben25" localSheetId="0">#REF!</definedName>
    <definedName name="__________ben25" localSheetId="1">#REF!</definedName>
    <definedName name="__________ben25" localSheetId="2">#REF!</definedName>
    <definedName name="__________ben25" localSheetId="3">#REF!</definedName>
    <definedName name="__________ben25" localSheetId="4">#REF!</definedName>
    <definedName name="__________ben25" localSheetId="5">#REF!</definedName>
    <definedName name="__________ben25" localSheetId="6">#REF!</definedName>
    <definedName name="__________ben25" localSheetId="7">#REF!</definedName>
    <definedName name="__________ben25">#REF!</definedName>
    <definedName name="__________BEN3" localSheetId="0">#REF!</definedName>
    <definedName name="__________BEN3" localSheetId="1">#REF!</definedName>
    <definedName name="__________BEN3" localSheetId="2">#REF!</definedName>
    <definedName name="__________BEN3" localSheetId="3">#REF!</definedName>
    <definedName name="__________BEN3" localSheetId="4">#REF!</definedName>
    <definedName name="__________BEN3" localSheetId="5">#REF!</definedName>
    <definedName name="__________BEN3" localSheetId="6">#REF!</definedName>
    <definedName name="__________BEN3" localSheetId="7">#REF!</definedName>
    <definedName name="__________BEN3">#REF!</definedName>
    <definedName name="__________BEN4" localSheetId="0">#REF!</definedName>
    <definedName name="__________BEN4" localSheetId="1">#REF!</definedName>
    <definedName name="__________BEN4" localSheetId="2">#REF!</definedName>
    <definedName name="__________BEN4" localSheetId="3">#REF!</definedName>
    <definedName name="__________BEN4" localSheetId="4">#REF!</definedName>
    <definedName name="__________BEN4" localSheetId="5">#REF!</definedName>
    <definedName name="__________BEN4" localSheetId="6">#REF!</definedName>
    <definedName name="__________BEN4" localSheetId="7">#REF!</definedName>
    <definedName name="__________BEN4">#REF!</definedName>
    <definedName name="__________ben5" localSheetId="0">#REF!</definedName>
    <definedName name="__________ben5" localSheetId="1">#REF!</definedName>
    <definedName name="__________ben5" localSheetId="2">#REF!</definedName>
    <definedName name="__________ben5" localSheetId="3">#REF!</definedName>
    <definedName name="__________ben5" localSheetId="4">#REF!</definedName>
    <definedName name="__________ben5" localSheetId="5">#REF!</definedName>
    <definedName name="__________ben5" localSheetId="6">#REF!</definedName>
    <definedName name="__________ben5" localSheetId="7">#REF!</definedName>
    <definedName name="__________ben5">#REF!</definedName>
    <definedName name="_________ben1" localSheetId="0">#REF!</definedName>
    <definedName name="_________ben1" localSheetId="1">#REF!</definedName>
    <definedName name="_________ben1" localSheetId="2">#REF!</definedName>
    <definedName name="_________ben1" localSheetId="3">#REF!</definedName>
    <definedName name="_________ben1" localSheetId="4">#REF!</definedName>
    <definedName name="_________ben1" localSheetId="5">#REF!</definedName>
    <definedName name="_________ben1" localSheetId="6">#REF!</definedName>
    <definedName name="_________ben1" localSheetId="7">#REF!</definedName>
    <definedName name="_________ben1">#REF!</definedName>
    <definedName name="_________ben10" localSheetId="0">#REF!</definedName>
    <definedName name="_________ben10" localSheetId="1">#REF!</definedName>
    <definedName name="_________ben10" localSheetId="2">#REF!</definedName>
    <definedName name="_________ben10" localSheetId="3">#REF!</definedName>
    <definedName name="_________ben10" localSheetId="4">#REF!</definedName>
    <definedName name="_________ben10" localSheetId="5">#REF!</definedName>
    <definedName name="_________ben10" localSheetId="6">#REF!</definedName>
    <definedName name="_________ben10" localSheetId="7">#REF!</definedName>
    <definedName name="_________ben10">#REF!</definedName>
    <definedName name="_________ben15" localSheetId="0">#REF!</definedName>
    <definedName name="_________ben15" localSheetId="1">#REF!</definedName>
    <definedName name="_________ben15" localSheetId="2">#REF!</definedName>
    <definedName name="_________ben15" localSheetId="3">#REF!</definedName>
    <definedName name="_________ben15" localSheetId="4">#REF!</definedName>
    <definedName name="_________ben15" localSheetId="5">#REF!</definedName>
    <definedName name="_________ben15" localSheetId="6">#REF!</definedName>
    <definedName name="_________ben15" localSheetId="7">#REF!</definedName>
    <definedName name="_________ben15">#REF!</definedName>
    <definedName name="_________BEN2">#REF!</definedName>
    <definedName name="_________ben20" localSheetId="0">#REF!</definedName>
    <definedName name="_________ben20" localSheetId="1">#REF!</definedName>
    <definedName name="_________ben20" localSheetId="2">#REF!</definedName>
    <definedName name="_________ben20" localSheetId="3">#REF!</definedName>
    <definedName name="_________ben20" localSheetId="4">#REF!</definedName>
    <definedName name="_________ben20" localSheetId="5">#REF!</definedName>
    <definedName name="_________ben20" localSheetId="6">#REF!</definedName>
    <definedName name="_________ben20" localSheetId="7">#REF!</definedName>
    <definedName name="_________ben20">#REF!</definedName>
    <definedName name="_________ben25" localSheetId="0">#REF!</definedName>
    <definedName name="_________ben25" localSheetId="1">#REF!</definedName>
    <definedName name="_________ben25" localSheetId="2">#REF!</definedName>
    <definedName name="_________ben25" localSheetId="3">#REF!</definedName>
    <definedName name="_________ben25" localSheetId="4">#REF!</definedName>
    <definedName name="_________ben25" localSheetId="5">#REF!</definedName>
    <definedName name="_________ben25" localSheetId="6">#REF!</definedName>
    <definedName name="_________ben25" localSheetId="7">#REF!</definedName>
    <definedName name="_________ben25">#REF!</definedName>
    <definedName name="_________BEN3" localSheetId="0">#REF!</definedName>
    <definedName name="_________BEN3" localSheetId="1">#REF!</definedName>
    <definedName name="_________BEN3" localSheetId="2">#REF!</definedName>
    <definedName name="_________BEN3" localSheetId="3">#REF!</definedName>
    <definedName name="_________BEN3" localSheetId="4">#REF!</definedName>
    <definedName name="_________BEN3" localSheetId="5">#REF!</definedName>
    <definedName name="_________BEN3" localSheetId="6">#REF!</definedName>
    <definedName name="_________BEN3" localSheetId="7">#REF!</definedName>
    <definedName name="_________BEN3">#REF!</definedName>
    <definedName name="_________BEN4" localSheetId="0">#REF!</definedName>
    <definedName name="_________BEN4" localSheetId="1">#REF!</definedName>
    <definedName name="_________BEN4" localSheetId="2">#REF!</definedName>
    <definedName name="_________BEN4" localSheetId="3">#REF!</definedName>
    <definedName name="_________BEN4" localSheetId="4">#REF!</definedName>
    <definedName name="_________BEN4" localSheetId="5">#REF!</definedName>
    <definedName name="_________BEN4" localSheetId="6">#REF!</definedName>
    <definedName name="_________BEN4" localSheetId="7">#REF!</definedName>
    <definedName name="_________BEN4">#REF!</definedName>
    <definedName name="_________ben5" localSheetId="0">#REF!</definedName>
    <definedName name="_________ben5" localSheetId="1">#REF!</definedName>
    <definedName name="_________ben5" localSheetId="2">#REF!</definedName>
    <definedName name="_________ben5" localSheetId="3">#REF!</definedName>
    <definedName name="_________ben5" localSheetId="4">#REF!</definedName>
    <definedName name="_________ben5" localSheetId="5">#REF!</definedName>
    <definedName name="_________ben5" localSheetId="6">#REF!</definedName>
    <definedName name="_________ben5" localSheetId="7">#REF!</definedName>
    <definedName name="_________ben5">#REF!</definedName>
    <definedName name="________ben1" localSheetId="0">#REF!</definedName>
    <definedName name="________ben1" localSheetId="1">#REF!</definedName>
    <definedName name="________ben1" localSheetId="2">#REF!</definedName>
    <definedName name="________ben1" localSheetId="3">#REF!</definedName>
    <definedName name="________ben1" localSheetId="4">#REF!</definedName>
    <definedName name="________ben1" localSheetId="5">#REF!</definedName>
    <definedName name="________ben1" localSheetId="6">#REF!</definedName>
    <definedName name="________ben1" localSheetId="7">#REF!</definedName>
    <definedName name="________ben1">#REF!</definedName>
    <definedName name="________ben10" localSheetId="0">#REF!</definedName>
    <definedName name="________ben10" localSheetId="1">#REF!</definedName>
    <definedName name="________ben10" localSheetId="2">#REF!</definedName>
    <definedName name="________ben10" localSheetId="3">#REF!</definedName>
    <definedName name="________ben10" localSheetId="4">#REF!</definedName>
    <definedName name="________ben10" localSheetId="5">#REF!</definedName>
    <definedName name="________ben10" localSheetId="6">#REF!</definedName>
    <definedName name="________ben10" localSheetId="7">#REF!</definedName>
    <definedName name="________ben10">#REF!</definedName>
    <definedName name="________ben15" localSheetId="0">#REF!</definedName>
    <definedName name="________ben15" localSheetId="1">#REF!</definedName>
    <definedName name="________ben15" localSheetId="2">#REF!</definedName>
    <definedName name="________ben15" localSheetId="3">#REF!</definedName>
    <definedName name="________ben15" localSheetId="4">#REF!</definedName>
    <definedName name="________ben15" localSheetId="5">#REF!</definedName>
    <definedName name="________ben15" localSheetId="6">#REF!</definedName>
    <definedName name="________ben15" localSheetId="7">#REF!</definedName>
    <definedName name="________ben15">#REF!</definedName>
    <definedName name="________BEN2">#REF!</definedName>
    <definedName name="________ben20" localSheetId="0">#REF!</definedName>
    <definedName name="________ben20" localSheetId="1">#REF!</definedName>
    <definedName name="________ben20" localSheetId="2">#REF!</definedName>
    <definedName name="________ben20" localSheetId="3">#REF!</definedName>
    <definedName name="________ben20" localSheetId="4">#REF!</definedName>
    <definedName name="________ben20" localSheetId="5">#REF!</definedName>
    <definedName name="________ben20" localSheetId="6">#REF!</definedName>
    <definedName name="________ben20" localSheetId="7">#REF!</definedName>
    <definedName name="________ben20">#REF!</definedName>
    <definedName name="________ben25" localSheetId="0">#REF!</definedName>
    <definedName name="________ben25" localSheetId="1">#REF!</definedName>
    <definedName name="________ben25" localSheetId="2">#REF!</definedName>
    <definedName name="________ben25" localSheetId="3">#REF!</definedName>
    <definedName name="________ben25" localSheetId="4">#REF!</definedName>
    <definedName name="________ben25" localSheetId="5">#REF!</definedName>
    <definedName name="________ben25" localSheetId="6">#REF!</definedName>
    <definedName name="________ben25" localSheetId="7">#REF!</definedName>
    <definedName name="________ben25">#REF!</definedName>
    <definedName name="________BEN3" localSheetId="0">#REF!</definedName>
    <definedName name="________BEN3" localSheetId="1">#REF!</definedName>
    <definedName name="________BEN3" localSheetId="2">#REF!</definedName>
    <definedName name="________BEN3" localSheetId="3">#REF!</definedName>
    <definedName name="________BEN3" localSheetId="4">#REF!</definedName>
    <definedName name="________BEN3" localSheetId="5">#REF!</definedName>
    <definedName name="________BEN3" localSheetId="6">#REF!</definedName>
    <definedName name="________BEN3" localSheetId="7">#REF!</definedName>
    <definedName name="________BEN3">#REF!</definedName>
    <definedName name="________BEN4" localSheetId="0">#REF!</definedName>
    <definedName name="________BEN4" localSheetId="1">#REF!</definedName>
    <definedName name="________BEN4" localSheetId="2">#REF!</definedName>
    <definedName name="________BEN4" localSheetId="3">#REF!</definedName>
    <definedName name="________BEN4" localSheetId="4">#REF!</definedName>
    <definedName name="________BEN4" localSheetId="5">#REF!</definedName>
    <definedName name="________BEN4" localSheetId="6">#REF!</definedName>
    <definedName name="________BEN4" localSheetId="7">#REF!</definedName>
    <definedName name="________BEN4">#REF!</definedName>
    <definedName name="________ben5" localSheetId="0">#REF!</definedName>
    <definedName name="________ben5" localSheetId="1">#REF!</definedName>
    <definedName name="________ben5" localSheetId="2">#REF!</definedName>
    <definedName name="________ben5" localSheetId="3">#REF!</definedName>
    <definedName name="________ben5" localSheetId="4">#REF!</definedName>
    <definedName name="________ben5" localSheetId="5">#REF!</definedName>
    <definedName name="________ben5" localSheetId="6">#REF!</definedName>
    <definedName name="________ben5" localSheetId="7">#REF!</definedName>
    <definedName name="________ben5">#REF!</definedName>
    <definedName name="________tu3" localSheetId="0">#REF!</definedName>
    <definedName name="________tu3" localSheetId="1">#REF!</definedName>
    <definedName name="________tu3" localSheetId="2">#REF!</definedName>
    <definedName name="________tu3" localSheetId="3">#REF!</definedName>
    <definedName name="________tu3" localSheetId="4">#REF!</definedName>
    <definedName name="________tu3" localSheetId="5">#REF!</definedName>
    <definedName name="________tu3" localSheetId="6">#REF!</definedName>
    <definedName name="________tu3" localSheetId="7">#REF!</definedName>
    <definedName name="________tu3">#REF!</definedName>
    <definedName name="_______ben1" localSheetId="0">#REF!</definedName>
    <definedName name="_______ben1" localSheetId="1">#REF!</definedName>
    <definedName name="_______ben1" localSheetId="2">#REF!</definedName>
    <definedName name="_______ben1" localSheetId="3">#REF!</definedName>
    <definedName name="_______ben1" localSheetId="4">#REF!</definedName>
    <definedName name="_______ben1" localSheetId="5">#REF!</definedName>
    <definedName name="_______ben1" localSheetId="6">#REF!</definedName>
    <definedName name="_______ben1" localSheetId="7">#REF!</definedName>
    <definedName name="_______ben1">#REF!</definedName>
    <definedName name="_______ben10" localSheetId="0">#REF!</definedName>
    <definedName name="_______ben10" localSheetId="1">#REF!</definedName>
    <definedName name="_______ben10" localSheetId="2">#REF!</definedName>
    <definedName name="_______ben10" localSheetId="3">#REF!</definedName>
    <definedName name="_______ben10" localSheetId="4">#REF!</definedName>
    <definedName name="_______ben10" localSheetId="5">#REF!</definedName>
    <definedName name="_______ben10" localSheetId="6">#REF!</definedName>
    <definedName name="_______ben10" localSheetId="7">#REF!</definedName>
    <definedName name="_______ben10">#REF!</definedName>
    <definedName name="_______ben15" localSheetId="0">#REF!</definedName>
    <definedName name="_______ben15" localSheetId="1">#REF!</definedName>
    <definedName name="_______ben15" localSheetId="2">#REF!</definedName>
    <definedName name="_______ben15" localSheetId="3">#REF!</definedName>
    <definedName name="_______ben15" localSheetId="4">#REF!</definedName>
    <definedName name="_______ben15" localSheetId="5">#REF!</definedName>
    <definedName name="_______ben15" localSheetId="6">#REF!</definedName>
    <definedName name="_______ben15" localSheetId="7">#REF!</definedName>
    <definedName name="_______ben15">#REF!</definedName>
    <definedName name="_______BEN2">#REF!</definedName>
    <definedName name="_______ben20" localSheetId="0">#REF!</definedName>
    <definedName name="_______ben20" localSheetId="1">#REF!</definedName>
    <definedName name="_______ben20" localSheetId="2">#REF!</definedName>
    <definedName name="_______ben20" localSheetId="3">#REF!</definedName>
    <definedName name="_______ben20" localSheetId="4">#REF!</definedName>
    <definedName name="_______ben20" localSheetId="5">#REF!</definedName>
    <definedName name="_______ben20" localSheetId="6">#REF!</definedName>
    <definedName name="_______ben20" localSheetId="7">#REF!</definedName>
    <definedName name="_______ben20">#REF!</definedName>
    <definedName name="_______ben25" localSheetId="0">#REF!</definedName>
    <definedName name="_______ben25" localSheetId="1">#REF!</definedName>
    <definedName name="_______ben25" localSheetId="2">#REF!</definedName>
    <definedName name="_______ben25" localSheetId="3">#REF!</definedName>
    <definedName name="_______ben25" localSheetId="4">#REF!</definedName>
    <definedName name="_______ben25" localSheetId="5">#REF!</definedName>
    <definedName name="_______ben25" localSheetId="6">#REF!</definedName>
    <definedName name="_______ben25" localSheetId="7">#REF!</definedName>
    <definedName name="_______ben25">#REF!</definedName>
    <definedName name="_______BEN3" localSheetId="0">#REF!</definedName>
    <definedName name="_______BEN3" localSheetId="1">#REF!</definedName>
    <definedName name="_______BEN3" localSheetId="2">#REF!</definedName>
    <definedName name="_______BEN3" localSheetId="3">#REF!</definedName>
    <definedName name="_______BEN3" localSheetId="4">#REF!</definedName>
    <definedName name="_______BEN3" localSheetId="5">#REF!</definedName>
    <definedName name="_______BEN3" localSheetId="6">#REF!</definedName>
    <definedName name="_______BEN3" localSheetId="7">#REF!</definedName>
    <definedName name="_______BEN3">#REF!</definedName>
    <definedName name="_______BEN4" localSheetId="0">#REF!</definedName>
    <definedName name="_______BEN4" localSheetId="1">#REF!</definedName>
    <definedName name="_______BEN4" localSheetId="2">#REF!</definedName>
    <definedName name="_______BEN4" localSheetId="3">#REF!</definedName>
    <definedName name="_______BEN4" localSheetId="4">#REF!</definedName>
    <definedName name="_______BEN4" localSheetId="5">#REF!</definedName>
    <definedName name="_______BEN4" localSheetId="6">#REF!</definedName>
    <definedName name="_______BEN4" localSheetId="7">#REF!</definedName>
    <definedName name="_______BEN4">#REF!</definedName>
    <definedName name="_______ben5" localSheetId="0">#REF!</definedName>
    <definedName name="_______ben5" localSheetId="1">#REF!</definedName>
    <definedName name="_______ben5" localSheetId="2">#REF!</definedName>
    <definedName name="_______ben5" localSheetId="3">#REF!</definedName>
    <definedName name="_______ben5" localSheetId="4">#REF!</definedName>
    <definedName name="_______ben5" localSheetId="5">#REF!</definedName>
    <definedName name="_______ben5" localSheetId="6">#REF!</definedName>
    <definedName name="_______ben5" localSheetId="7">#REF!</definedName>
    <definedName name="_______ben5">#REF!</definedName>
    <definedName name="_______tu3" localSheetId="0">#REF!</definedName>
    <definedName name="_______tu3" localSheetId="1">#REF!</definedName>
    <definedName name="_______tu3" localSheetId="2">#REF!</definedName>
    <definedName name="_______tu3" localSheetId="3">#REF!</definedName>
    <definedName name="_______tu3" localSheetId="4">#REF!</definedName>
    <definedName name="_______tu3" localSheetId="5">#REF!</definedName>
    <definedName name="_______tu3" localSheetId="6">#REF!</definedName>
    <definedName name="_______tu3" localSheetId="7">#REF!</definedName>
    <definedName name="_______tu3">#REF!</definedName>
    <definedName name="______ben1" localSheetId="0">#REF!</definedName>
    <definedName name="______ben1" localSheetId="1">#REF!</definedName>
    <definedName name="______ben1" localSheetId="2">#REF!</definedName>
    <definedName name="______ben1" localSheetId="3">#REF!</definedName>
    <definedName name="______ben1" localSheetId="4">#REF!</definedName>
    <definedName name="______ben1" localSheetId="5">#REF!</definedName>
    <definedName name="______ben1" localSheetId="6">#REF!</definedName>
    <definedName name="______ben1" localSheetId="7">#REF!</definedName>
    <definedName name="______ben1">#REF!</definedName>
    <definedName name="______ben10" localSheetId="0">#REF!</definedName>
    <definedName name="______ben10" localSheetId="1">#REF!</definedName>
    <definedName name="______ben10" localSheetId="2">#REF!</definedName>
    <definedName name="______ben10" localSheetId="3">#REF!</definedName>
    <definedName name="______ben10" localSheetId="4">#REF!</definedName>
    <definedName name="______ben10" localSheetId="5">#REF!</definedName>
    <definedName name="______ben10" localSheetId="6">#REF!</definedName>
    <definedName name="______ben10" localSheetId="7">#REF!</definedName>
    <definedName name="______ben10">#REF!</definedName>
    <definedName name="______ben15" localSheetId="0">#REF!</definedName>
    <definedName name="______ben15" localSheetId="1">#REF!</definedName>
    <definedName name="______ben15" localSheetId="2">#REF!</definedName>
    <definedName name="______ben15" localSheetId="3">#REF!</definedName>
    <definedName name="______ben15" localSheetId="4">#REF!</definedName>
    <definedName name="______ben15" localSheetId="5">#REF!</definedName>
    <definedName name="______ben15" localSheetId="6">#REF!</definedName>
    <definedName name="______ben15" localSheetId="7">#REF!</definedName>
    <definedName name="______ben15">#REF!</definedName>
    <definedName name="______BEN2">#REF!</definedName>
    <definedName name="______ben20" localSheetId="0">#REF!</definedName>
    <definedName name="______ben20" localSheetId="1">#REF!</definedName>
    <definedName name="______ben20" localSheetId="2">#REF!</definedName>
    <definedName name="______ben20" localSheetId="3">#REF!</definedName>
    <definedName name="______ben20" localSheetId="4">#REF!</definedName>
    <definedName name="______ben20" localSheetId="5">#REF!</definedName>
    <definedName name="______ben20" localSheetId="6">#REF!</definedName>
    <definedName name="______ben20" localSheetId="7">#REF!</definedName>
    <definedName name="______ben20">#REF!</definedName>
    <definedName name="______ben25" localSheetId="0">#REF!</definedName>
    <definedName name="______ben25" localSheetId="1">#REF!</definedName>
    <definedName name="______ben25" localSheetId="2">#REF!</definedName>
    <definedName name="______ben25" localSheetId="3">#REF!</definedName>
    <definedName name="______ben25" localSheetId="4">#REF!</definedName>
    <definedName name="______ben25" localSheetId="5">#REF!</definedName>
    <definedName name="______ben25" localSheetId="6">#REF!</definedName>
    <definedName name="______ben25" localSheetId="7">#REF!</definedName>
    <definedName name="______ben25">#REF!</definedName>
    <definedName name="______BEN3" localSheetId="0">#REF!</definedName>
    <definedName name="______BEN3" localSheetId="1">#REF!</definedName>
    <definedName name="______BEN3" localSheetId="2">#REF!</definedName>
    <definedName name="______BEN3" localSheetId="3">#REF!</definedName>
    <definedName name="______BEN3" localSheetId="4">#REF!</definedName>
    <definedName name="______BEN3" localSheetId="5">#REF!</definedName>
    <definedName name="______BEN3" localSheetId="6">#REF!</definedName>
    <definedName name="______BEN3" localSheetId="7">#REF!</definedName>
    <definedName name="______BEN3">#REF!</definedName>
    <definedName name="______BEN4" localSheetId="0">#REF!</definedName>
    <definedName name="______BEN4" localSheetId="1">#REF!</definedName>
    <definedName name="______BEN4" localSheetId="2">#REF!</definedName>
    <definedName name="______BEN4" localSheetId="3">#REF!</definedName>
    <definedName name="______BEN4" localSheetId="4">#REF!</definedName>
    <definedName name="______BEN4" localSheetId="5">#REF!</definedName>
    <definedName name="______BEN4" localSheetId="6">#REF!</definedName>
    <definedName name="______BEN4" localSheetId="7">#REF!</definedName>
    <definedName name="______BEN4">#REF!</definedName>
    <definedName name="______ben5" localSheetId="0">#REF!</definedName>
    <definedName name="______ben5" localSheetId="1">#REF!</definedName>
    <definedName name="______ben5" localSheetId="2">#REF!</definedName>
    <definedName name="______ben5" localSheetId="3">#REF!</definedName>
    <definedName name="______ben5" localSheetId="4">#REF!</definedName>
    <definedName name="______ben5" localSheetId="5">#REF!</definedName>
    <definedName name="______ben5" localSheetId="6">#REF!</definedName>
    <definedName name="______ben5" localSheetId="7">#REF!</definedName>
    <definedName name="______ben5">#REF!</definedName>
    <definedName name="______tu3" localSheetId="0">#REF!</definedName>
    <definedName name="______tu3" localSheetId="1">#REF!</definedName>
    <definedName name="______tu3" localSheetId="2">#REF!</definedName>
    <definedName name="______tu3" localSheetId="3">#REF!</definedName>
    <definedName name="______tu3" localSheetId="4">#REF!</definedName>
    <definedName name="______tu3" localSheetId="5">#REF!</definedName>
    <definedName name="______tu3" localSheetId="6">#REF!</definedName>
    <definedName name="______tu3" localSheetId="7">#REF!</definedName>
    <definedName name="______tu3">#REF!</definedName>
    <definedName name="_____ben1" localSheetId="0">#REF!</definedName>
    <definedName name="_____ben1" localSheetId="1">#REF!</definedName>
    <definedName name="_____ben1" localSheetId="2">#REF!</definedName>
    <definedName name="_____ben1" localSheetId="3">#REF!</definedName>
    <definedName name="_____ben1" localSheetId="4">#REF!</definedName>
    <definedName name="_____ben1" localSheetId="5">#REF!</definedName>
    <definedName name="_____ben1" localSheetId="6">#REF!</definedName>
    <definedName name="_____ben1" localSheetId="7">#REF!</definedName>
    <definedName name="_____ben1">#REF!</definedName>
    <definedName name="_____ben10" localSheetId="0">#REF!</definedName>
    <definedName name="_____ben10" localSheetId="1">#REF!</definedName>
    <definedName name="_____ben10" localSheetId="2">#REF!</definedName>
    <definedName name="_____ben10" localSheetId="3">#REF!</definedName>
    <definedName name="_____ben10" localSheetId="4">#REF!</definedName>
    <definedName name="_____ben10" localSheetId="5">#REF!</definedName>
    <definedName name="_____ben10" localSheetId="6">#REF!</definedName>
    <definedName name="_____ben10" localSheetId="7">#REF!</definedName>
    <definedName name="_____ben10">#REF!</definedName>
    <definedName name="_____ben15" localSheetId="0">#REF!</definedName>
    <definedName name="_____ben15" localSheetId="1">#REF!</definedName>
    <definedName name="_____ben15" localSheetId="2">#REF!</definedName>
    <definedName name="_____ben15" localSheetId="3">#REF!</definedName>
    <definedName name="_____ben15" localSheetId="4">#REF!</definedName>
    <definedName name="_____ben15" localSheetId="5">#REF!</definedName>
    <definedName name="_____ben15" localSheetId="6">#REF!</definedName>
    <definedName name="_____ben15" localSheetId="7">#REF!</definedName>
    <definedName name="_____ben15">#REF!</definedName>
    <definedName name="_____BEN2">#REF!</definedName>
    <definedName name="_____ben20" localSheetId="0">#REF!</definedName>
    <definedName name="_____ben20" localSheetId="1">#REF!</definedName>
    <definedName name="_____ben20" localSheetId="2">#REF!</definedName>
    <definedName name="_____ben20" localSheetId="3">#REF!</definedName>
    <definedName name="_____ben20" localSheetId="4">#REF!</definedName>
    <definedName name="_____ben20" localSheetId="5">#REF!</definedName>
    <definedName name="_____ben20" localSheetId="6">#REF!</definedName>
    <definedName name="_____ben20" localSheetId="7">#REF!</definedName>
    <definedName name="_____ben20">#REF!</definedName>
    <definedName name="_____ben25" localSheetId="0">#REF!</definedName>
    <definedName name="_____ben25" localSheetId="1">#REF!</definedName>
    <definedName name="_____ben25" localSheetId="2">#REF!</definedName>
    <definedName name="_____ben25" localSheetId="3">#REF!</definedName>
    <definedName name="_____ben25" localSheetId="4">#REF!</definedName>
    <definedName name="_____ben25" localSheetId="5">#REF!</definedName>
    <definedName name="_____ben25" localSheetId="6">#REF!</definedName>
    <definedName name="_____ben25" localSheetId="7">#REF!</definedName>
    <definedName name="_____ben25">#REF!</definedName>
    <definedName name="_____BEN3" localSheetId="0">#REF!</definedName>
    <definedName name="_____BEN3" localSheetId="1">#REF!</definedName>
    <definedName name="_____BEN3" localSheetId="2">#REF!</definedName>
    <definedName name="_____BEN3" localSheetId="3">#REF!</definedName>
    <definedName name="_____BEN3" localSheetId="4">#REF!</definedName>
    <definedName name="_____BEN3" localSheetId="5">#REF!</definedName>
    <definedName name="_____BEN3" localSheetId="6">#REF!</definedName>
    <definedName name="_____BEN3" localSheetId="7">#REF!</definedName>
    <definedName name="_____BEN3">#REF!</definedName>
    <definedName name="_____BEN4" localSheetId="0">#REF!</definedName>
    <definedName name="_____BEN4" localSheetId="1">#REF!</definedName>
    <definedName name="_____BEN4" localSheetId="2">#REF!</definedName>
    <definedName name="_____BEN4" localSheetId="3">#REF!</definedName>
    <definedName name="_____BEN4" localSheetId="4">#REF!</definedName>
    <definedName name="_____BEN4" localSheetId="5">#REF!</definedName>
    <definedName name="_____BEN4" localSheetId="6">#REF!</definedName>
    <definedName name="_____BEN4" localSheetId="7">#REF!</definedName>
    <definedName name="_____BEN4">#REF!</definedName>
    <definedName name="_____ben5" localSheetId="0">#REF!</definedName>
    <definedName name="_____ben5" localSheetId="1">#REF!</definedName>
    <definedName name="_____ben5" localSheetId="2">#REF!</definedName>
    <definedName name="_____ben5" localSheetId="3">#REF!</definedName>
    <definedName name="_____ben5" localSheetId="4">#REF!</definedName>
    <definedName name="_____ben5" localSheetId="5">#REF!</definedName>
    <definedName name="_____ben5" localSheetId="6">#REF!</definedName>
    <definedName name="_____ben5" localSheetId="7">#REF!</definedName>
    <definedName name="_____ben5">#REF!</definedName>
    <definedName name="_____tu3" localSheetId="0">#REF!</definedName>
    <definedName name="_____tu3" localSheetId="1">#REF!</definedName>
    <definedName name="_____tu3" localSheetId="2">#REF!</definedName>
    <definedName name="_____tu3" localSheetId="3">#REF!</definedName>
    <definedName name="_____tu3" localSheetId="4">#REF!</definedName>
    <definedName name="_____tu3" localSheetId="5">#REF!</definedName>
    <definedName name="_____tu3" localSheetId="6">#REF!</definedName>
    <definedName name="_____tu3" localSheetId="7">#REF!</definedName>
    <definedName name="_____tu3">#REF!</definedName>
    <definedName name="____ben1" localSheetId="0">#REF!</definedName>
    <definedName name="____ben1" localSheetId="1">#REF!</definedName>
    <definedName name="____ben1" localSheetId="2">#REF!</definedName>
    <definedName name="____ben1" localSheetId="3">#REF!</definedName>
    <definedName name="____ben1" localSheetId="4">#REF!</definedName>
    <definedName name="____ben1" localSheetId="5">#REF!</definedName>
    <definedName name="____ben1" localSheetId="6">#REF!</definedName>
    <definedName name="____ben1" localSheetId="7">#REF!</definedName>
    <definedName name="____ben1">#REF!</definedName>
    <definedName name="____ben10" localSheetId="0">#REF!</definedName>
    <definedName name="____ben10" localSheetId="1">#REF!</definedName>
    <definedName name="____ben10" localSheetId="2">#REF!</definedName>
    <definedName name="____ben10" localSheetId="3">#REF!</definedName>
    <definedName name="____ben10" localSheetId="4">#REF!</definedName>
    <definedName name="____ben10" localSheetId="5">#REF!</definedName>
    <definedName name="____ben10" localSheetId="6">#REF!</definedName>
    <definedName name="____ben10" localSheetId="7">#REF!</definedName>
    <definedName name="____ben10">#REF!</definedName>
    <definedName name="____ben15" localSheetId="0">#REF!</definedName>
    <definedName name="____ben15" localSheetId="1">#REF!</definedName>
    <definedName name="____ben15" localSheetId="2">#REF!</definedName>
    <definedName name="____ben15" localSheetId="3">#REF!</definedName>
    <definedName name="____ben15" localSheetId="4">#REF!</definedName>
    <definedName name="____ben15" localSheetId="5">#REF!</definedName>
    <definedName name="____ben15" localSheetId="6">#REF!</definedName>
    <definedName name="____ben15" localSheetId="7">#REF!</definedName>
    <definedName name="____ben15">#REF!</definedName>
    <definedName name="____BEN2">#REF!</definedName>
    <definedName name="____ben20" localSheetId="0">#REF!</definedName>
    <definedName name="____ben20" localSheetId="1">#REF!</definedName>
    <definedName name="____ben20" localSheetId="2">#REF!</definedName>
    <definedName name="____ben20" localSheetId="3">#REF!</definedName>
    <definedName name="____ben20" localSheetId="4">#REF!</definedName>
    <definedName name="____ben20" localSheetId="5">#REF!</definedName>
    <definedName name="____ben20" localSheetId="6">#REF!</definedName>
    <definedName name="____ben20" localSheetId="7">#REF!</definedName>
    <definedName name="____ben20">#REF!</definedName>
    <definedName name="____ben25" localSheetId="0">#REF!</definedName>
    <definedName name="____ben25" localSheetId="1">#REF!</definedName>
    <definedName name="____ben25" localSheetId="2">#REF!</definedName>
    <definedName name="____ben25" localSheetId="3">#REF!</definedName>
    <definedName name="____ben25" localSheetId="4">#REF!</definedName>
    <definedName name="____ben25" localSheetId="5">#REF!</definedName>
    <definedName name="____ben25" localSheetId="6">#REF!</definedName>
    <definedName name="____ben25" localSheetId="7">#REF!</definedName>
    <definedName name="____ben25">#REF!</definedName>
    <definedName name="____BEN3" localSheetId="0">#REF!</definedName>
    <definedName name="____BEN3" localSheetId="1">#REF!</definedName>
    <definedName name="____BEN3" localSheetId="2">#REF!</definedName>
    <definedName name="____BEN3" localSheetId="3">#REF!</definedName>
    <definedName name="____BEN3" localSheetId="4">#REF!</definedName>
    <definedName name="____BEN3" localSheetId="5">#REF!</definedName>
    <definedName name="____BEN3" localSheetId="6">#REF!</definedName>
    <definedName name="____BEN3" localSheetId="7">#REF!</definedName>
    <definedName name="____BEN3">#REF!</definedName>
    <definedName name="____BEN4" localSheetId="0">#REF!</definedName>
    <definedName name="____BEN4" localSheetId="1">#REF!</definedName>
    <definedName name="____BEN4" localSheetId="2">#REF!</definedName>
    <definedName name="____BEN4" localSheetId="3">#REF!</definedName>
    <definedName name="____BEN4" localSheetId="4">#REF!</definedName>
    <definedName name="____BEN4" localSheetId="5">#REF!</definedName>
    <definedName name="____BEN4" localSheetId="6">#REF!</definedName>
    <definedName name="____BEN4" localSheetId="7">#REF!</definedName>
    <definedName name="____BEN4">#REF!</definedName>
    <definedName name="____ben5" localSheetId="0">#REF!</definedName>
    <definedName name="____ben5" localSheetId="1">#REF!</definedName>
    <definedName name="____ben5" localSheetId="2">#REF!</definedName>
    <definedName name="____ben5" localSheetId="3">#REF!</definedName>
    <definedName name="____ben5" localSheetId="4">#REF!</definedName>
    <definedName name="____ben5" localSheetId="5">#REF!</definedName>
    <definedName name="____ben5" localSheetId="6">#REF!</definedName>
    <definedName name="____ben5" localSheetId="7">#REF!</definedName>
    <definedName name="____ben5">#REF!</definedName>
    <definedName name="____tu3" localSheetId="0">#REF!</definedName>
    <definedName name="____tu3" localSheetId="1">#REF!</definedName>
    <definedName name="____tu3" localSheetId="2">#REF!</definedName>
    <definedName name="____tu3" localSheetId="3">#REF!</definedName>
    <definedName name="____tu3" localSheetId="4">#REF!</definedName>
    <definedName name="____tu3" localSheetId="5">#REF!</definedName>
    <definedName name="____tu3" localSheetId="6">#REF!</definedName>
    <definedName name="____tu3" localSheetId="7">#REF!</definedName>
    <definedName name="____tu3">#REF!</definedName>
    <definedName name="___ben1" localSheetId="0">#REF!</definedName>
    <definedName name="___ben1" localSheetId="1">#REF!</definedName>
    <definedName name="___ben1" localSheetId="2">#REF!</definedName>
    <definedName name="___ben1" localSheetId="3">#REF!</definedName>
    <definedName name="___ben1" localSheetId="4">#REF!</definedName>
    <definedName name="___ben1" localSheetId="5">#REF!</definedName>
    <definedName name="___ben1" localSheetId="6">#REF!</definedName>
    <definedName name="___ben1" localSheetId="7">#REF!</definedName>
    <definedName name="___ben1">#REF!</definedName>
    <definedName name="___ben10" localSheetId="0">#REF!</definedName>
    <definedName name="___ben10" localSheetId="1">#REF!</definedName>
    <definedName name="___ben10" localSheetId="2">#REF!</definedName>
    <definedName name="___ben10" localSheetId="3">#REF!</definedName>
    <definedName name="___ben10" localSheetId="4">#REF!</definedName>
    <definedName name="___ben10" localSheetId="5">#REF!</definedName>
    <definedName name="___ben10" localSheetId="6">#REF!</definedName>
    <definedName name="___ben10" localSheetId="7">#REF!</definedName>
    <definedName name="___ben10">#REF!</definedName>
    <definedName name="___ben15" localSheetId="0">#REF!</definedName>
    <definedName name="___ben15" localSheetId="1">#REF!</definedName>
    <definedName name="___ben15" localSheetId="2">#REF!</definedName>
    <definedName name="___ben15" localSheetId="3">#REF!</definedName>
    <definedName name="___ben15" localSheetId="4">#REF!</definedName>
    <definedName name="___ben15" localSheetId="5">#REF!</definedName>
    <definedName name="___ben15" localSheetId="6">#REF!</definedName>
    <definedName name="___ben15" localSheetId="7">#REF!</definedName>
    <definedName name="___ben15">#REF!</definedName>
    <definedName name="___BEN2">#REF!</definedName>
    <definedName name="___ben20" localSheetId="0">#REF!</definedName>
    <definedName name="___ben20" localSheetId="1">#REF!</definedName>
    <definedName name="___ben20" localSheetId="2">#REF!</definedName>
    <definedName name="___ben20" localSheetId="3">#REF!</definedName>
    <definedName name="___ben20" localSheetId="4">#REF!</definedName>
    <definedName name="___ben20" localSheetId="5">#REF!</definedName>
    <definedName name="___ben20" localSheetId="6">#REF!</definedName>
    <definedName name="___ben20" localSheetId="7">#REF!</definedName>
    <definedName name="___ben20">#REF!</definedName>
    <definedName name="___ben25" localSheetId="0">#REF!</definedName>
    <definedName name="___ben25" localSheetId="1">#REF!</definedName>
    <definedName name="___ben25" localSheetId="2">#REF!</definedName>
    <definedName name="___ben25" localSheetId="3">#REF!</definedName>
    <definedName name="___ben25" localSheetId="4">#REF!</definedName>
    <definedName name="___ben25" localSheetId="5">#REF!</definedName>
    <definedName name="___ben25" localSheetId="6">#REF!</definedName>
    <definedName name="___ben25" localSheetId="7">#REF!</definedName>
    <definedName name="___ben25">#REF!</definedName>
    <definedName name="___BEN3" localSheetId="0">#REF!</definedName>
    <definedName name="___BEN3" localSheetId="1">#REF!</definedName>
    <definedName name="___BEN3" localSheetId="2">#REF!</definedName>
    <definedName name="___BEN3" localSheetId="3">#REF!</definedName>
    <definedName name="___BEN3" localSheetId="4">#REF!</definedName>
    <definedName name="___BEN3" localSheetId="5">#REF!</definedName>
    <definedName name="___BEN3" localSheetId="6">#REF!</definedName>
    <definedName name="___BEN3" localSheetId="7">#REF!</definedName>
    <definedName name="___BEN3">#REF!</definedName>
    <definedName name="___BEN4" localSheetId="0">#REF!</definedName>
    <definedName name="___BEN4" localSheetId="1">#REF!</definedName>
    <definedName name="___BEN4" localSheetId="2">#REF!</definedName>
    <definedName name="___BEN4" localSheetId="3">#REF!</definedName>
    <definedName name="___BEN4" localSheetId="4">#REF!</definedName>
    <definedName name="___BEN4" localSheetId="5">#REF!</definedName>
    <definedName name="___BEN4" localSheetId="6">#REF!</definedName>
    <definedName name="___BEN4" localSheetId="7">#REF!</definedName>
    <definedName name="___BEN4">#REF!</definedName>
    <definedName name="___ben5" localSheetId="0">#REF!</definedName>
    <definedName name="___ben5" localSheetId="1">#REF!</definedName>
    <definedName name="___ben5" localSheetId="2">#REF!</definedName>
    <definedName name="___ben5" localSheetId="3">#REF!</definedName>
    <definedName name="___ben5" localSheetId="4">#REF!</definedName>
    <definedName name="___ben5" localSheetId="5">#REF!</definedName>
    <definedName name="___ben5" localSheetId="6">#REF!</definedName>
    <definedName name="___ben5" localSheetId="7">#REF!</definedName>
    <definedName name="___ben5">#REF!</definedName>
    <definedName name="___tu3" localSheetId="0">#REF!</definedName>
    <definedName name="___tu3" localSheetId="1">#REF!</definedName>
    <definedName name="___tu3" localSheetId="2">#REF!</definedName>
    <definedName name="___tu3" localSheetId="3">#REF!</definedName>
    <definedName name="___tu3" localSheetId="4">#REF!</definedName>
    <definedName name="___tu3" localSheetId="5">#REF!</definedName>
    <definedName name="___tu3" localSheetId="6">#REF!</definedName>
    <definedName name="___tu3" localSheetId="7">#REF!</definedName>
    <definedName name="___tu3">#REF!</definedName>
    <definedName name="__ben1" localSheetId="0">#REF!</definedName>
    <definedName name="__ben1" localSheetId="1">#REF!</definedName>
    <definedName name="__ben1" localSheetId="2">#REF!</definedName>
    <definedName name="__ben1" localSheetId="3">#REF!</definedName>
    <definedName name="__ben1" localSheetId="4">#REF!</definedName>
    <definedName name="__ben1" localSheetId="5">#REF!</definedName>
    <definedName name="__ben1" localSheetId="6">#REF!</definedName>
    <definedName name="__ben1" localSheetId="7">#REF!</definedName>
    <definedName name="__ben1">#REF!</definedName>
    <definedName name="__ben10" localSheetId="0">#REF!</definedName>
    <definedName name="__ben10" localSheetId="1">#REF!</definedName>
    <definedName name="__ben10" localSheetId="2">#REF!</definedName>
    <definedName name="__ben10" localSheetId="3">#REF!</definedName>
    <definedName name="__ben10" localSheetId="4">#REF!</definedName>
    <definedName name="__ben10" localSheetId="5">#REF!</definedName>
    <definedName name="__ben10" localSheetId="6">#REF!</definedName>
    <definedName name="__ben10" localSheetId="7">#REF!</definedName>
    <definedName name="__ben10">#REF!</definedName>
    <definedName name="__ben15" localSheetId="0">#REF!</definedName>
    <definedName name="__ben15" localSheetId="1">#REF!</definedName>
    <definedName name="__ben15" localSheetId="2">#REF!</definedName>
    <definedName name="__ben15" localSheetId="3">#REF!</definedName>
    <definedName name="__ben15" localSheetId="4">#REF!</definedName>
    <definedName name="__ben15" localSheetId="5">#REF!</definedName>
    <definedName name="__ben15" localSheetId="6">#REF!</definedName>
    <definedName name="__ben15" localSheetId="7">#REF!</definedName>
    <definedName name="__ben15">#REF!</definedName>
    <definedName name="__BEN2">#REF!</definedName>
    <definedName name="__ben20" localSheetId="0">#REF!</definedName>
    <definedName name="__ben20" localSheetId="1">#REF!</definedName>
    <definedName name="__ben20" localSheetId="2">#REF!</definedName>
    <definedName name="__ben20" localSheetId="3">#REF!</definedName>
    <definedName name="__ben20" localSheetId="4">#REF!</definedName>
    <definedName name="__ben20" localSheetId="5">#REF!</definedName>
    <definedName name="__ben20" localSheetId="6">#REF!</definedName>
    <definedName name="__ben20" localSheetId="7">#REF!</definedName>
    <definedName name="__ben20">#REF!</definedName>
    <definedName name="__ben25" localSheetId="0">#REF!</definedName>
    <definedName name="__ben25" localSheetId="1">#REF!</definedName>
    <definedName name="__ben25" localSheetId="2">#REF!</definedName>
    <definedName name="__ben25" localSheetId="3">#REF!</definedName>
    <definedName name="__ben25" localSheetId="4">#REF!</definedName>
    <definedName name="__ben25" localSheetId="5">#REF!</definedName>
    <definedName name="__ben25" localSheetId="6">#REF!</definedName>
    <definedName name="__ben25" localSheetId="7">#REF!</definedName>
    <definedName name="__ben25">#REF!</definedName>
    <definedName name="__BEN3" localSheetId="0">#REF!</definedName>
    <definedName name="__BEN3" localSheetId="1">#REF!</definedName>
    <definedName name="__BEN3" localSheetId="2">#REF!</definedName>
    <definedName name="__BEN3" localSheetId="3">#REF!</definedName>
    <definedName name="__BEN3" localSheetId="4">#REF!</definedName>
    <definedName name="__BEN3" localSheetId="5">#REF!</definedName>
    <definedName name="__BEN3" localSheetId="6">#REF!</definedName>
    <definedName name="__BEN3" localSheetId="7">#REF!</definedName>
    <definedName name="__BEN3">#REF!</definedName>
    <definedName name="__BEN4" localSheetId="0">#REF!</definedName>
    <definedName name="__BEN4" localSheetId="1">#REF!</definedName>
    <definedName name="__BEN4" localSheetId="2">#REF!</definedName>
    <definedName name="__BEN4" localSheetId="3">#REF!</definedName>
    <definedName name="__BEN4" localSheetId="4">#REF!</definedName>
    <definedName name="__BEN4" localSheetId="5">#REF!</definedName>
    <definedName name="__BEN4" localSheetId="6">#REF!</definedName>
    <definedName name="__BEN4" localSheetId="7">#REF!</definedName>
    <definedName name="__BEN4">#REF!</definedName>
    <definedName name="__ben5" localSheetId="0">#REF!</definedName>
    <definedName name="__ben5" localSheetId="1">#REF!</definedName>
    <definedName name="__ben5" localSheetId="2">#REF!</definedName>
    <definedName name="__ben5" localSheetId="3">#REF!</definedName>
    <definedName name="__ben5" localSheetId="4">#REF!</definedName>
    <definedName name="__ben5" localSheetId="5">#REF!</definedName>
    <definedName name="__ben5" localSheetId="6">#REF!</definedName>
    <definedName name="__ben5" localSheetId="7">#REF!</definedName>
    <definedName name="__ben5">#REF!</definedName>
    <definedName name="__HJJ2">#REF!</definedName>
    <definedName name="__tu3" localSheetId="0">#REF!</definedName>
    <definedName name="__tu3" localSheetId="1">#REF!</definedName>
    <definedName name="__tu3" localSheetId="2">#REF!</definedName>
    <definedName name="__tu3" localSheetId="3">#REF!</definedName>
    <definedName name="__tu3" localSheetId="4">#REF!</definedName>
    <definedName name="__tu3" localSheetId="5">#REF!</definedName>
    <definedName name="__tu3" localSheetId="6">#REF!</definedName>
    <definedName name="__tu3" localSheetId="7">#REF!</definedName>
    <definedName name="__tu3">#REF!</definedName>
    <definedName name="_3FLE">#REF!</definedName>
    <definedName name="_6PRINT_AREA">#REF!</definedName>
    <definedName name="_ben1" localSheetId="0">#REF!</definedName>
    <definedName name="_ben1" localSheetId="1">#REF!</definedName>
    <definedName name="_ben1" localSheetId="2">#REF!</definedName>
    <definedName name="_ben1" localSheetId="3">#REF!</definedName>
    <definedName name="_ben1" localSheetId="4">#REF!</definedName>
    <definedName name="_ben1" localSheetId="5">#REF!</definedName>
    <definedName name="_ben1" localSheetId="6">#REF!</definedName>
    <definedName name="_ben1" localSheetId="7">#REF!</definedName>
    <definedName name="_ben1">#REF!</definedName>
    <definedName name="_ben10" localSheetId="0">#REF!</definedName>
    <definedName name="_ben10" localSheetId="1">#REF!</definedName>
    <definedName name="_ben10" localSheetId="2">#REF!</definedName>
    <definedName name="_ben10" localSheetId="3">#REF!</definedName>
    <definedName name="_ben10" localSheetId="4">#REF!</definedName>
    <definedName name="_ben10" localSheetId="5">#REF!</definedName>
    <definedName name="_ben10" localSheetId="6">#REF!</definedName>
    <definedName name="_ben10" localSheetId="7">#REF!</definedName>
    <definedName name="_ben10">#REF!</definedName>
    <definedName name="_ben15" localSheetId="0">#REF!</definedName>
    <definedName name="_ben15" localSheetId="1">#REF!</definedName>
    <definedName name="_ben15" localSheetId="2">#REF!</definedName>
    <definedName name="_ben15" localSheetId="3">#REF!</definedName>
    <definedName name="_ben15" localSheetId="4">#REF!</definedName>
    <definedName name="_ben15" localSheetId="5">#REF!</definedName>
    <definedName name="_ben15" localSheetId="6">#REF!</definedName>
    <definedName name="_ben15" localSheetId="7">#REF!</definedName>
    <definedName name="_ben15">#REF!</definedName>
    <definedName name="_BEN2">#REF!</definedName>
    <definedName name="_ben20" localSheetId="0">#REF!</definedName>
    <definedName name="_ben20" localSheetId="1">#REF!</definedName>
    <definedName name="_ben20" localSheetId="2">#REF!</definedName>
    <definedName name="_ben20" localSheetId="3">#REF!</definedName>
    <definedName name="_ben20" localSheetId="4">#REF!</definedName>
    <definedName name="_ben20" localSheetId="5">#REF!</definedName>
    <definedName name="_ben20" localSheetId="6">#REF!</definedName>
    <definedName name="_ben20" localSheetId="7">#REF!</definedName>
    <definedName name="_ben20">#REF!</definedName>
    <definedName name="_ben21" localSheetId="0">#REF!</definedName>
    <definedName name="_ben21" localSheetId="1">#REF!</definedName>
    <definedName name="_ben21" localSheetId="2">#REF!</definedName>
    <definedName name="_ben21" localSheetId="3">#REF!</definedName>
    <definedName name="_ben21" localSheetId="4">#REF!</definedName>
    <definedName name="_ben21" localSheetId="5">#REF!</definedName>
    <definedName name="_ben21" localSheetId="6">#REF!</definedName>
    <definedName name="_ben21" localSheetId="7">#REF!</definedName>
    <definedName name="_ben21">#REF!</definedName>
    <definedName name="_ben25" localSheetId="0">#REF!</definedName>
    <definedName name="_ben25" localSheetId="1">#REF!</definedName>
    <definedName name="_ben25" localSheetId="2">#REF!</definedName>
    <definedName name="_ben25" localSheetId="3">#REF!</definedName>
    <definedName name="_ben25" localSheetId="4">#REF!</definedName>
    <definedName name="_ben25" localSheetId="5">#REF!</definedName>
    <definedName name="_ben25" localSheetId="6">#REF!</definedName>
    <definedName name="_ben25" localSheetId="7">#REF!</definedName>
    <definedName name="_ben25">#REF!</definedName>
    <definedName name="_ben29" localSheetId="0">#REF!</definedName>
    <definedName name="_ben29" localSheetId="1">#REF!</definedName>
    <definedName name="_ben29" localSheetId="2">#REF!</definedName>
    <definedName name="_ben29" localSheetId="3">#REF!</definedName>
    <definedName name="_ben29" localSheetId="4">#REF!</definedName>
    <definedName name="_ben29" localSheetId="5">#REF!</definedName>
    <definedName name="_ben29" localSheetId="6">#REF!</definedName>
    <definedName name="_ben29" localSheetId="7">#REF!</definedName>
    <definedName name="_ben29">#REF!</definedName>
    <definedName name="_BEN3" localSheetId="0">#REF!</definedName>
    <definedName name="_BEN3" localSheetId="1">#REF!</definedName>
    <definedName name="_BEN3" localSheetId="2">#REF!</definedName>
    <definedName name="_BEN3" localSheetId="3">#REF!</definedName>
    <definedName name="_BEN3" localSheetId="4">#REF!</definedName>
    <definedName name="_BEN3" localSheetId="5">#REF!</definedName>
    <definedName name="_BEN3" localSheetId="6">#REF!</definedName>
    <definedName name="_BEN3" localSheetId="7">#REF!</definedName>
    <definedName name="_BEN3">#REF!</definedName>
    <definedName name="_ben30" localSheetId="0">#REF!</definedName>
    <definedName name="_ben30" localSheetId="1">#REF!</definedName>
    <definedName name="_ben30" localSheetId="2">#REF!</definedName>
    <definedName name="_ben30" localSheetId="3">#REF!</definedName>
    <definedName name="_ben30" localSheetId="4">#REF!</definedName>
    <definedName name="_ben30" localSheetId="5">#REF!</definedName>
    <definedName name="_ben30" localSheetId="6">#REF!</definedName>
    <definedName name="_ben30" localSheetId="7">#REF!</definedName>
    <definedName name="_ben30">#REF!</definedName>
    <definedName name="_BEN4" localSheetId="0">#REF!</definedName>
    <definedName name="_BEN4" localSheetId="1">#REF!</definedName>
    <definedName name="_BEN4" localSheetId="2">#REF!</definedName>
    <definedName name="_BEN4" localSheetId="3">#REF!</definedName>
    <definedName name="_BEN4" localSheetId="4">#REF!</definedName>
    <definedName name="_BEN4" localSheetId="5">#REF!</definedName>
    <definedName name="_BEN4" localSheetId="6">#REF!</definedName>
    <definedName name="_BEN4" localSheetId="7">#REF!</definedName>
    <definedName name="_BEN4">#REF!</definedName>
    <definedName name="_ben5" localSheetId="0">#REF!</definedName>
    <definedName name="_ben5" localSheetId="1">#REF!</definedName>
    <definedName name="_ben5" localSheetId="2">#REF!</definedName>
    <definedName name="_ben5" localSheetId="3">#REF!</definedName>
    <definedName name="_ben5" localSheetId="4">#REF!</definedName>
    <definedName name="_ben5" localSheetId="5">#REF!</definedName>
    <definedName name="_ben5" localSheetId="6">#REF!</definedName>
    <definedName name="_ben5" localSheetId="7">#REF!</definedName>
    <definedName name="_ben5">#REF!</definedName>
    <definedName name="_ben52" localSheetId="0">#REF!</definedName>
    <definedName name="_ben52" localSheetId="1">#REF!</definedName>
    <definedName name="_ben52" localSheetId="2">#REF!</definedName>
    <definedName name="_ben52" localSheetId="3">#REF!</definedName>
    <definedName name="_ben52" localSheetId="4">#REF!</definedName>
    <definedName name="_ben52" localSheetId="5">#REF!</definedName>
    <definedName name="_ben52" localSheetId="6">#REF!</definedName>
    <definedName name="_ben52" localSheetId="7">#REF!</definedName>
    <definedName name="_ben52">#REF!</definedName>
    <definedName name="_d2" hidden="1">{"NORMAL",#N/A,FALSE,"02"}</definedName>
    <definedName name="_f" hidden="1">{"DECIMAL",#N/A,FALSE,"02"}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hidden="1">#REF!</definedName>
    <definedName name="_xlnm._FilterDatabase" localSheetId="0" hidden="1">'SVD 4140_Pto. 01_Cert. 01'!$A$9:$F$57</definedName>
    <definedName name="_xlnm._FilterDatabase" localSheetId="1" hidden="1">'SVD 4140_Pto. 01_Cert. 02'!$A$9:$F$57</definedName>
    <definedName name="_xlnm._FilterDatabase" localSheetId="2" hidden="1">'SVD 4140_Pto. 01_Cert. 03'!$A$9:$F$57</definedName>
    <definedName name="_xlnm._FilterDatabase" localSheetId="3" hidden="1">'SVD 4140_Pto. 01_Cert. 04'!$A$9:$F$57</definedName>
    <definedName name="_xlnm._FilterDatabase" localSheetId="4" hidden="1">'SVD 4140_Pto. 01_Cert. 05'!$A$9:$F$57</definedName>
    <definedName name="_xlnm._FilterDatabase" localSheetId="5" hidden="1">'SVD 4140_Pto. 01_Cert. 06'!$A$9:$F$57</definedName>
    <definedName name="_xlnm._FilterDatabase" localSheetId="6" hidden="1">'SVD 4140_Pto. 01_Cert. 07'!$A$9:$F$57</definedName>
    <definedName name="_xlnm._FilterDatabase" localSheetId="7" hidden="1">'SVD 4140_Pto. 01_Cert. 08'!$A$9:$F$57</definedName>
    <definedName name="_GoBack" localSheetId="0">'SVD 4140_Pto. 01_Cert. 01'!#REF!</definedName>
    <definedName name="_GoBack" localSheetId="1">'SVD 4140_Pto. 01_Cert. 02'!#REF!</definedName>
    <definedName name="_GoBack" localSheetId="2">'SVD 4140_Pto. 01_Cert. 03'!#REF!</definedName>
    <definedName name="_GoBack" localSheetId="3">'SVD 4140_Pto. 01_Cert. 04'!#REF!</definedName>
    <definedName name="_GoBack" localSheetId="4">'SVD 4140_Pto. 01_Cert. 05'!#REF!</definedName>
    <definedName name="_GoBack" localSheetId="5">'SVD 4140_Pto. 01_Cert. 06'!#REF!</definedName>
    <definedName name="_GoBack" localSheetId="6">'SVD 4140_Pto. 01_Cert. 07'!#REF!</definedName>
    <definedName name="_GoBack" localSheetId="7">'SVD 4140_Pto. 01_Cert. 08'!#REF!</definedName>
    <definedName name="_HJJ2">#REF!</definedName>
    <definedName name="_Key1" hidden="1">#REF!</definedName>
    <definedName name="_KH170">#REF!</definedName>
    <definedName name="_MatMult_A" localSheetId="0" hidden="1">#REF!</definedName>
    <definedName name="_MatMult_A" localSheetId="1" hidden="1">#REF!</definedName>
    <definedName name="_MatMult_A" localSheetId="2" hidden="1">#REF!</definedName>
    <definedName name="_MatMult_A" localSheetId="3" hidden="1">#REF!</definedName>
    <definedName name="_MatMult_A" localSheetId="4" hidden="1">#REF!</definedName>
    <definedName name="_MatMult_A" localSheetId="5" hidden="1">#REF!</definedName>
    <definedName name="_MatMult_A" localSheetId="6" hidden="1">#REF!</definedName>
    <definedName name="_MatMult_A" localSheetId="7" hidden="1">#REF!</definedName>
    <definedName name="_MatMult_A" hidden="1">#REF!</definedName>
    <definedName name="_Order1">255</definedName>
    <definedName name="_Order2">255</definedName>
    <definedName name="_prc6">#REF!</definedName>
    <definedName name="_R">#REF!</definedName>
    <definedName name="_RAN1">#REF!</definedName>
    <definedName name="_RAN2">#N/A</definedName>
    <definedName name="_RAN3">#REF!</definedName>
    <definedName name="_Sort" hidden="1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0">'SVD 4140_Pto. 01_Cert. 01'!#REF!</definedName>
    <definedName name="_Toc502326724" localSheetId="1">'SVD 4140_Pto. 01_Cert. 02'!#REF!</definedName>
    <definedName name="_Toc502326724" localSheetId="2">'SVD 4140_Pto. 01_Cert. 03'!#REF!</definedName>
    <definedName name="_Toc502326724" localSheetId="3">'SVD 4140_Pto. 01_Cert. 04'!#REF!</definedName>
    <definedName name="_Toc502326724" localSheetId="4">'SVD 4140_Pto. 01_Cert. 05'!#REF!</definedName>
    <definedName name="_Toc502326724" localSheetId="5">'SVD 4140_Pto. 01_Cert. 06'!#REF!</definedName>
    <definedName name="_Toc502326724" localSheetId="6">'SVD 4140_Pto. 01_Cert. 07'!#REF!</definedName>
    <definedName name="_Toc502326724" localSheetId="7">'SVD 4140_Pto. 01_Cert. 08'!#REF!</definedName>
    <definedName name="_Toc502326725" localSheetId="0">'SVD 4140_Pto. 01_Cert. 01'!#REF!</definedName>
    <definedName name="_Toc502326725" localSheetId="1">'SVD 4140_Pto. 01_Cert. 02'!#REF!</definedName>
    <definedName name="_Toc502326725" localSheetId="2">'SVD 4140_Pto. 01_Cert. 03'!#REF!</definedName>
    <definedName name="_Toc502326725" localSheetId="3">'SVD 4140_Pto. 01_Cert. 04'!#REF!</definedName>
    <definedName name="_Toc502326725" localSheetId="4">'SVD 4140_Pto. 01_Cert. 05'!#REF!</definedName>
    <definedName name="_Toc502326725" localSheetId="5">'SVD 4140_Pto. 01_Cert. 06'!#REF!</definedName>
    <definedName name="_Toc502326725" localSheetId="6">'SVD 4140_Pto. 01_Cert. 07'!#REF!</definedName>
    <definedName name="_Toc502326725" localSheetId="7">'SVD 4140_Pto. 01_Cert. 08'!#REF!</definedName>
    <definedName name="_Toc502326726" localSheetId="0">'SVD 4140_Pto. 01_Cert. 01'!#REF!</definedName>
    <definedName name="_Toc502326726" localSheetId="1">'SVD 4140_Pto. 01_Cert. 02'!#REF!</definedName>
    <definedName name="_Toc502326726" localSheetId="2">'SVD 4140_Pto. 01_Cert. 03'!#REF!</definedName>
    <definedName name="_Toc502326726" localSheetId="3">'SVD 4140_Pto. 01_Cert. 04'!#REF!</definedName>
    <definedName name="_Toc502326726" localSheetId="4">'SVD 4140_Pto. 01_Cert. 05'!#REF!</definedName>
    <definedName name="_Toc502326726" localSheetId="5">'SVD 4140_Pto. 01_Cert. 06'!#REF!</definedName>
    <definedName name="_Toc502326726" localSheetId="6">'SVD 4140_Pto. 01_Cert. 07'!#REF!</definedName>
    <definedName name="_Toc502326726" localSheetId="7">'SVD 4140_Pto. 01_Cert. 08'!#REF!</definedName>
    <definedName name="_tu3" localSheetId="0">#REF!</definedName>
    <definedName name="_tu3" localSheetId="1">#REF!</definedName>
    <definedName name="_tu3" localSheetId="2">#REF!</definedName>
    <definedName name="_tu3" localSheetId="3">#REF!</definedName>
    <definedName name="_tu3" localSheetId="4">#REF!</definedName>
    <definedName name="_tu3" localSheetId="5">#REF!</definedName>
    <definedName name="_tu3" localSheetId="6">#REF!</definedName>
    <definedName name="_tu3" localSheetId="7">#REF!</definedName>
    <definedName name="_tu3">#REF!</definedName>
    <definedName name="_VS2">#REF!</definedName>
    <definedName name="_VS3">#REF!</definedName>
    <definedName name="a">#REF!</definedName>
    <definedName name="A.1">#REF!</definedName>
    <definedName name="A.2">#REF!</definedName>
    <definedName name="A_impresión_IM" localSheetId="0">#REF!</definedName>
    <definedName name="A_impresión_IM" localSheetId="1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>#REF!</definedName>
    <definedName name="ABA15A">#REF!</definedName>
    <definedName name="ABA15B">#REF!</definedName>
    <definedName name="ABELSON">#REF!</definedName>
    <definedName name="acdul">#REF!</definedName>
    <definedName name="Acero">#REF!</definedName>
    <definedName name="acero1200">#REF!</definedName>
    <definedName name="acesp">#REF!</definedName>
    <definedName name="acindec">#REF!</definedName>
    <definedName name="aCLaccesoreadec">#REF!</definedName>
    <definedName name="aCLacondct">#REF!</definedName>
    <definedName name="aCLalcantarilla">#REF!</definedName>
    <definedName name="aCLalteo">#REF!</definedName>
    <definedName name="aCLalteoreadec">#REF!</definedName>
    <definedName name="aclam">#REF!</definedName>
    <definedName name="aCLApartido">#REF!</definedName>
    <definedName name="aCLapoyos">#REF!</definedName>
    <definedName name="aCLbacheo">#REF!</definedName>
    <definedName name="aCLbacheosan">#REF!</definedName>
    <definedName name="aCLbandason">#REF!</definedName>
    <definedName name="aCLbanquina">#REF!</definedName>
    <definedName name="aCLbaranda">#REF!</definedName>
    <definedName name="aCLbase">#REF!</definedName>
    <definedName name="aCLcabezales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>#REF!</definedName>
    <definedName name="aCLciclovía">#REF!</definedName>
    <definedName name="aCLciclovíareadec">#REF!</definedName>
    <definedName name="aCLcolumnas">#REF!</definedName>
    <definedName name="aCLcortepasto">#REF!</definedName>
    <definedName name="aCLdemolicion">#REF!</definedName>
    <definedName name="aCLdesembanque">#REF!</definedName>
    <definedName name="aCLdren">#REF!</definedName>
    <definedName name="aCLescarifbanq">#REF!</definedName>
    <definedName name="aCLescarificado">#REF!</definedName>
    <definedName name="aCLestribos">#REF!</definedName>
    <definedName name="aCLexcavacion">#REF!</definedName>
    <definedName name="aCLexcavacionreadec">#REF!</definedName>
    <definedName name="aCLgaviones">#REF!</definedName>
    <definedName name="aCLhorC">#REF!</definedName>
    <definedName name="aCLhormigon">#REF!</definedName>
    <definedName name="aCLimprimacion">#REF!</definedName>
    <definedName name="aCLimprimacionreadec">#REF!</definedName>
    <definedName name="aCLimprimrefor">#REF!</definedName>
    <definedName name="aCLinvernal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>#REF!</definedName>
    <definedName name="aCLlosa">#REF!</definedName>
    <definedName name="aCLmicroaglom">#REF!</definedName>
    <definedName name="aCLmicroaglomreadec">#REF!</definedName>
    <definedName name="aCLmicroreadec">#REF!</definedName>
    <definedName name="aCLmontaje">#REF!</definedName>
    <definedName name="aCLpasamano">#REF!</definedName>
    <definedName name="aCLperfilado">#REF!</definedName>
    <definedName name="aCLpilotes">#REF!</definedName>
    <definedName name="aCLpintado">#REF!</definedName>
    <definedName name="aCLpretiles">#REF!</definedName>
    <definedName name="aCLpretilesreadec">#REF!</definedName>
    <definedName name="aCLprolongacion">#REF!</definedName>
    <definedName name="aCLproteccion">#REF!</definedName>
    <definedName name="aCLrelleno">#REF!</definedName>
    <definedName name="aCLrellenoreadec">#REF!</definedName>
    <definedName name="aCLrep8026">#REF!</definedName>
    <definedName name="aCLrep8026readec">#REF!</definedName>
    <definedName name="aCLrepalc">#REF!</definedName>
    <definedName name="aCLrestdrenaje">#REF!</definedName>
    <definedName name="aCLretderrumbe">#REF!</definedName>
    <definedName name="aCLretrecolbaranda">#REF!</definedName>
    <definedName name="aCLRHermoso">#REF!</definedName>
    <definedName name="aCLRHermosoreadec">#REF!</definedName>
    <definedName name="aCLriego">#REF!</definedName>
    <definedName name="aCLrotondas">#REF!</definedName>
    <definedName name="aCLsandef">#REF!</definedName>
    <definedName name="aCLsellado">#REF!</definedName>
    <definedName name="aCLsenda">#REF!</definedName>
    <definedName name="aCLsendareadec">#REF!</definedName>
    <definedName name="aCLseñalamiento">#REF!</definedName>
    <definedName name="aCLseñalextrusion">#REF!</definedName>
    <definedName name="aCLseñalizacion">#REF!</definedName>
    <definedName name="aCLseñalvertreadec">#REF!</definedName>
    <definedName name="aCLsistdren1071">#REF!</definedName>
    <definedName name="aCLsubbase">#REF!</definedName>
    <definedName name="aCLterraplen">#REF!</definedName>
    <definedName name="aCLterrapreadec">#REF!</definedName>
    <definedName name="aCLterrsincomp">#REF!</definedName>
    <definedName name="aCLtravesia">#REF!</definedName>
    <definedName name="aCLvigas">#REF!</definedName>
    <definedName name="ACUEDUCTO_A_LOS_FRENTONES_Y_H._CAMPO">#REF!</definedName>
    <definedName name="ACUEDUCTO_A_PAMPA_DEL_INDIO">#REF!</definedName>
    <definedName name="ACUEDUCTO_A_S._SYLVINA_Y_v._BERTHET">#REF!</definedName>
    <definedName name="ACUMULADA">#REF!</definedName>
    <definedName name="ACUMULADO">#REF!</definedName>
    <definedName name="Adecuación" localSheetId="0">L2C1:L372C15</definedName>
    <definedName name="Adecuación" localSheetId="1">L2C1:L372C15</definedName>
    <definedName name="Adecuación" localSheetId="2">L2C1:L372C15</definedName>
    <definedName name="Adecuación" localSheetId="3">L2C1:L372C15</definedName>
    <definedName name="Adecuación" localSheetId="4">L2C1:L372C15</definedName>
    <definedName name="Adecuación" localSheetId="5">L2C1:L372C15</definedName>
    <definedName name="Adecuación" localSheetId="6">L2C1:L372C15</definedName>
    <definedName name="Adecuación" localSheetId="7">L2C1:L372C15</definedName>
    <definedName name="Adecuación">L2C1:L372C15</definedName>
    <definedName name="ADICT">#REF!</definedName>
    <definedName name="ADICT1">#REF!</definedName>
    <definedName name="aeir">#REF!</definedName>
    <definedName name="AIML">#REF!</definedName>
    <definedName name="AISS">#REF!</definedName>
    <definedName name="ALFA">#REF!</definedName>
    <definedName name="alfa_s">#REF!</definedName>
    <definedName name="alfa_s_c">#REF!</definedName>
    <definedName name="ALTR">#REF!</definedName>
    <definedName name="am1cañodren">#REF!</definedName>
    <definedName name="am1cemento">#REF!</definedName>
    <definedName name="am1hierro">#REF!</definedName>
    <definedName name="aMacceso">#REF!</definedName>
    <definedName name="aMaccesoreadec">#REF!</definedName>
    <definedName name="aMacondct">#REF!</definedName>
    <definedName name="aMalcantarilla">#REF!</definedName>
    <definedName name="aMalteo">#REF!</definedName>
    <definedName name="aMalteoreadec">#REF!</definedName>
    <definedName name="aMApartido">#REF!</definedName>
    <definedName name="aMapoyos">#REF!</definedName>
    <definedName name="aMbacheo">#REF!</definedName>
    <definedName name="aMbacheosan">#REF!</definedName>
    <definedName name="aMbandason">#REF!</definedName>
    <definedName name="aMbanquina">#REF!</definedName>
    <definedName name="aMbaranda">#REF!</definedName>
    <definedName name="aMbase">#REF!</definedName>
    <definedName name="aMcabezales">#REF!</definedName>
    <definedName name="aMcalzadas">#REF!</definedName>
    <definedName name="aMcarpeta">#REF!</definedName>
    <definedName name="aMcarpetariego">#REF!</definedName>
    <definedName name="aMCCura">#REF!</definedName>
    <definedName name="aMCCurareadec">#REF!</definedName>
    <definedName name="aMciclovía">#REF!</definedName>
    <definedName name="aMciclovíareadec">#REF!</definedName>
    <definedName name="aMcolumnas">#REF!</definedName>
    <definedName name="aMcortepasto">#REF!</definedName>
    <definedName name="aMdemolicion">#REF!</definedName>
    <definedName name="aMdesembanque">#REF!</definedName>
    <definedName name="aMdren">#REF!</definedName>
    <definedName name="AMEA">#REF!</definedName>
    <definedName name="aMEacceso">#REF!</definedName>
    <definedName name="aMEaccesoreadec">#REF!</definedName>
    <definedName name="aMEacondct">#REF!</definedName>
    <definedName name="aMEalcantarilla">#REF!</definedName>
    <definedName name="aMEalteo">#REF!</definedName>
    <definedName name="aMEalteoreadec">#REF!</definedName>
    <definedName name="aMEApartido">#REF!</definedName>
    <definedName name="aMEapoyos">#REF!</definedName>
    <definedName name="aMEbacheo">#REF!</definedName>
    <definedName name="aMEbacheosan">#REF!</definedName>
    <definedName name="aMEbandason">#REF!</definedName>
    <definedName name="aMEbanquina">#REF!</definedName>
    <definedName name="aMEbaranda">#REF!</definedName>
    <definedName name="AMEC">#REF!</definedName>
    <definedName name="aMEcabezales">#REF!</definedName>
    <definedName name="aMEcalzadas">#REF!</definedName>
    <definedName name="aMEcarpeta">#REF!</definedName>
    <definedName name="aMEcarpetariego">#REF!</definedName>
    <definedName name="aMECCura">#REF!</definedName>
    <definedName name="aMECCurareadec">#REF!</definedName>
    <definedName name="aMEciclovía">#REF!</definedName>
    <definedName name="aMEciclovíareadec">#REF!</definedName>
    <definedName name="AMECL">#REF!</definedName>
    <definedName name="aMEcolumnas">#REF!</definedName>
    <definedName name="aMEcortepasto">#REF!</definedName>
    <definedName name="AMECT">#REF!</definedName>
    <definedName name="aMEdemolicion">#REF!</definedName>
    <definedName name="aMEdesembanque">#REF!</definedName>
    <definedName name="aMEdren">#REF!</definedName>
    <definedName name="AMEE">#REF!</definedName>
    <definedName name="aMEescarifbanq">#REF!</definedName>
    <definedName name="aMEescarificado">#REF!</definedName>
    <definedName name="aMEescarificadoreadec">#REF!</definedName>
    <definedName name="aMEestribos">#REF!</definedName>
    <definedName name="aMEexcavacion">#REF!</definedName>
    <definedName name="aMEexcavacionreadec">#REF!</definedName>
    <definedName name="AMEF">#REF!</definedName>
    <definedName name="AMEG">#REF!</definedName>
    <definedName name="aMEgaviones">#REF!</definedName>
    <definedName name="aMEHermosoreadec">#REF!</definedName>
    <definedName name="aMEhorC">#REF!</definedName>
    <definedName name="aMEhormigon">#REF!</definedName>
    <definedName name="aMEimprimacion">#REF!</definedName>
    <definedName name="aMEimprimacionreadec">#REF!</definedName>
    <definedName name="aMEimprimrefor">#REF!</definedName>
    <definedName name="aMEinvernal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>#REF!</definedName>
    <definedName name="aMElosa">#REF!</definedName>
    <definedName name="aMEmicroaglom">#REF!</definedName>
    <definedName name="aMEmicroaglomreadec">#REF!</definedName>
    <definedName name="aMEmicroreadec">#REF!</definedName>
    <definedName name="aMEmontaje">#REF!</definedName>
    <definedName name="aMEpasamano">#REF!</definedName>
    <definedName name="aMEperfilado">#REF!</definedName>
    <definedName name="aMEpilotes">#REF!</definedName>
    <definedName name="aMEpintado">#REF!</definedName>
    <definedName name="aMEpretiles">#REF!</definedName>
    <definedName name="aMEpretilesreadec">#REF!</definedName>
    <definedName name="aMEprolongacion">#REF!</definedName>
    <definedName name="aMEprolongacionreadec">#REF!</definedName>
    <definedName name="aMEproteccion">#REF!</definedName>
    <definedName name="aMErelleno">#REF!</definedName>
    <definedName name="aMErellenoreadec">#REF!</definedName>
    <definedName name="aMErep8026">#REF!</definedName>
    <definedName name="aMErep8026readec">#REF!</definedName>
    <definedName name="aMErepalc">#REF!</definedName>
    <definedName name="aMErestdrenaje">#REF!</definedName>
    <definedName name="aMErestdrenajereadec">#REF!</definedName>
    <definedName name="aMEretderrumbe">#REF!</definedName>
    <definedName name="aMEretrecolbaranda">#REF!</definedName>
    <definedName name="aMERHermoso">#REF!</definedName>
    <definedName name="aMEriego">#REF!</definedName>
    <definedName name="aMErotondas">#REF!</definedName>
    <definedName name="aMEsandef">#REF!</definedName>
    <definedName name="aMescarifbanq">#REF!</definedName>
    <definedName name="aMescarificado">#REF!</definedName>
    <definedName name="aMEsellado">#REF!</definedName>
    <definedName name="aMEsenda">#REF!</definedName>
    <definedName name="aMEsendareadec">#REF!</definedName>
    <definedName name="aMEseñalamiento">#REF!</definedName>
    <definedName name="aMEseñalamientoreadec">#REF!</definedName>
    <definedName name="aMEseñalextrusion">#REF!</definedName>
    <definedName name="aMEseñalextrusionreadec">#REF!</definedName>
    <definedName name="aMEseñalizacion">#REF!</definedName>
    <definedName name="aMEseñalizacionreadec">#REF!</definedName>
    <definedName name="aMEseñalvertreadec">#REF!</definedName>
    <definedName name="aMEsistdren1071">#REF!</definedName>
    <definedName name="aMestribos">#REF!</definedName>
    <definedName name="aMEsubbase">#REF!</definedName>
    <definedName name="aMEterraplen">#REF!</definedName>
    <definedName name="aMEterrapreadec">#REF!</definedName>
    <definedName name="aMEterrsincomp">#REF!</definedName>
    <definedName name="aMEtravesia">#REF!</definedName>
    <definedName name="aMEvigas">#REF!</definedName>
    <definedName name="aMexcavacion">#REF!</definedName>
    <definedName name="aMexcavacionreadec">#REF!</definedName>
    <definedName name="aMgaviones">#REF!</definedName>
    <definedName name="aMHermosoreadec">#REF!</definedName>
    <definedName name="aMhorC">#REF!</definedName>
    <definedName name="aMhormigon">#REF!</definedName>
    <definedName name="aMimprimacion">#REF!</definedName>
    <definedName name="aMimprimacionreadec">#REF!</definedName>
    <definedName name="aMimprimrefor">#REF!</definedName>
    <definedName name="aMinvernal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>#REF!</definedName>
    <definedName name="aMlosa">#REF!</definedName>
    <definedName name="aMmatbase">#REF!</definedName>
    <definedName name="aMmicroaglem">#REF!</definedName>
    <definedName name="aMmicroaglom">#REF!</definedName>
    <definedName name="aMmicroaglomreadec">#REF!</definedName>
    <definedName name="aMmicroreadec">#REF!</definedName>
    <definedName name="aMmontaje">#REF!</definedName>
    <definedName name="aMOacceso">#REF!</definedName>
    <definedName name="aMOaccesoreadec">#REF!</definedName>
    <definedName name="aMOacondct">#REF!</definedName>
    <definedName name="aMOalcantarilla">#REF!</definedName>
    <definedName name="aMOalcantarillareadec">#REF!</definedName>
    <definedName name="aMOalteo">#REF!</definedName>
    <definedName name="aMOalteoreadec">#REF!</definedName>
    <definedName name="aMOApartido">#REF!</definedName>
    <definedName name="aMOapoyos">#REF!</definedName>
    <definedName name="aMObacheo">#REF!</definedName>
    <definedName name="aMObacheosan">#REF!</definedName>
    <definedName name="aMObandason">#REF!</definedName>
    <definedName name="aMObanquina">#REF!</definedName>
    <definedName name="aMObaranda">#REF!</definedName>
    <definedName name="aMObarandareadec">#REF!</definedName>
    <definedName name="aMObase">#REF!</definedName>
    <definedName name="aMOcabezales">#REF!</definedName>
    <definedName name="aMOcalzadahorm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>#REF!</definedName>
    <definedName name="aMOciclovía">#REF!</definedName>
    <definedName name="aMOciclovíareadec">#REF!</definedName>
    <definedName name="aMOcolumnas">#REF!</definedName>
    <definedName name="aMOcortepasto">#REF!</definedName>
    <definedName name="aMOdemolicion">#REF!</definedName>
    <definedName name="aMOdesembanque">#REF!</definedName>
    <definedName name="aMOdren">#REF!</definedName>
    <definedName name="aMOescarifbanq">#REF!</definedName>
    <definedName name="aMOescarificado">#REF!</definedName>
    <definedName name="aMOestribos">#REF!</definedName>
    <definedName name="aMOexcavacion">#REF!</definedName>
    <definedName name="aMOexcavacionreadec">#REF!</definedName>
    <definedName name="aMOgaviones">#REF!</definedName>
    <definedName name="aMOHermosoreadec">#REF!</definedName>
    <definedName name="aMOhorC">#REF!</definedName>
    <definedName name="aMOhormigon">#REF!</definedName>
    <definedName name="aMOimprimacion">#REF!</definedName>
    <definedName name="aMOimprimacionreadec">#REF!</definedName>
    <definedName name="aMOimprimrefor">#REF!</definedName>
    <definedName name="aMOinvernal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>#REF!</definedName>
    <definedName name="aMOlosa">#REF!</definedName>
    <definedName name="aMOmatbase">#REF!</definedName>
    <definedName name="aMOmicroaglom">#REF!</definedName>
    <definedName name="aMOmicroaglomreadec">#REF!</definedName>
    <definedName name="aMOmicroreadec">#REF!</definedName>
    <definedName name="aMOmontaje">#REF!</definedName>
    <definedName name="aMOpasamano">#REF!</definedName>
    <definedName name="aMOperfilado">#REF!</definedName>
    <definedName name="aMOpintado">#REF!</definedName>
    <definedName name="aMOpretiles">#REF!</definedName>
    <definedName name="aMOpretilesreadec">#REF!</definedName>
    <definedName name="aMOprolongacion">#REF!</definedName>
    <definedName name="aMOprolongacionreadec">#REF!</definedName>
    <definedName name="aMOproteccion">#REF!</definedName>
    <definedName name="aMOrelleno">#REF!</definedName>
    <definedName name="aMOrellenoreadec">#REF!</definedName>
    <definedName name="aMOrep8026">#REF!</definedName>
    <definedName name="aMOrep8026readec">#REF!</definedName>
    <definedName name="aMOrepalc">#REF!</definedName>
    <definedName name="aMOrestdrenaje">#REF!</definedName>
    <definedName name="aMOrestdrenajereadec">#REF!</definedName>
    <definedName name="aMOretderrumbe">#REF!</definedName>
    <definedName name="aMOretrecolbaranda">#REF!</definedName>
    <definedName name="aMOrexcavacion">#REF!</definedName>
    <definedName name="aMORHermoso">#REF!</definedName>
    <definedName name="aMOriego">#REF!</definedName>
    <definedName name="aMOrotondas">#REF!</definedName>
    <definedName name="aMOsandef">#REF!</definedName>
    <definedName name="aMOsellado">#REF!</definedName>
    <definedName name="aMOsenda">#REF!</definedName>
    <definedName name="aMOsendareadec">#REF!</definedName>
    <definedName name="aMOseñalamiento">#REF!</definedName>
    <definedName name="aMOseñalamientoreadec">#REF!</definedName>
    <definedName name="aMOseñalextrusion">#REF!</definedName>
    <definedName name="aMOseñalextrusionreadec">#REF!</definedName>
    <definedName name="aMOseñalizacion">#REF!</definedName>
    <definedName name="aMOseñalizacionreadec">#REF!</definedName>
    <definedName name="aMOseñalvertreadec">#REF!</definedName>
    <definedName name="aMOsistdren1071">#REF!</definedName>
    <definedName name="aMOsubbase">#REF!</definedName>
    <definedName name="aMOterraplen">#REF!</definedName>
    <definedName name="aMOterrapreadec">#REF!</definedName>
    <definedName name="aMOterrsincomp">#REF!</definedName>
    <definedName name="aMOtravesia">#REF!</definedName>
    <definedName name="aMOvigas">#REF!</definedName>
    <definedName name="aMpasamano">#REF!</definedName>
    <definedName name="aMperfilado">#REF!</definedName>
    <definedName name="aMpilotes">#REF!</definedName>
    <definedName name="aMpintado">#REF!</definedName>
    <definedName name="aMpretiles">#REF!</definedName>
    <definedName name="aMpretilesreadec">#REF!</definedName>
    <definedName name="aMprolongacion">#REF!</definedName>
    <definedName name="aMprolongacionreadec">#REF!</definedName>
    <definedName name="aMproteccion">#REF!</definedName>
    <definedName name="aMrelleno">#REF!</definedName>
    <definedName name="aMrellenoreadec">#REF!</definedName>
    <definedName name="aMrep8026">#REF!</definedName>
    <definedName name="aMrep8026readec">#REF!</definedName>
    <definedName name="aMrepalc">#REF!</definedName>
    <definedName name="aMrestdrenaje">#REF!</definedName>
    <definedName name="aMrestdrenajereadec">#REF!</definedName>
    <definedName name="aMretderrumbe">#REF!</definedName>
    <definedName name="aMretrecolbaranda">#REF!</definedName>
    <definedName name="aMRHermoso">#REF!</definedName>
    <definedName name="aMriego">#REF!</definedName>
    <definedName name="aMrotondas">#REF!</definedName>
    <definedName name="aMsandef">#REF!</definedName>
    <definedName name="aMsellado">#REF!</definedName>
    <definedName name="aMsenda">#REF!</definedName>
    <definedName name="aMsendareadec">#REF!</definedName>
    <definedName name="aMseñalamiento">#REF!</definedName>
    <definedName name="aMseñalamientoreadec">#REF!</definedName>
    <definedName name="aMseñalextrusion">#REF!</definedName>
    <definedName name="aMseñalextrusionreadec">#REF!</definedName>
    <definedName name="aMseñalizacion">#REF!</definedName>
    <definedName name="aMseñalizacionreadec">#REF!</definedName>
    <definedName name="aMseñalvertreadec">#REF!</definedName>
    <definedName name="aMsistdren1071">#REF!</definedName>
    <definedName name="aMsubbase">#REF!</definedName>
    <definedName name="AMTE">#REF!</definedName>
    <definedName name="aMterraplen">#REF!</definedName>
    <definedName name="aMterrapreadec">#REF!</definedName>
    <definedName name="aMterrsincomp">#REF!</definedName>
    <definedName name="aMtravesia">#REF!</definedName>
    <definedName name="aMvigas">#REF!</definedName>
    <definedName name="Ana_Cent_Com">#REF!</definedName>
    <definedName name="Ana_Ed_3">#REF!</definedName>
    <definedName name="Ana_Edi_1">#REF!</definedName>
    <definedName name="Ana_Edi_2">#REF!</definedName>
    <definedName name="Ana_Edi_2_Var">#REF!</definedName>
    <definedName name="Ana_Edi_3_Var">#REF!</definedName>
    <definedName name="Ana_OEX">#REF!</definedName>
    <definedName name="Ana_Resumen">#REF!</definedName>
    <definedName name="ANAE1">#REF!</definedName>
    <definedName name="analiprecios" localSheetId="0">#REF!</definedName>
    <definedName name="analiprecios" localSheetId="1">#REF!</definedName>
    <definedName name="analiprecios" localSheetId="2">#REF!</definedName>
    <definedName name="analiprecios" localSheetId="3">#REF!</definedName>
    <definedName name="analiprecios" localSheetId="4">#REF!</definedName>
    <definedName name="analiprecios" localSheetId="5">#REF!</definedName>
    <definedName name="analiprecios" localSheetId="6">#REF!</definedName>
    <definedName name="analiprecios" localSheetId="7">#REF!</definedName>
    <definedName name="analiprecios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0">#REF!</definedName>
    <definedName name="analisisequipo" localSheetId="1">#REF!</definedName>
    <definedName name="analisisequipo" localSheetId="2">#REF!</definedName>
    <definedName name="analisisequipo" localSheetId="3">#REF!</definedName>
    <definedName name="analisisequipo" localSheetId="4">#REF!</definedName>
    <definedName name="analisisequipo" localSheetId="5">#REF!</definedName>
    <definedName name="analisisequipo" localSheetId="6">#REF!</definedName>
    <definedName name="analisisequipo" localSheetId="7">#REF!</definedName>
    <definedName name="analisisequipo">#REF!</definedName>
    <definedName name="analizado">#REF!</definedName>
    <definedName name="angulo">#REF!</definedName>
    <definedName name="angulo_lim">#REF!</definedName>
    <definedName name="angulolim">#REF!</definedName>
    <definedName name="angulolim_c">#REF!</definedName>
    <definedName name="ANTICIPO">#REF!</definedName>
    <definedName name="AR">#REF!</definedName>
    <definedName name="Arand.">#REF!</definedName>
    <definedName name="ardos">#REF!</definedName>
    <definedName name="AREA_DE_IMPRESION">#REF!</definedName>
    <definedName name="_xlnm.Print_Area" localSheetId="0">'SVD 4140_Pto. 01_Cert. 01'!$A$1:$H$57</definedName>
    <definedName name="_xlnm.Print_Area" localSheetId="1">'SVD 4140_Pto. 01_Cert. 02'!$A$1:$H$57</definedName>
    <definedName name="_xlnm.Print_Area" localSheetId="2">'SVD 4140_Pto. 01_Cert. 03'!$A$1:$H$57</definedName>
    <definedName name="_xlnm.Print_Area" localSheetId="3">'SVD 4140_Pto. 01_Cert. 04'!$A$1:$H$57</definedName>
    <definedName name="_xlnm.Print_Area" localSheetId="4">'SVD 4140_Pto. 01_Cert. 05'!$A$1:$H$57</definedName>
    <definedName name="_xlnm.Print_Area" localSheetId="5">'SVD 4140_Pto. 01_Cert. 06'!$A$1:$H$57</definedName>
    <definedName name="_xlnm.Print_Area" localSheetId="6">'SVD 4140_Pto. 01_Cert. 07'!$A$1:$H$57</definedName>
    <definedName name="_xlnm.Print_Area" localSheetId="7">'SVD 4140_Pto. 01_Cert. 08'!$A$1:$H$57</definedName>
    <definedName name="_xlnm.Print_Area">#REF!</definedName>
    <definedName name="AREA1">#REF!</definedName>
    <definedName name="AREA2">#REF!</definedName>
    <definedName name="arena">#REF!</definedName>
    <definedName name="AReq">#REF!</definedName>
    <definedName name="Armadura">#REF!</definedName>
    <definedName name="armco">#REF!</definedName>
    <definedName name="armdis">#REF!</definedName>
    <definedName name="ARR">#N/A</definedName>
    <definedName name="ARRA">#REF!</definedName>
    <definedName name="ARRC">#REF!</definedName>
    <definedName name="ARREM">#REF!</definedName>
    <definedName name="ARREP">#REF!</definedName>
    <definedName name="arriba">#REF!</definedName>
    <definedName name="ARRRR">#REF!</definedName>
    <definedName name="ARSC">#REF!</definedName>
    <definedName name="ARSCE">#REF!</definedName>
    <definedName name="ARSDA">#REF!</definedName>
    <definedName name="ARSEC">#REF!</definedName>
    <definedName name="ARSED">#REF!</definedName>
    <definedName name="ARSEM">#REF!</definedName>
    <definedName name="ARSEP">#REF!</definedName>
    <definedName name="ARSLE">#REF!</definedName>
    <definedName name="ARSNA">#REF!</definedName>
    <definedName name="ART">#REF!</definedName>
    <definedName name="ART_Cargo_Fijo">#REF!</definedName>
    <definedName name="aruno">#REF!</definedName>
    <definedName name="as">#REF!</definedName>
    <definedName name="asd" localSheetId="0">L2C1:L372C15</definedName>
    <definedName name="asd" localSheetId="1">L2C1:L372C15</definedName>
    <definedName name="asd" localSheetId="2">L2C1:L372C15</definedName>
    <definedName name="asd" localSheetId="3">L2C1:L372C15</definedName>
    <definedName name="asd" localSheetId="4">L2C1:L372C15</definedName>
    <definedName name="asd" localSheetId="5">L2C1:L372C15</definedName>
    <definedName name="asd" localSheetId="6">L2C1:L372C15</definedName>
    <definedName name="asd" localSheetId="7">L2C1:L372C15</definedName>
    <definedName name="asd">L2C1:L372C15</definedName>
    <definedName name="asdaaa">#REF!</definedName>
    <definedName name="ASDAASD" localSheetId="0">L2C1:L372C15</definedName>
    <definedName name="ASDAASD" localSheetId="1">L2C1:L372C15</definedName>
    <definedName name="ASDAASD" localSheetId="2">L2C1:L372C15</definedName>
    <definedName name="ASDAASD" localSheetId="3">L2C1:L372C15</definedName>
    <definedName name="ASDAASD" localSheetId="4">L2C1:L372C15</definedName>
    <definedName name="ASDAASD" localSheetId="5">L2C1:L372C15</definedName>
    <definedName name="ASDAASD" localSheetId="6">L2C1:L372C15</definedName>
    <definedName name="ASDAASD" localSheetId="7">L2C1:L372C15</definedName>
    <definedName name="ASDAASD">L2C1:L372C15</definedName>
    <definedName name="asdis">#REF!</definedName>
    <definedName name="asew">#REF!</definedName>
    <definedName name="Asistencia">#REF!</definedName>
    <definedName name="at1cañodren">#REF!</definedName>
    <definedName name="at1cemento">#REF!</definedName>
    <definedName name="at1hierro">#REF!</definedName>
    <definedName name="aTacceso">#REF!</definedName>
    <definedName name="aTaccesoreadec">#REF!</definedName>
    <definedName name="aTacondct">#REF!</definedName>
    <definedName name="aTalcantarilla">#REF!</definedName>
    <definedName name="aTalcantarillareadec">#REF!</definedName>
    <definedName name="aTalteo">#REF!</definedName>
    <definedName name="aTalteoreadec">#REF!</definedName>
    <definedName name="aTApartido">#REF!</definedName>
    <definedName name="aTbacheo">#REF!</definedName>
    <definedName name="aTbacheosan">#REF!</definedName>
    <definedName name="aTbandason">#REF!</definedName>
    <definedName name="aTbanquina">#REF!</definedName>
    <definedName name="aTbaranda">#REF!</definedName>
    <definedName name="aTbarandareadec">#REF!</definedName>
    <definedName name="aTbase">#REF!</definedName>
    <definedName name="aTcabezales">#REF!</definedName>
    <definedName name="aTcalzadahorm">#REF!</definedName>
    <definedName name="aTcalzadas">#REF!</definedName>
    <definedName name="aTcarpeta">#REF!</definedName>
    <definedName name="aTcarpetariego">#REF!</definedName>
    <definedName name="aTCCura">#REF!</definedName>
    <definedName name="aTCCurareadec">#REF!</definedName>
    <definedName name="aTciclovía">#REF!</definedName>
    <definedName name="aTciclovíareadec">#REF!</definedName>
    <definedName name="aTcolumnas">#REF!</definedName>
    <definedName name="aTcortepasto">#REF!</definedName>
    <definedName name="aTdemolicion">#REF!</definedName>
    <definedName name="aTdesembanque">#REF!</definedName>
    <definedName name="aTdren">#REF!</definedName>
    <definedName name="aTescarifbanq">#REF!</definedName>
    <definedName name="aTescarificado">#REF!</definedName>
    <definedName name="aTestribos">#REF!</definedName>
    <definedName name="aTexcavacion">#REF!</definedName>
    <definedName name="aTexcavacionreadec">#REF!</definedName>
    <definedName name="aTgaviones">#REF!</definedName>
    <definedName name="aTHermosoreadec">#REF!</definedName>
    <definedName name="aThorC">#REF!</definedName>
    <definedName name="aThormigon">#REF!</definedName>
    <definedName name="aTimprimacion">#REF!</definedName>
    <definedName name="aTimprimacionreadec">#REF!</definedName>
    <definedName name="aTimprimrefor">#REF!</definedName>
    <definedName name="aTinvernal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>#REF!</definedName>
    <definedName name="aTlosa">#REF!</definedName>
    <definedName name="aTmatbase">#REF!</definedName>
    <definedName name="aTmicroaglom">#REF!</definedName>
    <definedName name="aTmicroaglomreadec">#REF!</definedName>
    <definedName name="aTmicroreadec">#REF!</definedName>
    <definedName name="aTmontaje">#REF!</definedName>
    <definedName name="aTpasamano">#REF!</definedName>
    <definedName name="aTperfilado">#REF!</definedName>
    <definedName name="aTpilotes">#REF!</definedName>
    <definedName name="aTpintado">#REF!</definedName>
    <definedName name="aTpretiles">#REF!</definedName>
    <definedName name="aTpretilesreadec">#REF!</definedName>
    <definedName name="aTprolongacion">#REF!</definedName>
    <definedName name="aTprolongacionreadec">#REF!</definedName>
    <definedName name="aTproteccion">#REF!</definedName>
    <definedName name="aTrelleno">#REF!</definedName>
    <definedName name="aTrellenoreadec">#REF!</definedName>
    <definedName name="aTrep8026">#REF!</definedName>
    <definedName name="aTrep8026readec">#REF!</definedName>
    <definedName name="aTrepalc">#REF!</definedName>
    <definedName name="aTrepalcreadec">#REF!</definedName>
    <definedName name="aTrestdrenaje">#REF!</definedName>
    <definedName name="aTrestdrenajereadec">#REF!</definedName>
    <definedName name="aTretderrumbe">#REF!</definedName>
    <definedName name="aTretrecolbaranda">#REF!</definedName>
    <definedName name="aTRHermoso">#REF!</definedName>
    <definedName name="aTriego">#REF!</definedName>
    <definedName name="aTrotondas">#REF!</definedName>
    <definedName name="aTsandef">#REF!</definedName>
    <definedName name="aTsellado">#REF!</definedName>
    <definedName name="aTsenda">#REF!</definedName>
    <definedName name="aTsendareadec">#REF!</definedName>
    <definedName name="aTseñalamiento">#REF!</definedName>
    <definedName name="aTseñalamientoreadec">#REF!</definedName>
    <definedName name="aTseñalextrusion">#REF!</definedName>
    <definedName name="aTseñalextrusionreadec">#REF!</definedName>
    <definedName name="aTseñalizacion">#REF!</definedName>
    <definedName name="aTseñalizacionreadec">#REF!</definedName>
    <definedName name="aTseñalvertreadec">#REF!</definedName>
    <definedName name="aTsistdren1071">#REF!</definedName>
    <definedName name="aTsubbase">#REF!</definedName>
    <definedName name="aTterraplen">#REF!</definedName>
    <definedName name="aTterrapreadec">#REF!</definedName>
    <definedName name="aTterrsincomp">#REF!</definedName>
    <definedName name="aTtravesia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>#REF!</definedName>
    <definedName name="ayudante4">#REF!</definedName>
    <definedName name="ayudante6">#REF!</definedName>
    <definedName name="ayudante8">#REF!</definedName>
    <definedName name="ayudr">#REF!</definedName>
    <definedName name="b">#REF!</definedName>
    <definedName name="B.1">#REF!</definedName>
    <definedName name="B.2">#N/A</definedName>
    <definedName name="b_rec_h">#REF!</definedName>
    <definedName name="b_rec_v">#REF!</definedName>
    <definedName name="BASE">#REF!</definedName>
    <definedName name="base_insumos">#REF!</definedName>
    <definedName name="BASEABELSON">#REF!</definedName>
    <definedName name="_xlnm.Database">#REF!</definedName>
    <definedName name="BASEINSU" localSheetId="0">L2C1:L372C15</definedName>
    <definedName name="BASEINSU" localSheetId="1">L2C1:L372C15</definedName>
    <definedName name="BASEINSU" localSheetId="2">L2C1:L372C15</definedName>
    <definedName name="BASEINSU" localSheetId="3">L2C1:L372C15</definedName>
    <definedName name="BASEINSU" localSheetId="4">L2C1:L372C15</definedName>
    <definedName name="BASEINSU" localSheetId="5">L2C1:L372C15</definedName>
    <definedName name="BASEINSU" localSheetId="6">L2C1:L372C15</definedName>
    <definedName name="BASEINSU" localSheetId="7">L2C1:L372C15</definedName>
    <definedName name="BASEINSU">L2C1:L372C15</definedName>
    <definedName name="baseinsumos" localSheetId="0">L2C1:L372C15</definedName>
    <definedName name="baseinsumos" localSheetId="1">L2C1:L372C15</definedName>
    <definedName name="baseinsumos" localSheetId="2">L2C1:L372C15</definedName>
    <definedName name="baseinsumos" localSheetId="3">L2C1:L372C15</definedName>
    <definedName name="baseinsumos" localSheetId="4">L2C1:L372C15</definedName>
    <definedName name="baseinsumos" localSheetId="5">L2C1:L372C15</definedName>
    <definedName name="baseinsumos" localSheetId="6">L2C1:L372C15</definedName>
    <definedName name="baseinsumos" localSheetId="7">L2C1:L372C15</definedName>
    <definedName name="baseinsumos">L2C1:L372C15</definedName>
    <definedName name="be">#REF!</definedName>
    <definedName name="Beg_Bal">#REF!</definedName>
    <definedName name="bene" localSheetId="0">#REF!</definedName>
    <definedName name="bene" localSheetId="1">#REF!</definedName>
    <definedName name="bene" localSheetId="2">#REF!</definedName>
    <definedName name="bene" localSheetId="3">#REF!</definedName>
    <definedName name="bene" localSheetId="4">#REF!</definedName>
    <definedName name="bene" localSheetId="5">#REF!</definedName>
    <definedName name="bene" localSheetId="6">#REF!</definedName>
    <definedName name="bene" localSheetId="7">#REF!</definedName>
    <definedName name="bene">#REF!</definedName>
    <definedName name="BENEFICIO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" localSheetId="0">L2C1:L372C15</definedName>
    <definedName name="BI" localSheetId="1">L2C1:L372C15</definedName>
    <definedName name="BI" localSheetId="2">L2C1:L372C15</definedName>
    <definedName name="BI" localSheetId="3">L2C1:L372C15</definedName>
    <definedName name="BI" localSheetId="4">L2C1:L372C15</definedName>
    <definedName name="BI" localSheetId="5">L2C1:L372C15</definedName>
    <definedName name="BI" localSheetId="6">L2C1:L372C15</definedName>
    <definedName name="BI" localSheetId="7">L2C1:L372C15</definedName>
    <definedName name="BI">L2C1:L372C15</definedName>
    <definedName name="bloque20x20x40">#REF!</definedName>
    <definedName name="br">#REF!</definedName>
    <definedName name="BRAZ">#REF!</definedName>
    <definedName name="BRAZO">#REF!</definedName>
    <definedName name="bs">#REF!</definedName>
    <definedName name="BSociales">#REF!</definedName>
    <definedName name="bss">#REF!</definedName>
    <definedName name="bsss">#REF!</definedName>
    <definedName name="C_">#REF!</definedName>
    <definedName name="ca">#REF!</definedName>
    <definedName name="Caeacceso">#REF!</definedName>
    <definedName name="Caeacondct">#REF!</definedName>
    <definedName name="Caealcantarilla">#REF!</definedName>
    <definedName name="Caealcantarillareadec">#REF!</definedName>
    <definedName name="Caealteomyg">#REF!</definedName>
    <definedName name="CaeApartido">#REF!</definedName>
    <definedName name="Caeapoyos">#REF!</definedName>
    <definedName name="Caebacheo">#REF!</definedName>
    <definedName name="Caebandason">#REF!</definedName>
    <definedName name="Caebandasonreadec">#REF!</definedName>
    <definedName name="Caebanquina">#REF!</definedName>
    <definedName name="Caebaranda">#REF!</definedName>
    <definedName name="Caebarandareadec">#REF!</definedName>
    <definedName name="Caebase">#REF!</definedName>
    <definedName name="Caecabezales">#REF!</definedName>
    <definedName name="Caecalzadahorm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>#REF!</definedName>
    <definedName name="Caeestribos">#REF!</definedName>
    <definedName name="Caeexcavacion">#REF!</definedName>
    <definedName name="Caeexcavacionreadec">#REF!</definedName>
    <definedName name="Caegaviones">#REF!</definedName>
    <definedName name="Caehor">#REF!</definedName>
    <definedName name="CaehorC">#REF!</definedName>
    <definedName name="CaehorCreadec">#REF!</definedName>
    <definedName name="Caeimprimacion">#REF!</definedName>
    <definedName name="Caeimprimrefor">#REF!</definedName>
    <definedName name="Caeinvernal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>#REF!</definedName>
    <definedName name="Caelosa">#REF!</definedName>
    <definedName name="Caematbase">#REF!</definedName>
    <definedName name="Caemicroaglom">#REF!</definedName>
    <definedName name="Caemicroaglomreadec">#REF!</definedName>
    <definedName name="Caepasamano">#REF!</definedName>
    <definedName name="Caeperfilado">#REF!</definedName>
    <definedName name="Caepintado">#REF!</definedName>
    <definedName name="Caepretiles">#REF!</definedName>
    <definedName name="Caeprolongacion">#REF!</definedName>
    <definedName name="Caeprolongacionreadec">#REF!</definedName>
    <definedName name="Caeproteccion">#REF!</definedName>
    <definedName name="Caereadsistdren1071">#REF!</definedName>
    <definedName name="Caerelleno">#REF!</definedName>
    <definedName name="CaeRep8026">#REF!</definedName>
    <definedName name="Caerepalc">#REF!</definedName>
    <definedName name="Caerestdrenajereadec">#REF!</definedName>
    <definedName name="Caeretderrumbe">#REF!</definedName>
    <definedName name="Caeretrecolbaranda">#REF!</definedName>
    <definedName name="CaeRHermoso">#REF!</definedName>
    <definedName name="Caeriego">#REF!</definedName>
    <definedName name="Caerotondas">#REF!</definedName>
    <definedName name="Caesandef">#REF!</definedName>
    <definedName name="Caesellado">#REF!</definedName>
    <definedName name="Caesenda">#REF!</definedName>
    <definedName name="Caeseñalamiento">#REF!</definedName>
    <definedName name="Caeseñalamientoreadec">#REF!</definedName>
    <definedName name="Caeseñalextrusion">#REF!</definedName>
    <definedName name="Caeseñalextrusionreadec">#REF!</definedName>
    <definedName name="Caeseñalizacion">#REF!</definedName>
    <definedName name="Caeseñalizacionreadec">#REF!</definedName>
    <definedName name="Caeseñalvertreadec">#REF!</definedName>
    <definedName name="Caesistdren">#REF!</definedName>
    <definedName name="Caesistdrenreadec">#REF!</definedName>
    <definedName name="Caesubbase">#REF!</definedName>
    <definedName name="Caeterraplen">#REF!</definedName>
    <definedName name="Caeterraplenreadec">#REF!</definedName>
    <definedName name="Caeterrsincomp">#REF!</definedName>
    <definedName name="Caetravesia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>#REF!</definedName>
    <definedName name="CalidadAcero">#REF!</definedName>
    <definedName name="campocodigoanalisis">#REF!</definedName>
    <definedName name="CAÑERIA_DE_IMPULSION__P._LAVALLE_SAENZ_PEÑA">#REF!</definedName>
    <definedName name="Caracteres_del_Alfabeto_Griego">#REF!</definedName>
    <definedName name="CARGAS">#REF!</definedName>
    <definedName name="Cargas_Sociales">#REF!</definedName>
    <definedName name="carlosa">#REF!</definedName>
    <definedName name="carlosar">#REF!</definedName>
    <definedName name="cascada">#REF!</definedName>
    <definedName name="CAT">#REF!</definedName>
    <definedName name="CC">#REF!</definedName>
    <definedName name="cd">#REF!</definedName>
    <definedName name="cddos">#REF!</definedName>
    <definedName name="CDT">#REF!</definedName>
    <definedName name="CE0">#REF!</definedName>
    <definedName name="CE1_">#REF!</definedName>
    <definedName name="CE2_">#REF!</definedName>
    <definedName name="CE3_">#REF!</definedName>
    <definedName name="CEBE">#REF!</definedName>
    <definedName name="CECF">#REF!</definedName>
    <definedName name="CEGG">#REF!</definedName>
    <definedName name="CEIM">#REF!</definedName>
    <definedName name="ceme">#REF!</definedName>
    <definedName name="cemento">#REF!</definedName>
    <definedName name="CEMR">#REF!</definedName>
    <definedName name="CEo">#REF!</definedName>
    <definedName name="Certificado2" localSheetId="0">#REF!</definedName>
    <definedName name="Certificado2" localSheetId="1">#REF!</definedName>
    <definedName name="Certificado2" localSheetId="2">#REF!</definedName>
    <definedName name="Certificado2" localSheetId="3">#REF!</definedName>
    <definedName name="Certificado2" localSheetId="4">#REF!</definedName>
    <definedName name="Certificado2" localSheetId="5">#REF!</definedName>
    <definedName name="Certificado2" localSheetId="6">#REF!</definedName>
    <definedName name="Certificado2" localSheetId="7">#REF!</definedName>
    <definedName name="Certificado2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>#REF!</definedName>
    <definedName name="CIEA">#REF!</definedName>
    <definedName name="CIEE">#REF!</definedName>
    <definedName name="CIEF">#REF!</definedName>
    <definedName name="CIEG">#REF!</definedName>
    <definedName name="CISTERNA_Y_E.E._EN_SAENZ_PEÑA">#REF!</definedName>
    <definedName name="clase">#REF!</definedName>
    <definedName name="Clases_Edificios">#REF!</definedName>
    <definedName name="clav">#REF!</definedName>
    <definedName name="clavos">#REF!</definedName>
    <definedName name="CM0">#REF!</definedName>
    <definedName name="CM1_">#REF!</definedName>
    <definedName name="CM3_">#REF!</definedName>
    <definedName name="CM4_">#REF!</definedName>
    <definedName name="CMA">#REF!</definedName>
    <definedName name="CMAX">#REF!</definedName>
    <definedName name="CMMO">#REF!</definedName>
    <definedName name="CMO">#REF!</definedName>
    <definedName name="CMOE">#REF!</definedName>
    <definedName name="CMP">#REF!</definedName>
    <definedName name="CMZ">#REF!</definedName>
    <definedName name="codigoanalisis">#REF!</definedName>
    <definedName name="codigoformulas">#REF!</definedName>
    <definedName name="codigoinsumos">#REF!</definedName>
    <definedName name="codigoitems">#REF!</definedName>
    <definedName name="codigomat">#REF!</definedName>
    <definedName name="CodigoParametrico">#REF!</definedName>
    <definedName name="coef" localSheetId="0">#REF!</definedName>
    <definedName name="coef" localSheetId="1">#REF!</definedName>
    <definedName name="coef" localSheetId="2">#REF!</definedName>
    <definedName name="coef" localSheetId="3">#REF!</definedName>
    <definedName name="coef" localSheetId="4">#REF!</definedName>
    <definedName name="coef" localSheetId="5">#REF!</definedName>
    <definedName name="coef" localSheetId="6">#REF!</definedName>
    <definedName name="coef" localSheetId="7">#REF!</definedName>
    <definedName name="coef">#REF!</definedName>
    <definedName name="Coef_GG_B_I">#REF!</definedName>
    <definedName name="columna">#REF!</definedName>
    <definedName name="COLUMNAS">#REF!</definedName>
    <definedName name="Comb">#REF!</definedName>
    <definedName name="Combinaciones_cargas">#REF!</definedName>
    <definedName name="COMPANIA">#REF!</definedName>
    <definedName name="COMPUTO">#REF!</definedName>
    <definedName name="COMPUTOS">#REF!</definedName>
    <definedName name="Constante_de_los_Gases">#REF!</definedName>
    <definedName name="constantes">#REF!</definedName>
    <definedName name="Consumo">#REF!</definedName>
    <definedName name="Contribucion_Patronal_s_Decreto_2641">#REF!</definedName>
    <definedName name="copete">#REF!</definedName>
    <definedName name="COPIA">#REF!</definedName>
    <definedName name="Correa">#REF!</definedName>
    <definedName name="COSTO">#N/A</definedName>
    <definedName name="COSTO_DIRECTO">#REF!</definedName>
    <definedName name="COSTO_INDIRECTO">#REF!</definedName>
    <definedName name="CostoEquipos">#REF!</definedName>
    <definedName name="coti3">#REF!</definedName>
    <definedName name="coti4">#REF!</definedName>
    <definedName name="Cotizador_automatico_del_pedido.">#REF!</definedName>
    <definedName name="cotizador2">#REF!</definedName>
    <definedName name="CreditoFiscal">#REF!</definedName>
    <definedName name="_xlnm.Criteria">#REF!</definedName>
    <definedName name="Crracceso">#REF!</definedName>
    <definedName name="Crracondct">#REF!</definedName>
    <definedName name="Crralcantarilla">#REF!</definedName>
    <definedName name="Crralcantarillareadec">#REF!</definedName>
    <definedName name="Crralteomyg">#REF!</definedName>
    <definedName name="CrrApartido">#REF!</definedName>
    <definedName name="Crrapoyos">#REF!</definedName>
    <definedName name="Crrbacheo">#REF!</definedName>
    <definedName name="Crrbandason">#REF!</definedName>
    <definedName name="Crrbandasonreadec">#REF!</definedName>
    <definedName name="Crrbanquina">#REF!</definedName>
    <definedName name="Crrbaranda">#REF!</definedName>
    <definedName name="Crrbarandareadec">#REF!</definedName>
    <definedName name="Crrbase">#REF!</definedName>
    <definedName name="Crrcabezales">#REF!</definedName>
    <definedName name="Crrcalzadahorm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>#REF!</definedName>
    <definedName name="Crrestribos">#REF!</definedName>
    <definedName name="Crrexcavacion">#REF!</definedName>
    <definedName name="Crrexcavacionreadec">#REF!</definedName>
    <definedName name="Crrgaviones">#REF!</definedName>
    <definedName name="Crrhor">#REF!</definedName>
    <definedName name="CrrhorC">#REF!</definedName>
    <definedName name="CrrhorCreadec">#REF!</definedName>
    <definedName name="Crrimprimacion">#REF!</definedName>
    <definedName name="Crrimprimrefor">#REF!</definedName>
    <definedName name="Crrinvernal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>#REF!</definedName>
    <definedName name="Crrlosa">#REF!</definedName>
    <definedName name="Crrmatbase">#REF!</definedName>
    <definedName name="Crrmicroaglom">#REF!</definedName>
    <definedName name="Crrmicroaglomreadec">#REF!</definedName>
    <definedName name="Crrmontaje">#REF!</definedName>
    <definedName name="Crrpasamano">#REF!</definedName>
    <definedName name="Crrperfilado">#REF!</definedName>
    <definedName name="Crrpilotes">#REF!</definedName>
    <definedName name="Crrpintado">#REF!</definedName>
    <definedName name="Crrpretiles">#REF!</definedName>
    <definedName name="Crrprolongacion">#REF!</definedName>
    <definedName name="Crrprolongacionreadec">#REF!</definedName>
    <definedName name="Crrproteccion">#REF!</definedName>
    <definedName name="Crrreadsistdren1071">#REF!</definedName>
    <definedName name="Crrrelleno">#REF!</definedName>
    <definedName name="Crrrep8026">#REF!</definedName>
    <definedName name="Crrrepalc">#REF!</definedName>
    <definedName name="Crrrestdrenajereadec">#REF!</definedName>
    <definedName name="Crrretderrumbe">#REF!</definedName>
    <definedName name="Crrretrecolbaranda">#REF!</definedName>
    <definedName name="CrrRHermoso">#REF!</definedName>
    <definedName name="Crrriego">#REF!</definedName>
    <definedName name="Crrrotondas">#REF!</definedName>
    <definedName name="Crrsandef">#REF!</definedName>
    <definedName name="Crrsellado">#REF!</definedName>
    <definedName name="Crrsenda">#REF!</definedName>
    <definedName name="Crrseñalamientoreadec">#REF!</definedName>
    <definedName name="Crrseñalextrusion">#REF!</definedName>
    <definedName name="Crrseñalextrusionreadec">#REF!</definedName>
    <definedName name="Crrseñalizacion">#REF!</definedName>
    <definedName name="Crrseñalizacionreadec">#REF!</definedName>
    <definedName name="Crrseñalvertreadec">#REF!</definedName>
    <definedName name="Crrsistdren">#REF!</definedName>
    <definedName name="Crrsistdrenreadec">#REF!</definedName>
    <definedName name="Crrsubbase">#REF!</definedName>
    <definedName name="Crrterraplen">#REF!</definedName>
    <definedName name="Crrterraplenreadec">#REF!</definedName>
    <definedName name="Crrterrsincomp">#REF!</definedName>
    <definedName name="Crrtravesia">#REF!</definedName>
    <definedName name="Crrvigas">#REF!</definedName>
    <definedName name="Cuad.">#REF!</definedName>
    <definedName name="CUANT">#N/A</definedName>
    <definedName name="cub">#REF!</definedName>
    <definedName name="cucu">#REF!</definedName>
    <definedName name="Cus">#REF!</definedName>
    <definedName name="d" localSheetId="0">#REF!</definedName>
    <definedName name="d" localSheetId="1">#REF!</definedName>
    <definedName name="d" localSheetId="2">#REF!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>#REF!</definedName>
    <definedName name="d.10">#REF!</definedName>
    <definedName name="d.12">#REF!</definedName>
    <definedName name="d.16">#REF!</definedName>
    <definedName name="d.20">#REF!</definedName>
    <definedName name="d.25">#REF!</definedName>
    <definedName name="d.6">#REF!</definedName>
    <definedName name="d.8">#REF!</definedName>
    <definedName name="Data">#REF!</definedName>
    <definedName name="DATOS">#REF!</definedName>
    <definedName name="DCC">#REF!</definedName>
    <definedName name="ddlim">#REF!</definedName>
    <definedName name="decimal" hidden="1">{"DECIMAL",#N/A,FALSE,"02"}</definedName>
    <definedName name="Decreto_2641_02">#REF!</definedName>
    <definedName name="DEESP">#REF!</definedName>
    <definedName name="DELTA">#N/A</definedName>
    <definedName name="DenominacionAcero">#REF!</definedName>
    <definedName name="DenominacioPerfiles">#REF!</definedName>
    <definedName name="Descuentos">#REF!</definedName>
    <definedName name="Descuentos2">#REF!</definedName>
    <definedName name="Desperdicio_Armadura">#REF!</definedName>
    <definedName name="Destino_Edificio">#REF!</definedName>
    <definedName name="Detalle" hidden="1">{"NORMAL",#N/A,FALSE,"02"}</definedName>
    <definedName name="dF">#REF!</definedName>
    <definedName name="dfgsgsg">#REF!</definedName>
    <definedName name="DHDAM">#REF!</definedName>
    <definedName name="DHDD">#REF!</definedName>
    <definedName name="DHDDA">#REF!</definedName>
    <definedName name="DHDDB">#REF!</definedName>
    <definedName name="DHDDE">#REF!</definedName>
    <definedName name="DHDEM">#REF!</definedName>
    <definedName name="DHDPO">#REF!</definedName>
    <definedName name="DHMPO">#REF!</definedName>
    <definedName name="DIAMETROS">#REF!</definedName>
    <definedName name="Diámetros_y_Espesores_de_P.V.C.">#REF!</definedName>
    <definedName name="Dias_Enfermedad">#REF!</definedName>
    <definedName name="Diesel">#REF!</definedName>
    <definedName name="dil">#REF!</definedName>
    <definedName name="DINTS">#REF!</definedName>
    <definedName name="dlim">#REF!</definedName>
    <definedName name="DMPGR">#REF!</definedName>
    <definedName name="DMPGRAM">#REF!</definedName>
    <definedName name="docum">#REF!</definedName>
    <definedName name="DOLAR">#REF!</definedName>
    <definedName name="Dólar">#REF!</definedName>
    <definedName name="Dollar">#REF!</definedName>
    <definedName name="DR">#REF!</definedName>
    <definedName name="DRdos">#REF!</definedName>
    <definedName name="DReq">#REF!</definedName>
    <definedName name="DReqdos">#REF!</definedName>
    <definedName name="DRuno">#REF!</definedName>
    <definedName name="drwtr">#REF!</definedName>
    <definedName name="DTHBMPG">#REF!</definedName>
    <definedName name="DTHDABM">#REF!</definedName>
    <definedName name="DTHDAPM">#REF!</definedName>
    <definedName name="DTHDBPM">#REF!</definedName>
    <definedName name="DTHPDCO">#REF!</definedName>
    <definedName name="DTHPDDA">#REF!</definedName>
    <definedName name="DTHPDDB">#REF!</definedName>
    <definedName name="DTHPGCO">#REF!</definedName>
    <definedName name="DTHPMBM">#REF!</definedName>
    <definedName name="DVDD">#REF!</definedName>
    <definedName name="DVDEM">#REF!</definedName>
    <definedName name="DVEM">#REF!</definedName>
    <definedName name="E">#N/A</definedName>
    <definedName name="EASP">#REF!</definedName>
    <definedName name="Ee">#REF!</definedName>
    <definedName name="Ef">#REF!</definedName>
    <definedName name="Ei">#REF!</definedName>
    <definedName name="EINC">#REF!</definedName>
    <definedName name="Eléctrica">#REF!</definedName>
    <definedName name="Em">#REF!</definedName>
    <definedName name="EMSP">#REF!</definedName>
    <definedName name="EncabezadoAnalisis">#REF!</definedName>
    <definedName name="End_Bal">#REF!</definedName>
    <definedName name="ENERGIA">#REF!</definedName>
    <definedName name="ENREUTAB">#REF!</definedName>
    <definedName name="ENREUTIR">#REF!</definedName>
    <definedName name="Eo">#REF!</definedName>
    <definedName name="eq">#REF!</definedName>
    <definedName name="eqimp">#REF!</definedName>
    <definedName name="eqnac">#REF!</definedName>
    <definedName name="EQS">#REF!</definedName>
    <definedName name="equipo">#REF!</definedName>
    <definedName name="EQUIPOS">#REF!</definedName>
    <definedName name="ES">#REF!</definedName>
    <definedName name="escala">#REF!</definedName>
    <definedName name="Escenarios">#REF!</definedName>
    <definedName name="espera_del_pago">#REF!</definedName>
    <definedName name="Et">#REF!</definedName>
    <definedName name="etapaII">#REF!</definedName>
    <definedName name="etapaIII">#REF!</definedName>
    <definedName name="EX">#N/A</definedName>
    <definedName name="EXAP">#REF!</definedName>
    <definedName name="EXAPI">#REF!</definedName>
    <definedName name="EXAS">#REF!</definedName>
    <definedName name="EXAZ">#REF!</definedName>
    <definedName name="EXBE">#REF!</definedName>
    <definedName name="EXCD">#REF!</definedName>
    <definedName name="EXCM">#REF!</definedName>
    <definedName name="EXCT">#REF!</definedName>
    <definedName name="EXESP">#REF!</definedName>
    <definedName name="EXLP">#REF!</definedName>
    <definedName name="EXLS">#REF!</definedName>
    <definedName name="EXNC">#REF!</definedName>
    <definedName name="EXNP">#REF!</definedName>
    <definedName name="EXPOSICION">#REF!</definedName>
    <definedName name="EXPZ">#REF!</definedName>
    <definedName name="EXSP">#REF!</definedName>
    <definedName name="Extra_Pay">#REF!</definedName>
    <definedName name="EY">#N/A</definedName>
    <definedName name="FASES">#N/A</definedName>
    <definedName name="FCT">#REF!</definedName>
    <definedName name="Fe">#REF!</definedName>
    <definedName name="Fecha">#REF!</definedName>
    <definedName name="FF">#REF!</definedName>
    <definedName name="ffdfsd">#REF!</definedName>
    <definedName name="fi">#REF!</definedName>
    <definedName name="fin">#REF!</definedName>
    <definedName name="finor">#REF!</definedName>
    <definedName name="FL">#REF!</definedName>
    <definedName name="FLECHA">#REF!</definedName>
    <definedName name="Flete">#REF!</definedName>
    <definedName name="FleteReal">#REF!</definedName>
    <definedName name="flex">#REF!</definedName>
    <definedName name="flexposte">#REF!</definedName>
    <definedName name="fo">#REF!</definedName>
    <definedName name="Fondo_Desempleo">#REF!</definedName>
    <definedName name="formula_analisis">#REF!</definedName>
    <definedName name="formula_formula">#REF!</definedName>
    <definedName name="Fórmula_General_para_Determinación_de_f">#REF!</definedName>
    <definedName name="formula_insumo">#REF!</definedName>
    <definedName name="formula_presupuesto">#REF!</definedName>
    <definedName name="formula_rubro">#REF!</definedName>
    <definedName name="formulapatron">#REF!</definedName>
    <definedName name="formulas">#REF!</definedName>
    <definedName name="formulasenlace">#REF!</definedName>
    <definedName name="FP">#REF!</definedName>
    <definedName name="FP_">#REF!</definedName>
    <definedName name="FP__">#REF!</definedName>
    <definedName name="frame0">#REF!</definedName>
    <definedName name="frameF">#REF!</definedName>
    <definedName name="framevs">#REF!</definedName>
    <definedName name="FT">#REF!</definedName>
    <definedName name="fu">#REF!</definedName>
    <definedName name="Full_Print">#REF!</definedName>
    <definedName name="FX_">#REF!</definedName>
    <definedName name="FY">#REF!</definedName>
    <definedName name="g">#REF!</definedName>
    <definedName name="G0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>#REF!</definedName>
    <definedName name="GASOIL">#REF!</definedName>
    <definedName name="gaviones">#REF!</definedName>
    <definedName name="gavr">#REF!</definedName>
    <definedName name="gc">#REF!</definedName>
    <definedName name="GE">#REF!</definedName>
    <definedName name="gel">#REF!</definedName>
    <definedName name="geot">#REF!</definedName>
    <definedName name="gfgfgf">#REF!</definedName>
    <definedName name="GFINANCIEROS">#REF!</definedName>
    <definedName name="GGDirecto">#REF!</definedName>
    <definedName name="GGENERALES">#REF!</definedName>
    <definedName name="GGIndirecto">#REF!</definedName>
    <definedName name="Gh">#REF!</definedName>
    <definedName name="GImpositivos">#REF!</definedName>
    <definedName name="GLDP">#REF!</definedName>
    <definedName name="go">#REF!</definedName>
    <definedName name="Gradiente_En__Canales">#REF!</definedName>
    <definedName name="Gradiente_En__Canales_Circulares_a_Sección_Llena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hidden="1">{#N/A,#N/A,TRUE,"Cert.Global";#N/A,#N/A,TRUE,"Cert. M&amp;C";#N/A,#N/A,TRUE,"Cert. Engineering";#N/A,#N/A,TRUE,"Cert. Procurement ";#N/A,#N/A,TRUE,"Cert. Constr. Manag."}</definedName>
    <definedName name="grr">#REF!</definedName>
    <definedName name="GRUPOS">#REF!</definedName>
    <definedName name="guarderia" localSheetId="0">#REF!</definedName>
    <definedName name="guarderia" localSheetId="1">#REF!</definedName>
    <definedName name="guarderia" localSheetId="2">#REF!</definedName>
    <definedName name="guarderia" localSheetId="3">#REF!</definedName>
    <definedName name="guarderia" localSheetId="4">#REF!</definedName>
    <definedName name="guarderia" localSheetId="5">#REF!</definedName>
    <definedName name="guarderia" localSheetId="6">#REF!</definedName>
    <definedName name="guarderia" localSheetId="7">#REF!</definedName>
    <definedName name="guarderia">#REF!</definedName>
    <definedName name="H">#REF!</definedName>
    <definedName name="H.Cuad.">#REF!</definedName>
    <definedName name="H.Red.">#REF!</definedName>
    <definedName name="Ha">#REF!</definedName>
    <definedName name="HAADB">#REF!</definedName>
    <definedName name="HAADC">#REF!</definedName>
    <definedName name="HAADE">#REF!</definedName>
    <definedName name="HAADL">#REF!</definedName>
    <definedName name="HAADT">#REF!</definedName>
    <definedName name="HAADV">#REF!</definedName>
    <definedName name="HAAP">#REF!</definedName>
    <definedName name="HAAT">#REF!</definedName>
    <definedName name="HAAV">#REF!</definedName>
    <definedName name="HACAB">#REF!</definedName>
    <definedName name="HACABCP">#REF!</definedName>
    <definedName name="HACABE">#REF!</definedName>
    <definedName name="HACABEE">#REF!</definedName>
    <definedName name="HACABLA">#REF!</definedName>
    <definedName name="HACABLB">#REF!</definedName>
    <definedName name="HACAC">#REF!</definedName>
    <definedName name="HACACT">#REF!</definedName>
    <definedName name="HACAE">#REF!</definedName>
    <definedName name="HACAL">#REF!</definedName>
    <definedName name="HACALF">#REF!</definedName>
    <definedName name="HACAP">#REF!</definedName>
    <definedName name="HACAT">#REF!</definedName>
    <definedName name="HACATS">#REF!</definedName>
    <definedName name="HACAV">#REF!</definedName>
    <definedName name="HACAVF">#REF!</definedName>
    <definedName name="HACHE">#N/A</definedName>
    <definedName name="HACLB">#REF!</definedName>
    <definedName name="HACLD">#REF!</definedName>
    <definedName name="HACTLB">#REF!</definedName>
    <definedName name="HACTLD">#REF!</definedName>
    <definedName name="HAEL">#REF!</definedName>
    <definedName name="HAEMPSA">#REF!</definedName>
    <definedName name="HAEMZA">#REF!</definedName>
    <definedName name="HAET">#REF!</definedName>
    <definedName name="HAETBCP">#REF!</definedName>
    <definedName name="HAETS">#REF!</definedName>
    <definedName name="HAEV">#REF!</definedName>
    <definedName name="HAMH">#REF!</definedName>
    <definedName name="HAPC">#REF!</definedName>
    <definedName name="HAPL">#REF!</definedName>
    <definedName name="HAPV">#REF!</definedName>
    <definedName name="HAREM">#REF!</definedName>
    <definedName name="HARHE">#REF!</definedName>
    <definedName name="HATF">#REF!</definedName>
    <definedName name="HAVE">#REF!</definedName>
    <definedName name="HEA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>#REF!</definedName>
    <definedName name="HOCP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>#REF!</definedName>
    <definedName name="HORM">#REF!</definedName>
    <definedName name="HORMA">#REF!</definedName>
    <definedName name="HP">#REF!</definedName>
    <definedName name="HR">#REF!</definedName>
    <definedName name="Hs">#REF!</definedName>
    <definedName name="HTR">#REF!</definedName>
    <definedName name="Huno">#REF!</definedName>
    <definedName name="I.E.R.I.C.">#REF!</definedName>
    <definedName name="ifnc">#REF!</definedName>
    <definedName name="iiiiluminacion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>#REF!</definedName>
    <definedName name="Inenc">#REF!</definedName>
    <definedName name="inicia">#REF!</definedName>
    <definedName name="INSSJP">#REF!</definedName>
    <definedName name="Insumos">#REF!</definedName>
    <definedName name="Insup">#REF!</definedName>
    <definedName name="Int">#REF!</definedName>
    <definedName name="INTERESES">#REF!</definedName>
    <definedName name="Interest_Rate">#REF!</definedName>
    <definedName name="Intop">#REF!</definedName>
    <definedName name="Ip">#REF!</definedName>
    <definedName name="IPE">#REF!</definedName>
    <definedName name="IPEA">#REF!</definedName>
    <definedName name="IPEO">#REF!</definedName>
    <definedName name="IPN">#REF!</definedName>
    <definedName name="it25c">#REF!</definedName>
    <definedName name="it28ac">#REF!</definedName>
    <definedName name="it28bc">#REF!</definedName>
    <definedName name="it29c">#REF!</definedName>
    <definedName name="it30c">#REF!</definedName>
    <definedName name="it31c">#REF!</definedName>
    <definedName name="it32c">#REF!</definedName>
    <definedName name="it33c">#REF!</definedName>
    <definedName name="it34c">#REF!</definedName>
    <definedName name="it35c">#REF!</definedName>
    <definedName name="it36ac">#REF!</definedName>
    <definedName name="it36bc">#REF!</definedName>
    <definedName name="it37c">#REF!</definedName>
    <definedName name="it38c">#REF!</definedName>
    <definedName name="it39c">#REF!</definedName>
    <definedName name="it3ac">#REF!</definedName>
    <definedName name="it3bc">#REF!</definedName>
    <definedName name="it3p">#REF!</definedName>
    <definedName name="it41c1mod">#REF!</definedName>
    <definedName name="it42c1mod">#REF!</definedName>
    <definedName name="it4c">#REF!</definedName>
    <definedName name="it4p">#REF!</definedName>
    <definedName name="it5c">#REF!</definedName>
    <definedName name="it5p">#REF!</definedName>
    <definedName name="it6p">#REF!</definedName>
    <definedName name="it7ac">#REF!</definedName>
    <definedName name="it7bc">#REF!</definedName>
    <definedName name="it7cc">#REF!</definedName>
    <definedName name="it8c">#REF!</definedName>
    <definedName name="it9p">#REF!</definedName>
    <definedName name="Item_Ana">#REF!</definedName>
    <definedName name="item1">#REF!</definedName>
    <definedName name="ITEM30">#REF!</definedName>
    <definedName name="items">#REF!</definedName>
    <definedName name="IVA">#REF!</definedName>
    <definedName name="jj_indice_de_materiales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>#REF!</definedName>
    <definedName name="JORNADA">#REF!</definedName>
    <definedName name="JORNADA1">#REF!</definedName>
    <definedName name="Jornal_Basico_Ayudante">#REF!</definedName>
    <definedName name="Jornal_Basico_Oficial">#REF!</definedName>
    <definedName name="Jornal_Basico_Oficial_Especializado">#REF!</definedName>
    <definedName name="JP">#REF!</definedName>
    <definedName name="JT">#REF!</definedName>
    <definedName name="JUBI">#REF!</definedName>
    <definedName name="K" localSheetId="0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>#REF!</definedName>
    <definedName name="kh">#REF!</definedName>
    <definedName name="kha">#REF!</definedName>
    <definedName name="l" localSheetId="0">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7">#REF!</definedName>
    <definedName name="l">#REF!</definedName>
    <definedName name="LA">#N/A</definedName>
    <definedName name="Last_Row">#N/A</definedName>
    <definedName name="LB">#N/A</definedName>
    <definedName name="LCPCB">#REF!</definedName>
    <definedName name="LCPCI06">#REF!</definedName>
    <definedName name="LCPCID12">#REF!</definedName>
    <definedName name="LCPCR">#REF!</definedName>
    <definedName name="LCPCRE">#REF!</definedName>
    <definedName name="LCPCV">#REF!</definedName>
    <definedName name="LCPPA">#REF!</definedName>
    <definedName name="LIC">#REF!</definedName>
    <definedName name="lista" hidden="1">#REF!</definedName>
    <definedName name="Listaperfiles">#REF!</definedName>
    <definedName name="ll_tabla_para_calculo_de_costos">#REF!</definedName>
    <definedName name="llll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>#REF!</definedName>
    <definedName name="M">#REF!</definedName>
    <definedName name="MAABC">#REF!</definedName>
    <definedName name="MAABY">#REF!</definedName>
    <definedName name="MAALC">#REF!</definedName>
    <definedName name="MAALH">#REF!</definedName>
    <definedName name="MAALHP">#REF!</definedName>
    <definedName name="MAALV">#REF!</definedName>
    <definedName name="MAAP">#REF!</definedName>
    <definedName name="MAAPY">#REF!</definedName>
    <definedName name="MABBC">#REF!</definedName>
    <definedName name="MABBY">#REF!</definedName>
    <definedName name="MABLC">#REF!</definedName>
    <definedName name="MABLH">#REF!</definedName>
    <definedName name="MABLHP">#REF!</definedName>
    <definedName name="MABLV">#REF!</definedName>
    <definedName name="MABP">#REF!</definedName>
    <definedName name="MABPY">#REF!</definedName>
    <definedName name="MACBC">#REF!</definedName>
    <definedName name="MACBY">#REF!</definedName>
    <definedName name="MACLC">#REF!</definedName>
    <definedName name="MACLH">#REF!</definedName>
    <definedName name="MACLHP">#REF!</definedName>
    <definedName name="MACLV">#REF!</definedName>
    <definedName name="MACPLY">#REF!</definedName>
    <definedName name="MACPY">#REF!</definedName>
    <definedName name="MACV">#REF!</definedName>
    <definedName name="mad">#REF!</definedName>
    <definedName name="MADLH">#REF!</definedName>
    <definedName name="MAEJ">#REF!</definedName>
    <definedName name="MAENM">#REF!</definedName>
    <definedName name="MAMPOSTERIA">#REF!</definedName>
    <definedName name="MANOBRA">#N/A</definedName>
    <definedName name="manodeo">#REF!</definedName>
    <definedName name="manodeobra" localSheetId="0">#REF!</definedName>
    <definedName name="manodeobra" localSheetId="1">#REF!</definedName>
    <definedName name="manodeobra" localSheetId="2">#REF!</definedName>
    <definedName name="manodeobra" localSheetId="3">#REF!</definedName>
    <definedName name="manodeobra" localSheetId="4">#REF!</definedName>
    <definedName name="manodeobra" localSheetId="5">#REF!</definedName>
    <definedName name="manodeobra" localSheetId="6">#REF!</definedName>
    <definedName name="manodeobra" localSheetId="7">#REF!</definedName>
    <definedName name="manodeobra">#REF!</definedName>
    <definedName name="MAPBC">#REF!</definedName>
    <definedName name="MAPBY">#REF!</definedName>
    <definedName name="MAPJ">#REF!</definedName>
    <definedName name="MAPLC">#REF!</definedName>
    <definedName name="MAPLH">#REF!</definedName>
    <definedName name="MAPLHP">#REF!</definedName>
    <definedName name="MAPLV">#REF!</definedName>
    <definedName name="MAPPY">#REF!</definedName>
    <definedName name="MAR">#REF!</definedName>
    <definedName name="MARHD">#REF!</definedName>
    <definedName name="MARHH">#REF!</definedName>
    <definedName name="MARHM">#REF!</definedName>
    <definedName name="MARHR">#REF!</definedName>
    <definedName name="MARHT">#REF!</definedName>
    <definedName name="MARLA">#REF!</definedName>
    <definedName name="MARLB">#REF!</definedName>
    <definedName name="MARP">#REF!</definedName>
    <definedName name="mat">#REF!</definedName>
    <definedName name="materiales">#REF!</definedName>
    <definedName name="MATR">#REF!</definedName>
    <definedName name="MATS">#REF!</definedName>
    <definedName name="mb">#REF!</definedName>
    <definedName name="mbs">#REF!</definedName>
    <definedName name="MC">#REF!</definedName>
    <definedName name="Mdespl.">#REF!</definedName>
    <definedName name="MDODNV">#REF!</definedName>
    <definedName name="MDODPV">#REF!</definedName>
    <definedName name="Medio_Oficial">#REF!</definedName>
    <definedName name="medioofr">#REF!</definedName>
    <definedName name="MEDOLAR">#REF!</definedName>
    <definedName name="MENSUAL">#REF!</definedName>
    <definedName name="MENU">#REF!</definedName>
    <definedName name="MES">#REF!</definedName>
    <definedName name="mes_retiro">#REF!</definedName>
    <definedName name="MisAna">#REF!</definedName>
    <definedName name="MMCC">#REF!</definedName>
    <definedName name="MMCCA">#REF!</definedName>
    <definedName name="MMCDE">#REF!</definedName>
    <definedName name="MMDMA">#REF!</definedName>
    <definedName name="MMDMC">#REF!</definedName>
    <definedName name="MMDMD">#REF!</definedName>
    <definedName name="MMDME">#REF!</definedName>
    <definedName name="MMDMP">#REF!</definedName>
    <definedName name="MMDMT">#REF!</definedName>
    <definedName name="MMDMV">#REF!</definedName>
    <definedName name="mmm">#REF!</definedName>
    <definedName name="MMRC">#REF!</definedName>
    <definedName name="MMVC">#REF!</definedName>
    <definedName name="Monto_Certif.">#REF!</definedName>
    <definedName name="MOREGAS">#REF!</definedName>
    <definedName name="mov">#REF!</definedName>
    <definedName name="movilizacion">#REF!</definedName>
    <definedName name="MQ">#REF!</definedName>
    <definedName name="MSAP">#REF!</definedName>
    <definedName name="MSAS">#REF!</definedName>
    <definedName name="MSLS">#REF!</definedName>
    <definedName name="MSNP">#REF!</definedName>
    <definedName name="MU">#REF!</definedName>
    <definedName name="MWx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>#REF!</definedName>
    <definedName name="N">#N/A</definedName>
    <definedName name="NAFTA">#REF!</definedName>
    <definedName name="nago">#REF!</definedName>
    <definedName name="NEW">#REF!</definedName>
    <definedName name="NEW_E1">#REF!</definedName>
    <definedName name="Normal">#REF!</definedName>
    <definedName name="NRO">#REF!</definedName>
    <definedName name="Nro_Pisos">#REF!</definedName>
    <definedName name="NUEVAHOJA">#REF!</definedName>
    <definedName name="Num_Pmt_Per_Year">#REF!</definedName>
    <definedName name="Number_of_Payments">MATCH(0.01,End_Bal,-1)+1</definedName>
    <definedName name="Numero_Unidades_Funcionales">#REF!</definedName>
    <definedName name="OBR">#REF!</definedName>
    <definedName name="Obra">#REF!</definedName>
    <definedName name="OBRA__CASA_LOUZAN" localSheetId="0">#REF!</definedName>
    <definedName name="OBRA__CASA_LOUZAN" localSheetId="1">#REF!</definedName>
    <definedName name="OBRA__CASA_LOUZAN" localSheetId="2">#REF!</definedName>
    <definedName name="OBRA__CASA_LOUZAN" localSheetId="3">#REF!</definedName>
    <definedName name="OBRA__CASA_LOUZAN" localSheetId="4">#REF!</definedName>
    <definedName name="OBRA__CASA_LOUZAN" localSheetId="5">#REF!</definedName>
    <definedName name="OBRA__CASA_LOUZAN" localSheetId="6">#REF!</definedName>
    <definedName name="OBRA__CASA_LOUZAN" localSheetId="7">#REF!</definedName>
    <definedName name="OBRA__CASA_LOUZAN">#REF!</definedName>
    <definedName name="OBRA_DE_TOMA">#REF!</definedName>
    <definedName name="OFER">#REF!</definedName>
    <definedName name="ofEspecial">#REF!</definedName>
    <definedName name="oficial">#REF!</definedName>
    <definedName name="Oficial_Especializado">#REF!</definedName>
    <definedName name="oficial4">#REF!</definedName>
    <definedName name="oficial6">#REF!</definedName>
    <definedName name="ofies4">#REF!</definedName>
    <definedName name="ofr">#REF!</definedName>
    <definedName name="Organismo1">#REF!</definedName>
    <definedName name="Organismo2">#REF!</definedName>
    <definedName name="OSOC">#REF!</definedName>
    <definedName name="OTRA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0">#REF!</definedName>
    <definedName name="PASE" localSheetId="1">#REF!</definedName>
    <definedName name="PASE" localSheetId="2">#REF!</definedName>
    <definedName name="PASE" localSheetId="3">#REF!</definedName>
    <definedName name="PASE" localSheetId="4">#REF!</definedName>
    <definedName name="PASE" localSheetId="5">#REF!</definedName>
    <definedName name="PASE" localSheetId="6">#REF!</definedName>
    <definedName name="PASE" localSheetId="7">#REF!</definedName>
    <definedName name="PASE">#REF!</definedName>
    <definedName name="paso">#REF!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5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>DATE(YEAR(Loan_Start),MONTH(Loan_Start)+Payment_Number,DAY(Loan_Start))</definedName>
    <definedName name="PEESC">#REF!</definedName>
    <definedName name="pepe">#REF!</definedName>
    <definedName name="PerfilC" comment="PERFIL C">#REF!</definedName>
    <definedName name="perfiles">#REF!</definedName>
    <definedName name="Pern.">#REF!</definedName>
    <definedName name="pf">#REF!</definedName>
    <definedName name="PIAM">#REF!</definedName>
    <definedName name="pibe">#REF!</definedName>
    <definedName name="pintref">#REF!</definedName>
    <definedName name="Pl">#REF!</definedName>
    <definedName name="PLAN">#REF!</definedName>
    <definedName name="PLANTA_DE_TRATAMIENTO">#REF!</definedName>
    <definedName name="plazo">#REF!</definedName>
    <definedName name="plazo.mes">#REF!</definedName>
    <definedName name="Plazo_de_obra">#REF!</definedName>
    <definedName name="Plazo_Obra">#REF!</definedName>
    <definedName name="Plus">#REF!</definedName>
    <definedName name="Plus_No_Remunerativo">#REF!</definedName>
    <definedName name="Plus_No_Remunerativo_Ayudante">#REF!</definedName>
    <definedName name="Plus_No_Remunerativo_Oficial">#REF!</definedName>
    <definedName name="Plus_No_Remunerativo_Oficial_Especializado">#REF!</definedName>
    <definedName name="Pmax">#REF!</definedName>
    <definedName name="PNA">#REF!</definedName>
    <definedName name="PNAV">#REF!</definedName>
    <definedName name="PNL">#REF!</definedName>
    <definedName name="PNP">#REF!</definedName>
    <definedName name="POficial">#REF!</definedName>
    <definedName name="Pp">#REF!</definedName>
    <definedName name="PPA">#REF!</definedName>
    <definedName name="PPCOL">#REF!</definedName>
    <definedName name="praccesoreadec">#REF!</definedName>
    <definedName name="praceroptereadec">#REF!</definedName>
    <definedName name="pracondct">#REF!</definedName>
    <definedName name="praguareadec">#REF!</definedName>
    <definedName name="pralcantreadec">#REF!</definedName>
    <definedName name="pralteo">#REF!</definedName>
    <definedName name="pralteomyg">#REF!</definedName>
    <definedName name="pralteoreadec">#REF!</definedName>
    <definedName name="prapoyos">#REF!</definedName>
    <definedName name="prarena">#REF!</definedName>
    <definedName name="prarenatrit">#REF!</definedName>
    <definedName name="prb">#REF!</definedName>
    <definedName name="prbacheo">#REF!</definedName>
    <definedName name="prbacheosan">#REF!</definedName>
    <definedName name="prbacheosanreadec">#REF!</definedName>
    <definedName name="prbandas">#REF!</definedName>
    <definedName name="prbandassonoras">#REF!</definedName>
    <definedName name="prbandassonorasreadec">#REF!</definedName>
    <definedName name="prbandassonreadec">#REF!</definedName>
    <definedName name="prbanq">#REF!</definedName>
    <definedName name="prbanqreadec">#REF!</definedName>
    <definedName name="prbanquina">#REF!</definedName>
    <definedName name="prbanquinasreadec">#REF!</definedName>
    <definedName name="prbaranda">#REF!</definedName>
    <definedName name="prbarandareadec">#REF!</definedName>
    <definedName name="prbarpasareadec">#REF!</definedName>
    <definedName name="prbase">#REF!</definedName>
    <definedName name="prbasereadec">#REF!</definedName>
    <definedName name="prbflexreadec">#REF!</definedName>
    <definedName name="prc5readec">#REF!</definedName>
    <definedName name="prc6readec">#REF!</definedName>
    <definedName name="prca70100readec">#REF!</definedName>
    <definedName name="prcabezales">#REF!</definedName>
    <definedName name="prcalesreadec">#REF!</definedName>
    <definedName name="prcalzadahorm">#REF!</definedName>
    <definedName name="prcalzadas">#REF!</definedName>
    <definedName name="prcemreadec">#REF!</definedName>
    <definedName name="prciclovía">#REF!</definedName>
    <definedName name="prcicloviareadec">#REF!</definedName>
    <definedName name="prcolocacionalc">#REF!</definedName>
    <definedName name="prcolocacionalcreadec">#REF!</definedName>
    <definedName name="prcolumnas">#REF!</definedName>
    <definedName name="prcortepasto">#REF!</definedName>
    <definedName name="prcortepastoreadec">#REF!</definedName>
    <definedName name="prdemalcantarilla">#REF!</definedName>
    <definedName name="prdemalcantarillareadec">#REF!</definedName>
    <definedName name="prdesembanque">#REF!</definedName>
    <definedName name="prdesembanquereadec">#REF!</definedName>
    <definedName name="prdren">#REF!</definedName>
    <definedName name="pre">#REF!</definedName>
    <definedName name="PRECIO">#REF!</definedName>
    <definedName name="PRECIO_TOTAL">#REF!</definedName>
    <definedName name="premerreadec">#REF!</definedName>
    <definedName name="PRENUEVO">#REF!</definedName>
    <definedName name="prescarif">#REF!</definedName>
    <definedName name="prescarifbanq">#REF!</definedName>
    <definedName name="prescarifbanqreadec">#REF!</definedName>
    <definedName name="prescarifreadec">#REF!</definedName>
    <definedName name="Presión_de_Vapor_del_Agua">#REF!</definedName>
    <definedName name="prestribos">#REF!</definedName>
    <definedName name="PRESUP" localSheetId="0">#REF!</definedName>
    <definedName name="PRESUP" localSheetId="1">#REF!</definedName>
    <definedName name="PRESUP" localSheetId="2">#REF!</definedName>
    <definedName name="PRESUP" localSheetId="3">#REF!</definedName>
    <definedName name="PRESUP" localSheetId="4">#REF!</definedName>
    <definedName name="PRESUP" localSheetId="5">#REF!</definedName>
    <definedName name="PRESUP" localSheetId="6">#REF!</definedName>
    <definedName name="PRESUP" localSheetId="7">#REF!</definedName>
    <definedName name="PRESUP">#REF!</definedName>
    <definedName name="presuporcentaje" localSheetId="0">#REF!</definedName>
    <definedName name="presuporcentaje" localSheetId="1">#REF!</definedName>
    <definedName name="presuporcentaje" localSheetId="2">#REF!</definedName>
    <definedName name="presuporcentaje" localSheetId="3">#REF!</definedName>
    <definedName name="presuporcentaje" localSheetId="4">#REF!</definedName>
    <definedName name="presuporcentaje" localSheetId="5">#REF!</definedName>
    <definedName name="presuporcentaje" localSheetId="6">#REF!</definedName>
    <definedName name="presuporcentaje" localSheetId="7">#REF!</definedName>
    <definedName name="presuporcentaje">#REF!</definedName>
    <definedName name="PRESUPUESTO">#REF!</definedName>
    <definedName name="prexcavreadec">#REF!</definedName>
    <definedName name="prfereadec">#REF!</definedName>
    <definedName name="prfisuras">#REF!</definedName>
    <definedName name="prfisurasreadec">#REF!</definedName>
    <definedName name="prfresado">#REF!</definedName>
    <definedName name="prfresado22cm">#REF!</definedName>
    <definedName name="prfresadoreadec">#REF!</definedName>
    <definedName name="prhermoso">#REF!</definedName>
    <definedName name="prhermosoreadec">#REF!</definedName>
    <definedName name="prhlosaptereadec">#REF!</definedName>
    <definedName name="prhor">#REF!</definedName>
    <definedName name="prhorcunreadec">#REF!</definedName>
    <definedName name="PRIMERA">#REF!</definedName>
    <definedName name="primpr">#REF!</definedName>
    <definedName name="primpreforzada">#REF!</definedName>
    <definedName name="primpreforzadareadec">#REF!</definedName>
    <definedName name="primprimreadec">#REF!</definedName>
    <definedName name="primprref">#REF!</definedName>
    <definedName name="Princ">#REF!</definedName>
    <definedName name="PRINT_AREA_MI">#REF!</definedName>
    <definedName name="Print_Area_Reset">OFFSET(Full_Print,0,0,Last_Row)</definedName>
    <definedName name="printercanal">#REF!</definedName>
    <definedName name="prinvernal">#REF!</definedName>
    <definedName name="prjunta">#REF!</definedName>
    <definedName name="prjuntas">#REF!</definedName>
    <definedName name="prlechada">#REF!</definedName>
    <definedName name="prlechadareadec">#REF!</definedName>
    <definedName name="prlimpieza">#REF!</definedName>
    <definedName name="prlimpiezareadec">#REF!</definedName>
    <definedName name="prlimpseñales">#REF!</definedName>
    <definedName name="prlimpseñalesreadec">#REF!</definedName>
    <definedName name="prlimptransp">#REF!</definedName>
    <definedName name="prlosa">#REF!</definedName>
    <definedName name="prmatbanquina">#REF!</definedName>
    <definedName name="prmatbanquinareadec">#REF!</definedName>
    <definedName name="prmaterialbase">#REF!</definedName>
    <definedName name="prmicroaglomerado">#REF!</definedName>
    <definedName name="prmicroreadec">#REF!</definedName>
    <definedName name="prmontaje">#REF!</definedName>
    <definedName name="pro" hidden="1">{"DECIMAL",#N/A,FALSE,"02"}</definedName>
    <definedName name="Prof_fund">#REF!</definedName>
    <definedName name="Prof_Tensor">#REF!</definedName>
    <definedName name="Progress" hidden="1">{#N/A,#N/A,FALSE,"Monthly report";#N/A,#N/A,FALSE,"M.R. UEM";#N/A,#N/A,FALSE,"M.R. VCM"}</definedName>
    <definedName name="PROVEEDOR">#REF!</definedName>
    <definedName name="Proyecto1">#REF!</definedName>
    <definedName name="Proyecto2">#REF!</definedName>
    <definedName name="prPartido">#REF!</definedName>
    <definedName name="prPCCura">#REF!</definedName>
    <definedName name="prperfilado">#REF!</definedName>
    <definedName name="prperfiladoreadec">#REF!</definedName>
    <definedName name="prpiedratrit">#REF!</definedName>
    <definedName name="prpilotes">#REF!</definedName>
    <definedName name="prpintado">#REF!</definedName>
    <definedName name="prpintadoreadec">#REF!</definedName>
    <definedName name="prpostereadec">#REF!</definedName>
    <definedName name="prpretiles">#REF!</definedName>
    <definedName name="prpretilesreadec">#REF!</definedName>
    <definedName name="prprolongacion">#REF!</definedName>
    <definedName name="prprolongacionreadec">#REF!</definedName>
    <definedName name="prproteccion">#REF!</definedName>
    <definedName name="prpteccurareadec">#REF!</definedName>
    <definedName name="prrecolprereadec">#REF!</definedName>
    <definedName name="prrefuerzo6">#REF!</definedName>
    <definedName name="prrefuerzo6readec">#REF!</definedName>
    <definedName name="prrefuerzo8">#REF!</definedName>
    <definedName name="prrefuerzo8readec">#REF!</definedName>
    <definedName name="prrelleno">#REF!</definedName>
    <definedName name="prrellenoreadec">#REF!</definedName>
    <definedName name="prrepalc">#REF!</definedName>
    <definedName name="prrepAlcPtes">#REF!</definedName>
    <definedName name="prrepalcreadec">#REF!</definedName>
    <definedName name="prreparacionalc">#REF!</definedName>
    <definedName name="prreparacionalcreadec">#REF!</definedName>
    <definedName name="prrestdrenaje">#REF!</definedName>
    <definedName name="prrestdrenajereadec">#REF!</definedName>
    <definedName name="prretderrumbe">#REF!</definedName>
    <definedName name="prretrecolbaranda">#REF!</definedName>
    <definedName name="prriegoimpreadec">#REF!</definedName>
    <definedName name="prriegoliga">#REF!</definedName>
    <definedName name="prriegoligareadec">#REF!</definedName>
    <definedName name="prrieimpr">#REF!</definedName>
    <definedName name="prrotondas">#REF!</definedName>
    <definedName name="prrotondasreadec">#REF!</definedName>
    <definedName name="prsandef">#REF!</definedName>
    <definedName name="prsb">#REF!</definedName>
    <definedName name="prsellado">#REF!</definedName>
    <definedName name="prselladoreadec">#REF!</definedName>
    <definedName name="prsenda">#REF!</definedName>
    <definedName name="prsendareadec">#REF!</definedName>
    <definedName name="prseñalamiento">#REF!</definedName>
    <definedName name="prseñalamientoreadec">#REF!</definedName>
    <definedName name="prseñalizacion">#REF!</definedName>
    <definedName name="prseñalizacionext">#REF!</definedName>
    <definedName name="prseñalizacionextreadec">#REF!</definedName>
    <definedName name="prseñalizaciónreadec">#REF!</definedName>
    <definedName name="prseñalizreadec">#REF!</definedName>
    <definedName name="prsistdren">#REF!</definedName>
    <definedName name="prsistdren1071">#REF!</definedName>
    <definedName name="prSoc8026">#REF!</definedName>
    <definedName name="prsocavacionreadec">#REF!</definedName>
    <definedName name="prsubbase">#REF!</definedName>
    <definedName name="prsubbasereadec">#REF!</definedName>
    <definedName name="prterr">#REF!</definedName>
    <definedName name="prterrapreadec">#REF!</definedName>
    <definedName name="prterrsincomp">#REF!</definedName>
    <definedName name="prtravsenillosareadec">#REF!</definedName>
    <definedName name="Prueba">#REF!</definedName>
    <definedName name="prvigas">#REF!</definedName>
    <definedName name="pvc">#REF!</definedName>
    <definedName name="q">#REF!</definedName>
    <definedName name="Q0">#REF!</definedName>
    <definedName name="QCAR">#REF!</definedName>
    <definedName name="RANGO">#REF!</definedName>
    <definedName name="rangobase" localSheetId="0">L2C1:L372C15</definedName>
    <definedName name="rangobase" localSheetId="1">L2C1:L372C15</definedName>
    <definedName name="rangobase" localSheetId="2">L2C1:L372C15</definedName>
    <definedName name="rangobase" localSheetId="3">L2C1:L372C15</definedName>
    <definedName name="rangobase" localSheetId="4">L2C1:L372C15</definedName>
    <definedName name="rangobase" localSheetId="5">L2C1:L372C15</definedName>
    <definedName name="rangobase" localSheetId="6">L2C1:L372C15</definedName>
    <definedName name="rangobase" localSheetId="7">L2C1:L372C15</definedName>
    <definedName name="rangobase">L2C1:L372C15</definedName>
    <definedName name="rangoformulas">#REF!</definedName>
    <definedName name="RB" localSheetId="0">L2C1:L372C15</definedName>
    <definedName name="RB" localSheetId="1">L2C1:L372C15</definedName>
    <definedName name="RB" localSheetId="2">L2C1:L372C15</definedName>
    <definedName name="RB" localSheetId="3">L2C1:L372C15</definedName>
    <definedName name="RB" localSheetId="4">L2C1:L372C15</definedName>
    <definedName name="RB" localSheetId="5">L2C1:L372C15</definedName>
    <definedName name="RB" localSheetId="6">L2C1:L372C15</definedName>
    <definedName name="RB" localSheetId="7">L2C1:L372C15</definedName>
    <definedName name="RB">L2C1:L372C15</definedName>
    <definedName name="RBASE" localSheetId="0">L2C1:L372C15</definedName>
    <definedName name="RBASE" localSheetId="1">L2C1:L372C15</definedName>
    <definedName name="RBASE" localSheetId="2">L2C1:L372C15</definedName>
    <definedName name="RBASE" localSheetId="3">L2C1:L372C15</definedName>
    <definedName name="RBASE" localSheetId="4">L2C1:L372C15</definedName>
    <definedName name="RBASE" localSheetId="5">L2C1:L372C15</definedName>
    <definedName name="RBASE" localSheetId="6">L2C1:L372C15</definedName>
    <definedName name="RBASE" localSheetId="7">L2C1:L372C15</definedName>
    <definedName name="RBASE">L2C1:L372C15</definedName>
    <definedName name="re" hidden="1">{#N/A,#N/A,FALSE,"Monthly report";#N/A,#N/A,FALSE,"M.R. UEM";#N/A,#N/A,FALSE,"M.R. VCM"}</definedName>
    <definedName name="reacc">#REF!</definedName>
    <definedName name="rec">#REF!</definedName>
    <definedName name="rec_c">#REF!</definedName>
    <definedName name="Rejilla">#REF!</definedName>
    <definedName name="rellr">#REF!</definedName>
    <definedName name="rend">#REF!</definedName>
    <definedName name="Reparaciones">#REF!</definedName>
    <definedName name="REPOTENCIACION_ACUEDUCTO_A_V._ANGELA">#REF!</definedName>
    <definedName name="RES">#N/A</definedName>
    <definedName name="Residual">#REF!</definedName>
    <definedName name="RESUMEN">#N/A</definedName>
    <definedName name="RN">#REF!</definedName>
    <definedName name="RR">#REF!</definedName>
    <definedName name="RSAD">#REF!</definedName>
    <definedName name="RSARL">#REF!</definedName>
    <definedName name="RSAZCE">#REF!</definedName>
    <definedName name="RSAZM">#REF!</definedName>
    <definedName name="RSCOL">#REF!</definedName>
    <definedName name="RSLD">#REF!</definedName>
    <definedName name="RSPD">#REF!</definedName>
    <definedName name="RSPZM">#REF!</definedName>
    <definedName name="ryrc">#REF!</definedName>
    <definedName name="ryrr">#REF!</definedName>
    <definedName name="S">#REF!</definedName>
    <definedName name="sa" localSheetId="0" hidden="1">#REF!</definedName>
    <definedName name="sa" localSheetId="1" hidden="1">#REF!</definedName>
    <definedName name="sa" localSheetId="2" hidden="1">#REF!</definedName>
    <definedName name="sa" localSheetId="3" hidden="1">#REF!</definedName>
    <definedName name="sa" localSheetId="4" hidden="1">#REF!</definedName>
    <definedName name="sa" localSheetId="5" hidden="1">#REF!</definedName>
    <definedName name="sa" localSheetId="6" hidden="1">#REF!</definedName>
    <definedName name="sa" localSheetId="7" hidden="1">#REF!</definedName>
    <definedName name="sa" hidden="1">#REF!</definedName>
    <definedName name="sadDSadsa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CCIONES">#REF!</definedName>
    <definedName name="SECCIONES_DIV">#REF!</definedName>
    <definedName name="SEG">#REF!</definedName>
    <definedName name="SEGUNDA">#REF!</definedName>
    <definedName name="Seguro_de_Vida_Obligatorio">#REF!</definedName>
    <definedName name="SIG__">#N/A</definedName>
    <definedName name="SIG2__">#N/A</definedName>
    <definedName name="sigmabk">#REF!</definedName>
    <definedName name="sigmabk_c">#REF!</definedName>
    <definedName name="sigmas">#REF!</definedName>
    <definedName name="sin_reaj">#REF!</definedName>
    <definedName name="sob">#REF!</definedName>
    <definedName name="sob_c">#REF!</definedName>
    <definedName name="SObrero">#REF!</definedName>
    <definedName name="ssdfsdgsdfgfgb">#REF!</definedName>
    <definedName name="SUBTOTAL">#REF!</definedName>
    <definedName name="Sueldo_Anual_Complementario">#REF!</definedName>
    <definedName name="Suelo">#REF!</definedName>
    <definedName name="SumaItems">#REF!</definedName>
    <definedName name="Summary">#REF!</definedName>
    <definedName name="Sup_Cubierta">#REF!</definedName>
    <definedName name="Sup_Lote">#REF!</definedName>
    <definedName name="Sup_Proyecto">#REF!</definedName>
    <definedName name="Sup_Terreno">#REF!</definedName>
    <definedName name="Superficie_Cubierta">#REF!</definedName>
    <definedName name="T.Cuad.">#REF!</definedName>
    <definedName name="T.Rect.">#REF!</definedName>
    <definedName name="T.Red.">#REF!</definedName>
    <definedName name="T_2">#REF!</definedName>
    <definedName name="t1000k">#REF!</definedName>
    <definedName name="t15k">#REF!</definedName>
    <definedName name="t400k">#REF!</definedName>
    <definedName name="t490k">#REF!</definedName>
    <definedName name="t90k">#REF!</definedName>
    <definedName name="TABLA2">#REF!</definedName>
    <definedName name="TABLA3">#REF!</definedName>
    <definedName name="TABLA6.2">#REF!</definedName>
    <definedName name="tablas">#REF!</definedName>
    <definedName name="TAC">#REF!</definedName>
    <definedName name="TAREAS">#REF!</definedName>
    <definedName name="TASA">#REF!</definedName>
    <definedName name="tasa_cero">#REF!</definedName>
    <definedName name="tau">#REF!</definedName>
    <definedName name="Tdos">#REF!</definedName>
    <definedName name="te">#REF!</definedName>
    <definedName name="Temperatura_Kelvin">#REF!</definedName>
    <definedName name="TERCERA">#REF!</definedName>
    <definedName name="terramesh">#REF!</definedName>
    <definedName name="ThO">#REF!</definedName>
    <definedName name="ThPH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>#REF!</definedName>
    <definedName name="TITULOS">#REF!</definedName>
    <definedName name="TITULOS_A_IMPRIMIR">#REF!</definedName>
    <definedName name="_xlnm.Print_Titles" localSheetId="0">'SVD 4140_Pto. 01_Cert. 01'!$7:$7</definedName>
    <definedName name="_xlnm.Print_Titles" localSheetId="1">'SVD 4140_Pto. 01_Cert. 02'!$7:$7</definedName>
    <definedName name="_xlnm.Print_Titles" localSheetId="2">'SVD 4140_Pto. 01_Cert. 03'!$7:$7</definedName>
    <definedName name="_xlnm.Print_Titles" localSheetId="3">'SVD 4140_Pto. 01_Cert. 04'!$7:$7</definedName>
    <definedName name="_xlnm.Print_Titles" localSheetId="4">'SVD 4140_Pto. 01_Cert. 05'!$7:$7</definedName>
    <definedName name="_xlnm.Print_Titles" localSheetId="5">'SVD 4140_Pto. 01_Cert. 06'!$7:$7</definedName>
    <definedName name="_xlnm.Print_Titles" localSheetId="6">'SVD 4140_Pto. 01_Cert. 07'!$7:$7</definedName>
    <definedName name="_xlnm.Print_Titles" localSheetId="7">'SVD 4140_Pto. 01_Cert. 08'!$7:$7</definedName>
    <definedName name="_xlnm.Print_Titles">#REF!</definedName>
    <definedName name="Títulos_a_imprimir_IM" localSheetId="0">#REF!</definedName>
    <definedName name="Títulos_a_imprimir_IM" localSheetId="1">#REF!</definedName>
    <definedName name="Títulos_a_imprimir_IM" localSheetId="2">#REF!</definedName>
    <definedName name="Títulos_a_imprimir_IM" localSheetId="3">#REF!</definedName>
    <definedName name="Títulos_a_imprimir_IM" localSheetId="4">#REF!</definedName>
    <definedName name="Títulos_a_imprimir_IM" localSheetId="5">#REF!</definedName>
    <definedName name="Títulos_a_imprimir_IM" localSheetId="6">#REF!</definedName>
    <definedName name="Títulos_a_imprimir_IM" localSheetId="7">#REF!</definedName>
    <definedName name="Títulos_a_imprimir_IM">#REF!</definedName>
    <definedName name="TIUF">#REF!</definedName>
    <definedName name="to11_c">#REF!</definedName>
    <definedName name="TOBR1">#REF!</definedName>
    <definedName name="TOBRA">#REF!</definedName>
    <definedName name="tor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1">Scheduled_Payment+Extra_Payment</definedName>
    <definedName name="Total_Payment" localSheetId="2">Scheduled_Payment+Extra_Payment</definedName>
    <definedName name="Total_Payment" localSheetId="3">Scheduled_Payment+Extra_Payment</definedName>
    <definedName name="Total_Payment" localSheetId="4">Scheduled_Payment+Extra_Payment</definedName>
    <definedName name="Total_Payment" localSheetId="5">Scheduled_Payment+Extra_Payment</definedName>
    <definedName name="Total_Payment" localSheetId="6">Scheduled_Payment+Extra_Payment</definedName>
    <definedName name="Total_Payment" localSheetId="7">Scheduled_Payment+Extra_Payment</definedName>
    <definedName name="Total_Payment">Scheduled_Payment+Extra_Payment</definedName>
    <definedName name="TOTAL_SISTEMA_DE_ACUEDUCTOS_A_PRECIO_FINAL">#REF!</definedName>
    <definedName name="totalcert">#REF!</definedName>
    <definedName name="TOTALES">#REF!</definedName>
    <definedName name="TPA">#REF!</definedName>
    <definedName name="TRANSPORTE">#N/A</definedName>
    <definedName name="trentiuno">#REF!</definedName>
    <definedName name="TUBERIAS">#REF!</definedName>
    <definedName name="Tuberías_de_P.E.A.D.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nidades">#REF!</definedName>
    <definedName name="UOCRA">#REF!</definedName>
    <definedName name="UOCRA_Cargo_Fijo">#REF!</definedName>
    <definedName name="UPN">#REF!</definedName>
    <definedName name="USD">#REF!</definedName>
    <definedName name="USD.BNA">#REF!</definedName>
    <definedName name="V">#REF!</definedName>
    <definedName name="V.R.">#REF!</definedName>
    <definedName name="V.Rosc">#REF!</definedName>
    <definedName name="V0">#REF!</definedName>
    <definedName name="Vacaciones">#REF!</definedName>
    <definedName name="vacdul">#REF!</definedName>
    <definedName name="vacdul1mod">#REF!</definedName>
    <definedName name="vacete">#REF!</definedName>
    <definedName name="vaclam">#REF!</definedName>
    <definedName name="vaclam1mod">#REF!</definedName>
    <definedName name="vadih">#REF!</definedName>
    <definedName name="val">#REF!</definedName>
    <definedName name="valgalv">#REF!</definedName>
    <definedName name="valgalv1mod">#REF!</definedName>
    <definedName name="validez">#REF!</definedName>
    <definedName name="Valor">#REF!</definedName>
    <definedName name="valoresequipo" localSheetId="0">#REF!</definedName>
    <definedName name="valoresequipo" localSheetId="1">#REF!</definedName>
    <definedName name="valoresequipo" localSheetId="2">#REF!</definedName>
    <definedName name="valoresequipo" localSheetId="3">#REF!</definedName>
    <definedName name="valoresequipo" localSheetId="4">#REF!</definedName>
    <definedName name="valoresequipo" localSheetId="5">#REF!</definedName>
    <definedName name="valoresequipo" localSheetId="6">#REF!</definedName>
    <definedName name="valoresequipo" localSheetId="7">#REF!</definedName>
    <definedName name="valoresequipo">#REF!</definedName>
    <definedName name="Values_Entered">IF(Loan_Amount*Interest_Rate*Loan_Years*Loan_Start&gt;0,1,0)</definedName>
    <definedName name="vaponeo">#REF!</definedName>
    <definedName name="varmco">#REF!</definedName>
    <definedName name="varmco1mod">#REF!</definedName>
    <definedName name="vbarra">#REF!</definedName>
    <definedName name="vbarra1mod">#REF!</definedName>
    <definedName name="vbroca">#REF!</definedName>
    <definedName name="vbroca1mod">#REF!</definedName>
    <definedName name="vca">#REF!</definedName>
    <definedName name="vca1mod">#REF!</definedName>
    <definedName name="vcem1mod">#REF!</definedName>
    <definedName name="vclav">#REF!</definedName>
    <definedName name="vclav1mod">#REF!</definedName>
    <definedName name="vcub">#REF!</definedName>
    <definedName name="vcub1mod">#REF!</definedName>
    <definedName name="vdil">#REF!</definedName>
    <definedName name="vdil1mod">#REF!</definedName>
    <definedName name="VENTA">#N/A</definedName>
    <definedName name="veqc1mod">#REF!</definedName>
    <definedName name="veqh1mod">#REF!</definedName>
    <definedName name="veqh2mod">#REF!</definedName>
    <definedName name="veqh3mod">#REF!</definedName>
    <definedName name="veqhc">#REF!</definedName>
    <definedName name="veqhc1mod">#REF!</definedName>
    <definedName name="veqimp1mod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>#REF!</definedName>
    <definedName name="vfiller1mod">#REF!</definedName>
    <definedName name="vflex1mod">#REF!</definedName>
    <definedName name="vflexposte">#REF!</definedName>
    <definedName name="vflexposte1mod">#REF!</definedName>
    <definedName name="vfo">#REF!</definedName>
    <definedName name="vfo1mod">#REF!</definedName>
    <definedName name="vgav1mod">#REF!</definedName>
    <definedName name="vgavhex">#REF!</definedName>
    <definedName name="vgavhex1mod">#REF!</definedName>
    <definedName name="vgel">#REF!</definedName>
    <definedName name="vgel1mod">#REF!</definedName>
    <definedName name="vgeot">#REF!</definedName>
    <definedName name="vgeot1mod">#REF!</definedName>
    <definedName name="vgf">#REF!</definedName>
    <definedName name="vgf1mod">#REF!</definedName>
    <definedName name="vgf3mod">#REF!</definedName>
    <definedName name="vggrales">#REF!</definedName>
    <definedName name="vgo">#REF!</definedName>
    <definedName name="vgo1mod">#REF!</definedName>
    <definedName name="VH">#N/A</definedName>
    <definedName name="Vida">#REF!</definedName>
    <definedName name="Viscosidad_Dinámica_y_Cinemática_del_Agua">#REF!</definedName>
    <definedName name="viv">#REF!</definedName>
    <definedName name="vjunexp">#REF!</definedName>
    <definedName name="vjunt">#REF!</definedName>
    <definedName name="vjunt1mod">#REF!</definedName>
    <definedName name="vmad">#REF!</definedName>
    <definedName name="vmad1mod">#REF!</definedName>
    <definedName name="vmas">#REF!</definedName>
    <definedName name="vmdeo1mod">#REF!</definedName>
    <definedName name="vmhex">#REF!</definedName>
    <definedName name="vmhex1mod">#REF!</definedName>
    <definedName name="vmov1mod">#REF!</definedName>
    <definedName name="vnago">#REF!</definedName>
    <definedName name="vnago1mod">#REF!</definedName>
    <definedName name="VOLT">#N/A</definedName>
    <definedName name="vomathap">#REF!</definedName>
    <definedName name="vomathpp">#REF!</definedName>
    <definedName name="votros">#REF!</definedName>
    <definedName name="votros1mod">#REF!</definedName>
    <definedName name="vpintref">#REF!</definedName>
    <definedName name="vpintref1mod">#REF!</definedName>
    <definedName name="vpvc">#REF!</definedName>
    <definedName name="vpvc1mod">#REF!</definedName>
    <definedName name="vrrc1mod">#REF!</definedName>
    <definedName name="vrrp1mod">#REF!</definedName>
    <definedName name="vseñ">#REF!</definedName>
    <definedName name="vseñ1mod">#REF!</definedName>
    <definedName name="VT">#N/A</definedName>
    <definedName name="vt100k">#REF!</definedName>
    <definedName name="vt1400k">#REF!</definedName>
    <definedName name="vt1450k">#REF!</definedName>
    <definedName name="vt50k">#REF!</definedName>
    <definedName name="vtmesh">#REF!</definedName>
    <definedName name="vtmesh1mod">#REF!</definedName>
    <definedName name="vtopes">#REF!</definedName>
    <definedName name="vviv">#REF!</definedName>
    <definedName name="vviv1mod">#REF!</definedName>
    <definedName name="W" hidden="1">{"NORMAL",#N/A,FALSE,"02"}</definedName>
    <definedName name="we" localSheetId="0">#REF!</definedName>
    <definedName name="we" localSheetId="1">#REF!</definedName>
    <definedName name="we" localSheetId="2">#REF!</definedName>
    <definedName name="we" localSheetId="3">#REF!</definedName>
    <definedName name="we" localSheetId="4">#REF!</definedName>
    <definedName name="we" localSheetId="5">#REF!</definedName>
    <definedName name="we" localSheetId="6">#REF!</definedName>
    <definedName name="we" localSheetId="7">#REF!</definedName>
    <definedName name="we">#REF!</definedName>
    <definedName name="wrn.02INFORME." hidden="1">{"NORMAL",#N/A,FALSE,"02"}</definedName>
    <definedName name="wrn.DECIMAL." hidden="1">{"DECIMAL",#N/A,FALSE,"02"}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hidden="1">{"DECIMAL",#N/A,FALSE,"02"}</definedName>
    <definedName name="XXX" hidden="1">{"NORMAL",#N/A,FALSE,"02"}</definedName>
    <definedName name="z">#REF!</definedName>
    <definedName name="Z_3EF0D3E3_8069_11D6_A032_005004A43871_.wvu.PrintTitles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9" i="13" l="1"/>
  <c r="I190" i="13"/>
  <c r="I191" i="13"/>
  <c r="I192" i="13"/>
  <c r="K192" i="13" s="1"/>
  <c r="I193" i="13"/>
  <c r="K193" i="13"/>
  <c r="N193" i="13" s="1"/>
  <c r="I11" i="13"/>
  <c r="I12" i="13"/>
  <c r="K12" i="13" s="1"/>
  <c r="I13" i="13"/>
  <c r="K13" i="13" s="1"/>
  <c r="I14" i="13"/>
  <c r="I15" i="13"/>
  <c r="I16" i="13"/>
  <c r="I17" i="13"/>
  <c r="I19" i="13"/>
  <c r="K19" i="13" s="1"/>
  <c r="I20" i="13"/>
  <c r="I21" i="13"/>
  <c r="I22" i="13"/>
  <c r="L22" i="13" s="1"/>
  <c r="I23" i="13"/>
  <c r="I24" i="13"/>
  <c r="I25" i="13"/>
  <c r="K25" i="13" s="1"/>
  <c r="I27" i="13"/>
  <c r="I28" i="13"/>
  <c r="I29" i="13"/>
  <c r="I30" i="13"/>
  <c r="I31" i="13"/>
  <c r="I32" i="13"/>
  <c r="I33" i="13"/>
  <c r="K33" i="13" s="1"/>
  <c r="I34" i="13"/>
  <c r="K34" i="13" s="1"/>
  <c r="I35" i="13"/>
  <c r="I36" i="13"/>
  <c r="K36" i="13" s="1"/>
  <c r="I38" i="13"/>
  <c r="I39" i="13"/>
  <c r="I40" i="13"/>
  <c r="I41" i="13"/>
  <c r="I42" i="13"/>
  <c r="I43" i="13"/>
  <c r="I44" i="13"/>
  <c r="I45" i="13"/>
  <c r="I47" i="13"/>
  <c r="I48" i="13"/>
  <c r="K48" i="13" s="1"/>
  <c r="I49" i="13"/>
  <c r="K49" i="13" s="1"/>
  <c r="N49" i="13" s="1"/>
  <c r="I50" i="13"/>
  <c r="I52" i="13"/>
  <c r="I53" i="13"/>
  <c r="I54" i="13"/>
  <c r="I55" i="13"/>
  <c r="K55" i="13" s="1"/>
  <c r="I57" i="13"/>
  <c r="K57" i="13" s="1"/>
  <c r="I58" i="13"/>
  <c r="L58" i="13" s="1"/>
  <c r="I59" i="13"/>
  <c r="I60" i="13"/>
  <c r="I61" i="13"/>
  <c r="K61" i="13" s="1"/>
  <c r="I62" i="13"/>
  <c r="I63" i="13"/>
  <c r="I65" i="13"/>
  <c r="I66" i="13"/>
  <c r="I67" i="13"/>
  <c r="K67" i="13" s="1"/>
  <c r="I68" i="13"/>
  <c r="I69" i="13"/>
  <c r="I71" i="13"/>
  <c r="I72" i="13"/>
  <c r="K72" i="13" s="1"/>
  <c r="I73" i="13"/>
  <c r="K73" i="13" s="1"/>
  <c r="I74" i="13"/>
  <c r="I76" i="13"/>
  <c r="I77" i="13"/>
  <c r="I78" i="13"/>
  <c r="I79" i="13"/>
  <c r="I80" i="13"/>
  <c r="I81" i="13"/>
  <c r="I82" i="13"/>
  <c r="I84" i="13"/>
  <c r="K84" i="13" s="1"/>
  <c r="I85" i="13"/>
  <c r="K85" i="13" s="1"/>
  <c r="I86" i="13"/>
  <c r="I87" i="13"/>
  <c r="I88" i="13"/>
  <c r="I89" i="13"/>
  <c r="I90" i="13"/>
  <c r="I91" i="13"/>
  <c r="I92" i="13"/>
  <c r="I94" i="13"/>
  <c r="K94" i="13" s="1"/>
  <c r="I96" i="13"/>
  <c r="I97" i="13"/>
  <c r="K97" i="13" s="1"/>
  <c r="I98" i="13"/>
  <c r="I99" i="13"/>
  <c r="I101" i="13"/>
  <c r="I102" i="13"/>
  <c r="I103" i="13"/>
  <c r="K103" i="13" s="1"/>
  <c r="I104" i="13"/>
  <c r="I105" i="13"/>
  <c r="I106" i="13"/>
  <c r="I107" i="13"/>
  <c r="I108" i="13"/>
  <c r="K108" i="13" s="1"/>
  <c r="I109" i="13"/>
  <c r="K109" i="13" s="1"/>
  <c r="I110" i="13"/>
  <c r="I111" i="13"/>
  <c r="I112" i="13"/>
  <c r="I113" i="13"/>
  <c r="I114" i="13"/>
  <c r="I115" i="13"/>
  <c r="K115" i="13" s="1"/>
  <c r="I116" i="13"/>
  <c r="I117" i="13"/>
  <c r="I118" i="13"/>
  <c r="K118" i="13" s="1"/>
  <c r="I119" i="13"/>
  <c r="I120" i="13"/>
  <c r="K120" i="13" s="1"/>
  <c r="I121" i="13"/>
  <c r="K121" i="13" s="1"/>
  <c r="I122" i="13"/>
  <c r="I123" i="13"/>
  <c r="I124" i="13"/>
  <c r="I125" i="13"/>
  <c r="I126" i="13"/>
  <c r="I127" i="13"/>
  <c r="K127" i="13" s="1"/>
  <c r="I128" i="13"/>
  <c r="I129" i="13"/>
  <c r="I130" i="13"/>
  <c r="K130" i="13" s="1"/>
  <c r="I133" i="13"/>
  <c r="K133" i="13" s="1"/>
  <c r="I134" i="13"/>
  <c r="I135" i="13"/>
  <c r="I136" i="13"/>
  <c r="I138" i="13"/>
  <c r="I139" i="13"/>
  <c r="K139" i="13" s="1"/>
  <c r="I140" i="13"/>
  <c r="I142" i="13"/>
  <c r="K142" i="13" s="1"/>
  <c r="I143" i="13"/>
  <c r="I144" i="13"/>
  <c r="K144" i="13" s="1"/>
  <c r="I145" i="13"/>
  <c r="K145" i="13" s="1"/>
  <c r="I146" i="13"/>
  <c r="I148" i="13"/>
  <c r="I150" i="13"/>
  <c r="I151" i="13"/>
  <c r="K151" i="13" s="1"/>
  <c r="I152" i="13"/>
  <c r="I153" i="13"/>
  <c r="K153" i="13" s="1"/>
  <c r="I155" i="13"/>
  <c r="I157" i="13"/>
  <c r="K157" i="13" s="1"/>
  <c r="I158" i="13"/>
  <c r="I160" i="13"/>
  <c r="I161" i="13"/>
  <c r="I163" i="13"/>
  <c r="K163" i="13" s="1"/>
  <c r="I165" i="13"/>
  <c r="I166" i="13"/>
  <c r="I168" i="13"/>
  <c r="I169" i="13"/>
  <c r="K169" i="13" s="1"/>
  <c r="I170" i="13"/>
  <c r="I172" i="13"/>
  <c r="I173" i="13"/>
  <c r="I174" i="13"/>
  <c r="I175" i="13"/>
  <c r="I176" i="13"/>
  <c r="I177" i="13"/>
  <c r="I178" i="13"/>
  <c r="I179" i="13"/>
  <c r="I180" i="13"/>
  <c r="I181" i="13"/>
  <c r="K181" i="13" s="1"/>
  <c r="N181" i="13" s="1"/>
  <c r="I183" i="13"/>
  <c r="I184" i="13"/>
  <c r="K184" i="13" s="1"/>
  <c r="K23" i="13"/>
  <c r="K27" i="13"/>
  <c r="N27" i="13" s="1"/>
  <c r="K29" i="13"/>
  <c r="K32" i="13"/>
  <c r="L38" i="13"/>
  <c r="K47" i="13"/>
  <c r="K66" i="13"/>
  <c r="K69" i="13"/>
  <c r="K71" i="13"/>
  <c r="K74" i="13"/>
  <c r="K88" i="13"/>
  <c r="L98" i="13"/>
  <c r="K104" i="13"/>
  <c r="K112" i="13"/>
  <c r="K124" i="13"/>
  <c r="K128" i="13"/>
  <c r="K143" i="13"/>
  <c r="K150" i="13"/>
  <c r="K160" i="13"/>
  <c r="K161" i="13"/>
  <c r="K173" i="13"/>
  <c r="L177" i="13"/>
  <c r="L181" i="13"/>
  <c r="L20" i="13"/>
  <c r="L42" i="13"/>
  <c r="L44" i="13"/>
  <c r="K54" i="13"/>
  <c r="K68" i="13"/>
  <c r="L80" i="13"/>
  <c r="L82" i="13"/>
  <c r="K92" i="13"/>
  <c r="K102" i="13"/>
  <c r="K106" i="13"/>
  <c r="K114" i="13"/>
  <c r="K126" i="13"/>
  <c r="K138" i="13"/>
  <c r="K140" i="13"/>
  <c r="K152" i="13"/>
  <c r="K166" i="13"/>
  <c r="K174" i="13"/>
  <c r="K176" i="13"/>
  <c r="K178" i="13"/>
  <c r="I10" i="13"/>
  <c r="K10" i="13" s="1"/>
  <c r="M201" i="13"/>
  <c r="N196" i="13"/>
  <c r="L196" i="13"/>
  <c r="F193" i="13"/>
  <c r="M193" i="13" s="1"/>
  <c r="E192" i="13"/>
  <c r="F192" i="13" s="1"/>
  <c r="K191" i="13"/>
  <c r="E191" i="13"/>
  <c r="F191" i="13" s="1"/>
  <c r="M190" i="13"/>
  <c r="L190" i="13"/>
  <c r="K190" i="13"/>
  <c r="F190" i="13"/>
  <c r="E190" i="13"/>
  <c r="K189" i="13"/>
  <c r="E189" i="13"/>
  <c r="F189" i="13" s="1"/>
  <c r="F184" i="13"/>
  <c r="K183" i="13"/>
  <c r="N183" i="13" s="1"/>
  <c r="F183" i="13"/>
  <c r="M183" i="13" s="1"/>
  <c r="M181" i="13"/>
  <c r="F181" i="13"/>
  <c r="K180" i="13"/>
  <c r="F180" i="13"/>
  <c r="M179" i="13"/>
  <c r="L179" i="13"/>
  <c r="K179" i="13"/>
  <c r="N179" i="13" s="1"/>
  <c r="F179" i="13"/>
  <c r="F178" i="13"/>
  <c r="M177" i="13"/>
  <c r="K177" i="13"/>
  <c r="N177" i="13" s="1"/>
  <c r="F177" i="13"/>
  <c r="F176" i="13"/>
  <c r="K175" i="13"/>
  <c r="F175" i="13"/>
  <c r="F174" i="13"/>
  <c r="F173" i="13"/>
  <c r="K172" i="13"/>
  <c r="F172" i="13"/>
  <c r="M170" i="13"/>
  <c r="K170" i="13"/>
  <c r="N170" i="13" s="1"/>
  <c r="F170" i="13"/>
  <c r="L170" i="13" s="1"/>
  <c r="M169" i="13"/>
  <c r="F169" i="13"/>
  <c r="M168" i="13"/>
  <c r="K168" i="13"/>
  <c r="N168" i="13" s="1"/>
  <c r="F168" i="13"/>
  <c r="G167" i="13"/>
  <c r="F166" i="13"/>
  <c r="M165" i="13"/>
  <c r="K165" i="13"/>
  <c r="F165" i="13"/>
  <c r="F163" i="13"/>
  <c r="G162" i="13" s="1"/>
  <c r="M161" i="13"/>
  <c r="F161" i="13"/>
  <c r="M160" i="13"/>
  <c r="F160" i="13"/>
  <c r="K158" i="13"/>
  <c r="F158" i="13"/>
  <c r="M157" i="13"/>
  <c r="F157" i="13"/>
  <c r="K155" i="13"/>
  <c r="F155" i="13"/>
  <c r="G154" i="13" s="1"/>
  <c r="M153" i="13"/>
  <c r="F153" i="13"/>
  <c r="M152" i="13"/>
  <c r="F152" i="13"/>
  <c r="M151" i="13"/>
  <c r="F151" i="13"/>
  <c r="M150" i="13"/>
  <c r="F150" i="13"/>
  <c r="K148" i="13"/>
  <c r="F148" i="13"/>
  <c r="G147" i="13" s="1"/>
  <c r="M146" i="13"/>
  <c r="K146" i="13"/>
  <c r="F146" i="13"/>
  <c r="N146" i="13" s="1"/>
  <c r="F145" i="13"/>
  <c r="M144" i="13"/>
  <c r="F144" i="13"/>
  <c r="F143" i="13"/>
  <c r="M142" i="13"/>
  <c r="F142" i="13"/>
  <c r="F140" i="13"/>
  <c r="M139" i="13"/>
  <c r="F139" i="13"/>
  <c r="F138" i="13"/>
  <c r="M138" i="13" s="1"/>
  <c r="K136" i="13"/>
  <c r="F136" i="13"/>
  <c r="M135" i="13"/>
  <c r="K135" i="13"/>
  <c r="F135" i="13"/>
  <c r="K134" i="13"/>
  <c r="F134" i="13"/>
  <c r="M133" i="13"/>
  <c r="F133" i="13"/>
  <c r="F130" i="13"/>
  <c r="M129" i="13"/>
  <c r="K129" i="13"/>
  <c r="F129" i="13"/>
  <c r="F128" i="13"/>
  <c r="M127" i="13"/>
  <c r="F127" i="13"/>
  <c r="F126" i="13"/>
  <c r="M125" i="13"/>
  <c r="K125" i="13"/>
  <c r="F125" i="13"/>
  <c r="F124" i="13"/>
  <c r="M123" i="13"/>
  <c r="K123" i="13"/>
  <c r="F123" i="13"/>
  <c r="K122" i="13"/>
  <c r="F122" i="13"/>
  <c r="N122" i="13" s="1"/>
  <c r="M121" i="13"/>
  <c r="F121" i="13"/>
  <c r="F120" i="13"/>
  <c r="M119" i="13"/>
  <c r="K119" i="13"/>
  <c r="F119" i="13"/>
  <c r="F118" i="13"/>
  <c r="M117" i="13"/>
  <c r="K117" i="13"/>
  <c r="F117" i="13"/>
  <c r="K116" i="13"/>
  <c r="F116" i="13"/>
  <c r="M115" i="13"/>
  <c r="F115" i="13"/>
  <c r="F114" i="13"/>
  <c r="M113" i="13"/>
  <c r="K113" i="13"/>
  <c r="F113" i="13"/>
  <c r="F112" i="13"/>
  <c r="M111" i="13"/>
  <c r="K111" i="13"/>
  <c r="F111" i="13"/>
  <c r="K110" i="13"/>
  <c r="F110" i="13"/>
  <c r="M109" i="13"/>
  <c r="F109" i="13"/>
  <c r="F108" i="13"/>
  <c r="M107" i="13"/>
  <c r="K107" i="13"/>
  <c r="F107" i="13"/>
  <c r="F106" i="13"/>
  <c r="M105" i="13"/>
  <c r="K105" i="13"/>
  <c r="F105" i="13"/>
  <c r="F104" i="13"/>
  <c r="M103" i="13"/>
  <c r="F103" i="13"/>
  <c r="F102" i="13"/>
  <c r="M101" i="13"/>
  <c r="K101" i="13"/>
  <c r="F101" i="13"/>
  <c r="K99" i="13"/>
  <c r="F99" i="13"/>
  <c r="M98" i="13"/>
  <c r="F98" i="13"/>
  <c r="F97" i="13"/>
  <c r="M96" i="13"/>
  <c r="L96" i="13"/>
  <c r="F96" i="13"/>
  <c r="M94" i="13"/>
  <c r="F94" i="13"/>
  <c r="F92" i="13"/>
  <c r="M91" i="13"/>
  <c r="K91" i="13"/>
  <c r="F91" i="13"/>
  <c r="K90" i="13"/>
  <c r="F90" i="13"/>
  <c r="M89" i="13"/>
  <c r="K89" i="13"/>
  <c r="F89" i="13"/>
  <c r="N89" i="13" s="1"/>
  <c r="F88" i="13"/>
  <c r="M87" i="13"/>
  <c r="K87" i="13"/>
  <c r="F87" i="13"/>
  <c r="K86" i="13"/>
  <c r="F86" i="13"/>
  <c r="M85" i="13"/>
  <c r="F85" i="13"/>
  <c r="F84" i="13"/>
  <c r="G83" i="13" s="1"/>
  <c r="M82" i="13"/>
  <c r="F82" i="13"/>
  <c r="K81" i="13"/>
  <c r="F81" i="13"/>
  <c r="M81" i="13" s="1"/>
  <c r="M80" i="13"/>
  <c r="F80" i="13"/>
  <c r="K79" i="13"/>
  <c r="F79" i="13"/>
  <c r="L79" i="13" s="1"/>
  <c r="M78" i="13"/>
  <c r="L78" i="13"/>
  <c r="F78" i="13"/>
  <c r="K77" i="13"/>
  <c r="F77" i="13"/>
  <c r="L77" i="13" s="1"/>
  <c r="M76" i="13"/>
  <c r="L76" i="13"/>
  <c r="F76" i="13"/>
  <c r="M74" i="13"/>
  <c r="F74" i="13"/>
  <c r="F73" i="13"/>
  <c r="M72" i="13"/>
  <c r="F72" i="13"/>
  <c r="F71" i="13"/>
  <c r="G70" i="13"/>
  <c r="M69" i="13"/>
  <c r="F69" i="13"/>
  <c r="F68" i="13"/>
  <c r="M67" i="13"/>
  <c r="F67" i="13"/>
  <c r="F66" i="13"/>
  <c r="M65" i="13"/>
  <c r="K65" i="13"/>
  <c r="F65" i="13"/>
  <c r="K63" i="13"/>
  <c r="F63" i="13"/>
  <c r="L63" i="13" s="1"/>
  <c r="M62" i="13"/>
  <c r="L62" i="13"/>
  <c r="F62" i="13"/>
  <c r="F61" i="13"/>
  <c r="M60" i="13"/>
  <c r="L60" i="13"/>
  <c r="F60" i="13"/>
  <c r="K59" i="13"/>
  <c r="F59" i="13"/>
  <c r="L59" i="13" s="1"/>
  <c r="M58" i="13"/>
  <c r="F58" i="13"/>
  <c r="F57" i="13"/>
  <c r="F55" i="13"/>
  <c r="M54" i="13"/>
  <c r="F54" i="13"/>
  <c r="K53" i="13"/>
  <c r="F53" i="13"/>
  <c r="M52" i="13"/>
  <c r="K52" i="13"/>
  <c r="F52" i="13"/>
  <c r="K50" i="13"/>
  <c r="F50" i="13"/>
  <c r="M49" i="13"/>
  <c r="F49" i="13"/>
  <c r="F48" i="13"/>
  <c r="M47" i="13"/>
  <c r="F47" i="13"/>
  <c r="K45" i="13"/>
  <c r="F45" i="13"/>
  <c r="L45" i="13" s="1"/>
  <c r="M44" i="13"/>
  <c r="F44" i="13"/>
  <c r="K43" i="13"/>
  <c r="F43" i="13"/>
  <c r="M42" i="13"/>
  <c r="F42" i="13"/>
  <c r="K41" i="13"/>
  <c r="F41" i="13"/>
  <c r="L41" i="13" s="1"/>
  <c r="M40" i="13"/>
  <c r="L40" i="13"/>
  <c r="F40" i="13"/>
  <c r="K39" i="13"/>
  <c r="F39" i="13"/>
  <c r="L39" i="13" s="1"/>
  <c r="M38" i="13"/>
  <c r="F38" i="13"/>
  <c r="M36" i="13"/>
  <c r="F36" i="13"/>
  <c r="K35" i="13"/>
  <c r="F35" i="13"/>
  <c r="M34" i="13"/>
  <c r="F34" i="13"/>
  <c r="F33" i="13"/>
  <c r="M32" i="13"/>
  <c r="F32" i="13"/>
  <c r="K31" i="13"/>
  <c r="F31" i="13"/>
  <c r="M30" i="13"/>
  <c r="K30" i="13"/>
  <c r="F30" i="13"/>
  <c r="F29" i="13"/>
  <c r="G28" i="13"/>
  <c r="M27" i="13"/>
  <c r="F27" i="13"/>
  <c r="G26" i="13" s="1"/>
  <c r="F25" i="13"/>
  <c r="M24" i="13"/>
  <c r="L24" i="13"/>
  <c r="F24" i="13"/>
  <c r="F23" i="13"/>
  <c r="L23" i="13" s="1"/>
  <c r="M22" i="13"/>
  <c r="F22" i="13"/>
  <c r="K21" i="13"/>
  <c r="F21" i="13"/>
  <c r="L21" i="13" s="1"/>
  <c r="M20" i="13"/>
  <c r="F20" i="13"/>
  <c r="F19" i="13"/>
  <c r="K17" i="13"/>
  <c r="F17" i="13"/>
  <c r="M16" i="13"/>
  <c r="K16" i="13"/>
  <c r="F16" i="13"/>
  <c r="K15" i="13"/>
  <c r="F15" i="13"/>
  <c r="M14" i="13"/>
  <c r="K14" i="13"/>
  <c r="F14" i="13"/>
  <c r="F13" i="13"/>
  <c r="M12" i="13"/>
  <c r="F12" i="13"/>
  <c r="K11" i="13"/>
  <c r="F11" i="13"/>
  <c r="M10" i="13"/>
  <c r="F10" i="13"/>
  <c r="I11" i="12"/>
  <c r="I12" i="12"/>
  <c r="I13" i="12"/>
  <c r="I14" i="12"/>
  <c r="I15" i="12"/>
  <c r="I16" i="12"/>
  <c r="I17" i="12"/>
  <c r="I19" i="12"/>
  <c r="I20" i="12"/>
  <c r="I21" i="12"/>
  <c r="L21" i="12" s="1"/>
  <c r="I22" i="12"/>
  <c r="I23" i="12"/>
  <c r="I24" i="12"/>
  <c r="I25" i="12"/>
  <c r="I27" i="12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35" i="12"/>
  <c r="I36" i="12"/>
  <c r="I38" i="12"/>
  <c r="I39" i="12"/>
  <c r="I40" i="12"/>
  <c r="I41" i="12"/>
  <c r="I42" i="12"/>
  <c r="K42" i="12" s="1"/>
  <c r="I43" i="12"/>
  <c r="I44" i="12"/>
  <c r="K44" i="12" s="1"/>
  <c r="I45" i="12"/>
  <c r="L45" i="12" s="1"/>
  <c r="I47" i="12"/>
  <c r="I48" i="12"/>
  <c r="I49" i="12"/>
  <c r="I50" i="12"/>
  <c r="I52" i="12"/>
  <c r="I53" i="12"/>
  <c r="I54" i="12"/>
  <c r="I55" i="12"/>
  <c r="K55" i="12" s="1"/>
  <c r="I57" i="12"/>
  <c r="K57" i="12" s="1"/>
  <c r="N57" i="12" s="1"/>
  <c r="I58" i="12"/>
  <c r="K58" i="12" s="1"/>
  <c r="I59" i="12"/>
  <c r="I60" i="12"/>
  <c r="I61" i="12"/>
  <c r="I62" i="12"/>
  <c r="I63" i="12"/>
  <c r="I65" i="12"/>
  <c r="L65" i="12" s="1"/>
  <c r="I66" i="12"/>
  <c r="L66" i="12" s="1"/>
  <c r="I67" i="12"/>
  <c r="K67" i="12" s="1"/>
  <c r="I68" i="12"/>
  <c r="L68" i="12" s="1"/>
  <c r="I69" i="12"/>
  <c r="L69" i="12" s="1"/>
  <c r="I71" i="12"/>
  <c r="I72" i="12"/>
  <c r="I73" i="12"/>
  <c r="I74" i="12"/>
  <c r="I76" i="12"/>
  <c r="I77" i="12"/>
  <c r="I78" i="12"/>
  <c r="K78" i="12" s="1"/>
  <c r="I79" i="12"/>
  <c r="I80" i="12"/>
  <c r="I81" i="12"/>
  <c r="L81" i="12" s="1"/>
  <c r="I82" i="12"/>
  <c r="K82" i="12" s="1"/>
  <c r="I84" i="12"/>
  <c r="I85" i="12"/>
  <c r="I86" i="12"/>
  <c r="I87" i="12"/>
  <c r="I88" i="12"/>
  <c r="I89" i="12"/>
  <c r="I90" i="12"/>
  <c r="K90" i="12" s="1"/>
  <c r="I91" i="12"/>
  <c r="I92" i="12"/>
  <c r="I94" i="12"/>
  <c r="K94" i="12" s="1"/>
  <c r="I96" i="12"/>
  <c r="I97" i="12"/>
  <c r="I98" i="12"/>
  <c r="I99" i="12"/>
  <c r="I101" i="12"/>
  <c r="L101" i="12" s="1"/>
  <c r="I102" i="12"/>
  <c r="K102" i="12" s="1"/>
  <c r="I103" i="12"/>
  <c r="L103" i="12" s="1"/>
  <c r="I104" i="12"/>
  <c r="L104" i="12" s="1"/>
  <c r="I105" i="12"/>
  <c r="L105" i="12" s="1"/>
  <c r="I106" i="12"/>
  <c r="L106" i="12" s="1"/>
  <c r="I107" i="12"/>
  <c r="I108" i="12"/>
  <c r="I109" i="12"/>
  <c r="I110" i="12"/>
  <c r="I111" i="12"/>
  <c r="I112" i="12"/>
  <c r="I113" i="12"/>
  <c r="L113" i="12" s="1"/>
  <c r="I114" i="12"/>
  <c r="I115" i="12"/>
  <c r="K115" i="12" s="1"/>
  <c r="I116" i="12"/>
  <c r="L116" i="12" s="1"/>
  <c r="I117" i="12"/>
  <c r="K117" i="12" s="1"/>
  <c r="I118" i="12"/>
  <c r="K118" i="12" s="1"/>
  <c r="I119" i="12"/>
  <c r="I120" i="12"/>
  <c r="I121" i="12"/>
  <c r="I122" i="12"/>
  <c r="I123" i="12"/>
  <c r="I124" i="12"/>
  <c r="I125" i="12"/>
  <c r="K125" i="12" s="1"/>
  <c r="I126" i="12"/>
  <c r="L126" i="12" s="1"/>
  <c r="I127" i="12"/>
  <c r="L127" i="12" s="1"/>
  <c r="I128" i="12"/>
  <c r="L128" i="12" s="1"/>
  <c r="I129" i="12"/>
  <c r="K129" i="12" s="1"/>
  <c r="I130" i="12"/>
  <c r="L130" i="12" s="1"/>
  <c r="I133" i="12"/>
  <c r="I134" i="12"/>
  <c r="I135" i="12"/>
  <c r="I136" i="12"/>
  <c r="I138" i="12"/>
  <c r="I139" i="12"/>
  <c r="I140" i="12"/>
  <c r="I142" i="12"/>
  <c r="L142" i="12" s="1"/>
  <c r="I143" i="12"/>
  <c r="I144" i="12"/>
  <c r="I145" i="12"/>
  <c r="I146" i="12"/>
  <c r="I148" i="12"/>
  <c r="I150" i="12"/>
  <c r="L150" i="12" s="1"/>
  <c r="I151" i="12"/>
  <c r="K151" i="12" s="1"/>
  <c r="I152" i="12"/>
  <c r="L152" i="12" s="1"/>
  <c r="I153" i="12"/>
  <c r="I155" i="12"/>
  <c r="I157" i="12"/>
  <c r="I158" i="12"/>
  <c r="I160" i="12"/>
  <c r="I161" i="12"/>
  <c r="I163" i="12"/>
  <c r="K163" i="12" s="1"/>
  <c r="N163" i="12" s="1"/>
  <c r="I165" i="12"/>
  <c r="K165" i="12" s="1"/>
  <c r="I166" i="12"/>
  <c r="K166" i="12" s="1"/>
  <c r="I168" i="12"/>
  <c r="I169" i="12"/>
  <c r="I170" i="12"/>
  <c r="I172" i="12"/>
  <c r="I173" i="12"/>
  <c r="I174" i="12"/>
  <c r="I175" i="12"/>
  <c r="I176" i="12"/>
  <c r="I177" i="12"/>
  <c r="L177" i="12" s="1"/>
  <c r="I178" i="12"/>
  <c r="K178" i="12" s="1"/>
  <c r="I179" i="12"/>
  <c r="I180" i="12"/>
  <c r="I181" i="12"/>
  <c r="I182" i="12"/>
  <c r="I183" i="12"/>
  <c r="I184" i="12"/>
  <c r="K14" i="12"/>
  <c r="K17" i="12"/>
  <c r="L19" i="12"/>
  <c r="K20" i="12"/>
  <c r="K21" i="12"/>
  <c r="N21" i="12" s="1"/>
  <c r="K22" i="12"/>
  <c r="L23" i="12"/>
  <c r="K35" i="12"/>
  <c r="K36" i="12"/>
  <c r="K38" i="12"/>
  <c r="L48" i="12"/>
  <c r="L49" i="12"/>
  <c r="L50" i="12"/>
  <c r="K52" i="12"/>
  <c r="K60" i="12"/>
  <c r="L61" i="12"/>
  <c r="K63" i="12"/>
  <c r="N63" i="12" s="1"/>
  <c r="K71" i="12"/>
  <c r="K73" i="12"/>
  <c r="K76" i="12"/>
  <c r="L77" i="12"/>
  <c r="K79" i="12"/>
  <c r="N79" i="12" s="1"/>
  <c r="K80" i="12"/>
  <c r="L87" i="12"/>
  <c r="L88" i="12"/>
  <c r="L99" i="12"/>
  <c r="L107" i="12"/>
  <c r="K108" i="12"/>
  <c r="L112" i="12"/>
  <c r="L114" i="12"/>
  <c r="K116" i="12"/>
  <c r="K119" i="12"/>
  <c r="K120" i="12"/>
  <c r="K124" i="12"/>
  <c r="K134" i="12"/>
  <c r="L143" i="12"/>
  <c r="K144" i="12"/>
  <c r="L146" i="12"/>
  <c r="K148" i="12"/>
  <c r="K158" i="12"/>
  <c r="L160" i="12"/>
  <c r="L168" i="12"/>
  <c r="K173" i="12"/>
  <c r="N173" i="12" s="1"/>
  <c r="L179" i="12"/>
  <c r="L180" i="12"/>
  <c r="L181" i="12"/>
  <c r="K41" i="12"/>
  <c r="N41" i="12" s="1"/>
  <c r="K43" i="12"/>
  <c r="N43" i="12" s="1"/>
  <c r="K53" i="12"/>
  <c r="K54" i="12"/>
  <c r="K72" i="12"/>
  <c r="L84" i="12"/>
  <c r="K88" i="12"/>
  <c r="K89" i="12"/>
  <c r="L90" i="12"/>
  <c r="L91" i="12"/>
  <c r="K92" i="12"/>
  <c r="K96" i="12"/>
  <c r="K122" i="12"/>
  <c r="L124" i="12"/>
  <c r="L125" i="12"/>
  <c r="K138" i="12"/>
  <c r="N138" i="12" s="1"/>
  <c r="K139" i="12"/>
  <c r="L140" i="12"/>
  <c r="L144" i="12"/>
  <c r="K146" i="12"/>
  <c r="L170" i="12"/>
  <c r="L173" i="12"/>
  <c r="L174" i="12"/>
  <c r="L175" i="12"/>
  <c r="K176" i="12"/>
  <c r="I10" i="12"/>
  <c r="M201" i="12"/>
  <c r="N196" i="12"/>
  <c r="L196" i="12"/>
  <c r="I193" i="12"/>
  <c r="K193" i="12" s="1"/>
  <c r="N193" i="12" s="1"/>
  <c r="F193" i="12"/>
  <c r="M193" i="12" s="1"/>
  <c r="I192" i="12"/>
  <c r="K192" i="12" s="1"/>
  <c r="E192" i="12"/>
  <c r="F192" i="12" s="1"/>
  <c r="I191" i="12"/>
  <c r="K191" i="12" s="1"/>
  <c r="E191" i="12"/>
  <c r="F191" i="12" s="1"/>
  <c r="I190" i="12"/>
  <c r="K190" i="12" s="1"/>
  <c r="E190" i="12"/>
  <c r="F190" i="12" s="1"/>
  <c r="I189" i="12"/>
  <c r="K189" i="12" s="1"/>
  <c r="E189" i="12"/>
  <c r="F189" i="12" s="1"/>
  <c r="K184" i="12"/>
  <c r="F184" i="12"/>
  <c r="K183" i="12"/>
  <c r="F183" i="12"/>
  <c r="M181" i="12"/>
  <c r="F181" i="12"/>
  <c r="F180" i="12"/>
  <c r="M179" i="12"/>
  <c r="F179" i="12"/>
  <c r="F178" i="12"/>
  <c r="M177" i="12"/>
  <c r="F177" i="12"/>
  <c r="F176" i="12"/>
  <c r="M175" i="12"/>
  <c r="F175" i="12"/>
  <c r="F174" i="12"/>
  <c r="M173" i="12"/>
  <c r="F173" i="12"/>
  <c r="L172" i="12"/>
  <c r="K172" i="12"/>
  <c r="F172" i="12"/>
  <c r="G171" i="12"/>
  <c r="M170" i="12"/>
  <c r="K170" i="12"/>
  <c r="N170" i="12" s="1"/>
  <c r="F170" i="12"/>
  <c r="K169" i="12"/>
  <c r="F169" i="12"/>
  <c r="G167" i="12" s="1"/>
  <c r="M168" i="12"/>
  <c r="F168" i="12"/>
  <c r="F166" i="12"/>
  <c r="F165" i="12"/>
  <c r="M163" i="12"/>
  <c r="F163" i="12"/>
  <c r="G162" i="12" s="1"/>
  <c r="K161" i="12"/>
  <c r="F161" i="12"/>
  <c r="M160" i="12"/>
  <c r="K160" i="12"/>
  <c r="N160" i="12" s="1"/>
  <c r="F160" i="12"/>
  <c r="F158" i="12"/>
  <c r="K157" i="12"/>
  <c r="F157" i="12"/>
  <c r="M155" i="12"/>
  <c r="L155" i="12"/>
  <c r="K155" i="12"/>
  <c r="N155" i="12" s="1"/>
  <c r="F155" i="12"/>
  <c r="G154" i="12" s="1"/>
  <c r="K153" i="12"/>
  <c r="F153" i="12"/>
  <c r="M153" i="12" s="1"/>
  <c r="M152" i="12"/>
  <c r="F152" i="12"/>
  <c r="F151" i="12"/>
  <c r="G149" i="12" s="1"/>
  <c r="M150" i="12"/>
  <c r="F150" i="12"/>
  <c r="F148" i="12"/>
  <c r="G147" i="12" s="1"/>
  <c r="F146" i="12"/>
  <c r="M145" i="12"/>
  <c r="L145" i="12"/>
  <c r="K145" i="12"/>
  <c r="N145" i="12" s="1"/>
  <c r="F145" i="12"/>
  <c r="F144" i="12"/>
  <c r="M143" i="12"/>
  <c r="F143" i="12"/>
  <c r="F142" i="12"/>
  <c r="G141" i="12"/>
  <c r="M140" i="12"/>
  <c r="F140" i="12"/>
  <c r="F139" i="12"/>
  <c r="M139" i="12" s="1"/>
  <c r="M138" i="12"/>
  <c r="L138" i="12"/>
  <c r="F138" i="12"/>
  <c r="K136" i="12"/>
  <c r="F136" i="12"/>
  <c r="K135" i="12"/>
  <c r="F135" i="12"/>
  <c r="F134" i="12"/>
  <c r="M133" i="12"/>
  <c r="K133" i="12"/>
  <c r="F133" i="12"/>
  <c r="M130" i="12"/>
  <c r="F130" i="12"/>
  <c r="F129" i="12"/>
  <c r="M128" i="12"/>
  <c r="F128" i="12"/>
  <c r="F127" i="12"/>
  <c r="M126" i="12"/>
  <c r="F126" i="12"/>
  <c r="F125" i="12"/>
  <c r="M124" i="12"/>
  <c r="F124" i="12"/>
  <c r="L123" i="12"/>
  <c r="K123" i="12"/>
  <c r="F123" i="12"/>
  <c r="M122" i="12"/>
  <c r="L122" i="12"/>
  <c r="F122" i="12"/>
  <c r="L121" i="12"/>
  <c r="K121" i="12"/>
  <c r="F121" i="12"/>
  <c r="M120" i="12"/>
  <c r="F120" i="12"/>
  <c r="F119" i="12"/>
  <c r="M118" i="12"/>
  <c r="F118" i="12"/>
  <c r="F117" i="12"/>
  <c r="M116" i="12"/>
  <c r="F116" i="12"/>
  <c r="F115" i="12"/>
  <c r="M114" i="12"/>
  <c r="F114" i="12"/>
  <c r="K113" i="12"/>
  <c r="F113" i="12"/>
  <c r="M112" i="12"/>
  <c r="F112" i="12"/>
  <c r="L111" i="12"/>
  <c r="K111" i="12"/>
  <c r="F111" i="12"/>
  <c r="M110" i="12"/>
  <c r="L110" i="12"/>
  <c r="K110" i="12"/>
  <c r="F110" i="12"/>
  <c r="L109" i="12"/>
  <c r="K109" i="12"/>
  <c r="F109" i="12"/>
  <c r="M108" i="12"/>
  <c r="F108" i="12"/>
  <c r="F107" i="12"/>
  <c r="M106" i="12"/>
  <c r="F106" i="12"/>
  <c r="F105" i="12"/>
  <c r="M104" i="12"/>
  <c r="F104" i="12"/>
  <c r="F103" i="12"/>
  <c r="M102" i="12"/>
  <c r="F102" i="12"/>
  <c r="K101" i="12"/>
  <c r="F101" i="12"/>
  <c r="G100" i="12"/>
  <c r="M99" i="12"/>
  <c r="F99" i="12"/>
  <c r="K98" i="12"/>
  <c r="F98" i="12"/>
  <c r="M98" i="12" s="1"/>
  <c r="M97" i="12"/>
  <c r="L97" i="12"/>
  <c r="K97" i="12"/>
  <c r="N97" i="12" s="1"/>
  <c r="F97" i="12"/>
  <c r="F96" i="12"/>
  <c r="M96" i="12" s="1"/>
  <c r="G95" i="12"/>
  <c r="M94" i="12"/>
  <c r="F94" i="12"/>
  <c r="M92" i="12"/>
  <c r="F92" i="12"/>
  <c r="F91" i="12"/>
  <c r="M90" i="12"/>
  <c r="F90" i="12"/>
  <c r="L89" i="12"/>
  <c r="F89" i="12"/>
  <c r="M88" i="12"/>
  <c r="F88" i="12"/>
  <c r="F87" i="12"/>
  <c r="M86" i="12"/>
  <c r="L86" i="12"/>
  <c r="K86" i="12"/>
  <c r="F86" i="12"/>
  <c r="L85" i="12"/>
  <c r="K85" i="12"/>
  <c r="F85" i="12"/>
  <c r="M84" i="12"/>
  <c r="F84" i="12"/>
  <c r="G83" i="12" s="1"/>
  <c r="F82" i="12"/>
  <c r="M82" i="12" s="1"/>
  <c r="M81" i="12"/>
  <c r="F81" i="12"/>
  <c r="F80" i="12"/>
  <c r="M79" i="12"/>
  <c r="F79" i="12"/>
  <c r="F78" i="12"/>
  <c r="M78" i="12" s="1"/>
  <c r="M77" i="12"/>
  <c r="F77" i="12"/>
  <c r="F76" i="12"/>
  <c r="M76" i="12" s="1"/>
  <c r="G75" i="12"/>
  <c r="M74" i="12"/>
  <c r="K74" i="12"/>
  <c r="F74" i="12"/>
  <c r="F73" i="12"/>
  <c r="M72" i="12"/>
  <c r="F72" i="12"/>
  <c r="F71" i="12"/>
  <c r="G70" i="12" s="1"/>
  <c r="F69" i="12"/>
  <c r="M68" i="12"/>
  <c r="K68" i="12"/>
  <c r="F68" i="12"/>
  <c r="F67" i="12"/>
  <c r="M66" i="12"/>
  <c r="F66" i="12"/>
  <c r="F65" i="12"/>
  <c r="G64" i="12"/>
  <c r="M63" i="12"/>
  <c r="L63" i="12"/>
  <c r="F63" i="12"/>
  <c r="K62" i="12"/>
  <c r="F62" i="12"/>
  <c r="M62" i="12" s="1"/>
  <c r="M61" i="12"/>
  <c r="F61" i="12"/>
  <c r="F60" i="12"/>
  <c r="M59" i="12"/>
  <c r="K59" i="12"/>
  <c r="N59" i="12" s="1"/>
  <c r="L59" i="12"/>
  <c r="F59" i="12"/>
  <c r="F58" i="12"/>
  <c r="G56" i="12" s="1"/>
  <c r="M57" i="12"/>
  <c r="F57" i="12"/>
  <c r="F55" i="12"/>
  <c r="M54" i="12"/>
  <c r="F54" i="12"/>
  <c r="F53" i="12"/>
  <c r="M52" i="12"/>
  <c r="F52" i="12"/>
  <c r="M50" i="12"/>
  <c r="F50" i="12"/>
  <c r="F49" i="12"/>
  <c r="M48" i="12"/>
  <c r="K48" i="12"/>
  <c r="F48" i="12"/>
  <c r="L47" i="12"/>
  <c r="K47" i="12"/>
  <c r="F47" i="12"/>
  <c r="G46" i="12"/>
  <c r="M45" i="12"/>
  <c r="F45" i="12"/>
  <c r="F44" i="12"/>
  <c r="M44" i="12" s="1"/>
  <c r="M43" i="12"/>
  <c r="F43" i="12"/>
  <c r="F42" i="12"/>
  <c r="M41" i="12"/>
  <c r="L41" i="12"/>
  <c r="F41" i="12"/>
  <c r="K40" i="12"/>
  <c r="F40" i="12"/>
  <c r="M40" i="12" s="1"/>
  <c r="M39" i="12"/>
  <c r="K39" i="12"/>
  <c r="N39" i="12" s="1"/>
  <c r="L39" i="12"/>
  <c r="F39" i="12"/>
  <c r="F38" i="12"/>
  <c r="M38" i="12" s="1"/>
  <c r="G37" i="12"/>
  <c r="M36" i="12"/>
  <c r="F36" i="12"/>
  <c r="F35" i="12"/>
  <c r="M34" i="12"/>
  <c r="F34" i="12"/>
  <c r="F33" i="12"/>
  <c r="M32" i="12"/>
  <c r="F32" i="12"/>
  <c r="F31" i="12"/>
  <c r="M30" i="12"/>
  <c r="F30" i="12"/>
  <c r="F29" i="12"/>
  <c r="G28" i="12" s="1"/>
  <c r="L27" i="12"/>
  <c r="K27" i="12"/>
  <c r="N27" i="12" s="1"/>
  <c r="F27" i="12"/>
  <c r="M27" i="12" s="1"/>
  <c r="G26" i="12"/>
  <c r="M25" i="12"/>
  <c r="K25" i="12"/>
  <c r="N25" i="12" s="1"/>
  <c r="L25" i="12"/>
  <c r="F25" i="12"/>
  <c r="K24" i="12"/>
  <c r="F24" i="12"/>
  <c r="M24" i="12" s="1"/>
  <c r="M23" i="12"/>
  <c r="F23" i="12"/>
  <c r="F22" i="12"/>
  <c r="M21" i="12"/>
  <c r="F21" i="12"/>
  <c r="F20" i="12"/>
  <c r="M20" i="12" s="1"/>
  <c r="M19" i="12"/>
  <c r="F19" i="12"/>
  <c r="F17" i="12"/>
  <c r="M16" i="12"/>
  <c r="K16" i="12"/>
  <c r="F16" i="12"/>
  <c r="K15" i="12"/>
  <c r="F15" i="12"/>
  <c r="M14" i="12"/>
  <c r="F14" i="12"/>
  <c r="K13" i="12"/>
  <c r="F13" i="12"/>
  <c r="M12" i="12"/>
  <c r="K12" i="12"/>
  <c r="F12" i="12"/>
  <c r="K11" i="12"/>
  <c r="F11" i="12"/>
  <c r="M10" i="12"/>
  <c r="K10" i="12"/>
  <c r="F10" i="12"/>
  <c r="G188" i="11"/>
  <c r="N107" i="13" l="1"/>
  <c r="N16" i="13"/>
  <c r="L49" i="13"/>
  <c r="N133" i="13"/>
  <c r="N11" i="13"/>
  <c r="L43" i="13"/>
  <c r="N12" i="13"/>
  <c r="N157" i="13"/>
  <c r="L25" i="13"/>
  <c r="L97" i="13"/>
  <c r="N127" i="13"/>
  <c r="N172" i="13"/>
  <c r="L19" i="13"/>
  <c r="N72" i="13"/>
  <c r="N36" i="13"/>
  <c r="L27" i="13"/>
  <c r="L57" i="13"/>
  <c r="N180" i="13"/>
  <c r="N69" i="13"/>
  <c r="L99" i="13"/>
  <c r="N111" i="13"/>
  <c r="N71" i="13"/>
  <c r="N88" i="13"/>
  <c r="N35" i="13"/>
  <c r="N53" i="13"/>
  <c r="N144" i="13"/>
  <c r="N31" i="13"/>
  <c r="N85" i="13"/>
  <c r="L160" i="13"/>
  <c r="N103" i="13"/>
  <c r="L61" i="13"/>
  <c r="N139" i="13"/>
  <c r="L168" i="13"/>
  <c r="N106" i="13"/>
  <c r="N130" i="13"/>
  <c r="N176" i="13"/>
  <c r="N17" i="13"/>
  <c r="N29" i="13"/>
  <c r="N34" i="13"/>
  <c r="N50" i="13"/>
  <c r="N73" i="13"/>
  <c r="N116" i="13"/>
  <c r="N121" i="13"/>
  <c r="N151" i="13"/>
  <c r="N165" i="13"/>
  <c r="N102" i="13"/>
  <c r="N126" i="13"/>
  <c r="N13" i="13"/>
  <c r="N30" i="13"/>
  <c r="N52" i="13"/>
  <c r="N74" i="13"/>
  <c r="N90" i="13"/>
  <c r="N112" i="13"/>
  <c r="N117" i="13"/>
  <c r="N145" i="13"/>
  <c r="N158" i="13"/>
  <c r="N14" i="13"/>
  <c r="N47" i="13"/>
  <c r="N86" i="13"/>
  <c r="N91" i="13"/>
  <c r="N108" i="13"/>
  <c r="N113" i="13"/>
  <c r="L140" i="13"/>
  <c r="N68" i="13"/>
  <c r="L152" i="13"/>
  <c r="N65" i="13"/>
  <c r="N118" i="13"/>
  <c r="N123" i="13"/>
  <c r="N173" i="13"/>
  <c r="N87" i="13"/>
  <c r="N104" i="13"/>
  <c r="N109" i="13"/>
  <c r="N128" i="13"/>
  <c r="N135" i="13"/>
  <c r="N142" i="13"/>
  <c r="N178" i="13"/>
  <c r="N15" i="13"/>
  <c r="N32" i="13"/>
  <c r="N48" i="13"/>
  <c r="N54" i="13"/>
  <c r="N92" i="13"/>
  <c r="N114" i="13"/>
  <c r="N119" i="13"/>
  <c r="N174" i="13"/>
  <c r="N66" i="13"/>
  <c r="N105" i="13"/>
  <c r="N124" i="13"/>
  <c r="N129" i="13"/>
  <c r="N94" i="13"/>
  <c r="N110" i="13"/>
  <c r="N115" i="13"/>
  <c r="N136" i="13"/>
  <c r="N143" i="13"/>
  <c r="L150" i="13"/>
  <c r="N169" i="13"/>
  <c r="N175" i="13"/>
  <c r="N166" i="13"/>
  <c r="N33" i="13"/>
  <c r="N55" i="13"/>
  <c r="N67" i="13"/>
  <c r="N101" i="13"/>
  <c r="N120" i="13"/>
  <c r="N125" i="13"/>
  <c r="N184" i="13"/>
  <c r="N10" i="13"/>
  <c r="N191" i="13"/>
  <c r="M191" i="13"/>
  <c r="L191" i="13"/>
  <c r="N192" i="13"/>
  <c r="M192" i="13"/>
  <c r="L192" i="13"/>
  <c r="N134" i="13"/>
  <c r="N153" i="13"/>
  <c r="N189" i="13"/>
  <c r="M189" i="13"/>
  <c r="M194" i="13" s="1"/>
  <c r="N202" i="13" s="1"/>
  <c r="L189" i="13"/>
  <c r="G188" i="13"/>
  <c r="N161" i="13"/>
  <c r="N190" i="13"/>
  <c r="M19" i="13"/>
  <c r="M140" i="13"/>
  <c r="N19" i="13"/>
  <c r="N21" i="13"/>
  <c r="N23" i="13"/>
  <c r="N25" i="13"/>
  <c r="N39" i="13"/>
  <c r="N41" i="13"/>
  <c r="N43" i="13"/>
  <c r="N45" i="13"/>
  <c r="L48" i="13"/>
  <c r="L50" i="13"/>
  <c r="N57" i="13"/>
  <c r="N59" i="13"/>
  <c r="N61" i="13"/>
  <c r="N63" i="13"/>
  <c r="L66" i="13"/>
  <c r="L68" i="13"/>
  <c r="N77" i="13"/>
  <c r="N79" i="13"/>
  <c r="N81" i="13"/>
  <c r="L84" i="13"/>
  <c r="L86" i="13"/>
  <c r="L88" i="13"/>
  <c r="L90" i="13"/>
  <c r="L92" i="13"/>
  <c r="N97" i="13"/>
  <c r="N99" i="13"/>
  <c r="L102" i="13"/>
  <c r="L104" i="13"/>
  <c r="L106" i="13"/>
  <c r="L108" i="13"/>
  <c r="L110" i="13"/>
  <c r="L112" i="13"/>
  <c r="L114" i="13"/>
  <c r="L116" i="13"/>
  <c r="L118" i="13"/>
  <c r="L120" i="13"/>
  <c r="L122" i="13"/>
  <c r="L124" i="13"/>
  <c r="L126" i="13"/>
  <c r="L128" i="13"/>
  <c r="L130" i="13"/>
  <c r="N138" i="13"/>
  <c r="N140" i="13"/>
  <c r="L143" i="13"/>
  <c r="L145" i="13"/>
  <c r="N150" i="13"/>
  <c r="N152" i="13"/>
  <c r="L155" i="13"/>
  <c r="N160" i="13"/>
  <c r="L163" i="13"/>
  <c r="L173" i="13"/>
  <c r="L175" i="13"/>
  <c r="M39" i="13"/>
  <c r="M59" i="13"/>
  <c r="M79" i="13"/>
  <c r="G46" i="13"/>
  <c r="M48" i="13"/>
  <c r="M50" i="13"/>
  <c r="G64" i="13"/>
  <c r="M66" i="13"/>
  <c r="M68" i="13"/>
  <c r="M84" i="13"/>
  <c r="M86" i="13"/>
  <c r="M88" i="13"/>
  <c r="M90" i="13"/>
  <c r="M92" i="13"/>
  <c r="G100" i="13"/>
  <c r="M102" i="13"/>
  <c r="M104" i="13"/>
  <c r="M106" i="13"/>
  <c r="M108" i="13"/>
  <c r="M110" i="13"/>
  <c r="M112" i="13"/>
  <c r="M114" i="13"/>
  <c r="M116" i="13"/>
  <c r="M118" i="13"/>
  <c r="M120" i="13"/>
  <c r="M122" i="13"/>
  <c r="M124" i="13"/>
  <c r="M126" i="13"/>
  <c r="M128" i="13"/>
  <c r="M130" i="13"/>
  <c r="G141" i="13"/>
  <c r="M143" i="13"/>
  <c r="M145" i="13"/>
  <c r="M155" i="13"/>
  <c r="M163" i="13"/>
  <c r="G171" i="13"/>
  <c r="M173" i="13"/>
  <c r="M175" i="13"/>
  <c r="M45" i="13"/>
  <c r="M61" i="13"/>
  <c r="M77" i="13"/>
  <c r="M97" i="13"/>
  <c r="L11" i="13"/>
  <c r="L17" i="13"/>
  <c r="L29" i="13"/>
  <c r="L31" i="13"/>
  <c r="L33" i="13"/>
  <c r="L35" i="13"/>
  <c r="L53" i="13"/>
  <c r="L55" i="13"/>
  <c r="L71" i="13"/>
  <c r="L73" i="13"/>
  <c r="N84" i="13"/>
  <c r="L134" i="13"/>
  <c r="L136" i="13"/>
  <c r="L148" i="13"/>
  <c r="N155" i="13"/>
  <c r="L158" i="13"/>
  <c r="N163" i="13"/>
  <c r="L166" i="13"/>
  <c r="G37" i="13"/>
  <c r="L15" i="13"/>
  <c r="G9" i="13"/>
  <c r="M11" i="13"/>
  <c r="M13" i="13"/>
  <c r="M15" i="13"/>
  <c r="M17" i="13"/>
  <c r="K20" i="13"/>
  <c r="N20" i="13" s="1"/>
  <c r="K22" i="13"/>
  <c r="N22" i="13" s="1"/>
  <c r="K24" i="13"/>
  <c r="N24" i="13" s="1"/>
  <c r="M29" i="13"/>
  <c r="M31" i="13"/>
  <c r="M33" i="13"/>
  <c r="M35" i="13"/>
  <c r="K38" i="13"/>
  <c r="N38" i="13" s="1"/>
  <c r="K40" i="13"/>
  <c r="N40" i="13" s="1"/>
  <c r="K42" i="13"/>
  <c r="N42" i="13" s="1"/>
  <c r="K44" i="13"/>
  <c r="N44" i="13" s="1"/>
  <c r="G51" i="13"/>
  <c r="M53" i="13"/>
  <c r="M55" i="13"/>
  <c r="K58" i="13"/>
  <c r="N58" i="13" s="1"/>
  <c r="K60" i="13"/>
  <c r="N60" i="13" s="1"/>
  <c r="K62" i="13"/>
  <c r="N62" i="13" s="1"/>
  <c r="M71" i="13"/>
  <c r="M73" i="13"/>
  <c r="K76" i="13"/>
  <c r="N76" i="13" s="1"/>
  <c r="K78" i="13"/>
  <c r="N78" i="13" s="1"/>
  <c r="K80" i="13"/>
  <c r="N80" i="13" s="1"/>
  <c r="K82" i="13"/>
  <c r="N82" i="13" s="1"/>
  <c r="G93" i="13"/>
  <c r="K96" i="13"/>
  <c r="N96" i="13" s="1"/>
  <c r="K98" i="13"/>
  <c r="N98" i="13" s="1"/>
  <c r="G132" i="13"/>
  <c r="M134" i="13"/>
  <c r="M136" i="13"/>
  <c r="M148" i="13"/>
  <c r="G156" i="13"/>
  <c r="M158" i="13"/>
  <c r="G164" i="13"/>
  <c r="M166" i="13"/>
  <c r="G182" i="13"/>
  <c r="L184" i="13"/>
  <c r="M23" i="13"/>
  <c r="M43" i="13"/>
  <c r="M63" i="13"/>
  <c r="G95" i="13"/>
  <c r="L13" i="13"/>
  <c r="L139" i="13"/>
  <c r="N148" i="13"/>
  <c r="L151" i="13"/>
  <c r="L153" i="13"/>
  <c r="L161" i="13"/>
  <c r="L169" i="13"/>
  <c r="M184" i="13"/>
  <c r="M21" i="13"/>
  <c r="M41" i="13"/>
  <c r="M57" i="13"/>
  <c r="G75" i="13"/>
  <c r="G56" i="13"/>
  <c r="G137" i="13"/>
  <c r="G149" i="13"/>
  <c r="G159" i="13"/>
  <c r="M25" i="13"/>
  <c r="M99" i="13"/>
  <c r="G18" i="13"/>
  <c r="L47" i="13"/>
  <c r="L65" i="13"/>
  <c r="L67" i="13"/>
  <c r="L69" i="13"/>
  <c r="L85" i="13"/>
  <c r="L87" i="13"/>
  <c r="L89" i="13"/>
  <c r="L91" i="13"/>
  <c r="L101" i="13"/>
  <c r="L103" i="13"/>
  <c r="L105" i="13"/>
  <c r="L107" i="13"/>
  <c r="L109" i="13"/>
  <c r="L111" i="13"/>
  <c r="L113" i="13"/>
  <c r="L115" i="13"/>
  <c r="L117" i="13"/>
  <c r="L119" i="13"/>
  <c r="L121" i="13"/>
  <c r="L123" i="13"/>
  <c r="L125" i="13"/>
  <c r="L127" i="13"/>
  <c r="L129" i="13"/>
  <c r="L142" i="13"/>
  <c r="L144" i="13"/>
  <c r="L146" i="13"/>
  <c r="L172" i="13"/>
  <c r="L174" i="13"/>
  <c r="L176" i="13"/>
  <c r="L178" i="13"/>
  <c r="L180" i="13"/>
  <c r="F185" i="13"/>
  <c r="M172" i="13"/>
  <c r="M174" i="13"/>
  <c r="M176" i="13"/>
  <c r="M178" i="13"/>
  <c r="M180" i="13"/>
  <c r="L10" i="13"/>
  <c r="L12" i="13"/>
  <c r="L14" i="13"/>
  <c r="L16" i="13"/>
  <c r="L30" i="13"/>
  <c r="L32" i="13"/>
  <c r="L34" i="13"/>
  <c r="L36" i="13"/>
  <c r="L52" i="13"/>
  <c r="L54" i="13"/>
  <c r="L72" i="13"/>
  <c r="L74" i="13"/>
  <c r="L94" i="13"/>
  <c r="L133" i="13"/>
  <c r="L135" i="13"/>
  <c r="L157" i="13"/>
  <c r="L165" i="13"/>
  <c r="L183" i="13"/>
  <c r="L81" i="13"/>
  <c r="L138" i="13"/>
  <c r="L193" i="13"/>
  <c r="N133" i="12"/>
  <c r="N183" i="12"/>
  <c r="N161" i="12"/>
  <c r="N113" i="12"/>
  <c r="N123" i="12"/>
  <c r="N74" i="12"/>
  <c r="L118" i="12"/>
  <c r="N48" i="12"/>
  <c r="L102" i="12"/>
  <c r="L57" i="12"/>
  <c r="N90" i="12"/>
  <c r="K69" i="12"/>
  <c r="N69" i="12" s="1"/>
  <c r="N110" i="12"/>
  <c r="L117" i="12"/>
  <c r="K126" i="12"/>
  <c r="N126" i="12" s="1"/>
  <c r="K142" i="12"/>
  <c r="N142" i="12" s="1"/>
  <c r="K81" i="12"/>
  <c r="N81" i="12" s="1"/>
  <c r="K106" i="12"/>
  <c r="N106" i="12" s="1"/>
  <c r="N111" i="12"/>
  <c r="N60" i="12"/>
  <c r="N120" i="12"/>
  <c r="N124" i="12"/>
  <c r="K168" i="12"/>
  <c r="N168" i="12" s="1"/>
  <c r="K45" i="12"/>
  <c r="N45" i="12" s="1"/>
  <c r="K49" i="12"/>
  <c r="N49" i="12" s="1"/>
  <c r="K77" i="12"/>
  <c r="N77" i="12" s="1"/>
  <c r="K87" i="12"/>
  <c r="N87" i="12" s="1"/>
  <c r="L120" i="12"/>
  <c r="L129" i="12"/>
  <c r="K143" i="12"/>
  <c r="N143" i="12" s="1"/>
  <c r="L108" i="12"/>
  <c r="K50" i="12"/>
  <c r="N50" i="12" s="1"/>
  <c r="L119" i="12"/>
  <c r="N22" i="12"/>
  <c r="N17" i="12"/>
  <c r="K65" i="12"/>
  <c r="N65" i="12" s="1"/>
  <c r="K179" i="12"/>
  <c r="N179" i="12" s="1"/>
  <c r="K181" i="12"/>
  <c r="N181" i="12" s="1"/>
  <c r="N94" i="12"/>
  <c r="K61" i="12"/>
  <c r="N61" i="12" s="1"/>
  <c r="K99" i="12"/>
  <c r="N99" i="12" s="1"/>
  <c r="K112" i="12"/>
  <c r="N112" i="12" s="1"/>
  <c r="N117" i="12"/>
  <c r="K130" i="12"/>
  <c r="N130" i="12" s="1"/>
  <c r="K107" i="12"/>
  <c r="N107" i="12" s="1"/>
  <c r="K23" i="12"/>
  <c r="N23" i="12" s="1"/>
  <c r="N36" i="12"/>
  <c r="K105" i="12"/>
  <c r="N105" i="12" s="1"/>
  <c r="N119" i="12"/>
  <c r="L178" i="12"/>
  <c r="N13" i="12"/>
  <c r="N47" i="12"/>
  <c r="N85" i="12"/>
  <c r="N34" i="12"/>
  <c r="N30" i="12"/>
  <c r="L43" i="12"/>
  <c r="L67" i="12"/>
  <c r="N89" i="12"/>
  <c r="L92" i="12"/>
  <c r="N102" i="12"/>
  <c r="L115" i="12"/>
  <c r="K140" i="12"/>
  <c r="N140" i="12" s="1"/>
  <c r="K150" i="12"/>
  <c r="N150" i="12" s="1"/>
  <c r="K175" i="12"/>
  <c r="N175" i="12" s="1"/>
  <c r="N12" i="12"/>
  <c r="N35" i="12"/>
  <c r="N68" i="12"/>
  <c r="N73" i="12"/>
  <c r="N86" i="12"/>
  <c r="N109" i="12"/>
  <c r="N116" i="12"/>
  <c r="N172" i="12"/>
  <c r="N176" i="12"/>
  <c r="K103" i="12"/>
  <c r="N103" i="12" s="1"/>
  <c r="K127" i="12"/>
  <c r="N127" i="12" s="1"/>
  <c r="N14" i="12"/>
  <c r="K19" i="12"/>
  <c r="N19" i="12" s="1"/>
  <c r="L79" i="12"/>
  <c r="N146" i="12"/>
  <c r="L163" i="12"/>
  <c r="K180" i="12"/>
  <c r="N180" i="12" s="1"/>
  <c r="N54" i="12"/>
  <c r="K66" i="12"/>
  <c r="N66" i="12" s="1"/>
  <c r="K84" i="12"/>
  <c r="N84" i="12" s="1"/>
  <c r="K114" i="12"/>
  <c r="N114" i="12" s="1"/>
  <c r="N121" i="12"/>
  <c r="K152" i="12"/>
  <c r="N152" i="12" s="1"/>
  <c r="N158" i="12"/>
  <c r="K177" i="12"/>
  <c r="N177" i="12" s="1"/>
  <c r="N32" i="12"/>
  <c r="N53" i="12"/>
  <c r="L176" i="12"/>
  <c r="N33" i="12"/>
  <c r="N88" i="12"/>
  <c r="K91" i="12"/>
  <c r="N91" i="12" s="1"/>
  <c r="K104" i="12"/>
  <c r="N104" i="12" s="1"/>
  <c r="N118" i="12"/>
  <c r="K128" i="12"/>
  <c r="N128" i="12" s="1"/>
  <c r="N165" i="12"/>
  <c r="N15" i="12"/>
  <c r="N42" i="12"/>
  <c r="N80" i="12"/>
  <c r="N101" i="12"/>
  <c r="N108" i="12"/>
  <c r="N125" i="12"/>
  <c r="K174" i="12"/>
  <c r="N174" i="12" s="1"/>
  <c r="N67" i="12"/>
  <c r="N31" i="12"/>
  <c r="N92" i="12"/>
  <c r="N115" i="12"/>
  <c r="N122" i="12"/>
  <c r="N166" i="12"/>
  <c r="N178" i="12"/>
  <c r="N11" i="12"/>
  <c r="N16" i="12"/>
  <c r="N129" i="12"/>
  <c r="N135" i="12"/>
  <c r="N144" i="12"/>
  <c r="M190" i="12"/>
  <c r="N190" i="12"/>
  <c r="L190" i="12"/>
  <c r="N191" i="12"/>
  <c r="M191" i="12"/>
  <c r="L191" i="12"/>
  <c r="N192" i="12"/>
  <c r="M192" i="12"/>
  <c r="L192" i="12"/>
  <c r="N55" i="12"/>
  <c r="N134" i="12"/>
  <c r="N184" i="12"/>
  <c r="N52" i="12"/>
  <c r="N136" i="12"/>
  <c r="N157" i="12"/>
  <c r="N10" i="12"/>
  <c r="N72" i="12"/>
  <c r="N189" i="12"/>
  <c r="G188" i="12"/>
  <c r="M189" i="12"/>
  <c r="L189" i="12"/>
  <c r="L13" i="12"/>
  <c r="L73" i="12"/>
  <c r="L134" i="12"/>
  <c r="L158" i="12"/>
  <c r="L184" i="12"/>
  <c r="L11" i="12"/>
  <c r="L17" i="12"/>
  <c r="L29" i="12"/>
  <c r="L31" i="12"/>
  <c r="L35" i="12"/>
  <c r="L148" i="12"/>
  <c r="M11" i="12"/>
  <c r="M15" i="12"/>
  <c r="M29" i="12"/>
  <c r="M31" i="12"/>
  <c r="M33" i="12"/>
  <c r="M35" i="12"/>
  <c r="G51" i="12"/>
  <c r="M53" i="12"/>
  <c r="M55" i="12"/>
  <c r="M71" i="12"/>
  <c r="M73" i="12"/>
  <c r="G93" i="12"/>
  <c r="G132" i="12"/>
  <c r="M134" i="12"/>
  <c r="M136" i="12"/>
  <c r="M148" i="12"/>
  <c r="G156" i="12"/>
  <c r="M158" i="12"/>
  <c r="G164" i="12"/>
  <c r="M166" i="12"/>
  <c r="G182" i="12"/>
  <c r="M184" i="12"/>
  <c r="L15" i="12"/>
  <c r="L33" i="12"/>
  <c r="L53" i="12"/>
  <c r="L55" i="12"/>
  <c r="L71" i="12"/>
  <c r="L136" i="12"/>
  <c r="L166" i="12"/>
  <c r="G9" i="12"/>
  <c r="M13" i="12"/>
  <c r="M17" i="12"/>
  <c r="L20" i="12"/>
  <c r="L22" i="12"/>
  <c r="L24" i="12"/>
  <c r="N29" i="12"/>
  <c r="L38" i="12"/>
  <c r="L40" i="12"/>
  <c r="L42" i="12"/>
  <c r="L44" i="12"/>
  <c r="L58" i="12"/>
  <c r="L60" i="12"/>
  <c r="L62" i="12"/>
  <c r="N71" i="12"/>
  <c r="L76" i="12"/>
  <c r="L78" i="12"/>
  <c r="L80" i="12"/>
  <c r="L82" i="12"/>
  <c r="L96" i="12"/>
  <c r="L98" i="12"/>
  <c r="L139" i="12"/>
  <c r="N148" i="12"/>
  <c r="L151" i="12"/>
  <c r="L153" i="12"/>
  <c r="L161" i="12"/>
  <c r="L169" i="12"/>
  <c r="F185" i="12"/>
  <c r="M22" i="12"/>
  <c r="M42" i="12"/>
  <c r="M60" i="12"/>
  <c r="M80" i="12"/>
  <c r="G137" i="12"/>
  <c r="M151" i="12"/>
  <c r="G159" i="12"/>
  <c r="M161" i="12"/>
  <c r="M169" i="12"/>
  <c r="N20" i="12"/>
  <c r="N24" i="12"/>
  <c r="N38" i="12"/>
  <c r="N40" i="12"/>
  <c r="N44" i="12"/>
  <c r="N58" i="12"/>
  <c r="N62" i="12"/>
  <c r="N76" i="12"/>
  <c r="N78" i="12"/>
  <c r="N82" i="12"/>
  <c r="N96" i="12"/>
  <c r="N98" i="12"/>
  <c r="N139" i="12"/>
  <c r="N151" i="12"/>
  <c r="N153" i="12"/>
  <c r="N169" i="12"/>
  <c r="G18" i="12"/>
  <c r="M58" i="12"/>
  <c r="M47" i="12"/>
  <c r="M49" i="12"/>
  <c r="M65" i="12"/>
  <c r="M67" i="12"/>
  <c r="M69" i="12"/>
  <c r="M85" i="12"/>
  <c r="M87" i="12"/>
  <c r="M89" i="12"/>
  <c r="M91" i="12"/>
  <c r="M101" i="12"/>
  <c r="M103" i="12"/>
  <c r="M105" i="12"/>
  <c r="M107" i="12"/>
  <c r="M109" i="12"/>
  <c r="M111" i="12"/>
  <c r="M113" i="12"/>
  <c r="M115" i="12"/>
  <c r="M117" i="12"/>
  <c r="M119" i="12"/>
  <c r="M121" i="12"/>
  <c r="M123" i="12"/>
  <c r="M125" i="12"/>
  <c r="M127" i="12"/>
  <c r="M129" i="12"/>
  <c r="M142" i="12"/>
  <c r="M144" i="12"/>
  <c r="M146" i="12"/>
  <c r="M172" i="12"/>
  <c r="M174" i="12"/>
  <c r="M176" i="12"/>
  <c r="M178" i="12"/>
  <c r="M180" i="12"/>
  <c r="L10" i="12"/>
  <c r="L12" i="12"/>
  <c r="L14" i="12"/>
  <c r="L16" i="12"/>
  <c r="L30" i="12"/>
  <c r="L32" i="12"/>
  <c r="L34" i="12"/>
  <c r="L36" i="12"/>
  <c r="L52" i="12"/>
  <c r="L54" i="12"/>
  <c r="L72" i="12"/>
  <c r="L74" i="12"/>
  <c r="L94" i="12"/>
  <c r="L133" i="12"/>
  <c r="L135" i="12"/>
  <c r="L157" i="12"/>
  <c r="L165" i="12"/>
  <c r="L183" i="12"/>
  <c r="M183" i="12"/>
  <c r="L193" i="12"/>
  <c r="M135" i="12"/>
  <c r="M157" i="12"/>
  <c r="M165" i="12"/>
  <c r="I15" i="11"/>
  <c r="K15" i="11" s="1"/>
  <c r="I16" i="11"/>
  <c r="I17" i="11"/>
  <c r="I19" i="11"/>
  <c r="K19" i="11" s="1"/>
  <c r="I20" i="11"/>
  <c r="I21" i="11"/>
  <c r="K21" i="11" s="1"/>
  <c r="I22" i="11"/>
  <c r="K22" i="11" s="1"/>
  <c r="I23" i="11"/>
  <c r="I24" i="11"/>
  <c r="K24" i="11" s="1"/>
  <c r="I25" i="11"/>
  <c r="I27" i="11"/>
  <c r="K27" i="11" s="1"/>
  <c r="I29" i="11"/>
  <c r="K29" i="11" s="1"/>
  <c r="N29" i="11" s="1"/>
  <c r="I30" i="11"/>
  <c r="I31" i="11"/>
  <c r="I32" i="11"/>
  <c r="K32" i="11" s="1"/>
  <c r="N32" i="11" s="1"/>
  <c r="I33" i="11"/>
  <c r="K33" i="11" s="1"/>
  <c r="I34" i="11"/>
  <c r="I35" i="11"/>
  <c r="I36" i="11"/>
  <c r="K36" i="11" s="1"/>
  <c r="I38" i="11"/>
  <c r="K38" i="11" s="1"/>
  <c r="I39" i="11"/>
  <c r="I40" i="11"/>
  <c r="K40" i="11" s="1"/>
  <c r="I41" i="11"/>
  <c r="I42" i="11"/>
  <c r="I43" i="11"/>
  <c r="I44" i="11"/>
  <c r="I45" i="11"/>
  <c r="I47" i="11"/>
  <c r="K47" i="11" s="1"/>
  <c r="I48" i="11"/>
  <c r="I49" i="11"/>
  <c r="I50" i="11"/>
  <c r="L50" i="11" s="1"/>
  <c r="I52" i="11"/>
  <c r="K52" i="11" s="1"/>
  <c r="I53" i="11"/>
  <c r="I54" i="11"/>
  <c r="K54" i="11" s="1"/>
  <c r="I55" i="11"/>
  <c r="I57" i="11"/>
  <c r="I58" i="11"/>
  <c r="K58" i="11" s="1"/>
  <c r="I59" i="11"/>
  <c r="K59" i="11" s="1"/>
  <c r="I60" i="11"/>
  <c r="I61" i="11"/>
  <c r="K61" i="11" s="1"/>
  <c r="I62" i="11"/>
  <c r="K62" i="11" s="1"/>
  <c r="I63" i="11"/>
  <c r="I65" i="11"/>
  <c r="K65" i="11" s="1"/>
  <c r="I66" i="11"/>
  <c r="K66" i="11" s="1"/>
  <c r="N66" i="11" s="1"/>
  <c r="I67" i="11"/>
  <c r="K67" i="11" s="1"/>
  <c r="I68" i="11"/>
  <c r="K68" i="11" s="1"/>
  <c r="I69" i="11"/>
  <c r="K69" i="11" s="1"/>
  <c r="I71" i="11"/>
  <c r="I72" i="11"/>
  <c r="K72" i="11" s="1"/>
  <c r="I73" i="11"/>
  <c r="K73" i="11" s="1"/>
  <c r="I74" i="11"/>
  <c r="K74" i="11" s="1"/>
  <c r="I76" i="11"/>
  <c r="K76" i="11" s="1"/>
  <c r="I77" i="11"/>
  <c r="K77" i="11" s="1"/>
  <c r="I78" i="11"/>
  <c r="K78" i="11" s="1"/>
  <c r="I79" i="11"/>
  <c r="I80" i="11"/>
  <c r="I81" i="11"/>
  <c r="I82" i="11"/>
  <c r="K82" i="11" s="1"/>
  <c r="I84" i="11"/>
  <c r="I85" i="11"/>
  <c r="K85" i="11" s="1"/>
  <c r="I86" i="11"/>
  <c r="I87" i="11"/>
  <c r="K87" i="11" s="1"/>
  <c r="I88" i="11"/>
  <c r="L88" i="11" s="1"/>
  <c r="I89" i="11"/>
  <c r="K89" i="11" s="1"/>
  <c r="I90" i="11"/>
  <c r="L90" i="11" s="1"/>
  <c r="I91" i="11"/>
  <c r="K91" i="11" s="1"/>
  <c r="I92" i="11"/>
  <c r="I94" i="11"/>
  <c r="K94" i="11" s="1"/>
  <c r="I96" i="11"/>
  <c r="K96" i="11" s="1"/>
  <c r="I97" i="11"/>
  <c r="I98" i="11"/>
  <c r="K98" i="11" s="1"/>
  <c r="I99" i="11"/>
  <c r="I101" i="11"/>
  <c r="I102" i="11"/>
  <c r="I103" i="11"/>
  <c r="K103" i="11" s="1"/>
  <c r="I104" i="11"/>
  <c r="L104" i="11" s="1"/>
  <c r="I105" i="11"/>
  <c r="K105" i="11" s="1"/>
  <c r="I106" i="11"/>
  <c r="I107" i="11"/>
  <c r="K107" i="11" s="1"/>
  <c r="I108" i="11"/>
  <c r="K108" i="11" s="1"/>
  <c r="N108" i="11" s="1"/>
  <c r="I109" i="11"/>
  <c r="K109" i="11" s="1"/>
  <c r="I110" i="11"/>
  <c r="I111" i="11"/>
  <c r="I112" i="11"/>
  <c r="I113" i="11"/>
  <c r="K113" i="11" s="1"/>
  <c r="I114" i="11"/>
  <c r="K114" i="11" s="1"/>
  <c r="I115" i="11"/>
  <c r="I116" i="11"/>
  <c r="I117" i="11"/>
  <c r="K117" i="11" s="1"/>
  <c r="I118" i="11"/>
  <c r="L118" i="11" s="1"/>
  <c r="I119" i="11"/>
  <c r="K119" i="11" s="1"/>
  <c r="I120" i="11"/>
  <c r="L120" i="11" s="1"/>
  <c r="I121" i="11"/>
  <c r="K121" i="11" s="1"/>
  <c r="I122" i="11"/>
  <c r="I123" i="11"/>
  <c r="K123" i="11" s="1"/>
  <c r="I124" i="11"/>
  <c r="I125" i="11"/>
  <c r="K125" i="11" s="1"/>
  <c r="I126" i="11"/>
  <c r="K126" i="11" s="1"/>
  <c r="N126" i="11" s="1"/>
  <c r="I127" i="11"/>
  <c r="K127" i="11" s="1"/>
  <c r="I128" i="11"/>
  <c r="K128" i="11" s="1"/>
  <c r="N128" i="11" s="1"/>
  <c r="I129" i="11"/>
  <c r="K129" i="11" s="1"/>
  <c r="I130" i="11"/>
  <c r="I133" i="11"/>
  <c r="K133" i="11" s="1"/>
  <c r="I134" i="11"/>
  <c r="I135" i="11"/>
  <c r="K135" i="11" s="1"/>
  <c r="I136" i="11"/>
  <c r="K136" i="11" s="1"/>
  <c r="I138" i="11"/>
  <c r="I139" i="11"/>
  <c r="K139" i="11" s="1"/>
  <c r="I140" i="11"/>
  <c r="L140" i="11" s="1"/>
  <c r="I142" i="11"/>
  <c r="K142" i="11" s="1"/>
  <c r="I143" i="11"/>
  <c r="L143" i="11" s="1"/>
  <c r="I144" i="11"/>
  <c r="K144" i="11" s="1"/>
  <c r="I145" i="11"/>
  <c r="L145" i="11" s="1"/>
  <c r="I146" i="11"/>
  <c r="K146" i="11" s="1"/>
  <c r="I148" i="11"/>
  <c r="K148" i="11" s="1"/>
  <c r="N148" i="11" s="1"/>
  <c r="I150" i="11"/>
  <c r="I151" i="11"/>
  <c r="K151" i="11" s="1"/>
  <c r="I152" i="11"/>
  <c r="I153" i="11"/>
  <c r="K153" i="11" s="1"/>
  <c r="I155" i="11"/>
  <c r="I157" i="11"/>
  <c r="I158" i="11"/>
  <c r="I160" i="11"/>
  <c r="I161" i="11"/>
  <c r="K161" i="11" s="1"/>
  <c r="I163" i="11"/>
  <c r="I165" i="11"/>
  <c r="I166" i="11"/>
  <c r="K166" i="11" s="1"/>
  <c r="I168" i="11"/>
  <c r="K168" i="11" s="1"/>
  <c r="N168" i="11" s="1"/>
  <c r="I169" i="11"/>
  <c r="K169" i="11" s="1"/>
  <c r="I170" i="11"/>
  <c r="K170" i="11" s="1"/>
  <c r="I172" i="11"/>
  <c r="K172" i="11" s="1"/>
  <c r="I173" i="11"/>
  <c r="K173" i="11" s="1"/>
  <c r="N173" i="11" s="1"/>
  <c r="I174" i="11"/>
  <c r="K174" i="11" s="1"/>
  <c r="I175" i="11"/>
  <c r="I176" i="11"/>
  <c r="I177" i="11"/>
  <c r="I178" i="11"/>
  <c r="K178" i="11" s="1"/>
  <c r="I179" i="11"/>
  <c r="I181" i="11"/>
  <c r="L181" i="11" s="1"/>
  <c r="I183" i="11"/>
  <c r="I184" i="11"/>
  <c r="K44" i="11"/>
  <c r="K48" i="11"/>
  <c r="K49" i="11"/>
  <c r="L63" i="11"/>
  <c r="L79" i="11"/>
  <c r="K160" i="11"/>
  <c r="N160" i="11" s="1"/>
  <c r="K165" i="11"/>
  <c r="K176" i="11"/>
  <c r="K184" i="11"/>
  <c r="K34" i="11"/>
  <c r="N34" i="11" s="1"/>
  <c r="L43" i="11"/>
  <c r="K60" i="11"/>
  <c r="K155" i="11"/>
  <c r="K157" i="11"/>
  <c r="I14" i="11"/>
  <c r="K14" i="11" s="1"/>
  <c r="M201" i="11"/>
  <c r="N196" i="11"/>
  <c r="L196" i="11"/>
  <c r="I193" i="11"/>
  <c r="K193" i="11" s="1"/>
  <c r="F193" i="11"/>
  <c r="M193" i="11" s="1"/>
  <c r="I192" i="11"/>
  <c r="K192" i="11" s="1"/>
  <c r="E192" i="11"/>
  <c r="F192" i="11" s="1"/>
  <c r="I191" i="11"/>
  <c r="K191" i="11" s="1"/>
  <c r="E191" i="11"/>
  <c r="F191" i="11" s="1"/>
  <c r="I190" i="11"/>
  <c r="K190" i="11" s="1"/>
  <c r="E190" i="11"/>
  <c r="F190" i="11" s="1"/>
  <c r="I189" i="11"/>
  <c r="K189" i="11" s="1"/>
  <c r="E189" i="11"/>
  <c r="F189" i="11" s="1"/>
  <c r="L189" i="11" s="1"/>
  <c r="F184" i="11"/>
  <c r="L184" i="11" s="1"/>
  <c r="K183" i="11"/>
  <c r="F183" i="11"/>
  <c r="M183" i="11" s="1"/>
  <c r="F181" i="11"/>
  <c r="M181" i="11" s="1"/>
  <c r="F180" i="11"/>
  <c r="F179" i="11"/>
  <c r="M179" i="11" s="1"/>
  <c r="F178" i="11"/>
  <c r="F177" i="11"/>
  <c r="L177" i="11" s="1"/>
  <c r="F176" i="11"/>
  <c r="F175" i="11"/>
  <c r="M175" i="11" s="1"/>
  <c r="F174" i="11"/>
  <c r="F173" i="11"/>
  <c r="L173" i="11" s="1"/>
  <c r="F172" i="11"/>
  <c r="F170" i="11"/>
  <c r="M170" i="11" s="1"/>
  <c r="F169" i="11"/>
  <c r="M169" i="11" s="1"/>
  <c r="F168" i="11"/>
  <c r="M168" i="11" s="1"/>
  <c r="F166" i="11"/>
  <c r="M166" i="11" s="1"/>
  <c r="F165" i="11"/>
  <c r="M165" i="11" s="1"/>
  <c r="K163" i="11"/>
  <c r="F163" i="11"/>
  <c r="M163" i="11" s="1"/>
  <c r="F161" i="11"/>
  <c r="M161" i="11" s="1"/>
  <c r="F160" i="11"/>
  <c r="M160" i="11" s="1"/>
  <c r="G159" i="11"/>
  <c r="F158" i="11"/>
  <c r="M158" i="11" s="1"/>
  <c r="F157" i="11"/>
  <c r="M157" i="11" s="1"/>
  <c r="F155" i="11"/>
  <c r="G154" i="11" s="1"/>
  <c r="F153" i="11"/>
  <c r="M153" i="11" s="1"/>
  <c r="F152" i="11"/>
  <c r="M152" i="11" s="1"/>
  <c r="F151" i="11"/>
  <c r="M151" i="11" s="1"/>
  <c r="K150" i="11"/>
  <c r="F150" i="11"/>
  <c r="M150" i="11" s="1"/>
  <c r="G149" i="11"/>
  <c r="M148" i="11"/>
  <c r="F148" i="11"/>
  <c r="G147" i="11" s="1"/>
  <c r="F146" i="11"/>
  <c r="M145" i="11"/>
  <c r="F145" i="11"/>
  <c r="F144" i="11"/>
  <c r="F143" i="11"/>
  <c r="M143" i="11" s="1"/>
  <c r="F142" i="11"/>
  <c r="F140" i="11"/>
  <c r="M140" i="11" s="1"/>
  <c r="F139" i="11"/>
  <c r="M139" i="11" s="1"/>
  <c r="F138" i="11"/>
  <c r="M138" i="11" s="1"/>
  <c r="F136" i="11"/>
  <c r="M136" i="11" s="1"/>
  <c r="F135" i="11"/>
  <c r="M135" i="11" s="1"/>
  <c r="M134" i="11"/>
  <c r="F134" i="11"/>
  <c r="F133" i="11"/>
  <c r="M133" i="11" s="1"/>
  <c r="F130" i="11"/>
  <c r="M130" i="11" s="1"/>
  <c r="F129" i="11"/>
  <c r="F128" i="11"/>
  <c r="M128" i="11" s="1"/>
  <c r="F127" i="11"/>
  <c r="F126" i="11"/>
  <c r="M126" i="11" s="1"/>
  <c r="F125" i="11"/>
  <c r="F124" i="11"/>
  <c r="M124" i="11" s="1"/>
  <c r="F123" i="11"/>
  <c r="M122" i="11"/>
  <c r="F122" i="11"/>
  <c r="F121" i="11"/>
  <c r="F120" i="11"/>
  <c r="M120" i="11" s="1"/>
  <c r="F119" i="11"/>
  <c r="M118" i="11"/>
  <c r="F118" i="11"/>
  <c r="F117" i="11"/>
  <c r="F116" i="11"/>
  <c r="M116" i="11" s="1"/>
  <c r="K115" i="11"/>
  <c r="F115" i="11"/>
  <c r="F114" i="11"/>
  <c r="M114" i="11" s="1"/>
  <c r="F113" i="11"/>
  <c r="K112" i="11"/>
  <c r="F112" i="11"/>
  <c r="M112" i="11" s="1"/>
  <c r="K111" i="11"/>
  <c r="F111" i="11"/>
  <c r="F110" i="11"/>
  <c r="F109" i="11"/>
  <c r="F108" i="11"/>
  <c r="M108" i="11" s="1"/>
  <c r="F107" i="11"/>
  <c r="F106" i="11"/>
  <c r="L106" i="11" s="1"/>
  <c r="F105" i="11"/>
  <c r="F104" i="11"/>
  <c r="M104" i="11" s="1"/>
  <c r="F103" i="11"/>
  <c r="F102" i="11"/>
  <c r="M102" i="11" s="1"/>
  <c r="K101" i="11"/>
  <c r="F101" i="11"/>
  <c r="K99" i="11"/>
  <c r="F99" i="11"/>
  <c r="M99" i="11" s="1"/>
  <c r="F98" i="11"/>
  <c r="M98" i="11" s="1"/>
  <c r="F97" i="11"/>
  <c r="M97" i="11" s="1"/>
  <c r="F96" i="11"/>
  <c r="M96" i="11" s="1"/>
  <c r="F94" i="11"/>
  <c r="M94" i="11" s="1"/>
  <c r="G93" i="11"/>
  <c r="F92" i="11"/>
  <c r="M92" i="11" s="1"/>
  <c r="F91" i="11"/>
  <c r="F90" i="11"/>
  <c r="M90" i="11" s="1"/>
  <c r="F89" i="11"/>
  <c r="M88" i="11"/>
  <c r="K88" i="11"/>
  <c r="N88" i="11" s="1"/>
  <c r="F88" i="11"/>
  <c r="F87" i="11"/>
  <c r="F86" i="11"/>
  <c r="M86" i="11" s="1"/>
  <c r="F85" i="11"/>
  <c r="F84" i="11"/>
  <c r="F82" i="11"/>
  <c r="M82" i="11" s="1"/>
  <c r="K81" i="11"/>
  <c r="F81" i="11"/>
  <c r="M81" i="11" s="1"/>
  <c r="K80" i="11"/>
  <c r="F80" i="11"/>
  <c r="M80" i="11" s="1"/>
  <c r="F79" i="11"/>
  <c r="M79" i="11" s="1"/>
  <c r="F78" i="11"/>
  <c r="M78" i="11" s="1"/>
  <c r="F77" i="11"/>
  <c r="M77" i="11" s="1"/>
  <c r="F76" i="11"/>
  <c r="M76" i="11" s="1"/>
  <c r="F74" i="11"/>
  <c r="M74" i="11" s="1"/>
  <c r="F73" i="11"/>
  <c r="M73" i="11" s="1"/>
  <c r="F72" i="11"/>
  <c r="M72" i="11" s="1"/>
  <c r="F71" i="11"/>
  <c r="M71" i="11" s="1"/>
  <c r="F69" i="11"/>
  <c r="F68" i="11"/>
  <c r="M68" i="11" s="1"/>
  <c r="F67" i="11"/>
  <c r="M66" i="11"/>
  <c r="F66" i="11"/>
  <c r="F65" i="11"/>
  <c r="F63" i="11"/>
  <c r="M63" i="11" s="1"/>
  <c r="F62" i="11"/>
  <c r="M62" i="11" s="1"/>
  <c r="F61" i="11"/>
  <c r="M61" i="11" s="1"/>
  <c r="M60" i="11"/>
  <c r="F60" i="11"/>
  <c r="F59" i="11"/>
  <c r="M59" i="11" s="1"/>
  <c r="F58" i="11"/>
  <c r="M58" i="11" s="1"/>
  <c r="F57" i="11"/>
  <c r="M57" i="11" s="1"/>
  <c r="F55" i="11"/>
  <c r="M55" i="11" s="1"/>
  <c r="F54" i="11"/>
  <c r="M54" i="11" s="1"/>
  <c r="F53" i="11"/>
  <c r="M53" i="11" s="1"/>
  <c r="F52" i="11"/>
  <c r="M52" i="11" s="1"/>
  <c r="F50" i="11"/>
  <c r="M50" i="11" s="1"/>
  <c r="F49" i="11"/>
  <c r="F48" i="11"/>
  <c r="M48" i="11" s="1"/>
  <c r="F47" i="11"/>
  <c r="F45" i="11"/>
  <c r="M45" i="11" s="1"/>
  <c r="F44" i="11"/>
  <c r="M44" i="11" s="1"/>
  <c r="F43" i="11"/>
  <c r="M43" i="11" s="1"/>
  <c r="K42" i="11"/>
  <c r="F42" i="11"/>
  <c r="M42" i="11" s="1"/>
  <c r="K41" i="11"/>
  <c r="F41" i="11"/>
  <c r="M41" i="11" s="1"/>
  <c r="F40" i="11"/>
  <c r="M40" i="11" s="1"/>
  <c r="L39" i="11"/>
  <c r="K39" i="11"/>
  <c r="N39" i="11" s="1"/>
  <c r="F39" i="11"/>
  <c r="M39" i="11" s="1"/>
  <c r="F38" i="11"/>
  <c r="M38" i="11" s="1"/>
  <c r="F36" i="11"/>
  <c r="M36" i="11" s="1"/>
  <c r="F35" i="11"/>
  <c r="M35" i="11" s="1"/>
  <c r="F34" i="11"/>
  <c r="M34" i="11" s="1"/>
  <c r="F33" i="11"/>
  <c r="M33" i="11" s="1"/>
  <c r="F32" i="11"/>
  <c r="M32" i="11" s="1"/>
  <c r="F31" i="11"/>
  <c r="L31" i="11" s="1"/>
  <c r="K30" i="11"/>
  <c r="F30" i="11"/>
  <c r="M30" i="11" s="1"/>
  <c r="M29" i="11"/>
  <c r="F29" i="11"/>
  <c r="F27" i="11"/>
  <c r="F25" i="11"/>
  <c r="M25" i="11" s="1"/>
  <c r="F24" i="11"/>
  <c r="F23" i="11"/>
  <c r="M23" i="11" s="1"/>
  <c r="F22" i="11"/>
  <c r="F21" i="11"/>
  <c r="M21" i="11" s="1"/>
  <c r="F20" i="11"/>
  <c r="M20" i="11" s="1"/>
  <c r="F19" i="11"/>
  <c r="M19" i="11" s="1"/>
  <c r="K17" i="11"/>
  <c r="F17" i="11"/>
  <c r="L17" i="11" s="1"/>
  <c r="K16" i="11"/>
  <c r="F16" i="11"/>
  <c r="F15" i="11"/>
  <c r="M15" i="11" s="1"/>
  <c r="F14" i="11"/>
  <c r="I13" i="11"/>
  <c r="K13" i="11" s="1"/>
  <c r="F13" i="11"/>
  <c r="L13" i="11" s="1"/>
  <c r="I12" i="11"/>
  <c r="K12" i="11" s="1"/>
  <c r="F12" i="11"/>
  <c r="L12" i="11" s="1"/>
  <c r="M11" i="11"/>
  <c r="I11" i="11"/>
  <c r="K11" i="11" s="1"/>
  <c r="F11" i="11"/>
  <c r="I10" i="11"/>
  <c r="K10" i="11" s="1"/>
  <c r="F10" i="11"/>
  <c r="I181" i="10"/>
  <c r="I183" i="10"/>
  <c r="K183" i="10" s="1"/>
  <c r="I184" i="10"/>
  <c r="K184" i="10" s="1"/>
  <c r="I189" i="10"/>
  <c r="I190" i="10"/>
  <c r="K190" i="10" s="1"/>
  <c r="I191" i="10"/>
  <c r="I192" i="10"/>
  <c r="K192" i="10" s="1"/>
  <c r="I193" i="10"/>
  <c r="K193" i="10" s="1"/>
  <c r="K181" i="10"/>
  <c r="N181" i="10" s="1"/>
  <c r="K191" i="10"/>
  <c r="K189" i="10"/>
  <c r="I11" i="10"/>
  <c r="I12" i="10"/>
  <c r="I13" i="10"/>
  <c r="I14" i="10"/>
  <c r="I15" i="10"/>
  <c r="I16" i="10"/>
  <c r="I17" i="10"/>
  <c r="K21" i="10"/>
  <c r="N21" i="10" s="1"/>
  <c r="I27" i="10"/>
  <c r="I29" i="10"/>
  <c r="I30" i="10"/>
  <c r="I31" i="10"/>
  <c r="I32" i="10"/>
  <c r="I33" i="10"/>
  <c r="K33" i="10" s="1"/>
  <c r="I34" i="10"/>
  <c r="I35" i="10"/>
  <c r="I36" i="10"/>
  <c r="I38" i="10"/>
  <c r="I39" i="10"/>
  <c r="I40" i="10"/>
  <c r="I41" i="10"/>
  <c r="I42" i="10"/>
  <c r="I43" i="10"/>
  <c r="I44" i="10"/>
  <c r="I45" i="10"/>
  <c r="L45" i="10" s="1"/>
  <c r="I47" i="10"/>
  <c r="I48" i="10"/>
  <c r="I49" i="10"/>
  <c r="I50" i="10"/>
  <c r="I52" i="10"/>
  <c r="I53" i="10"/>
  <c r="I54" i="10"/>
  <c r="I55" i="10"/>
  <c r="I57" i="10"/>
  <c r="K57" i="10" s="1"/>
  <c r="N57" i="10" s="1"/>
  <c r="I58" i="10"/>
  <c r="I59" i="10"/>
  <c r="I60" i="10"/>
  <c r="I61" i="10"/>
  <c r="I62" i="10"/>
  <c r="I63" i="10"/>
  <c r="I65" i="10"/>
  <c r="I66" i="10"/>
  <c r="I67" i="10"/>
  <c r="I68" i="10"/>
  <c r="I69" i="10"/>
  <c r="K69" i="10" s="1"/>
  <c r="N69" i="10" s="1"/>
  <c r="I71" i="10"/>
  <c r="I72" i="10"/>
  <c r="I73" i="10"/>
  <c r="I74" i="10"/>
  <c r="I76" i="10"/>
  <c r="I77" i="10"/>
  <c r="I78" i="10"/>
  <c r="I79" i="10"/>
  <c r="L79" i="10" s="1"/>
  <c r="I80" i="10"/>
  <c r="I81" i="10"/>
  <c r="K81" i="10" s="1"/>
  <c r="N81" i="10" s="1"/>
  <c r="I82" i="10"/>
  <c r="I84" i="10"/>
  <c r="I85" i="10"/>
  <c r="I86" i="10"/>
  <c r="I87" i="10"/>
  <c r="I88" i="10"/>
  <c r="I89" i="10"/>
  <c r="I90" i="10"/>
  <c r="I91" i="10"/>
  <c r="L91" i="10" s="1"/>
  <c r="I92" i="10"/>
  <c r="L92" i="10" s="1"/>
  <c r="I94" i="10"/>
  <c r="I96" i="10"/>
  <c r="I97" i="10"/>
  <c r="I98" i="10"/>
  <c r="I99" i="10"/>
  <c r="I101" i="10"/>
  <c r="I102" i="10"/>
  <c r="I103" i="10"/>
  <c r="I104" i="10"/>
  <c r="I105" i="10"/>
  <c r="I106" i="10"/>
  <c r="I107" i="10"/>
  <c r="K107" i="10" s="1"/>
  <c r="I108" i="10"/>
  <c r="L108" i="10" s="1"/>
  <c r="I109" i="10"/>
  <c r="I110" i="10"/>
  <c r="I111" i="10"/>
  <c r="I112" i="10"/>
  <c r="I113" i="10"/>
  <c r="I114" i="10"/>
  <c r="I115" i="10"/>
  <c r="L115" i="10" s="1"/>
  <c r="I116" i="10"/>
  <c r="I117" i="10"/>
  <c r="L117" i="10" s="1"/>
  <c r="I118" i="10"/>
  <c r="I119" i="10"/>
  <c r="K119" i="10" s="1"/>
  <c r="I120" i="10"/>
  <c r="K120" i="10" s="1"/>
  <c r="N120" i="10" s="1"/>
  <c r="I121" i="10"/>
  <c r="I122" i="10"/>
  <c r="I123" i="10"/>
  <c r="I124" i="10"/>
  <c r="I125" i="10"/>
  <c r="K125" i="10" s="1"/>
  <c r="N125" i="10" s="1"/>
  <c r="I126" i="10"/>
  <c r="I127" i="10"/>
  <c r="I128" i="10"/>
  <c r="I129" i="10"/>
  <c r="L129" i="10" s="1"/>
  <c r="I130" i="10"/>
  <c r="I133" i="10"/>
  <c r="I134" i="10"/>
  <c r="I135" i="10"/>
  <c r="I136" i="10"/>
  <c r="I138" i="10"/>
  <c r="I139" i="10"/>
  <c r="K139" i="10" s="1"/>
  <c r="I140" i="10"/>
  <c r="I142" i="10"/>
  <c r="I143" i="10"/>
  <c r="L143" i="10" s="1"/>
  <c r="I144" i="10"/>
  <c r="K144" i="10" s="1"/>
  <c r="N144" i="10" s="1"/>
  <c r="I145" i="10"/>
  <c r="I146" i="10"/>
  <c r="I148" i="10"/>
  <c r="I150" i="10"/>
  <c r="I151" i="10"/>
  <c r="I152" i="10"/>
  <c r="I153" i="10"/>
  <c r="K153" i="10" s="1"/>
  <c r="I155" i="10"/>
  <c r="L155" i="10" s="1"/>
  <c r="I157" i="10"/>
  <c r="I158" i="10"/>
  <c r="I160" i="10"/>
  <c r="I161" i="10"/>
  <c r="K161" i="10" s="1"/>
  <c r="I163" i="10"/>
  <c r="L163" i="10" s="1"/>
  <c r="I165" i="10"/>
  <c r="K165" i="10" s="1"/>
  <c r="I166" i="10"/>
  <c r="K166" i="10" s="1"/>
  <c r="I168" i="10"/>
  <c r="K168" i="10" s="1"/>
  <c r="N168" i="10" s="1"/>
  <c r="I169" i="10"/>
  <c r="I170" i="10"/>
  <c r="I172" i="10"/>
  <c r="I173" i="10"/>
  <c r="K173" i="10" s="1"/>
  <c r="N173" i="10" s="1"/>
  <c r="I174" i="10"/>
  <c r="I175" i="10"/>
  <c r="L175" i="10" s="1"/>
  <c r="I176" i="10"/>
  <c r="I177" i="10"/>
  <c r="L177" i="10" s="1"/>
  <c r="I178" i="10"/>
  <c r="L178" i="10" s="1"/>
  <c r="I179" i="10"/>
  <c r="K179" i="10" s="1"/>
  <c r="N179" i="10" s="1"/>
  <c r="I180" i="10"/>
  <c r="L22" i="10"/>
  <c r="K35" i="10"/>
  <c r="K49" i="10"/>
  <c r="N49" i="10" s="1"/>
  <c r="L50" i="10"/>
  <c r="L63" i="10"/>
  <c r="K65" i="10"/>
  <c r="N65" i="10" s="1"/>
  <c r="L78" i="10"/>
  <c r="L106" i="10"/>
  <c r="L118" i="10"/>
  <c r="L130" i="10"/>
  <c r="K146" i="10"/>
  <c r="N146" i="10" s="1"/>
  <c r="K148" i="10"/>
  <c r="K169" i="10"/>
  <c r="L180" i="10"/>
  <c r="K105" i="10"/>
  <c r="I10" i="10"/>
  <c r="M201" i="10"/>
  <c r="N196" i="10"/>
  <c r="L196" i="10"/>
  <c r="F193" i="10"/>
  <c r="M193" i="10" s="1"/>
  <c r="F192" i="10"/>
  <c r="E192" i="10"/>
  <c r="E191" i="10"/>
  <c r="F191" i="10" s="1"/>
  <c r="E190" i="10"/>
  <c r="F190" i="10" s="1"/>
  <c r="E189" i="10"/>
  <c r="F189" i="10" s="1"/>
  <c r="F184" i="10"/>
  <c r="F183" i="10"/>
  <c r="M183" i="10" s="1"/>
  <c r="M181" i="10"/>
  <c r="L181" i="10"/>
  <c r="F181" i="10"/>
  <c r="F180" i="10"/>
  <c r="M179" i="10"/>
  <c r="F179" i="10"/>
  <c r="F178" i="10"/>
  <c r="M177" i="10"/>
  <c r="F177" i="10"/>
  <c r="L176" i="10"/>
  <c r="K176" i="10"/>
  <c r="F176" i="10"/>
  <c r="M175" i="10"/>
  <c r="F175" i="10"/>
  <c r="L174" i="10"/>
  <c r="K174" i="10"/>
  <c r="F174" i="10"/>
  <c r="M173" i="10"/>
  <c r="L173" i="10"/>
  <c r="F173" i="10"/>
  <c r="L172" i="10"/>
  <c r="K172" i="10"/>
  <c r="F172" i="10"/>
  <c r="G171" i="10"/>
  <c r="M170" i="10"/>
  <c r="L170" i="10"/>
  <c r="K170" i="10"/>
  <c r="N170" i="10" s="1"/>
  <c r="F170" i="10"/>
  <c r="M169" i="10"/>
  <c r="F169" i="10"/>
  <c r="M168" i="10"/>
  <c r="L168" i="10"/>
  <c r="F168" i="10"/>
  <c r="G167" i="10"/>
  <c r="F166" i="10"/>
  <c r="F165" i="10"/>
  <c r="M165" i="10" s="1"/>
  <c r="M163" i="10"/>
  <c r="F163" i="10"/>
  <c r="G162" i="10"/>
  <c r="M161" i="10"/>
  <c r="F161" i="10"/>
  <c r="M160" i="10"/>
  <c r="L160" i="10"/>
  <c r="K160" i="10"/>
  <c r="N160" i="10" s="1"/>
  <c r="F160" i="10"/>
  <c r="G159" i="10"/>
  <c r="K158" i="10"/>
  <c r="F158" i="10"/>
  <c r="K157" i="10"/>
  <c r="F157" i="10"/>
  <c r="M157" i="10" s="1"/>
  <c r="M155" i="10"/>
  <c r="K155" i="10"/>
  <c r="N155" i="10" s="1"/>
  <c r="F155" i="10"/>
  <c r="G154" i="10"/>
  <c r="M153" i="10"/>
  <c r="F153" i="10"/>
  <c r="M152" i="10"/>
  <c r="L152" i="10"/>
  <c r="K152" i="10"/>
  <c r="N152" i="10" s="1"/>
  <c r="F152" i="10"/>
  <c r="M151" i="10"/>
  <c r="K151" i="10"/>
  <c r="F151" i="10"/>
  <c r="M150" i="10"/>
  <c r="L150" i="10"/>
  <c r="K150" i="10"/>
  <c r="N150" i="10" s="1"/>
  <c r="F150" i="10"/>
  <c r="G149" i="10"/>
  <c r="F148" i="10"/>
  <c r="G147" i="10" s="1"/>
  <c r="L146" i="10"/>
  <c r="F146" i="10"/>
  <c r="M146" i="10" s="1"/>
  <c r="M145" i="10"/>
  <c r="L145" i="10"/>
  <c r="K145" i="10"/>
  <c r="N145" i="10" s="1"/>
  <c r="F145" i="10"/>
  <c r="L144" i="10"/>
  <c r="F144" i="10"/>
  <c r="M144" i="10" s="1"/>
  <c r="M143" i="10"/>
  <c r="F143" i="10"/>
  <c r="K142" i="10"/>
  <c r="N142" i="10" s="1"/>
  <c r="L142" i="10"/>
  <c r="F142" i="10"/>
  <c r="M142" i="10" s="1"/>
  <c r="G141" i="10"/>
  <c r="M140" i="10"/>
  <c r="L140" i="10"/>
  <c r="K140" i="10"/>
  <c r="N140" i="10" s="1"/>
  <c r="F140" i="10"/>
  <c r="M139" i="10"/>
  <c r="F139" i="10"/>
  <c r="M138" i="10"/>
  <c r="L138" i="10"/>
  <c r="K138" i="10"/>
  <c r="N138" i="10" s="1"/>
  <c r="F138" i="10"/>
  <c r="G137" i="10"/>
  <c r="K136" i="10"/>
  <c r="F136" i="10"/>
  <c r="K135" i="10"/>
  <c r="F135" i="10"/>
  <c r="M135" i="10" s="1"/>
  <c r="K134" i="10"/>
  <c r="F134" i="10"/>
  <c r="K133" i="10"/>
  <c r="F133" i="10"/>
  <c r="M133" i="10" s="1"/>
  <c r="M130" i="10"/>
  <c r="F130" i="10"/>
  <c r="F129" i="10"/>
  <c r="M129" i="10" s="1"/>
  <c r="M128" i="10"/>
  <c r="L128" i="10"/>
  <c r="K128" i="10"/>
  <c r="N128" i="10" s="1"/>
  <c r="F128" i="10"/>
  <c r="L127" i="10"/>
  <c r="K127" i="10"/>
  <c r="N127" i="10" s="1"/>
  <c r="F127" i="10"/>
  <c r="M127" i="10" s="1"/>
  <c r="M126" i="10"/>
  <c r="L126" i="10"/>
  <c r="K126" i="10"/>
  <c r="N126" i="10" s="1"/>
  <c r="F126" i="10"/>
  <c r="L125" i="10"/>
  <c r="F125" i="10"/>
  <c r="M125" i="10" s="1"/>
  <c r="M124" i="10"/>
  <c r="L124" i="10"/>
  <c r="K124" i="10"/>
  <c r="N124" i="10" s="1"/>
  <c r="F124" i="10"/>
  <c r="K123" i="10"/>
  <c r="N123" i="10" s="1"/>
  <c r="L123" i="10"/>
  <c r="F123" i="10"/>
  <c r="M123" i="10" s="1"/>
  <c r="M122" i="10"/>
  <c r="L122" i="10"/>
  <c r="K122" i="10"/>
  <c r="N122" i="10" s="1"/>
  <c r="F122" i="10"/>
  <c r="K121" i="10"/>
  <c r="N121" i="10" s="1"/>
  <c r="L121" i="10"/>
  <c r="F121" i="10"/>
  <c r="M121" i="10" s="1"/>
  <c r="M120" i="10"/>
  <c r="L120" i="10"/>
  <c r="F120" i="10"/>
  <c r="F119" i="10"/>
  <c r="M118" i="10"/>
  <c r="F118" i="10"/>
  <c r="F117" i="10"/>
  <c r="M116" i="10"/>
  <c r="L116" i="10"/>
  <c r="K116" i="10"/>
  <c r="N116" i="10" s="1"/>
  <c r="F116" i="10"/>
  <c r="K115" i="10"/>
  <c r="F115" i="10"/>
  <c r="M114" i="10"/>
  <c r="L114" i="10"/>
  <c r="K114" i="10"/>
  <c r="N114" i="10" s="1"/>
  <c r="F114" i="10"/>
  <c r="K113" i="10"/>
  <c r="F113" i="10"/>
  <c r="M112" i="10"/>
  <c r="L112" i="10"/>
  <c r="K112" i="10"/>
  <c r="N112" i="10" s="1"/>
  <c r="F112" i="10"/>
  <c r="K111" i="10"/>
  <c r="F111" i="10"/>
  <c r="M110" i="10"/>
  <c r="L110" i="10"/>
  <c r="K110" i="10"/>
  <c r="N110" i="10" s="1"/>
  <c r="F110" i="10"/>
  <c r="K109" i="10"/>
  <c r="F109" i="10"/>
  <c r="M108" i="10"/>
  <c r="K108" i="10"/>
  <c r="N108" i="10" s="1"/>
  <c r="F108" i="10"/>
  <c r="F107" i="10"/>
  <c r="M106" i="10"/>
  <c r="F106" i="10"/>
  <c r="F105" i="10"/>
  <c r="M104" i="10"/>
  <c r="L104" i="10"/>
  <c r="K104" i="10"/>
  <c r="N104" i="10" s="1"/>
  <c r="F104" i="10"/>
  <c r="K103" i="10"/>
  <c r="F103" i="10"/>
  <c r="M102" i="10"/>
  <c r="L102" i="10"/>
  <c r="K102" i="10"/>
  <c r="N102" i="10" s="1"/>
  <c r="F102" i="10"/>
  <c r="K101" i="10"/>
  <c r="F101" i="10"/>
  <c r="G100" i="10"/>
  <c r="M99" i="10"/>
  <c r="L99" i="10"/>
  <c r="K99" i="10"/>
  <c r="N99" i="10" s="1"/>
  <c r="F99" i="10"/>
  <c r="M98" i="10"/>
  <c r="L98" i="10"/>
  <c r="K98" i="10"/>
  <c r="F98" i="10"/>
  <c r="M97" i="10"/>
  <c r="L97" i="10"/>
  <c r="K97" i="10"/>
  <c r="N97" i="10" s="1"/>
  <c r="F97" i="10"/>
  <c r="M96" i="10"/>
  <c r="L96" i="10"/>
  <c r="K96" i="10"/>
  <c r="F96" i="10"/>
  <c r="G95" i="10"/>
  <c r="K94" i="10"/>
  <c r="F94" i="10"/>
  <c r="M94" i="10" s="1"/>
  <c r="M92" i="10"/>
  <c r="F92" i="10"/>
  <c r="K91" i="10"/>
  <c r="N91" i="10" s="1"/>
  <c r="F91" i="10"/>
  <c r="M91" i="10" s="1"/>
  <c r="M90" i="10"/>
  <c r="L90" i="10"/>
  <c r="K90" i="10"/>
  <c r="N90" i="10" s="1"/>
  <c r="F90" i="10"/>
  <c r="K89" i="10"/>
  <c r="N89" i="10" s="1"/>
  <c r="L89" i="10"/>
  <c r="F89" i="10"/>
  <c r="M89" i="10" s="1"/>
  <c r="M88" i="10"/>
  <c r="L88" i="10"/>
  <c r="K88" i="10"/>
  <c r="N88" i="10" s="1"/>
  <c r="F88" i="10"/>
  <c r="K87" i="10"/>
  <c r="N87" i="10" s="1"/>
  <c r="L87" i="10"/>
  <c r="F87" i="10"/>
  <c r="M87" i="10" s="1"/>
  <c r="M86" i="10"/>
  <c r="L86" i="10"/>
  <c r="K86" i="10"/>
  <c r="N86" i="10" s="1"/>
  <c r="F86" i="10"/>
  <c r="K85" i="10"/>
  <c r="N85" i="10" s="1"/>
  <c r="L85" i="10"/>
  <c r="F85" i="10"/>
  <c r="M85" i="10" s="1"/>
  <c r="M84" i="10"/>
  <c r="L84" i="10"/>
  <c r="K84" i="10"/>
  <c r="N84" i="10" s="1"/>
  <c r="F84" i="10"/>
  <c r="G83" i="10" s="1"/>
  <c r="M82" i="10"/>
  <c r="L82" i="10"/>
  <c r="K82" i="10"/>
  <c r="F82" i="10"/>
  <c r="M81" i="10"/>
  <c r="F81" i="10"/>
  <c r="M80" i="10"/>
  <c r="L80" i="10"/>
  <c r="K80" i="10"/>
  <c r="F80" i="10"/>
  <c r="M79" i="10"/>
  <c r="F79" i="10"/>
  <c r="M78" i="10"/>
  <c r="F78" i="10"/>
  <c r="M77" i="10"/>
  <c r="L77" i="10"/>
  <c r="K77" i="10"/>
  <c r="N77" i="10" s="1"/>
  <c r="F77" i="10"/>
  <c r="M76" i="10"/>
  <c r="L76" i="10"/>
  <c r="K76" i="10"/>
  <c r="F76" i="10"/>
  <c r="G75" i="10"/>
  <c r="K74" i="10"/>
  <c r="F74" i="10"/>
  <c r="M74" i="10" s="1"/>
  <c r="K73" i="10"/>
  <c r="F73" i="10"/>
  <c r="N73" i="10" s="1"/>
  <c r="K72" i="10"/>
  <c r="F72" i="10"/>
  <c r="M72" i="10" s="1"/>
  <c r="K71" i="10"/>
  <c r="F71" i="10"/>
  <c r="G70" i="10" s="1"/>
  <c r="F69" i="10"/>
  <c r="M69" i="10" s="1"/>
  <c r="M68" i="10"/>
  <c r="L68" i="10"/>
  <c r="K68" i="10"/>
  <c r="N68" i="10" s="1"/>
  <c r="F68" i="10"/>
  <c r="K67" i="10"/>
  <c r="N67" i="10" s="1"/>
  <c r="L67" i="10"/>
  <c r="F67" i="10"/>
  <c r="M67" i="10" s="1"/>
  <c r="L66" i="10"/>
  <c r="K66" i="10"/>
  <c r="N66" i="10" s="1"/>
  <c r="F66" i="10"/>
  <c r="M66" i="10" s="1"/>
  <c r="F65" i="10"/>
  <c r="M65" i="10" s="1"/>
  <c r="G64" i="10"/>
  <c r="M63" i="10"/>
  <c r="F63" i="10"/>
  <c r="M62" i="10"/>
  <c r="L62" i="10"/>
  <c r="K62" i="10"/>
  <c r="F62" i="10"/>
  <c r="M61" i="10"/>
  <c r="L61" i="10"/>
  <c r="K61" i="10"/>
  <c r="N61" i="10" s="1"/>
  <c r="F61" i="10"/>
  <c r="M60" i="10"/>
  <c r="L60" i="10"/>
  <c r="K60" i="10"/>
  <c r="F60" i="10"/>
  <c r="M59" i="10"/>
  <c r="L59" i="10"/>
  <c r="K59" i="10"/>
  <c r="N59" i="10" s="1"/>
  <c r="F59" i="10"/>
  <c r="M58" i="10"/>
  <c r="L58" i="10"/>
  <c r="K58" i="10"/>
  <c r="F58" i="10"/>
  <c r="M57" i="10"/>
  <c r="F57" i="10"/>
  <c r="G56" i="10"/>
  <c r="K55" i="10"/>
  <c r="F55" i="10"/>
  <c r="K54" i="10"/>
  <c r="F54" i="10"/>
  <c r="M54" i="10" s="1"/>
  <c r="K53" i="10"/>
  <c r="F53" i="10"/>
  <c r="K52" i="10"/>
  <c r="F52" i="10"/>
  <c r="M52" i="10" s="1"/>
  <c r="F50" i="10"/>
  <c r="M50" i="10" s="1"/>
  <c r="L49" i="10"/>
  <c r="F49" i="10"/>
  <c r="M49" i="10" s="1"/>
  <c r="L48" i="10"/>
  <c r="K48" i="10"/>
  <c r="N48" i="10" s="1"/>
  <c r="F48" i="10"/>
  <c r="M48" i="10" s="1"/>
  <c r="K47" i="10"/>
  <c r="N47" i="10" s="1"/>
  <c r="L47" i="10"/>
  <c r="F47" i="10"/>
  <c r="M47" i="10" s="1"/>
  <c r="G46" i="10"/>
  <c r="M45" i="10"/>
  <c r="F45" i="10"/>
  <c r="M44" i="10"/>
  <c r="L44" i="10"/>
  <c r="K44" i="10"/>
  <c r="F44" i="10"/>
  <c r="M43" i="10"/>
  <c r="L43" i="10"/>
  <c r="K43" i="10"/>
  <c r="N43" i="10" s="1"/>
  <c r="F43" i="10"/>
  <c r="M42" i="10"/>
  <c r="L42" i="10"/>
  <c r="K42" i="10"/>
  <c r="F42" i="10"/>
  <c r="M41" i="10"/>
  <c r="K41" i="10"/>
  <c r="N41" i="10" s="1"/>
  <c r="F41" i="10"/>
  <c r="M40" i="10"/>
  <c r="L40" i="10"/>
  <c r="K40" i="10"/>
  <c r="F40" i="10"/>
  <c r="M39" i="10"/>
  <c r="K39" i="10"/>
  <c r="N39" i="10" s="1"/>
  <c r="F39" i="10"/>
  <c r="M38" i="10"/>
  <c r="L38" i="10"/>
  <c r="F38" i="10"/>
  <c r="G37" i="10"/>
  <c r="K36" i="10"/>
  <c r="F36" i="10"/>
  <c r="M36" i="10" s="1"/>
  <c r="F35" i="10"/>
  <c r="K34" i="10"/>
  <c r="F34" i="10"/>
  <c r="M34" i="10" s="1"/>
  <c r="F33" i="10"/>
  <c r="K32" i="10"/>
  <c r="F32" i="10"/>
  <c r="M32" i="10" s="1"/>
  <c r="K31" i="10"/>
  <c r="F31" i="10"/>
  <c r="K30" i="10"/>
  <c r="F30" i="10"/>
  <c r="M30" i="10" s="1"/>
  <c r="K29" i="10"/>
  <c r="F29" i="10"/>
  <c r="G28" i="10" s="1"/>
  <c r="K27" i="10"/>
  <c r="N27" i="10" s="1"/>
  <c r="L27" i="10"/>
  <c r="F27" i="10"/>
  <c r="M27" i="10" s="1"/>
  <c r="G26" i="10"/>
  <c r="M25" i="10"/>
  <c r="K25" i="10"/>
  <c r="N25" i="10" s="1"/>
  <c r="F25" i="10"/>
  <c r="M24" i="10"/>
  <c r="L24" i="10"/>
  <c r="F24" i="10"/>
  <c r="M23" i="10"/>
  <c r="K23" i="10"/>
  <c r="N23" i="10" s="1"/>
  <c r="F23" i="10"/>
  <c r="M22" i="10"/>
  <c r="F22" i="10"/>
  <c r="M21" i="10"/>
  <c r="F21" i="10"/>
  <c r="M20" i="10"/>
  <c r="L20" i="10"/>
  <c r="F20" i="10"/>
  <c r="M19" i="10"/>
  <c r="K19" i="10"/>
  <c r="N19" i="10" s="1"/>
  <c r="F19" i="10"/>
  <c r="G18" i="10"/>
  <c r="K17" i="10"/>
  <c r="F17" i="10"/>
  <c r="K16" i="10"/>
  <c r="F16" i="10"/>
  <c r="M16" i="10" s="1"/>
  <c r="K15" i="10"/>
  <c r="F15" i="10"/>
  <c r="K14" i="10"/>
  <c r="F14" i="10"/>
  <c r="M14" i="10" s="1"/>
  <c r="K13" i="10"/>
  <c r="F13" i="10"/>
  <c r="K12" i="10"/>
  <c r="F12" i="10"/>
  <c r="M12" i="10" s="1"/>
  <c r="K11" i="10"/>
  <c r="F11" i="10"/>
  <c r="K10" i="10"/>
  <c r="F10" i="10"/>
  <c r="M10" i="10" s="1"/>
  <c r="L11" i="9"/>
  <c r="I191" i="9"/>
  <c r="L191" i="9" s="1"/>
  <c r="M191" i="9"/>
  <c r="E191" i="9"/>
  <c r="F191" i="9" s="1"/>
  <c r="I193" i="9"/>
  <c r="K193" i="9" s="1"/>
  <c r="I192" i="9"/>
  <c r="K192" i="9" s="1"/>
  <c r="I190" i="9"/>
  <c r="I189" i="9"/>
  <c r="E192" i="9"/>
  <c r="F193" i="9"/>
  <c r="L193" i="9" s="1"/>
  <c r="E190" i="9"/>
  <c r="F190" i="9" s="1"/>
  <c r="M190" i="9" s="1"/>
  <c r="E189" i="9"/>
  <c r="F189" i="9" s="1"/>
  <c r="M189" i="9" s="1"/>
  <c r="M185" i="13" l="1"/>
  <c r="N200" i="13" s="1"/>
  <c r="N185" i="13"/>
  <c r="H182" i="13"/>
  <c r="H159" i="13"/>
  <c r="G185" i="13"/>
  <c r="H9" i="13" s="1"/>
  <c r="N194" i="13"/>
  <c r="H46" i="13"/>
  <c r="H56" i="13"/>
  <c r="H171" i="13"/>
  <c r="H75" i="13"/>
  <c r="L185" i="13"/>
  <c r="M185" i="12"/>
  <c r="N200" i="12" s="1"/>
  <c r="G185" i="12"/>
  <c r="H9" i="12"/>
  <c r="H164" i="12"/>
  <c r="H51" i="12"/>
  <c r="H159" i="12"/>
  <c r="H137" i="12"/>
  <c r="H132" i="12"/>
  <c r="N185" i="12"/>
  <c r="N186" i="12" s="1"/>
  <c r="M194" i="12"/>
  <c r="N202" i="12" s="1"/>
  <c r="L185" i="12"/>
  <c r="H18" i="12"/>
  <c r="H182" i="12"/>
  <c r="N194" i="12"/>
  <c r="L124" i="11"/>
  <c r="L71" i="11"/>
  <c r="N33" i="11"/>
  <c r="M17" i="11"/>
  <c r="M31" i="11"/>
  <c r="G137" i="11"/>
  <c r="L122" i="11"/>
  <c r="M184" i="11"/>
  <c r="L138" i="11"/>
  <c r="L126" i="11"/>
  <c r="L155" i="11"/>
  <c r="N136" i="11"/>
  <c r="M173" i="11"/>
  <c r="L23" i="11"/>
  <c r="N172" i="11"/>
  <c r="L163" i="11"/>
  <c r="L84" i="11"/>
  <c r="L45" i="11"/>
  <c r="M155" i="11"/>
  <c r="G51" i="11"/>
  <c r="L150" i="11"/>
  <c r="N81" i="11"/>
  <c r="N77" i="11"/>
  <c r="L81" i="11"/>
  <c r="N16" i="11"/>
  <c r="L110" i="11"/>
  <c r="G132" i="11"/>
  <c r="N99" i="11"/>
  <c r="N166" i="11"/>
  <c r="N30" i="11"/>
  <c r="L99" i="11"/>
  <c r="M110" i="11"/>
  <c r="G156" i="11"/>
  <c r="G167" i="11"/>
  <c r="N155" i="11"/>
  <c r="N68" i="11"/>
  <c r="L166" i="11"/>
  <c r="G18" i="11"/>
  <c r="M177" i="11"/>
  <c r="L102" i="11"/>
  <c r="L86" i="11"/>
  <c r="L48" i="11"/>
  <c r="N41" i="11"/>
  <c r="L41" i="11"/>
  <c r="N112" i="11"/>
  <c r="L179" i="11"/>
  <c r="L158" i="11"/>
  <c r="L25" i="11"/>
  <c r="M13" i="11"/>
  <c r="L112" i="11"/>
  <c r="N150" i="11"/>
  <c r="L14" i="11"/>
  <c r="L53" i="11"/>
  <c r="G83" i="11"/>
  <c r="K143" i="11"/>
  <c r="N143" i="11" s="1"/>
  <c r="L134" i="11"/>
  <c r="L116" i="11"/>
  <c r="N61" i="11"/>
  <c r="M84" i="11"/>
  <c r="L15" i="11"/>
  <c r="G162" i="11"/>
  <c r="G182" i="11"/>
  <c r="L57" i="11"/>
  <c r="L175" i="11"/>
  <c r="L152" i="11"/>
  <c r="L130" i="11"/>
  <c r="N114" i="11"/>
  <c r="L97" i="11"/>
  <c r="N59" i="11"/>
  <c r="L20" i="11"/>
  <c r="N27" i="11"/>
  <c r="L66" i="11"/>
  <c r="M106" i="11"/>
  <c r="L114" i="11"/>
  <c r="N163" i="11"/>
  <c r="N87" i="11"/>
  <c r="N184" i="11"/>
  <c r="N48" i="11"/>
  <c r="L92" i="11"/>
  <c r="L55" i="11"/>
  <c r="N36" i="11"/>
  <c r="G56" i="11"/>
  <c r="N67" i="11"/>
  <c r="K124" i="11"/>
  <c r="N124" i="11" s="1"/>
  <c r="G164" i="11"/>
  <c r="N170" i="11"/>
  <c r="N73" i="11"/>
  <c r="L35" i="11"/>
  <c r="L11" i="11"/>
  <c r="N13" i="10"/>
  <c r="N10" i="11"/>
  <c r="N123" i="11"/>
  <c r="N101" i="11"/>
  <c r="K138" i="11"/>
  <c r="N138" i="11" s="1"/>
  <c r="L68" i="11"/>
  <c r="L24" i="11"/>
  <c r="K20" i="11"/>
  <c r="K175" i="11"/>
  <c r="N175" i="11" s="1"/>
  <c r="K179" i="11"/>
  <c r="N179" i="11" s="1"/>
  <c r="L61" i="11"/>
  <c r="N125" i="11"/>
  <c r="N139" i="11"/>
  <c r="N161" i="11"/>
  <c r="K104" i="11"/>
  <c r="N104" i="11" s="1"/>
  <c r="N111" i="11"/>
  <c r="N115" i="11"/>
  <c r="K63" i="11"/>
  <c r="N63" i="11" s="1"/>
  <c r="K116" i="11"/>
  <c r="N116" i="11" s="1"/>
  <c r="N127" i="11"/>
  <c r="N65" i="11"/>
  <c r="L77" i="11"/>
  <c r="N89" i="11"/>
  <c r="K102" i="11"/>
  <c r="N102" i="11" s="1"/>
  <c r="N107" i="11"/>
  <c r="K152" i="11"/>
  <c r="N152" i="11" s="1"/>
  <c r="N20" i="11"/>
  <c r="N113" i="11"/>
  <c r="N44" i="11"/>
  <c r="K45" i="11"/>
  <c r="N45" i="11" s="1"/>
  <c r="K90" i="11"/>
  <c r="N90" i="11" s="1"/>
  <c r="N103" i="11"/>
  <c r="L128" i="11"/>
  <c r="L148" i="11"/>
  <c r="L160" i="11"/>
  <c r="N119" i="11"/>
  <c r="N49" i="11"/>
  <c r="K25" i="11"/>
  <c r="N25" i="11" s="1"/>
  <c r="N38" i="11"/>
  <c r="L108" i="11"/>
  <c r="N109" i="11"/>
  <c r="N129" i="11"/>
  <c r="K158" i="11"/>
  <c r="N158" i="11" s="1"/>
  <c r="N47" i="11"/>
  <c r="K79" i="11"/>
  <c r="N79" i="11" s="1"/>
  <c r="K97" i="11"/>
  <c r="N97" i="11" s="1"/>
  <c r="K140" i="11"/>
  <c r="N140" i="11" s="1"/>
  <c r="K145" i="11"/>
  <c r="N145" i="11" s="1"/>
  <c r="L168" i="11"/>
  <c r="K177" i="11"/>
  <c r="N177" i="11" s="1"/>
  <c r="K181" i="11"/>
  <c r="N181" i="11" s="1"/>
  <c r="N85" i="11"/>
  <c r="N62" i="11"/>
  <c r="K120" i="11"/>
  <c r="N120" i="11" s="1"/>
  <c r="L170" i="11"/>
  <c r="K50" i="11"/>
  <c r="N50" i="11" s="1"/>
  <c r="N144" i="11"/>
  <c r="N117" i="11"/>
  <c r="K23" i="11"/>
  <c r="N23" i="11" s="1"/>
  <c r="K57" i="11"/>
  <c r="N57" i="11" s="1"/>
  <c r="N69" i="11"/>
  <c r="K106" i="11"/>
  <c r="N106" i="11" s="1"/>
  <c r="K110" i="11"/>
  <c r="N110" i="11" s="1"/>
  <c r="K118" i="11"/>
  <c r="N118" i="11" s="1"/>
  <c r="K122" i="11"/>
  <c r="N122" i="11" s="1"/>
  <c r="K130" i="11"/>
  <c r="N130" i="11" s="1"/>
  <c r="K86" i="11"/>
  <c r="N86" i="11" s="1"/>
  <c r="L59" i="11"/>
  <c r="N22" i="11"/>
  <c r="N105" i="11"/>
  <c r="N91" i="11"/>
  <c r="K43" i="11"/>
  <c r="N43" i="11" s="1"/>
  <c r="K84" i="11"/>
  <c r="N84" i="11" s="1"/>
  <c r="K92" i="11"/>
  <c r="N92" i="11" s="1"/>
  <c r="N169" i="11"/>
  <c r="N96" i="11"/>
  <c r="N176" i="11"/>
  <c r="N121" i="11"/>
  <c r="N60" i="11"/>
  <c r="N80" i="11"/>
  <c r="N98" i="11"/>
  <c r="N142" i="11"/>
  <c r="N146" i="11"/>
  <c r="N174" i="11"/>
  <c r="N178" i="11"/>
  <c r="N190" i="11"/>
  <c r="M190" i="11"/>
  <c r="L190" i="11"/>
  <c r="N151" i="11"/>
  <c r="N191" i="11"/>
  <c r="M191" i="11"/>
  <c r="L191" i="11"/>
  <c r="N40" i="11"/>
  <c r="N76" i="11"/>
  <c r="N82" i="11"/>
  <c r="L192" i="11"/>
  <c r="N192" i="11"/>
  <c r="M192" i="11"/>
  <c r="N58" i="11"/>
  <c r="N153" i="11"/>
  <c r="N42" i="11"/>
  <c r="N78" i="11"/>
  <c r="L29" i="11"/>
  <c r="L33" i="11"/>
  <c r="L73" i="11"/>
  <c r="N52" i="11"/>
  <c r="N72" i="11"/>
  <c r="N133" i="11"/>
  <c r="N135" i="11"/>
  <c r="N157" i="11"/>
  <c r="N165" i="11"/>
  <c r="N183" i="11"/>
  <c r="N193" i="11"/>
  <c r="L136" i="11"/>
  <c r="G9" i="11"/>
  <c r="N54" i="11"/>
  <c r="N74" i="11"/>
  <c r="N94" i="11"/>
  <c r="N11" i="11"/>
  <c r="N13" i="11"/>
  <c r="N15" i="11"/>
  <c r="N17" i="11"/>
  <c r="G37" i="11"/>
  <c r="G75" i="11"/>
  <c r="G95" i="11"/>
  <c r="G26" i="11"/>
  <c r="K31" i="11"/>
  <c r="N31" i="11" s="1"/>
  <c r="K35" i="11"/>
  <c r="N35" i="11" s="1"/>
  <c r="G46" i="11"/>
  <c r="K53" i="11"/>
  <c r="N53" i="11" s="1"/>
  <c r="K55" i="11"/>
  <c r="N55" i="11" s="1"/>
  <c r="G64" i="11"/>
  <c r="K71" i="11"/>
  <c r="N71" i="11" s="1"/>
  <c r="G100" i="11"/>
  <c r="K134" i="11"/>
  <c r="N134" i="11" s="1"/>
  <c r="G141" i="11"/>
  <c r="G171" i="11"/>
  <c r="M10" i="11"/>
  <c r="M12" i="11"/>
  <c r="M14" i="11"/>
  <c r="M16" i="11"/>
  <c r="L19" i="11"/>
  <c r="N21" i="11"/>
  <c r="L38" i="11"/>
  <c r="L40" i="11"/>
  <c r="L42" i="11"/>
  <c r="L44" i="11"/>
  <c r="L58" i="11"/>
  <c r="L60" i="11"/>
  <c r="L62" i="11"/>
  <c r="L76" i="11"/>
  <c r="L78" i="11"/>
  <c r="L80" i="11"/>
  <c r="L82" i="11"/>
  <c r="L96" i="11"/>
  <c r="L98" i="11"/>
  <c r="L139" i="11"/>
  <c r="L151" i="11"/>
  <c r="L153" i="11"/>
  <c r="L161" i="11"/>
  <c r="L169" i="11"/>
  <c r="L10" i="11"/>
  <c r="N14" i="11"/>
  <c r="F185" i="11"/>
  <c r="N19" i="11"/>
  <c r="M24" i="11"/>
  <c r="L27" i="11"/>
  <c r="L47" i="11"/>
  <c r="L49" i="11"/>
  <c r="L65" i="11"/>
  <c r="L67" i="11"/>
  <c r="L69" i="11"/>
  <c r="L85" i="11"/>
  <c r="L87" i="11"/>
  <c r="L89" i="11"/>
  <c r="L91" i="11"/>
  <c r="L101" i="11"/>
  <c r="L103" i="11"/>
  <c r="L105" i="11"/>
  <c r="L107" i="11"/>
  <c r="L109" i="11"/>
  <c r="L111" i="11"/>
  <c r="L113" i="11"/>
  <c r="L115" i="11"/>
  <c r="L117" i="11"/>
  <c r="L119" i="11"/>
  <c r="L121" i="11"/>
  <c r="L123" i="11"/>
  <c r="L125" i="11"/>
  <c r="L127" i="11"/>
  <c r="L129" i="11"/>
  <c r="L142" i="11"/>
  <c r="L144" i="11"/>
  <c r="L146" i="11"/>
  <c r="L172" i="11"/>
  <c r="L174" i="11"/>
  <c r="L176" i="11"/>
  <c r="L178" i="11"/>
  <c r="M189" i="11"/>
  <c r="L22" i="11"/>
  <c r="N24" i="11"/>
  <c r="M27" i="11"/>
  <c r="M47" i="11"/>
  <c r="M49" i="11"/>
  <c r="M65" i="11"/>
  <c r="M67" i="11"/>
  <c r="M69" i="11"/>
  <c r="M85" i="11"/>
  <c r="M87" i="11"/>
  <c r="M89" i="11"/>
  <c r="M91" i="11"/>
  <c r="M101" i="11"/>
  <c r="M103" i="11"/>
  <c r="M105" i="11"/>
  <c r="M107" i="11"/>
  <c r="M109" i="11"/>
  <c r="M111" i="11"/>
  <c r="M113" i="11"/>
  <c r="M115" i="11"/>
  <c r="M117" i="11"/>
  <c r="M119" i="11"/>
  <c r="M121" i="11"/>
  <c r="M123" i="11"/>
  <c r="M125" i="11"/>
  <c r="M127" i="11"/>
  <c r="M129" i="11"/>
  <c r="M142" i="11"/>
  <c r="M144" i="11"/>
  <c r="M146" i="11"/>
  <c r="M172" i="11"/>
  <c r="M174" i="11"/>
  <c r="M176" i="11"/>
  <c r="M178" i="11"/>
  <c r="M180" i="11"/>
  <c r="N189" i="11"/>
  <c r="L21" i="11"/>
  <c r="L16" i="11"/>
  <c r="N12" i="11"/>
  <c r="M22" i="11"/>
  <c r="L30" i="11"/>
  <c r="L32" i="11"/>
  <c r="L34" i="11"/>
  <c r="L36" i="11"/>
  <c r="L52" i="11"/>
  <c r="L54" i="11"/>
  <c r="L72" i="11"/>
  <c r="L74" i="11"/>
  <c r="L94" i="11"/>
  <c r="L133" i="11"/>
  <c r="L135" i="11"/>
  <c r="L157" i="11"/>
  <c r="L165" i="11"/>
  <c r="L183" i="11"/>
  <c r="L193" i="11"/>
  <c r="G28" i="11"/>
  <c r="G70" i="11"/>
  <c r="N136" i="10"/>
  <c r="N192" i="10"/>
  <c r="N174" i="10"/>
  <c r="N176" i="10"/>
  <c r="N82" i="10"/>
  <c r="L81" i="10"/>
  <c r="K117" i="10"/>
  <c r="N117" i="10" s="1"/>
  <c r="N62" i="10"/>
  <c r="L57" i="10"/>
  <c r="N55" i="10"/>
  <c r="K163" i="10"/>
  <c r="N163" i="10" s="1"/>
  <c r="K143" i="10"/>
  <c r="N143" i="10" s="1"/>
  <c r="K92" i="10"/>
  <c r="N92" i="10" s="1"/>
  <c r="L179" i="10"/>
  <c r="K63" i="10"/>
  <c r="N63" i="10" s="1"/>
  <c r="K78" i="10"/>
  <c r="N78" i="10" s="1"/>
  <c r="K106" i="10"/>
  <c r="N106" i="10" s="1"/>
  <c r="N166" i="10"/>
  <c r="K50" i="10"/>
  <c r="N50" i="10" s="1"/>
  <c r="K118" i="10"/>
  <c r="N118" i="10" s="1"/>
  <c r="K180" i="10"/>
  <c r="N76" i="10"/>
  <c r="K79" i="10"/>
  <c r="N79" i="10" s="1"/>
  <c r="N119" i="10"/>
  <c r="L65" i="10"/>
  <c r="L119" i="10"/>
  <c r="K130" i="10"/>
  <c r="N130" i="10" s="1"/>
  <c r="N35" i="10"/>
  <c r="N184" i="10"/>
  <c r="N53" i="10"/>
  <c r="N98" i="10"/>
  <c r="N139" i="10"/>
  <c r="L69" i="10"/>
  <c r="N103" i="10"/>
  <c r="N107" i="10"/>
  <c r="N111" i="10"/>
  <c r="N115" i="10"/>
  <c r="K177" i="10"/>
  <c r="N177" i="10" s="1"/>
  <c r="N96" i="10"/>
  <c r="N42" i="10"/>
  <c r="N80" i="10"/>
  <c r="K129" i="10"/>
  <c r="N129" i="10" s="1"/>
  <c r="K45" i="10"/>
  <c r="N45" i="10" s="1"/>
  <c r="N11" i="10"/>
  <c r="N17" i="10"/>
  <c r="N33" i="10"/>
  <c r="N60" i="10"/>
  <c r="K178" i="10"/>
  <c r="N178" i="10" s="1"/>
  <c r="N151" i="10"/>
  <c r="K175" i="10"/>
  <c r="N175" i="10" s="1"/>
  <c r="N101" i="10"/>
  <c r="N105" i="10"/>
  <c r="N109" i="10"/>
  <c r="N113" i="10"/>
  <c r="N172" i="10"/>
  <c r="N153" i="10"/>
  <c r="N169" i="10"/>
  <c r="N40" i="10"/>
  <c r="N134" i="10"/>
  <c r="N161" i="10"/>
  <c r="N191" i="10"/>
  <c r="M191" i="10"/>
  <c r="L191" i="10"/>
  <c r="N44" i="10"/>
  <c r="N58" i="10"/>
  <c r="L189" i="10"/>
  <c r="N189" i="10"/>
  <c r="M189" i="10"/>
  <c r="N15" i="10"/>
  <c r="N31" i="10"/>
  <c r="N158" i="10"/>
  <c r="L190" i="10"/>
  <c r="N190" i="10"/>
  <c r="M190" i="10"/>
  <c r="L14" i="10"/>
  <c r="N10" i="10"/>
  <c r="N12" i="10"/>
  <c r="N14" i="10"/>
  <c r="N16" i="10"/>
  <c r="L19" i="10"/>
  <c r="L21" i="10"/>
  <c r="L23" i="10"/>
  <c r="L25" i="10"/>
  <c r="N30" i="10"/>
  <c r="N32" i="10"/>
  <c r="N34" i="10"/>
  <c r="N36" i="10"/>
  <c r="L39" i="10"/>
  <c r="L41" i="10"/>
  <c r="N52" i="10"/>
  <c r="N54" i="10"/>
  <c r="N72" i="10"/>
  <c r="N74" i="10"/>
  <c r="N94" i="10"/>
  <c r="N133" i="10"/>
  <c r="N135" i="10"/>
  <c r="N157" i="10"/>
  <c r="N165" i="10"/>
  <c r="N183" i="10"/>
  <c r="N193" i="10"/>
  <c r="L11" i="10"/>
  <c r="L13" i="10"/>
  <c r="L15" i="10"/>
  <c r="L17" i="10"/>
  <c r="L29" i="10"/>
  <c r="L31" i="10"/>
  <c r="L33" i="10"/>
  <c r="L35" i="10"/>
  <c r="L53" i="10"/>
  <c r="L55" i="10"/>
  <c r="L71" i="10"/>
  <c r="L73" i="10"/>
  <c r="L134" i="10"/>
  <c r="L136" i="10"/>
  <c r="L148" i="10"/>
  <c r="L158" i="10"/>
  <c r="L166" i="10"/>
  <c r="L184" i="10"/>
  <c r="L192" i="10"/>
  <c r="G9" i="10"/>
  <c r="M11" i="10"/>
  <c r="M13" i="10"/>
  <c r="M15" i="10"/>
  <c r="M17" i="10"/>
  <c r="K20" i="10"/>
  <c r="N20" i="10" s="1"/>
  <c r="K22" i="10"/>
  <c r="N22" i="10" s="1"/>
  <c r="K24" i="10"/>
  <c r="N24" i="10" s="1"/>
  <c r="M29" i="10"/>
  <c r="M31" i="10"/>
  <c r="M33" i="10"/>
  <c r="M35" i="10"/>
  <c r="K38" i="10"/>
  <c r="N38" i="10" s="1"/>
  <c r="G51" i="10"/>
  <c r="M53" i="10"/>
  <c r="M55" i="10"/>
  <c r="M71" i="10"/>
  <c r="M73" i="10"/>
  <c r="G93" i="10"/>
  <c r="G132" i="10"/>
  <c r="M134" i="10"/>
  <c r="M136" i="10"/>
  <c r="M148" i="10"/>
  <c r="G156" i="10"/>
  <c r="M158" i="10"/>
  <c r="G164" i="10"/>
  <c r="M166" i="10"/>
  <c r="G182" i="10"/>
  <c r="M184" i="10"/>
  <c r="M192" i="10"/>
  <c r="N29" i="10"/>
  <c r="N71" i="10"/>
  <c r="L139" i="10"/>
  <c r="N148" i="10"/>
  <c r="L151" i="10"/>
  <c r="L153" i="10"/>
  <c r="L161" i="10"/>
  <c r="L169" i="10"/>
  <c r="L101" i="10"/>
  <c r="L103" i="10"/>
  <c r="L105" i="10"/>
  <c r="L107" i="10"/>
  <c r="L109" i="10"/>
  <c r="L111" i="10"/>
  <c r="L113" i="10"/>
  <c r="M101" i="10"/>
  <c r="M103" i="10"/>
  <c r="M105" i="10"/>
  <c r="M107" i="10"/>
  <c r="M109" i="10"/>
  <c r="M111" i="10"/>
  <c r="M113" i="10"/>
  <c r="M115" i="10"/>
  <c r="M117" i="10"/>
  <c r="M119" i="10"/>
  <c r="M172" i="10"/>
  <c r="M174" i="10"/>
  <c r="M176" i="10"/>
  <c r="M178" i="10"/>
  <c r="M180" i="10"/>
  <c r="L12" i="10"/>
  <c r="L16" i="10"/>
  <c r="L30" i="10"/>
  <c r="L32" i="10"/>
  <c r="L34" i="10"/>
  <c r="L36" i="10"/>
  <c r="L52" i="10"/>
  <c r="L54" i="10"/>
  <c r="L72" i="10"/>
  <c r="L74" i="10"/>
  <c r="L94" i="10"/>
  <c r="L133" i="10"/>
  <c r="L135" i="10"/>
  <c r="L157" i="10"/>
  <c r="L165" i="10"/>
  <c r="L183" i="10"/>
  <c r="L193" i="10"/>
  <c r="F185" i="10"/>
  <c r="L10" i="10"/>
  <c r="K191" i="9"/>
  <c r="N191" i="9" s="1"/>
  <c r="L189" i="9"/>
  <c r="L190" i="9"/>
  <c r="M193" i="9"/>
  <c r="N193" i="9"/>
  <c r="K190" i="9"/>
  <c r="N190" i="9" s="1"/>
  <c r="K189" i="9"/>
  <c r="N189" i="9" s="1"/>
  <c r="F192" i="9"/>
  <c r="H95" i="13" l="1"/>
  <c r="N198" i="13"/>
  <c r="N199" i="13" s="1"/>
  <c r="H162" i="13"/>
  <c r="H70" i="13"/>
  <c r="H167" i="13"/>
  <c r="H28" i="13"/>
  <c r="H147" i="13"/>
  <c r="H83" i="13"/>
  <c r="H154" i="13"/>
  <c r="H26" i="13"/>
  <c r="H18" i="13"/>
  <c r="H185" i="13" s="1"/>
  <c r="H37" i="13"/>
  <c r="H64" i="13"/>
  <c r="H137" i="13"/>
  <c r="H141" i="13"/>
  <c r="H156" i="13"/>
  <c r="H51" i="13"/>
  <c r="H149" i="13"/>
  <c r="H93" i="13"/>
  <c r="H164" i="13"/>
  <c r="M186" i="13"/>
  <c r="N201" i="13"/>
  <c r="N203" i="13" s="1"/>
  <c r="H132" i="13"/>
  <c r="H100" i="13"/>
  <c r="N186" i="13"/>
  <c r="M186" i="12"/>
  <c r="N201" i="12"/>
  <c r="N203" i="12" s="1"/>
  <c r="N198" i="12"/>
  <c r="N199" i="12" s="1"/>
  <c r="H167" i="12"/>
  <c r="H149" i="12"/>
  <c r="H37" i="12"/>
  <c r="H64" i="12"/>
  <c r="H95" i="12"/>
  <c r="H28" i="12"/>
  <c r="H56" i="12"/>
  <c r="H83" i="12"/>
  <c r="H46" i="12"/>
  <c r="H26" i="12"/>
  <c r="H185" i="12" s="1"/>
  <c r="H70" i="12"/>
  <c r="H141" i="12"/>
  <c r="H171" i="12"/>
  <c r="H162" i="12"/>
  <c r="H154" i="12"/>
  <c r="H100" i="12"/>
  <c r="H75" i="12"/>
  <c r="H147" i="12"/>
  <c r="H93" i="12"/>
  <c r="H156" i="12"/>
  <c r="N180" i="10"/>
  <c r="I180" i="11"/>
  <c r="N194" i="11"/>
  <c r="M194" i="11"/>
  <c r="N202" i="11" s="1"/>
  <c r="G185" i="11"/>
  <c r="H9" i="11" s="1"/>
  <c r="M185" i="11"/>
  <c r="M185" i="10"/>
  <c r="N200" i="10" s="1"/>
  <c r="L185" i="10"/>
  <c r="N194" i="10"/>
  <c r="M194" i="10"/>
  <c r="N202" i="10" s="1"/>
  <c r="G185" i="10"/>
  <c r="H9" i="10" s="1"/>
  <c r="N185" i="10"/>
  <c r="M192" i="9"/>
  <c r="M194" i="9" s="1"/>
  <c r="N202" i="9" s="1"/>
  <c r="L192" i="9"/>
  <c r="N192" i="9"/>
  <c r="N194" i="9" s="1"/>
  <c r="K180" i="11" l="1"/>
  <c r="N180" i="11" s="1"/>
  <c r="N185" i="11" s="1"/>
  <c r="L180" i="11"/>
  <c r="L185" i="11" s="1"/>
  <c r="H64" i="11"/>
  <c r="H100" i="11"/>
  <c r="H28" i="11"/>
  <c r="H95" i="11"/>
  <c r="H171" i="11"/>
  <c r="H70" i="11"/>
  <c r="H26" i="11"/>
  <c r="N200" i="11"/>
  <c r="M186" i="11"/>
  <c r="N198" i="11"/>
  <c r="N199" i="11" s="1"/>
  <c r="H147" i="11"/>
  <c r="H56" i="11"/>
  <c r="H137" i="11"/>
  <c r="H154" i="11"/>
  <c r="H167" i="11"/>
  <c r="H149" i="11"/>
  <c r="H18" i="11"/>
  <c r="H182" i="11"/>
  <c r="H93" i="11"/>
  <c r="H164" i="11"/>
  <c r="H162" i="11"/>
  <c r="H83" i="11"/>
  <c r="H159" i="11"/>
  <c r="H51" i="11"/>
  <c r="H132" i="11"/>
  <c r="H156" i="11"/>
  <c r="H37" i="11"/>
  <c r="H75" i="11"/>
  <c r="H46" i="11"/>
  <c r="H141" i="11"/>
  <c r="N186" i="11"/>
  <c r="H156" i="10"/>
  <c r="H132" i="10"/>
  <c r="N201" i="10"/>
  <c r="N203" i="10" s="1"/>
  <c r="H154" i="10"/>
  <c r="N198" i="10"/>
  <c r="N199" i="10" s="1"/>
  <c r="H46" i="10"/>
  <c r="H26" i="10"/>
  <c r="H18" i="10"/>
  <c r="H185" i="10" s="1"/>
  <c r="H83" i="10"/>
  <c r="H70" i="10"/>
  <c r="H100" i="10"/>
  <c r="H75" i="10"/>
  <c r="H64" i="10"/>
  <c r="H137" i="10"/>
  <c r="H141" i="10"/>
  <c r="H162" i="10"/>
  <c r="H28" i="10"/>
  <c r="H147" i="10"/>
  <c r="H149" i="10"/>
  <c r="H167" i="10"/>
  <c r="H56" i="10"/>
  <c r="H171" i="10"/>
  <c r="H95" i="10"/>
  <c r="H159" i="10"/>
  <c r="H37" i="10"/>
  <c r="H51" i="10"/>
  <c r="H164" i="10"/>
  <c r="H182" i="10"/>
  <c r="N186" i="10"/>
  <c r="H93" i="10"/>
  <c r="M186" i="10"/>
  <c r="I183" i="9"/>
  <c r="I11" i="9"/>
  <c r="I12" i="9"/>
  <c r="K12" i="9" s="1"/>
  <c r="I13" i="9"/>
  <c r="K13" i="9" s="1"/>
  <c r="I14" i="9"/>
  <c r="I15" i="9"/>
  <c r="I16" i="9"/>
  <c r="K16" i="9" s="1"/>
  <c r="I17" i="9"/>
  <c r="K17" i="9" s="1"/>
  <c r="I19" i="9"/>
  <c r="K19" i="9" s="1"/>
  <c r="I20" i="9"/>
  <c r="I21" i="9"/>
  <c r="K21" i="9" s="1"/>
  <c r="I22" i="9"/>
  <c r="K22" i="9" s="1"/>
  <c r="I23" i="9"/>
  <c r="I24" i="9"/>
  <c r="K24" i="9" s="1"/>
  <c r="I25" i="9"/>
  <c r="I27" i="9"/>
  <c r="I29" i="9"/>
  <c r="K29" i="9" s="1"/>
  <c r="I30" i="9"/>
  <c r="I31" i="9"/>
  <c r="K31" i="9" s="1"/>
  <c r="I32" i="9"/>
  <c r="I33" i="9"/>
  <c r="K33" i="9" s="1"/>
  <c r="I34" i="9"/>
  <c r="I35" i="9"/>
  <c r="K35" i="9" s="1"/>
  <c r="I36" i="9"/>
  <c r="K36" i="9" s="1"/>
  <c r="I38" i="9"/>
  <c r="I39" i="9"/>
  <c r="I40" i="9"/>
  <c r="K40" i="9" s="1"/>
  <c r="I41" i="9"/>
  <c r="I42" i="9"/>
  <c r="I43" i="9"/>
  <c r="I44" i="9"/>
  <c r="I45" i="9"/>
  <c r="K45" i="9" s="1"/>
  <c r="I47" i="9"/>
  <c r="K47" i="9" s="1"/>
  <c r="I48" i="9"/>
  <c r="K48" i="9" s="1"/>
  <c r="I49" i="9"/>
  <c r="K49" i="9" s="1"/>
  <c r="I50" i="9"/>
  <c r="K50" i="9" s="1"/>
  <c r="I52" i="9"/>
  <c r="I53" i="9"/>
  <c r="K53" i="9" s="1"/>
  <c r="I54" i="9"/>
  <c r="I55" i="9"/>
  <c r="K55" i="9" s="1"/>
  <c r="I57" i="9"/>
  <c r="K57" i="9" s="1"/>
  <c r="I58" i="9"/>
  <c r="I59" i="9"/>
  <c r="K59" i="9" s="1"/>
  <c r="I60" i="9"/>
  <c r="I61" i="9"/>
  <c r="K61" i="9" s="1"/>
  <c r="I62" i="9"/>
  <c r="I63" i="9"/>
  <c r="K63" i="9" s="1"/>
  <c r="I65" i="9"/>
  <c r="K65" i="9" s="1"/>
  <c r="I66" i="9"/>
  <c r="I67" i="9"/>
  <c r="K67" i="9" s="1"/>
  <c r="I68" i="9"/>
  <c r="K68" i="9" s="1"/>
  <c r="I69" i="9"/>
  <c r="I71" i="9"/>
  <c r="K71" i="9" s="1"/>
  <c r="I72" i="9"/>
  <c r="I73" i="9"/>
  <c r="K73" i="9" s="1"/>
  <c r="I74" i="9"/>
  <c r="I76" i="9"/>
  <c r="K76" i="9" s="1"/>
  <c r="I77" i="9"/>
  <c r="K77" i="9" s="1"/>
  <c r="I78" i="9"/>
  <c r="K78" i="9" s="1"/>
  <c r="I79" i="9"/>
  <c r="K79" i="9" s="1"/>
  <c r="I80" i="9"/>
  <c r="K80" i="9" s="1"/>
  <c r="I81" i="9"/>
  <c r="K81" i="9" s="1"/>
  <c r="I82" i="9"/>
  <c r="K82" i="9" s="1"/>
  <c r="I84" i="9"/>
  <c r="I85" i="9"/>
  <c r="K85" i="9" s="1"/>
  <c r="I86" i="9"/>
  <c r="I87" i="9"/>
  <c r="K87" i="9" s="1"/>
  <c r="I88" i="9"/>
  <c r="K88" i="9" s="1"/>
  <c r="I89" i="9"/>
  <c r="K89" i="9" s="1"/>
  <c r="I90" i="9"/>
  <c r="K90" i="9" s="1"/>
  <c r="I91" i="9"/>
  <c r="K91" i="9" s="1"/>
  <c r="I92" i="9"/>
  <c r="K92" i="9" s="1"/>
  <c r="I94" i="9"/>
  <c r="K94" i="9" s="1"/>
  <c r="I96" i="9"/>
  <c r="K96" i="9" s="1"/>
  <c r="I97" i="9"/>
  <c r="K97" i="9" s="1"/>
  <c r="I98" i="9"/>
  <c r="K98" i="9" s="1"/>
  <c r="I99" i="9"/>
  <c r="K99" i="9" s="1"/>
  <c r="I101" i="9"/>
  <c r="K101" i="9" s="1"/>
  <c r="I102" i="9"/>
  <c r="K102" i="9" s="1"/>
  <c r="I103" i="9"/>
  <c r="I104" i="9"/>
  <c r="K104" i="9" s="1"/>
  <c r="I105" i="9"/>
  <c r="K105" i="9" s="1"/>
  <c r="I106" i="9"/>
  <c r="K106" i="9" s="1"/>
  <c r="I107" i="9"/>
  <c r="K107" i="9" s="1"/>
  <c r="I108" i="9"/>
  <c r="K108" i="9" s="1"/>
  <c r="I109" i="9"/>
  <c r="K109" i="9" s="1"/>
  <c r="I110" i="9"/>
  <c r="K110" i="9" s="1"/>
  <c r="I111" i="9"/>
  <c r="K111" i="9" s="1"/>
  <c r="I112" i="9"/>
  <c r="K112" i="9" s="1"/>
  <c r="I113" i="9"/>
  <c r="I114" i="9"/>
  <c r="K114" i="9" s="1"/>
  <c r="I115" i="9"/>
  <c r="K115" i="9" s="1"/>
  <c r="I116" i="9"/>
  <c r="K116" i="9" s="1"/>
  <c r="I117" i="9"/>
  <c r="K117" i="9" s="1"/>
  <c r="I118" i="9"/>
  <c r="K118" i="9" s="1"/>
  <c r="I119" i="9"/>
  <c r="K119" i="9" s="1"/>
  <c r="I120" i="9"/>
  <c r="K120" i="9" s="1"/>
  <c r="I121" i="9"/>
  <c r="K121" i="9" s="1"/>
  <c r="I122" i="9"/>
  <c r="K122" i="9" s="1"/>
  <c r="I123" i="9"/>
  <c r="K123" i="9" s="1"/>
  <c r="I124" i="9"/>
  <c r="K124" i="9" s="1"/>
  <c r="I125" i="9"/>
  <c r="I126" i="9"/>
  <c r="K126" i="9" s="1"/>
  <c r="I127" i="9"/>
  <c r="K127" i="9" s="1"/>
  <c r="I128" i="9"/>
  <c r="K128" i="9" s="1"/>
  <c r="I129" i="9"/>
  <c r="K129" i="9" s="1"/>
  <c r="I130" i="9"/>
  <c r="K130" i="9" s="1"/>
  <c r="I133" i="9"/>
  <c r="I134" i="9"/>
  <c r="I135" i="9"/>
  <c r="I136" i="9"/>
  <c r="K136" i="9" s="1"/>
  <c r="I138" i="9"/>
  <c r="K138" i="9" s="1"/>
  <c r="I139" i="9"/>
  <c r="I140" i="9"/>
  <c r="I142" i="9"/>
  <c r="K142" i="9" s="1"/>
  <c r="I143" i="9"/>
  <c r="K143" i="9" s="1"/>
  <c r="I144" i="9"/>
  <c r="K144" i="9" s="1"/>
  <c r="I145" i="9"/>
  <c r="K145" i="9" s="1"/>
  <c r="I146" i="9"/>
  <c r="K146" i="9" s="1"/>
  <c r="I148" i="9"/>
  <c r="I150" i="9"/>
  <c r="K150" i="9" s="1"/>
  <c r="I151" i="9"/>
  <c r="I152" i="9"/>
  <c r="K152" i="9" s="1"/>
  <c r="I153" i="9"/>
  <c r="I155" i="9"/>
  <c r="K155" i="9" s="1"/>
  <c r="I157" i="9"/>
  <c r="I158" i="9"/>
  <c r="K158" i="9" s="1"/>
  <c r="I160" i="9"/>
  <c r="K160" i="9" s="1"/>
  <c r="I161" i="9"/>
  <c r="K161" i="9" s="1"/>
  <c r="I163" i="9"/>
  <c r="K163" i="9" s="1"/>
  <c r="I165" i="9"/>
  <c r="K165" i="9" s="1"/>
  <c r="I166" i="9"/>
  <c r="I168" i="9"/>
  <c r="I169" i="9"/>
  <c r="I170" i="9"/>
  <c r="K170" i="9" s="1"/>
  <c r="I172" i="9"/>
  <c r="K172" i="9" s="1"/>
  <c r="I173" i="9"/>
  <c r="I174" i="9"/>
  <c r="K174" i="9" s="1"/>
  <c r="I175" i="9"/>
  <c r="K175" i="9" s="1"/>
  <c r="I176" i="9"/>
  <c r="K176" i="9" s="1"/>
  <c r="I177" i="9"/>
  <c r="K177" i="9" s="1"/>
  <c r="I178" i="9"/>
  <c r="K178" i="9" s="1"/>
  <c r="I179" i="9"/>
  <c r="K179" i="9" s="1"/>
  <c r="I180" i="9"/>
  <c r="K180" i="9" s="1"/>
  <c r="I181" i="9"/>
  <c r="K181" i="9" s="1"/>
  <c r="I184" i="9"/>
  <c r="K184" i="9" s="1"/>
  <c r="K23" i="9"/>
  <c r="K38" i="9"/>
  <c r="K66" i="9"/>
  <c r="K168" i="9"/>
  <c r="I10" i="9"/>
  <c r="K10" i="9" s="1"/>
  <c r="M201" i="9"/>
  <c r="N196" i="9"/>
  <c r="L196" i="9"/>
  <c r="F184" i="9"/>
  <c r="K183" i="9"/>
  <c r="F183" i="9"/>
  <c r="L183" i="9" s="1"/>
  <c r="F181" i="9"/>
  <c r="F180" i="9"/>
  <c r="M180" i="9" s="1"/>
  <c r="F179" i="9"/>
  <c r="F178" i="9"/>
  <c r="M178" i="9" s="1"/>
  <c r="F177" i="9"/>
  <c r="F176" i="9"/>
  <c r="M176" i="9" s="1"/>
  <c r="F175" i="9"/>
  <c r="F174" i="9"/>
  <c r="M174" i="9" s="1"/>
  <c r="K173" i="9"/>
  <c r="F173" i="9"/>
  <c r="F172" i="9"/>
  <c r="M172" i="9" s="1"/>
  <c r="F170" i="9"/>
  <c r="L170" i="9" s="1"/>
  <c r="F169" i="9"/>
  <c r="M169" i="9" s="1"/>
  <c r="F168" i="9"/>
  <c r="F166" i="9"/>
  <c r="M166" i="9" s="1"/>
  <c r="F165" i="9"/>
  <c r="M165" i="9" s="1"/>
  <c r="F163" i="9"/>
  <c r="G162" i="9" s="1"/>
  <c r="F161" i="9"/>
  <c r="F160" i="9"/>
  <c r="F158" i="9"/>
  <c r="M158" i="9" s="1"/>
  <c r="K157" i="9"/>
  <c r="F157" i="9"/>
  <c r="L157" i="9" s="1"/>
  <c r="F155" i="9"/>
  <c r="G154" i="9" s="1"/>
  <c r="F153" i="9"/>
  <c r="M153" i="9" s="1"/>
  <c r="F152" i="9"/>
  <c r="F151" i="9"/>
  <c r="L151" i="9" s="1"/>
  <c r="F150" i="9"/>
  <c r="F148" i="9"/>
  <c r="F146" i="9"/>
  <c r="M146" i="9" s="1"/>
  <c r="F145" i="9"/>
  <c r="F144" i="9"/>
  <c r="M144" i="9" s="1"/>
  <c r="F143" i="9"/>
  <c r="F142" i="9"/>
  <c r="M142" i="9" s="1"/>
  <c r="K140" i="9"/>
  <c r="F140" i="9"/>
  <c r="F139" i="9"/>
  <c r="F138" i="9"/>
  <c r="F136" i="9"/>
  <c r="F135" i="9"/>
  <c r="M135" i="9" s="1"/>
  <c r="F134" i="9"/>
  <c r="F133" i="9"/>
  <c r="M133" i="9" s="1"/>
  <c r="F130" i="9"/>
  <c r="F129" i="9"/>
  <c r="M129" i="9" s="1"/>
  <c r="F128" i="9"/>
  <c r="F127" i="9"/>
  <c r="M127" i="9" s="1"/>
  <c r="F126" i="9"/>
  <c r="K125" i="9"/>
  <c r="F125" i="9"/>
  <c r="L125" i="9" s="1"/>
  <c r="F124" i="9"/>
  <c r="F123" i="9"/>
  <c r="M123" i="9" s="1"/>
  <c r="F122" i="9"/>
  <c r="F121" i="9"/>
  <c r="M121" i="9" s="1"/>
  <c r="F120" i="9"/>
  <c r="F119" i="9"/>
  <c r="M119" i="9" s="1"/>
  <c r="F118" i="9"/>
  <c r="F117" i="9"/>
  <c r="M117" i="9" s="1"/>
  <c r="F116" i="9"/>
  <c r="F115" i="9"/>
  <c r="M115" i="9" s="1"/>
  <c r="F114" i="9"/>
  <c r="K113" i="9"/>
  <c r="F113" i="9"/>
  <c r="F112" i="9"/>
  <c r="F111" i="9"/>
  <c r="M111" i="9" s="1"/>
  <c r="F110" i="9"/>
  <c r="F109" i="9"/>
  <c r="M109" i="9" s="1"/>
  <c r="F108" i="9"/>
  <c r="F107" i="9"/>
  <c r="M107" i="9" s="1"/>
  <c r="F106" i="9"/>
  <c r="F105" i="9"/>
  <c r="M105" i="9" s="1"/>
  <c r="F104" i="9"/>
  <c r="K103" i="9"/>
  <c r="F103" i="9"/>
  <c r="M103" i="9" s="1"/>
  <c r="F102" i="9"/>
  <c r="F101" i="9"/>
  <c r="M101" i="9" s="1"/>
  <c r="F99" i="9"/>
  <c r="F98" i="9"/>
  <c r="L98" i="9" s="1"/>
  <c r="F97" i="9"/>
  <c r="L97" i="9" s="1"/>
  <c r="F96" i="9"/>
  <c r="L96" i="9" s="1"/>
  <c r="F94" i="9"/>
  <c r="M94" i="9" s="1"/>
  <c r="F92" i="9"/>
  <c r="F91" i="9"/>
  <c r="M91" i="9" s="1"/>
  <c r="F90" i="9"/>
  <c r="F89" i="9"/>
  <c r="M89" i="9" s="1"/>
  <c r="F88" i="9"/>
  <c r="F87" i="9"/>
  <c r="M87" i="9" s="1"/>
  <c r="K86" i="9"/>
  <c r="F86" i="9"/>
  <c r="F85" i="9"/>
  <c r="M85" i="9" s="1"/>
  <c r="K84" i="9"/>
  <c r="F84" i="9"/>
  <c r="F82" i="9"/>
  <c r="M82" i="9" s="1"/>
  <c r="F81" i="9"/>
  <c r="F80" i="9"/>
  <c r="F79" i="9"/>
  <c r="F78" i="9"/>
  <c r="M78" i="9" s="1"/>
  <c r="F77" i="9"/>
  <c r="L77" i="9" s="1"/>
  <c r="F76" i="9"/>
  <c r="K74" i="9"/>
  <c r="F74" i="9"/>
  <c r="M74" i="9" s="1"/>
  <c r="F73" i="9"/>
  <c r="K72" i="9"/>
  <c r="F72" i="9"/>
  <c r="M72" i="9" s="1"/>
  <c r="F71" i="9"/>
  <c r="F69" i="9"/>
  <c r="M69" i="9" s="1"/>
  <c r="F68" i="9"/>
  <c r="F67" i="9"/>
  <c r="M67" i="9" s="1"/>
  <c r="F66" i="9"/>
  <c r="F65" i="9"/>
  <c r="M65" i="9" s="1"/>
  <c r="F63" i="9"/>
  <c r="K62" i="9"/>
  <c r="F62" i="9"/>
  <c r="F61" i="9"/>
  <c r="F60" i="9"/>
  <c r="F59" i="9"/>
  <c r="F58" i="9"/>
  <c r="L58" i="9" s="1"/>
  <c r="F57" i="9"/>
  <c r="F55" i="9"/>
  <c r="K54" i="9"/>
  <c r="F54" i="9"/>
  <c r="M54" i="9" s="1"/>
  <c r="F53" i="9"/>
  <c r="F52" i="9"/>
  <c r="L52" i="9" s="1"/>
  <c r="F50" i="9"/>
  <c r="F49" i="9"/>
  <c r="M49" i="9" s="1"/>
  <c r="F48" i="9"/>
  <c r="F47" i="9"/>
  <c r="M47" i="9" s="1"/>
  <c r="F45" i="9"/>
  <c r="F44" i="9"/>
  <c r="L44" i="9" s="1"/>
  <c r="K43" i="9"/>
  <c r="F43" i="9"/>
  <c r="K42" i="9"/>
  <c r="F42" i="9"/>
  <c r="K41" i="9"/>
  <c r="F41" i="9"/>
  <c r="F40" i="9"/>
  <c r="K39" i="9"/>
  <c r="F39" i="9"/>
  <c r="F38" i="9"/>
  <c r="F36" i="9"/>
  <c r="M36" i="9" s="1"/>
  <c r="F35" i="9"/>
  <c r="K34" i="9"/>
  <c r="F34" i="9"/>
  <c r="M34" i="9" s="1"/>
  <c r="F33" i="9"/>
  <c r="K32" i="9"/>
  <c r="F32" i="9"/>
  <c r="F31" i="9"/>
  <c r="K30" i="9"/>
  <c r="F30" i="9"/>
  <c r="L30" i="9" s="1"/>
  <c r="F29" i="9"/>
  <c r="K27" i="9"/>
  <c r="F27" i="9"/>
  <c r="M27" i="9" s="1"/>
  <c r="K25" i="9"/>
  <c r="F25" i="9"/>
  <c r="L25" i="9" s="1"/>
  <c r="F24" i="9"/>
  <c r="M24" i="9" s="1"/>
  <c r="F23" i="9"/>
  <c r="F22" i="9"/>
  <c r="M22" i="9" s="1"/>
  <c r="F21" i="9"/>
  <c r="F20" i="9"/>
  <c r="F19" i="9"/>
  <c r="F17" i="9"/>
  <c r="F16" i="9"/>
  <c r="M16" i="9" s="1"/>
  <c r="K15" i="9"/>
  <c r="F15" i="9"/>
  <c r="K14" i="9"/>
  <c r="F14" i="9"/>
  <c r="M14" i="9" s="1"/>
  <c r="F13" i="9"/>
  <c r="F12" i="9"/>
  <c r="M12" i="9" s="1"/>
  <c r="K11" i="9"/>
  <c r="F11" i="9"/>
  <c r="F10" i="9"/>
  <c r="I12" i="8"/>
  <c r="I13" i="8"/>
  <c r="I14" i="8"/>
  <c r="I15" i="8"/>
  <c r="I16" i="8"/>
  <c r="I17" i="8"/>
  <c r="I19" i="8"/>
  <c r="I20" i="8"/>
  <c r="I21" i="8"/>
  <c r="I22" i="8"/>
  <c r="I23" i="8"/>
  <c r="I24" i="8"/>
  <c r="I25" i="8"/>
  <c r="I27" i="8"/>
  <c r="I29" i="8"/>
  <c r="I30" i="8"/>
  <c r="I31" i="8"/>
  <c r="I32" i="8"/>
  <c r="I33" i="8"/>
  <c r="I34" i="8"/>
  <c r="I35" i="8"/>
  <c r="I36" i="8"/>
  <c r="I38" i="8"/>
  <c r="I39" i="8"/>
  <c r="I40" i="8"/>
  <c r="I41" i="8"/>
  <c r="I42" i="8"/>
  <c r="I43" i="8"/>
  <c r="I44" i="8"/>
  <c r="I45" i="8"/>
  <c r="I47" i="8"/>
  <c r="I48" i="8"/>
  <c r="I49" i="8"/>
  <c r="I50" i="8"/>
  <c r="I52" i="8"/>
  <c r="I53" i="8"/>
  <c r="I54" i="8"/>
  <c r="I55" i="8"/>
  <c r="I57" i="8"/>
  <c r="I58" i="8"/>
  <c r="I59" i="8"/>
  <c r="I60" i="8"/>
  <c r="I61" i="8"/>
  <c r="I62" i="8"/>
  <c r="I63" i="8"/>
  <c r="I65" i="8"/>
  <c r="I66" i="8"/>
  <c r="I67" i="8"/>
  <c r="I68" i="8"/>
  <c r="I69" i="8"/>
  <c r="I71" i="8"/>
  <c r="I72" i="8"/>
  <c r="I73" i="8"/>
  <c r="I74" i="8"/>
  <c r="I76" i="8"/>
  <c r="I77" i="8"/>
  <c r="I78" i="8"/>
  <c r="I79" i="8"/>
  <c r="I80" i="8"/>
  <c r="I81" i="8"/>
  <c r="I82" i="8"/>
  <c r="I84" i="8"/>
  <c r="I85" i="8"/>
  <c r="I86" i="8"/>
  <c r="I87" i="8"/>
  <c r="I88" i="8"/>
  <c r="I89" i="8"/>
  <c r="I90" i="8"/>
  <c r="I91" i="8"/>
  <c r="I92" i="8"/>
  <c r="I94" i="8"/>
  <c r="I96" i="8"/>
  <c r="I97" i="8"/>
  <c r="I98" i="8"/>
  <c r="I99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3" i="8"/>
  <c r="I134" i="8"/>
  <c r="I135" i="8"/>
  <c r="I136" i="8"/>
  <c r="I138" i="8"/>
  <c r="I139" i="8"/>
  <c r="I140" i="8"/>
  <c r="I142" i="8"/>
  <c r="I143" i="8"/>
  <c r="I144" i="8"/>
  <c r="I145" i="8"/>
  <c r="I146" i="8"/>
  <c r="I148" i="8"/>
  <c r="I150" i="8"/>
  <c r="I151" i="8"/>
  <c r="I152" i="8"/>
  <c r="I153" i="8"/>
  <c r="I155" i="8"/>
  <c r="I157" i="8"/>
  <c r="I158" i="8"/>
  <c r="I160" i="8"/>
  <c r="I161" i="8"/>
  <c r="I163" i="8"/>
  <c r="I165" i="8"/>
  <c r="I166" i="8"/>
  <c r="I168" i="8"/>
  <c r="I169" i="8"/>
  <c r="I170" i="8"/>
  <c r="I172" i="8"/>
  <c r="I173" i="8"/>
  <c r="I174" i="8"/>
  <c r="I175" i="8"/>
  <c r="I176" i="8"/>
  <c r="I177" i="8"/>
  <c r="I178" i="8"/>
  <c r="I179" i="8"/>
  <c r="I180" i="8"/>
  <c r="I181" i="8"/>
  <c r="I183" i="8"/>
  <c r="I184" i="8"/>
  <c r="I11" i="8"/>
  <c r="I10" i="8"/>
  <c r="M193" i="8"/>
  <c r="N188" i="8"/>
  <c r="L188" i="8"/>
  <c r="K184" i="8"/>
  <c r="F184" i="8"/>
  <c r="K183" i="8"/>
  <c r="F183" i="8"/>
  <c r="G182" i="8"/>
  <c r="K181" i="8"/>
  <c r="F181" i="8"/>
  <c r="K180" i="8"/>
  <c r="F180" i="8"/>
  <c r="K179" i="8"/>
  <c r="F179" i="8"/>
  <c r="K178" i="8"/>
  <c r="F178" i="8"/>
  <c r="K177" i="8"/>
  <c r="F177" i="8"/>
  <c r="K176" i="8"/>
  <c r="F176" i="8"/>
  <c r="K175" i="8"/>
  <c r="F175" i="8"/>
  <c r="K174" i="8"/>
  <c r="F174" i="8"/>
  <c r="K173" i="8"/>
  <c r="F173" i="8"/>
  <c r="K172" i="8"/>
  <c r="F172" i="8"/>
  <c r="G171" i="8"/>
  <c r="K170" i="8"/>
  <c r="F170" i="8"/>
  <c r="K169" i="8"/>
  <c r="F169" i="8"/>
  <c r="K168" i="8"/>
  <c r="F168" i="8"/>
  <c r="G167" i="8"/>
  <c r="K166" i="8"/>
  <c r="F166" i="8"/>
  <c r="K165" i="8"/>
  <c r="F165" i="8"/>
  <c r="G164" i="8"/>
  <c r="K163" i="8"/>
  <c r="F163" i="8"/>
  <c r="G162" i="8"/>
  <c r="K161" i="8"/>
  <c r="F161" i="8"/>
  <c r="K160" i="8"/>
  <c r="F160" i="8"/>
  <c r="G159" i="8"/>
  <c r="K158" i="8"/>
  <c r="F158" i="8"/>
  <c r="K157" i="8"/>
  <c r="F157" i="8"/>
  <c r="G156" i="8"/>
  <c r="K155" i="8"/>
  <c r="F155" i="8"/>
  <c r="G154" i="8"/>
  <c r="K153" i="8"/>
  <c r="F153" i="8"/>
  <c r="K152" i="8"/>
  <c r="F152" i="8"/>
  <c r="K151" i="8"/>
  <c r="F151" i="8"/>
  <c r="K150" i="8"/>
  <c r="F150" i="8"/>
  <c r="G149" i="8"/>
  <c r="K148" i="8"/>
  <c r="F148" i="8"/>
  <c r="G147" i="8"/>
  <c r="K146" i="8"/>
  <c r="F146" i="8"/>
  <c r="K145" i="8"/>
  <c r="F145" i="8"/>
  <c r="K144" i="8"/>
  <c r="F144" i="8"/>
  <c r="K143" i="8"/>
  <c r="F143" i="8"/>
  <c r="K142" i="8"/>
  <c r="F142" i="8"/>
  <c r="G141" i="8"/>
  <c r="K140" i="8"/>
  <c r="F140" i="8"/>
  <c r="K139" i="8"/>
  <c r="F139" i="8"/>
  <c r="K138" i="8"/>
  <c r="F138" i="8"/>
  <c r="G137" i="8"/>
  <c r="K136" i="8"/>
  <c r="F136" i="8"/>
  <c r="K135" i="8"/>
  <c r="F135" i="8"/>
  <c r="K134" i="8"/>
  <c r="F134" i="8"/>
  <c r="K133" i="8"/>
  <c r="F133" i="8"/>
  <c r="G132" i="8"/>
  <c r="K130" i="8"/>
  <c r="F130" i="8"/>
  <c r="K129" i="8"/>
  <c r="F129" i="8"/>
  <c r="K128" i="8"/>
  <c r="F128" i="8"/>
  <c r="K127" i="8"/>
  <c r="F127" i="8"/>
  <c r="K126" i="8"/>
  <c r="F126" i="8"/>
  <c r="K125" i="8"/>
  <c r="F125" i="8"/>
  <c r="K124" i="8"/>
  <c r="F124" i="8"/>
  <c r="K123" i="8"/>
  <c r="F123" i="8"/>
  <c r="K122" i="8"/>
  <c r="F122" i="8"/>
  <c r="K121" i="8"/>
  <c r="F121" i="8"/>
  <c r="K120" i="8"/>
  <c r="F120" i="8"/>
  <c r="K119" i="8"/>
  <c r="F119" i="8"/>
  <c r="K118" i="8"/>
  <c r="F118" i="8"/>
  <c r="K117" i="8"/>
  <c r="F117" i="8"/>
  <c r="K116" i="8"/>
  <c r="F116" i="8"/>
  <c r="K115" i="8"/>
  <c r="F115" i="8"/>
  <c r="K114" i="8"/>
  <c r="F114" i="8"/>
  <c r="K113" i="8"/>
  <c r="F113" i="8"/>
  <c r="K112" i="8"/>
  <c r="F112" i="8"/>
  <c r="K111" i="8"/>
  <c r="F111" i="8"/>
  <c r="K110" i="8"/>
  <c r="F110" i="8"/>
  <c r="K109" i="8"/>
  <c r="F109" i="8"/>
  <c r="K108" i="8"/>
  <c r="F108" i="8"/>
  <c r="K107" i="8"/>
  <c r="F107" i="8"/>
  <c r="K106" i="8"/>
  <c r="F106" i="8"/>
  <c r="K105" i="8"/>
  <c r="F105" i="8"/>
  <c r="K104" i="8"/>
  <c r="F104" i="8"/>
  <c r="K103" i="8"/>
  <c r="F103" i="8"/>
  <c r="K102" i="8"/>
  <c r="F102" i="8"/>
  <c r="K101" i="8"/>
  <c r="F101" i="8"/>
  <c r="G100" i="8"/>
  <c r="K99" i="8"/>
  <c r="F99" i="8"/>
  <c r="K98" i="8"/>
  <c r="F98" i="8"/>
  <c r="K97" i="8"/>
  <c r="F97" i="8"/>
  <c r="K96" i="8"/>
  <c r="F96" i="8"/>
  <c r="G95" i="8"/>
  <c r="K94" i="8"/>
  <c r="F94" i="8"/>
  <c r="G93" i="8"/>
  <c r="K92" i="8"/>
  <c r="F92" i="8"/>
  <c r="K91" i="8"/>
  <c r="F91" i="8"/>
  <c r="K90" i="8"/>
  <c r="F90" i="8"/>
  <c r="K89" i="8"/>
  <c r="F89" i="8"/>
  <c r="K88" i="8"/>
  <c r="F88" i="8"/>
  <c r="K87" i="8"/>
  <c r="F87" i="8"/>
  <c r="K86" i="8"/>
  <c r="F86" i="8"/>
  <c r="K85" i="8"/>
  <c r="F85" i="8"/>
  <c r="K84" i="8"/>
  <c r="F84" i="8"/>
  <c r="G83" i="8"/>
  <c r="K82" i="8"/>
  <c r="F82" i="8"/>
  <c r="K81" i="8"/>
  <c r="F81" i="8"/>
  <c r="K80" i="8"/>
  <c r="F80" i="8"/>
  <c r="K79" i="8"/>
  <c r="F79" i="8"/>
  <c r="K78" i="8"/>
  <c r="F78" i="8"/>
  <c r="K77" i="8"/>
  <c r="F77" i="8"/>
  <c r="K76" i="8"/>
  <c r="F76" i="8"/>
  <c r="G75" i="8"/>
  <c r="K74" i="8"/>
  <c r="F74" i="8"/>
  <c r="K73" i="8"/>
  <c r="F73" i="8"/>
  <c r="K72" i="8"/>
  <c r="F72" i="8"/>
  <c r="K71" i="8"/>
  <c r="F71" i="8"/>
  <c r="G70" i="8"/>
  <c r="K69" i="8"/>
  <c r="F69" i="8"/>
  <c r="K68" i="8"/>
  <c r="F68" i="8"/>
  <c r="K67" i="8"/>
  <c r="F67" i="8"/>
  <c r="K66" i="8"/>
  <c r="F66" i="8"/>
  <c r="K65" i="8"/>
  <c r="F65" i="8"/>
  <c r="G64" i="8"/>
  <c r="K63" i="8"/>
  <c r="F63" i="8"/>
  <c r="K62" i="8"/>
  <c r="F62" i="8"/>
  <c r="K61" i="8"/>
  <c r="F61" i="8"/>
  <c r="K60" i="8"/>
  <c r="F60" i="8"/>
  <c r="K59" i="8"/>
  <c r="F59" i="8"/>
  <c r="K58" i="8"/>
  <c r="F58" i="8"/>
  <c r="K57" i="8"/>
  <c r="F57" i="8"/>
  <c r="G56" i="8"/>
  <c r="K55" i="8"/>
  <c r="F55" i="8"/>
  <c r="K54" i="8"/>
  <c r="F54" i="8"/>
  <c r="K53" i="8"/>
  <c r="F53" i="8"/>
  <c r="K52" i="8"/>
  <c r="F52" i="8"/>
  <c r="G51" i="8"/>
  <c r="K50" i="8"/>
  <c r="F50" i="8"/>
  <c r="K49" i="8"/>
  <c r="F49" i="8"/>
  <c r="K48" i="8"/>
  <c r="F48" i="8"/>
  <c r="K47" i="8"/>
  <c r="F47" i="8"/>
  <c r="G46" i="8"/>
  <c r="K45" i="8"/>
  <c r="F45" i="8"/>
  <c r="K44" i="8"/>
  <c r="F44" i="8"/>
  <c r="K43" i="8"/>
  <c r="F43" i="8"/>
  <c r="K42" i="8"/>
  <c r="F42" i="8"/>
  <c r="K41" i="8"/>
  <c r="F41" i="8"/>
  <c r="K40" i="8"/>
  <c r="F40" i="8"/>
  <c r="K39" i="8"/>
  <c r="F39" i="8"/>
  <c r="K38" i="8"/>
  <c r="F38" i="8"/>
  <c r="G37" i="8"/>
  <c r="K36" i="8"/>
  <c r="F36" i="8"/>
  <c r="K35" i="8"/>
  <c r="F35" i="8"/>
  <c r="K34" i="8"/>
  <c r="F34" i="8"/>
  <c r="K33" i="8"/>
  <c r="F33" i="8"/>
  <c r="K32" i="8"/>
  <c r="F32" i="8"/>
  <c r="K31" i="8"/>
  <c r="F31" i="8"/>
  <c r="K30" i="8"/>
  <c r="F30" i="8"/>
  <c r="K29" i="8"/>
  <c r="F29" i="8"/>
  <c r="G28" i="8"/>
  <c r="K27" i="8"/>
  <c r="F27" i="8"/>
  <c r="G26" i="8"/>
  <c r="K25" i="8"/>
  <c r="F25" i="8"/>
  <c r="K24" i="8"/>
  <c r="F24" i="8"/>
  <c r="K23" i="8"/>
  <c r="F23" i="8"/>
  <c r="K22" i="8"/>
  <c r="F22" i="8"/>
  <c r="K21" i="8"/>
  <c r="F21" i="8"/>
  <c r="K20" i="8"/>
  <c r="F20" i="8"/>
  <c r="K19" i="8"/>
  <c r="F19" i="8"/>
  <c r="G18" i="8"/>
  <c r="K17" i="8"/>
  <c r="F17" i="8"/>
  <c r="K16" i="8"/>
  <c r="F16" i="8"/>
  <c r="K15" i="8"/>
  <c r="F15" i="8"/>
  <c r="K14" i="8"/>
  <c r="F14" i="8"/>
  <c r="K13" i="8"/>
  <c r="F13" i="8"/>
  <c r="K12" i="8"/>
  <c r="F12" i="8"/>
  <c r="K11" i="8"/>
  <c r="F11" i="8"/>
  <c r="K10" i="8"/>
  <c r="F10" i="8"/>
  <c r="G9" i="8"/>
  <c r="I11" i="7"/>
  <c r="I12" i="7"/>
  <c r="I13" i="7"/>
  <c r="I14" i="7"/>
  <c r="I15" i="7"/>
  <c r="I16" i="7"/>
  <c r="I17" i="7"/>
  <c r="I19" i="7"/>
  <c r="I20" i="7"/>
  <c r="I21" i="7"/>
  <c r="I22" i="7"/>
  <c r="I23" i="7"/>
  <c r="I24" i="7"/>
  <c r="I25" i="7"/>
  <c r="I27" i="7"/>
  <c r="I28" i="7"/>
  <c r="I29" i="7"/>
  <c r="I30" i="7"/>
  <c r="I31" i="7"/>
  <c r="I32" i="7"/>
  <c r="I33" i="7"/>
  <c r="I34" i="7"/>
  <c r="I35" i="7"/>
  <c r="I36" i="7"/>
  <c r="I38" i="7"/>
  <c r="I39" i="7"/>
  <c r="I40" i="7"/>
  <c r="I41" i="7"/>
  <c r="I42" i="7"/>
  <c r="I43" i="7"/>
  <c r="I44" i="7"/>
  <c r="I45" i="7"/>
  <c r="I47" i="7"/>
  <c r="I48" i="7"/>
  <c r="I49" i="7"/>
  <c r="I50" i="7"/>
  <c r="I52" i="7"/>
  <c r="I53" i="7"/>
  <c r="I54" i="7"/>
  <c r="I55" i="7"/>
  <c r="I57" i="7"/>
  <c r="I58" i="7"/>
  <c r="I59" i="7"/>
  <c r="I60" i="7"/>
  <c r="I61" i="7"/>
  <c r="I62" i="7"/>
  <c r="I63" i="7"/>
  <c r="I65" i="7"/>
  <c r="I66" i="7"/>
  <c r="I67" i="7"/>
  <c r="I68" i="7"/>
  <c r="I69" i="7"/>
  <c r="I71" i="7"/>
  <c r="I72" i="7"/>
  <c r="I73" i="7"/>
  <c r="I74" i="7"/>
  <c r="I76" i="7"/>
  <c r="I77" i="7"/>
  <c r="I78" i="7"/>
  <c r="I79" i="7"/>
  <c r="I80" i="7"/>
  <c r="I81" i="7"/>
  <c r="I82" i="7"/>
  <c r="I84" i="7"/>
  <c r="I85" i="7"/>
  <c r="I86" i="7"/>
  <c r="I87" i="7"/>
  <c r="I88" i="7"/>
  <c r="I89" i="7"/>
  <c r="I90" i="7"/>
  <c r="I91" i="7"/>
  <c r="I92" i="7"/>
  <c r="I94" i="7"/>
  <c r="I96" i="7"/>
  <c r="I97" i="7"/>
  <c r="I98" i="7"/>
  <c r="I99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3" i="7"/>
  <c r="I134" i="7"/>
  <c r="I135" i="7"/>
  <c r="I136" i="7"/>
  <c r="I138" i="7"/>
  <c r="I139" i="7"/>
  <c r="I140" i="7"/>
  <c r="I142" i="7"/>
  <c r="I143" i="7"/>
  <c r="I144" i="7"/>
  <c r="I145" i="7"/>
  <c r="I146" i="7"/>
  <c r="I148" i="7"/>
  <c r="I150" i="7"/>
  <c r="I151" i="7"/>
  <c r="I152" i="7"/>
  <c r="I153" i="7"/>
  <c r="I155" i="7"/>
  <c r="I157" i="7"/>
  <c r="I158" i="7"/>
  <c r="I160" i="7"/>
  <c r="I161" i="7"/>
  <c r="I163" i="7"/>
  <c r="I165" i="7"/>
  <c r="I166" i="7"/>
  <c r="I168" i="7"/>
  <c r="I169" i="7"/>
  <c r="I170" i="7"/>
  <c r="I172" i="7"/>
  <c r="I173" i="7"/>
  <c r="I174" i="7"/>
  <c r="I175" i="7"/>
  <c r="I176" i="7"/>
  <c r="I177" i="7"/>
  <c r="I178" i="7"/>
  <c r="I179" i="7"/>
  <c r="I180" i="7"/>
  <c r="I181" i="7"/>
  <c r="I183" i="7"/>
  <c r="I184" i="7"/>
  <c r="I10" i="7"/>
  <c r="H185" i="11" l="1"/>
  <c r="N201" i="11"/>
  <c r="N203" i="11" s="1"/>
  <c r="L76" i="9"/>
  <c r="L136" i="9"/>
  <c r="L60" i="9"/>
  <c r="L59" i="9"/>
  <c r="L41" i="9"/>
  <c r="N125" i="9"/>
  <c r="L20" i="9"/>
  <c r="M125" i="9"/>
  <c r="L152" i="9"/>
  <c r="L32" i="9"/>
  <c r="K60" i="9"/>
  <c r="N60" i="9" s="1"/>
  <c r="N157" i="9"/>
  <c r="L62" i="9"/>
  <c r="G182" i="9"/>
  <c r="L80" i="9"/>
  <c r="N36" i="9"/>
  <c r="L34" i="9"/>
  <c r="N127" i="9"/>
  <c r="L27" i="9"/>
  <c r="L134" i="9"/>
  <c r="L12" i="9"/>
  <c r="G28" i="9"/>
  <c r="L72" i="9"/>
  <c r="L99" i="9"/>
  <c r="N161" i="9"/>
  <c r="N48" i="9"/>
  <c r="G159" i="9"/>
  <c r="N72" i="9"/>
  <c r="N32" i="9"/>
  <c r="G164" i="9"/>
  <c r="M157" i="9"/>
  <c r="M184" i="9"/>
  <c r="M52" i="9"/>
  <c r="L61" i="9"/>
  <c r="N74" i="9"/>
  <c r="L148" i="9"/>
  <c r="L158" i="9"/>
  <c r="L14" i="9"/>
  <c r="N30" i="9"/>
  <c r="L74" i="9"/>
  <c r="N82" i="9"/>
  <c r="G149" i="9"/>
  <c r="N14" i="9"/>
  <c r="L82" i="9"/>
  <c r="G70" i="9"/>
  <c r="L161" i="9"/>
  <c r="M32" i="9"/>
  <c r="G56" i="9"/>
  <c r="L63" i="9"/>
  <c r="L135" i="9"/>
  <c r="N24" i="9"/>
  <c r="L16" i="9"/>
  <c r="M80" i="9"/>
  <c r="M98" i="9"/>
  <c r="N183" i="9"/>
  <c r="N165" i="9"/>
  <c r="N22" i="9"/>
  <c r="G156" i="9"/>
  <c r="M161" i="9"/>
  <c r="M183" i="9"/>
  <c r="K135" i="9"/>
  <c r="N135" i="9" s="1"/>
  <c r="G147" i="9"/>
  <c r="N129" i="9"/>
  <c r="G18" i="9"/>
  <c r="F185" i="9"/>
  <c r="N10" i="9"/>
  <c r="M10" i="9"/>
  <c r="M20" i="9"/>
  <c r="N54" i="9"/>
  <c r="N78" i="9"/>
  <c r="G83" i="9"/>
  <c r="N113" i="9"/>
  <c r="M151" i="9"/>
  <c r="L54" i="9"/>
  <c r="L78" i="9"/>
  <c r="L10" i="9"/>
  <c r="L139" i="9"/>
  <c r="N34" i="9"/>
  <c r="M113" i="9"/>
  <c r="G137" i="9"/>
  <c r="L133" i="9"/>
  <c r="L153" i="9"/>
  <c r="L69" i="9"/>
  <c r="N12" i="9"/>
  <c r="N16" i="9"/>
  <c r="M30" i="9"/>
  <c r="L169" i="9"/>
  <c r="L166" i="9"/>
  <c r="N94" i="9"/>
  <c r="N80" i="9"/>
  <c r="N49" i="9"/>
  <c r="L129" i="9"/>
  <c r="L165" i="9"/>
  <c r="L45" i="9"/>
  <c r="L81" i="9"/>
  <c r="N96" i="9"/>
  <c r="K134" i="9"/>
  <c r="N134" i="9" s="1"/>
  <c r="L36" i="9"/>
  <c r="K166" i="9"/>
  <c r="N166" i="9" s="1"/>
  <c r="N179" i="9"/>
  <c r="L94" i="9"/>
  <c r="N68" i="9"/>
  <c r="N110" i="9"/>
  <c r="K148" i="9"/>
  <c r="N148" i="9" s="1"/>
  <c r="L168" i="9"/>
  <c r="L23" i="9"/>
  <c r="K52" i="9"/>
  <c r="N52" i="9" s="1"/>
  <c r="N126" i="9"/>
  <c r="K133" i="9"/>
  <c r="N133" i="9" s="1"/>
  <c r="N17" i="9"/>
  <c r="N67" i="9"/>
  <c r="N42" i="9"/>
  <c r="N11" i="9"/>
  <c r="N15" i="9"/>
  <c r="N66" i="9"/>
  <c r="N112" i="9"/>
  <c r="N117" i="9"/>
  <c r="N144" i="9"/>
  <c r="L43" i="9"/>
  <c r="L127" i="9"/>
  <c r="N175" i="9"/>
  <c r="N180" i="9"/>
  <c r="N50" i="9"/>
  <c r="N145" i="9"/>
  <c r="N176" i="9"/>
  <c r="N62" i="9"/>
  <c r="N104" i="9"/>
  <c r="N109" i="9"/>
  <c r="N128" i="9"/>
  <c r="N140" i="9"/>
  <c r="N146" i="9"/>
  <c r="N172" i="9"/>
  <c r="N13" i="9"/>
  <c r="N105" i="9"/>
  <c r="N124" i="9"/>
  <c r="N177" i="9"/>
  <c r="N47" i="9"/>
  <c r="N115" i="9"/>
  <c r="L79" i="9"/>
  <c r="N173" i="9"/>
  <c r="N178" i="9"/>
  <c r="N53" i="9"/>
  <c r="N106" i="9"/>
  <c r="N130" i="9"/>
  <c r="N85" i="9"/>
  <c r="N136" i="9"/>
  <c r="N143" i="9"/>
  <c r="N174" i="9"/>
  <c r="N184" i="9"/>
  <c r="N111" i="9"/>
  <c r="N39" i="9"/>
  <c r="N102" i="9"/>
  <c r="N107" i="9"/>
  <c r="N87" i="9"/>
  <c r="N21" i="9"/>
  <c r="N31" i="9"/>
  <c r="N35" i="9"/>
  <c r="N108" i="9"/>
  <c r="N29" i="9"/>
  <c r="N33" i="9"/>
  <c r="N38" i="9"/>
  <c r="N90" i="9"/>
  <c r="N101" i="9"/>
  <c r="N120" i="9"/>
  <c r="N73" i="9"/>
  <c r="N86" i="9"/>
  <c r="N91" i="9"/>
  <c r="N116" i="9"/>
  <c r="N121" i="9"/>
  <c r="N40" i="9"/>
  <c r="N65" i="9"/>
  <c r="N92" i="9"/>
  <c r="N98" i="9"/>
  <c r="N103" i="9"/>
  <c r="N122" i="9"/>
  <c r="N142" i="9"/>
  <c r="N158" i="9"/>
  <c r="N27" i="9"/>
  <c r="N55" i="9"/>
  <c r="N71" i="9"/>
  <c r="N88" i="9"/>
  <c r="N118" i="9"/>
  <c r="N123" i="9"/>
  <c r="N76" i="9"/>
  <c r="N89" i="9"/>
  <c r="N114" i="9"/>
  <c r="N119" i="9"/>
  <c r="N181" i="9"/>
  <c r="M19" i="9"/>
  <c r="M21" i="9"/>
  <c r="M23" i="9"/>
  <c r="M25" i="9"/>
  <c r="G37" i="9"/>
  <c r="M39" i="9"/>
  <c r="M41" i="9"/>
  <c r="M43" i="9"/>
  <c r="M45" i="9"/>
  <c r="M57" i="9"/>
  <c r="M59" i="9"/>
  <c r="M61" i="9"/>
  <c r="M63" i="9"/>
  <c r="G75" i="9"/>
  <c r="M77" i="9"/>
  <c r="M79" i="9"/>
  <c r="M81" i="9"/>
  <c r="G95" i="9"/>
  <c r="M97" i="9"/>
  <c r="M99" i="9"/>
  <c r="M138" i="9"/>
  <c r="M140" i="9"/>
  <c r="M150" i="9"/>
  <c r="M152" i="9"/>
  <c r="M160" i="9"/>
  <c r="M168" i="9"/>
  <c r="M170" i="9"/>
  <c r="L21" i="9"/>
  <c r="L39" i="9"/>
  <c r="L57" i="9"/>
  <c r="L140" i="9"/>
  <c r="N19" i="9"/>
  <c r="N23" i="9"/>
  <c r="N25" i="9"/>
  <c r="N41" i="9"/>
  <c r="N43" i="9"/>
  <c r="N45" i="9"/>
  <c r="L48" i="9"/>
  <c r="L50" i="9"/>
  <c r="N57" i="9"/>
  <c r="N59" i="9"/>
  <c r="N61" i="9"/>
  <c r="N63" i="9"/>
  <c r="L66" i="9"/>
  <c r="L68" i="9"/>
  <c r="N77" i="9"/>
  <c r="N79" i="9"/>
  <c r="N81" i="9"/>
  <c r="L84" i="9"/>
  <c r="L86" i="9"/>
  <c r="L88" i="9"/>
  <c r="L90" i="9"/>
  <c r="L92" i="9"/>
  <c r="N97" i="9"/>
  <c r="N99" i="9"/>
  <c r="L102" i="9"/>
  <c r="L104" i="9"/>
  <c r="L106" i="9"/>
  <c r="L108" i="9"/>
  <c r="L110" i="9"/>
  <c r="L112" i="9"/>
  <c r="L114" i="9"/>
  <c r="L116" i="9"/>
  <c r="L118" i="9"/>
  <c r="L120" i="9"/>
  <c r="L122" i="9"/>
  <c r="L124" i="9"/>
  <c r="L126" i="9"/>
  <c r="L128" i="9"/>
  <c r="L130" i="9"/>
  <c r="N138" i="9"/>
  <c r="L143" i="9"/>
  <c r="L145" i="9"/>
  <c r="N150" i="9"/>
  <c r="N152" i="9"/>
  <c r="L155" i="9"/>
  <c r="N160" i="9"/>
  <c r="L163" i="9"/>
  <c r="N168" i="9"/>
  <c r="N170" i="9"/>
  <c r="L173" i="9"/>
  <c r="L175" i="9"/>
  <c r="L177" i="9"/>
  <c r="L179" i="9"/>
  <c r="L181" i="9"/>
  <c r="G26" i="9"/>
  <c r="G46" i="9"/>
  <c r="M48" i="9"/>
  <c r="M50" i="9"/>
  <c r="G64" i="9"/>
  <c r="M66" i="9"/>
  <c r="M68" i="9"/>
  <c r="M84" i="9"/>
  <c r="M86" i="9"/>
  <c r="M88" i="9"/>
  <c r="M90" i="9"/>
  <c r="M92" i="9"/>
  <c r="G100" i="9"/>
  <c r="M102" i="9"/>
  <c r="M104" i="9"/>
  <c r="M106" i="9"/>
  <c r="M108" i="9"/>
  <c r="M110" i="9"/>
  <c r="M112" i="9"/>
  <c r="M114" i="9"/>
  <c r="M116" i="9"/>
  <c r="M118" i="9"/>
  <c r="M120" i="9"/>
  <c r="M122" i="9"/>
  <c r="M124" i="9"/>
  <c r="M126" i="9"/>
  <c r="M128" i="9"/>
  <c r="M130" i="9"/>
  <c r="G141" i="9"/>
  <c r="M143" i="9"/>
  <c r="M145" i="9"/>
  <c r="M155" i="9"/>
  <c r="M163" i="9"/>
  <c r="G171" i="9"/>
  <c r="M173" i="9"/>
  <c r="M175" i="9"/>
  <c r="M177" i="9"/>
  <c r="M179" i="9"/>
  <c r="M181" i="9"/>
  <c r="L13" i="9"/>
  <c r="L15" i="9"/>
  <c r="L17" i="9"/>
  <c r="L29" i="9"/>
  <c r="L31" i="9"/>
  <c r="L33" i="9"/>
  <c r="L35" i="9"/>
  <c r="L53" i="9"/>
  <c r="L55" i="9"/>
  <c r="L71" i="9"/>
  <c r="L73" i="9"/>
  <c r="N84" i="9"/>
  <c r="N155" i="9"/>
  <c r="N163" i="9"/>
  <c r="L184" i="9"/>
  <c r="G9" i="9"/>
  <c r="M11" i="9"/>
  <c r="M13" i="9"/>
  <c r="M15" i="9"/>
  <c r="M17" i="9"/>
  <c r="K20" i="9"/>
  <c r="N20" i="9" s="1"/>
  <c r="M29" i="9"/>
  <c r="M31" i="9"/>
  <c r="M33" i="9"/>
  <c r="M35" i="9"/>
  <c r="K44" i="9"/>
  <c r="N44" i="9" s="1"/>
  <c r="G51" i="9"/>
  <c r="M53" i="9"/>
  <c r="M55" i="9"/>
  <c r="K58" i="9"/>
  <c r="N58" i="9" s="1"/>
  <c r="M71" i="9"/>
  <c r="M73" i="9"/>
  <c r="G93" i="9"/>
  <c r="G132" i="9"/>
  <c r="M134" i="9"/>
  <c r="M136" i="9"/>
  <c r="K139" i="9"/>
  <c r="N139" i="9" s="1"/>
  <c r="M148" i="9"/>
  <c r="K151" i="9"/>
  <c r="N151" i="9" s="1"/>
  <c r="K153" i="9"/>
  <c r="N153" i="9" s="1"/>
  <c r="K169" i="9"/>
  <c r="N169" i="9" s="1"/>
  <c r="L19" i="9"/>
  <c r="L150" i="9"/>
  <c r="L160" i="9"/>
  <c r="L22" i="9"/>
  <c r="L24" i="9"/>
  <c r="L38" i="9"/>
  <c r="L40" i="9"/>
  <c r="L42" i="9"/>
  <c r="L138" i="9"/>
  <c r="M38" i="9"/>
  <c r="M40" i="9"/>
  <c r="M42" i="9"/>
  <c r="M44" i="9"/>
  <c r="M58" i="9"/>
  <c r="M60" i="9"/>
  <c r="M62" i="9"/>
  <c r="K69" i="9"/>
  <c r="N69" i="9" s="1"/>
  <c r="M76" i="9"/>
  <c r="M96" i="9"/>
  <c r="M139" i="9"/>
  <c r="G167" i="9"/>
  <c r="L47" i="9"/>
  <c r="L49" i="9"/>
  <c r="L65" i="9"/>
  <c r="L67" i="9"/>
  <c r="L85" i="9"/>
  <c r="L87" i="9"/>
  <c r="L89" i="9"/>
  <c r="L91" i="9"/>
  <c r="L101" i="9"/>
  <c r="L103" i="9"/>
  <c r="L105" i="9"/>
  <c r="L107" i="9"/>
  <c r="L109" i="9"/>
  <c r="L111" i="9"/>
  <c r="L113" i="9"/>
  <c r="L115" i="9"/>
  <c r="L117" i="9"/>
  <c r="L119" i="9"/>
  <c r="L121" i="9"/>
  <c r="L123" i="9"/>
  <c r="L142" i="9"/>
  <c r="L144" i="9"/>
  <c r="L146" i="9"/>
  <c r="L172" i="9"/>
  <c r="L174" i="9"/>
  <c r="L176" i="9"/>
  <c r="L178" i="9"/>
  <c r="L180" i="9"/>
  <c r="G185" i="8"/>
  <c r="N190" i="8" s="1"/>
  <c r="N191" i="8" s="1"/>
  <c r="H9" i="8"/>
  <c r="F185" i="8"/>
  <c r="N10" i="8"/>
  <c r="M10" i="8"/>
  <c r="L10" i="8"/>
  <c r="N11" i="8"/>
  <c r="M11" i="8"/>
  <c r="L11" i="8"/>
  <c r="N12" i="8"/>
  <c r="M12" i="8"/>
  <c r="L12" i="8"/>
  <c r="N13" i="8"/>
  <c r="M13" i="8"/>
  <c r="L13" i="8"/>
  <c r="N14" i="8"/>
  <c r="M14" i="8"/>
  <c r="L14" i="8"/>
  <c r="N15" i="8"/>
  <c r="M15" i="8"/>
  <c r="L15" i="8"/>
  <c r="N16" i="8"/>
  <c r="M16" i="8"/>
  <c r="L16" i="8"/>
  <c r="N17" i="8"/>
  <c r="M17" i="8"/>
  <c r="L17" i="8"/>
  <c r="H18" i="8"/>
  <c r="N19" i="8"/>
  <c r="M19" i="8"/>
  <c r="L19" i="8"/>
  <c r="N20" i="8"/>
  <c r="M20" i="8"/>
  <c r="L20" i="8"/>
  <c r="N21" i="8"/>
  <c r="M21" i="8"/>
  <c r="L21" i="8"/>
  <c r="N22" i="8"/>
  <c r="M22" i="8"/>
  <c r="L22" i="8"/>
  <c r="N23" i="8"/>
  <c r="M23" i="8"/>
  <c r="L23" i="8"/>
  <c r="N24" i="8"/>
  <c r="M24" i="8"/>
  <c r="L24" i="8"/>
  <c r="N25" i="8"/>
  <c r="M25" i="8"/>
  <c r="L25" i="8"/>
  <c r="H26" i="8"/>
  <c r="N27" i="8"/>
  <c r="M27" i="8"/>
  <c r="L27" i="8"/>
  <c r="H28" i="8"/>
  <c r="N29" i="8"/>
  <c r="M29" i="8"/>
  <c r="L29" i="8"/>
  <c r="N30" i="8"/>
  <c r="M30" i="8"/>
  <c r="L30" i="8"/>
  <c r="N31" i="8"/>
  <c r="M31" i="8"/>
  <c r="L31" i="8"/>
  <c r="N32" i="8"/>
  <c r="M32" i="8"/>
  <c r="L32" i="8"/>
  <c r="N33" i="8"/>
  <c r="M33" i="8"/>
  <c r="L33" i="8"/>
  <c r="N34" i="8"/>
  <c r="M34" i="8"/>
  <c r="L34" i="8"/>
  <c r="N35" i="8"/>
  <c r="M35" i="8"/>
  <c r="L35" i="8"/>
  <c r="N36" i="8"/>
  <c r="M36" i="8"/>
  <c r="L36" i="8"/>
  <c r="H37" i="8"/>
  <c r="N38" i="8"/>
  <c r="M38" i="8"/>
  <c r="L38" i="8"/>
  <c r="N39" i="8"/>
  <c r="M39" i="8"/>
  <c r="L39" i="8"/>
  <c r="N40" i="8"/>
  <c r="M40" i="8"/>
  <c r="L40" i="8"/>
  <c r="N41" i="8"/>
  <c r="M41" i="8"/>
  <c r="L41" i="8"/>
  <c r="N42" i="8"/>
  <c r="M42" i="8"/>
  <c r="L42" i="8"/>
  <c r="N43" i="8"/>
  <c r="M43" i="8"/>
  <c r="L43" i="8"/>
  <c r="N44" i="8"/>
  <c r="M44" i="8"/>
  <c r="L44" i="8"/>
  <c r="N45" i="8"/>
  <c r="M45" i="8"/>
  <c r="L45" i="8"/>
  <c r="H46" i="8"/>
  <c r="N47" i="8"/>
  <c r="M47" i="8"/>
  <c r="L47" i="8"/>
  <c r="N48" i="8"/>
  <c r="M48" i="8"/>
  <c r="L48" i="8"/>
  <c r="N49" i="8"/>
  <c r="M49" i="8"/>
  <c r="L49" i="8"/>
  <c r="N50" i="8"/>
  <c r="M50" i="8"/>
  <c r="L50" i="8"/>
  <c r="H51" i="8"/>
  <c r="N52" i="8"/>
  <c r="M52" i="8"/>
  <c r="L52" i="8"/>
  <c r="N53" i="8"/>
  <c r="M53" i="8"/>
  <c r="L53" i="8"/>
  <c r="N54" i="8"/>
  <c r="M54" i="8"/>
  <c r="L54" i="8"/>
  <c r="N55" i="8"/>
  <c r="M55" i="8"/>
  <c r="L55" i="8"/>
  <c r="H56" i="8"/>
  <c r="N57" i="8"/>
  <c r="M57" i="8"/>
  <c r="L57" i="8"/>
  <c r="N58" i="8"/>
  <c r="M58" i="8"/>
  <c r="L58" i="8"/>
  <c r="N59" i="8"/>
  <c r="M59" i="8"/>
  <c r="L59" i="8"/>
  <c r="N60" i="8"/>
  <c r="M60" i="8"/>
  <c r="L60" i="8"/>
  <c r="N61" i="8"/>
  <c r="M61" i="8"/>
  <c r="L61" i="8"/>
  <c r="N62" i="8"/>
  <c r="M62" i="8"/>
  <c r="L62" i="8"/>
  <c r="N63" i="8"/>
  <c r="M63" i="8"/>
  <c r="L63" i="8"/>
  <c r="H64" i="8"/>
  <c r="N65" i="8"/>
  <c r="M65" i="8"/>
  <c r="L65" i="8"/>
  <c r="N66" i="8"/>
  <c r="M66" i="8"/>
  <c r="L66" i="8"/>
  <c r="N67" i="8"/>
  <c r="M67" i="8"/>
  <c r="L67" i="8"/>
  <c r="N68" i="8"/>
  <c r="M68" i="8"/>
  <c r="L68" i="8"/>
  <c r="N69" i="8"/>
  <c r="M69" i="8"/>
  <c r="L69" i="8"/>
  <c r="H70" i="8"/>
  <c r="N71" i="8"/>
  <c r="M71" i="8"/>
  <c r="L71" i="8"/>
  <c r="N72" i="8"/>
  <c r="M72" i="8"/>
  <c r="L72" i="8"/>
  <c r="N73" i="8"/>
  <c r="M73" i="8"/>
  <c r="L73" i="8"/>
  <c r="N74" i="8"/>
  <c r="M74" i="8"/>
  <c r="L74" i="8"/>
  <c r="H75" i="8"/>
  <c r="N76" i="8"/>
  <c r="M76" i="8"/>
  <c r="L76" i="8"/>
  <c r="N77" i="8"/>
  <c r="M77" i="8"/>
  <c r="L77" i="8"/>
  <c r="N78" i="8"/>
  <c r="M78" i="8"/>
  <c r="L78" i="8"/>
  <c r="N79" i="8"/>
  <c r="M79" i="8"/>
  <c r="L79" i="8"/>
  <c r="N80" i="8"/>
  <c r="M80" i="8"/>
  <c r="L80" i="8"/>
  <c r="N81" i="8"/>
  <c r="M81" i="8"/>
  <c r="L81" i="8"/>
  <c r="N82" i="8"/>
  <c r="M82" i="8"/>
  <c r="L82" i="8"/>
  <c r="H83" i="8"/>
  <c r="N84" i="8"/>
  <c r="M84" i="8"/>
  <c r="L84" i="8"/>
  <c r="N85" i="8"/>
  <c r="M85" i="8"/>
  <c r="L85" i="8"/>
  <c r="N86" i="8"/>
  <c r="M86" i="8"/>
  <c r="L86" i="8"/>
  <c r="N87" i="8"/>
  <c r="M87" i="8"/>
  <c r="L87" i="8"/>
  <c r="N88" i="8"/>
  <c r="M88" i="8"/>
  <c r="L88" i="8"/>
  <c r="N89" i="8"/>
  <c r="M89" i="8"/>
  <c r="L89" i="8"/>
  <c r="N90" i="8"/>
  <c r="M90" i="8"/>
  <c r="L90" i="8"/>
  <c r="N91" i="8"/>
  <c r="M91" i="8"/>
  <c r="L91" i="8"/>
  <c r="N92" i="8"/>
  <c r="M92" i="8"/>
  <c r="L92" i="8"/>
  <c r="H93" i="8"/>
  <c r="N94" i="8"/>
  <c r="M94" i="8"/>
  <c r="L94" i="8"/>
  <c r="H95" i="8"/>
  <c r="N96" i="8"/>
  <c r="M96" i="8"/>
  <c r="L96" i="8"/>
  <c r="N97" i="8"/>
  <c r="M97" i="8"/>
  <c r="L97" i="8"/>
  <c r="N98" i="8"/>
  <c r="M98" i="8"/>
  <c r="L98" i="8"/>
  <c r="N99" i="8"/>
  <c r="M99" i="8"/>
  <c r="L99" i="8"/>
  <c r="H100" i="8"/>
  <c r="N101" i="8"/>
  <c r="M101" i="8"/>
  <c r="L101" i="8"/>
  <c r="N102" i="8"/>
  <c r="M102" i="8"/>
  <c r="L102" i="8"/>
  <c r="N103" i="8"/>
  <c r="M103" i="8"/>
  <c r="L103" i="8"/>
  <c r="N104" i="8"/>
  <c r="M104" i="8"/>
  <c r="L104" i="8"/>
  <c r="N105" i="8"/>
  <c r="M105" i="8"/>
  <c r="L105" i="8"/>
  <c r="N106" i="8"/>
  <c r="M106" i="8"/>
  <c r="L106" i="8"/>
  <c r="N107" i="8"/>
  <c r="M107" i="8"/>
  <c r="L107" i="8"/>
  <c r="N108" i="8"/>
  <c r="M108" i="8"/>
  <c r="L108" i="8"/>
  <c r="N109" i="8"/>
  <c r="M109" i="8"/>
  <c r="L109" i="8"/>
  <c r="N110" i="8"/>
  <c r="M110" i="8"/>
  <c r="L110" i="8"/>
  <c r="N111" i="8"/>
  <c r="M111" i="8"/>
  <c r="L111" i="8"/>
  <c r="N112" i="8"/>
  <c r="M112" i="8"/>
  <c r="L112" i="8"/>
  <c r="N113" i="8"/>
  <c r="M113" i="8"/>
  <c r="L113" i="8"/>
  <c r="N114" i="8"/>
  <c r="M114" i="8"/>
  <c r="L114" i="8"/>
  <c r="N115" i="8"/>
  <c r="M115" i="8"/>
  <c r="L115" i="8"/>
  <c r="N116" i="8"/>
  <c r="M116" i="8"/>
  <c r="L116" i="8"/>
  <c r="N117" i="8"/>
  <c r="M117" i="8"/>
  <c r="L117" i="8"/>
  <c r="N118" i="8"/>
  <c r="M118" i="8"/>
  <c r="L118" i="8"/>
  <c r="N119" i="8"/>
  <c r="M119" i="8"/>
  <c r="L119" i="8"/>
  <c r="N120" i="8"/>
  <c r="M120" i="8"/>
  <c r="L120" i="8"/>
  <c r="N121" i="8"/>
  <c r="M121" i="8"/>
  <c r="L121" i="8"/>
  <c r="N122" i="8"/>
  <c r="M122" i="8"/>
  <c r="L122" i="8"/>
  <c r="N123" i="8"/>
  <c r="M123" i="8"/>
  <c r="L123" i="8"/>
  <c r="N124" i="8"/>
  <c r="M124" i="8"/>
  <c r="L124" i="8"/>
  <c r="N125" i="8"/>
  <c r="M125" i="8"/>
  <c r="L125" i="8"/>
  <c r="N126" i="8"/>
  <c r="M126" i="8"/>
  <c r="L126" i="8"/>
  <c r="N127" i="8"/>
  <c r="M127" i="8"/>
  <c r="L127" i="8"/>
  <c r="N128" i="8"/>
  <c r="M128" i="8"/>
  <c r="L128" i="8"/>
  <c r="N129" i="8"/>
  <c r="M129" i="8"/>
  <c r="L129" i="8"/>
  <c r="N130" i="8"/>
  <c r="M130" i="8"/>
  <c r="L130" i="8"/>
  <c r="H132" i="8"/>
  <c r="N133" i="8"/>
  <c r="M133" i="8"/>
  <c r="L133" i="8"/>
  <c r="N134" i="8"/>
  <c r="M134" i="8"/>
  <c r="L134" i="8"/>
  <c r="N135" i="8"/>
  <c r="M135" i="8"/>
  <c r="L135" i="8"/>
  <c r="N136" i="8"/>
  <c r="M136" i="8"/>
  <c r="L136" i="8"/>
  <c r="H137" i="8"/>
  <c r="N138" i="8"/>
  <c r="M138" i="8"/>
  <c r="L138" i="8"/>
  <c r="N139" i="8"/>
  <c r="M139" i="8"/>
  <c r="L139" i="8"/>
  <c r="N140" i="8"/>
  <c r="M140" i="8"/>
  <c r="L140" i="8"/>
  <c r="H141" i="8"/>
  <c r="N142" i="8"/>
  <c r="M142" i="8"/>
  <c r="L142" i="8"/>
  <c r="N143" i="8"/>
  <c r="M143" i="8"/>
  <c r="L143" i="8"/>
  <c r="N144" i="8"/>
  <c r="M144" i="8"/>
  <c r="L144" i="8"/>
  <c r="N145" i="8"/>
  <c r="M145" i="8"/>
  <c r="L145" i="8"/>
  <c r="N146" i="8"/>
  <c r="M146" i="8"/>
  <c r="L146" i="8"/>
  <c r="H147" i="8"/>
  <c r="N148" i="8"/>
  <c r="M148" i="8"/>
  <c r="L148" i="8"/>
  <c r="H149" i="8"/>
  <c r="N150" i="8"/>
  <c r="M150" i="8"/>
  <c r="L150" i="8"/>
  <c r="N151" i="8"/>
  <c r="M151" i="8"/>
  <c r="L151" i="8"/>
  <c r="N152" i="8"/>
  <c r="M152" i="8"/>
  <c r="L152" i="8"/>
  <c r="N153" i="8"/>
  <c r="M153" i="8"/>
  <c r="L153" i="8"/>
  <c r="H154" i="8"/>
  <c r="N155" i="8"/>
  <c r="M155" i="8"/>
  <c r="L155" i="8"/>
  <c r="H156" i="8"/>
  <c r="N157" i="8"/>
  <c r="M157" i="8"/>
  <c r="L157" i="8"/>
  <c r="N158" i="8"/>
  <c r="M158" i="8"/>
  <c r="L158" i="8"/>
  <c r="H159" i="8"/>
  <c r="N160" i="8"/>
  <c r="M160" i="8"/>
  <c r="L160" i="8"/>
  <c r="N161" i="8"/>
  <c r="M161" i="8"/>
  <c r="L161" i="8"/>
  <c r="H162" i="8"/>
  <c r="N163" i="8"/>
  <c r="M163" i="8"/>
  <c r="L163" i="8"/>
  <c r="H164" i="8"/>
  <c r="N165" i="8"/>
  <c r="M165" i="8"/>
  <c r="L165" i="8"/>
  <c r="N166" i="8"/>
  <c r="M166" i="8"/>
  <c r="L166" i="8"/>
  <c r="H167" i="8"/>
  <c r="N168" i="8"/>
  <c r="M168" i="8"/>
  <c r="L168" i="8"/>
  <c r="N169" i="8"/>
  <c r="M169" i="8"/>
  <c r="L169" i="8"/>
  <c r="N170" i="8"/>
  <c r="M170" i="8"/>
  <c r="L170" i="8"/>
  <c r="H171" i="8"/>
  <c r="N172" i="8"/>
  <c r="M172" i="8"/>
  <c r="L172" i="8"/>
  <c r="N173" i="8"/>
  <c r="M173" i="8"/>
  <c r="L173" i="8"/>
  <c r="N174" i="8"/>
  <c r="M174" i="8"/>
  <c r="L174" i="8"/>
  <c r="N175" i="8"/>
  <c r="M175" i="8"/>
  <c r="L175" i="8"/>
  <c r="N176" i="8"/>
  <c r="M176" i="8"/>
  <c r="L176" i="8"/>
  <c r="N177" i="8"/>
  <c r="M177" i="8"/>
  <c r="L177" i="8"/>
  <c r="N178" i="8"/>
  <c r="M178" i="8"/>
  <c r="L178" i="8"/>
  <c r="N179" i="8"/>
  <c r="M179" i="8"/>
  <c r="L179" i="8"/>
  <c r="N180" i="8"/>
  <c r="M180" i="8"/>
  <c r="L180" i="8"/>
  <c r="N181" i="8"/>
  <c r="M181" i="8"/>
  <c r="L181" i="8"/>
  <c r="H182" i="8"/>
  <c r="N183" i="8"/>
  <c r="M183" i="8"/>
  <c r="L183" i="8"/>
  <c r="N184" i="8"/>
  <c r="M184" i="8"/>
  <c r="L184" i="8"/>
  <c r="M193" i="7"/>
  <c r="N188" i="7"/>
  <c r="L188" i="7"/>
  <c r="M184" i="7"/>
  <c r="L184" i="7"/>
  <c r="K184" i="7"/>
  <c r="N184" i="7" s="1"/>
  <c r="F184" i="7"/>
  <c r="L183" i="7"/>
  <c r="K183" i="7"/>
  <c r="F183" i="7"/>
  <c r="G182" i="7"/>
  <c r="M181" i="7"/>
  <c r="L181" i="7"/>
  <c r="K181" i="7"/>
  <c r="N181" i="7" s="1"/>
  <c r="F181" i="7"/>
  <c r="L180" i="7"/>
  <c r="K180" i="7"/>
  <c r="F180" i="7"/>
  <c r="M180" i="7" s="1"/>
  <c r="M179" i="7"/>
  <c r="L179" i="7"/>
  <c r="K179" i="7"/>
  <c r="N179" i="7" s="1"/>
  <c r="F179" i="7"/>
  <c r="K178" i="7"/>
  <c r="F178" i="7"/>
  <c r="K177" i="7"/>
  <c r="F177" i="7"/>
  <c r="M176" i="7"/>
  <c r="L176" i="7"/>
  <c r="K176" i="7"/>
  <c r="N176" i="7" s="1"/>
  <c r="F176" i="7"/>
  <c r="K175" i="7"/>
  <c r="F175" i="7"/>
  <c r="L175" i="7" s="1"/>
  <c r="M174" i="7"/>
  <c r="L174" i="7"/>
  <c r="K174" i="7"/>
  <c r="N174" i="7" s="1"/>
  <c r="F174" i="7"/>
  <c r="L173" i="7"/>
  <c r="K173" i="7"/>
  <c r="N173" i="7" s="1"/>
  <c r="F173" i="7"/>
  <c r="M173" i="7" s="1"/>
  <c r="K172" i="7"/>
  <c r="F172" i="7"/>
  <c r="L172" i="7" s="1"/>
  <c r="L170" i="7"/>
  <c r="K170" i="7"/>
  <c r="N170" i="7" s="1"/>
  <c r="F170" i="7"/>
  <c r="M170" i="7" s="1"/>
  <c r="K169" i="7"/>
  <c r="F169" i="7"/>
  <c r="K168" i="7"/>
  <c r="N168" i="7" s="1"/>
  <c r="F168" i="7"/>
  <c r="K166" i="7"/>
  <c r="F166" i="7"/>
  <c r="L166" i="7" s="1"/>
  <c r="K165" i="7"/>
  <c r="N165" i="7" s="1"/>
  <c r="F165" i="7"/>
  <c r="K163" i="7"/>
  <c r="F163" i="7"/>
  <c r="L161" i="7"/>
  <c r="K161" i="7"/>
  <c r="N161" i="7" s="1"/>
  <c r="F161" i="7"/>
  <c r="M161" i="7" s="1"/>
  <c r="M160" i="7"/>
  <c r="L160" i="7"/>
  <c r="K160" i="7"/>
  <c r="F160" i="7"/>
  <c r="L158" i="7"/>
  <c r="K158" i="7"/>
  <c r="N158" i="7" s="1"/>
  <c r="F158" i="7"/>
  <c r="M158" i="7" s="1"/>
  <c r="K157" i="7"/>
  <c r="F157" i="7"/>
  <c r="L155" i="7"/>
  <c r="K155" i="7"/>
  <c r="N155" i="7" s="1"/>
  <c r="F155" i="7"/>
  <c r="M155" i="7" s="1"/>
  <c r="G154" i="7"/>
  <c r="M153" i="7"/>
  <c r="L153" i="7"/>
  <c r="K153" i="7"/>
  <c r="N153" i="7" s="1"/>
  <c r="F153" i="7"/>
  <c r="M152" i="7"/>
  <c r="L152" i="7"/>
  <c r="K152" i="7"/>
  <c r="N152" i="7" s="1"/>
  <c r="F152" i="7"/>
  <c r="K151" i="7"/>
  <c r="F151" i="7"/>
  <c r="M151" i="7" s="1"/>
  <c r="K150" i="7"/>
  <c r="N150" i="7" s="1"/>
  <c r="F150" i="7"/>
  <c r="K148" i="7"/>
  <c r="F148" i="7"/>
  <c r="M146" i="7"/>
  <c r="L146" i="7"/>
  <c r="K146" i="7"/>
  <c r="N146" i="7" s="1"/>
  <c r="F146" i="7"/>
  <c r="L145" i="7"/>
  <c r="K145" i="7"/>
  <c r="F145" i="7"/>
  <c r="K144" i="7"/>
  <c r="N144" i="7" s="1"/>
  <c r="F144" i="7"/>
  <c r="M144" i="7" s="1"/>
  <c r="K143" i="7"/>
  <c r="F143" i="7"/>
  <c r="M142" i="7"/>
  <c r="L142" i="7"/>
  <c r="K142" i="7"/>
  <c r="N142" i="7" s="1"/>
  <c r="F142" i="7"/>
  <c r="K140" i="7"/>
  <c r="F140" i="7"/>
  <c r="M139" i="7"/>
  <c r="L139" i="7"/>
  <c r="K139" i="7"/>
  <c r="N139" i="7" s="1"/>
  <c r="F139" i="7"/>
  <c r="L138" i="7"/>
  <c r="K138" i="7"/>
  <c r="F138" i="7"/>
  <c r="G137" i="7"/>
  <c r="M136" i="7"/>
  <c r="L136" i="7"/>
  <c r="K136" i="7"/>
  <c r="N136" i="7" s="1"/>
  <c r="F136" i="7"/>
  <c r="L135" i="7"/>
  <c r="K135" i="7"/>
  <c r="F135" i="7"/>
  <c r="M135" i="7" s="1"/>
  <c r="M134" i="7"/>
  <c r="L134" i="7"/>
  <c r="K134" i="7"/>
  <c r="N134" i="7" s="1"/>
  <c r="F134" i="7"/>
  <c r="K133" i="7"/>
  <c r="F133" i="7"/>
  <c r="G132" i="7" s="1"/>
  <c r="M130" i="7"/>
  <c r="L130" i="7"/>
  <c r="K130" i="7"/>
  <c r="N130" i="7" s="1"/>
  <c r="F130" i="7"/>
  <c r="K129" i="7"/>
  <c r="F129" i="7"/>
  <c r="K128" i="7"/>
  <c r="F128" i="7"/>
  <c r="L128" i="7" s="1"/>
  <c r="N127" i="7"/>
  <c r="M127" i="7"/>
  <c r="L127" i="7"/>
  <c r="K127" i="7"/>
  <c r="F127" i="7"/>
  <c r="K126" i="7"/>
  <c r="F126" i="7"/>
  <c r="M125" i="7"/>
  <c r="L125" i="7"/>
  <c r="K125" i="7"/>
  <c r="N125" i="7" s="1"/>
  <c r="F125" i="7"/>
  <c r="L124" i="7"/>
  <c r="K124" i="7"/>
  <c r="F124" i="7"/>
  <c r="K123" i="7"/>
  <c r="F123" i="7"/>
  <c r="K122" i="7"/>
  <c r="N122" i="7" s="1"/>
  <c r="F122" i="7"/>
  <c r="M122" i="7" s="1"/>
  <c r="K121" i="7"/>
  <c r="F121" i="7"/>
  <c r="M120" i="7"/>
  <c r="L120" i="7"/>
  <c r="K120" i="7"/>
  <c r="N120" i="7" s="1"/>
  <c r="F120" i="7"/>
  <c r="L119" i="7"/>
  <c r="K119" i="7"/>
  <c r="F119" i="7"/>
  <c r="M119" i="7" s="1"/>
  <c r="M118" i="7"/>
  <c r="L118" i="7"/>
  <c r="K118" i="7"/>
  <c r="N118" i="7" s="1"/>
  <c r="F118" i="7"/>
  <c r="K117" i="7"/>
  <c r="F117" i="7"/>
  <c r="K116" i="7"/>
  <c r="F116" i="7"/>
  <c r="L116" i="7" s="1"/>
  <c r="M115" i="7"/>
  <c r="L115" i="7"/>
  <c r="K115" i="7"/>
  <c r="N115" i="7" s="1"/>
  <c r="F115" i="7"/>
  <c r="K114" i="7"/>
  <c r="F114" i="7"/>
  <c r="M113" i="7"/>
  <c r="L113" i="7"/>
  <c r="K113" i="7"/>
  <c r="N113" i="7" s="1"/>
  <c r="F113" i="7"/>
  <c r="M112" i="7"/>
  <c r="L112" i="7"/>
  <c r="K112" i="7"/>
  <c r="F112" i="7"/>
  <c r="M111" i="7"/>
  <c r="L111" i="7"/>
  <c r="K111" i="7"/>
  <c r="F111" i="7"/>
  <c r="K110" i="7"/>
  <c r="N110" i="7" s="1"/>
  <c r="F110" i="7"/>
  <c r="M110" i="7" s="1"/>
  <c r="K109" i="7"/>
  <c r="F109" i="7"/>
  <c r="M108" i="7"/>
  <c r="L108" i="7"/>
  <c r="K108" i="7"/>
  <c r="N108" i="7" s="1"/>
  <c r="F108" i="7"/>
  <c r="L107" i="7"/>
  <c r="K107" i="7"/>
  <c r="F107" i="7"/>
  <c r="M107" i="7" s="1"/>
  <c r="M106" i="7"/>
  <c r="L106" i="7"/>
  <c r="K106" i="7"/>
  <c r="N106" i="7" s="1"/>
  <c r="F106" i="7"/>
  <c r="K105" i="7"/>
  <c r="F105" i="7"/>
  <c r="L104" i="7"/>
  <c r="K104" i="7"/>
  <c r="F104" i="7"/>
  <c r="M103" i="7"/>
  <c r="K103" i="7"/>
  <c r="N103" i="7" s="1"/>
  <c r="F103" i="7"/>
  <c r="L103" i="7" s="1"/>
  <c r="K102" i="7"/>
  <c r="F102" i="7"/>
  <c r="M101" i="7"/>
  <c r="L101" i="7"/>
  <c r="K101" i="7"/>
  <c r="N101" i="7" s="1"/>
  <c r="F101" i="7"/>
  <c r="K99" i="7"/>
  <c r="F99" i="7"/>
  <c r="M98" i="7"/>
  <c r="L98" i="7"/>
  <c r="K98" i="7"/>
  <c r="N98" i="7" s="1"/>
  <c r="F98" i="7"/>
  <c r="M97" i="7"/>
  <c r="L97" i="7"/>
  <c r="K97" i="7"/>
  <c r="N97" i="7" s="1"/>
  <c r="F97" i="7"/>
  <c r="M96" i="7"/>
  <c r="K96" i="7"/>
  <c r="F96" i="7"/>
  <c r="M94" i="7"/>
  <c r="L94" i="7"/>
  <c r="K94" i="7"/>
  <c r="F94" i="7"/>
  <c r="G93" i="7"/>
  <c r="M92" i="7"/>
  <c r="L92" i="7"/>
  <c r="K92" i="7"/>
  <c r="N92" i="7" s="1"/>
  <c r="F92" i="7"/>
  <c r="M91" i="7"/>
  <c r="L91" i="7"/>
  <c r="K91" i="7"/>
  <c r="N91" i="7" s="1"/>
  <c r="F91" i="7"/>
  <c r="M90" i="7"/>
  <c r="L90" i="7"/>
  <c r="K90" i="7"/>
  <c r="F90" i="7"/>
  <c r="K89" i="7"/>
  <c r="N89" i="7" s="1"/>
  <c r="F89" i="7"/>
  <c r="M89" i="7" s="1"/>
  <c r="K88" i="7"/>
  <c r="F88" i="7"/>
  <c r="M87" i="7"/>
  <c r="L87" i="7"/>
  <c r="K87" i="7"/>
  <c r="N87" i="7" s="1"/>
  <c r="F87" i="7"/>
  <c r="L86" i="7"/>
  <c r="K86" i="7"/>
  <c r="F86" i="7"/>
  <c r="M85" i="7"/>
  <c r="L85" i="7"/>
  <c r="K85" i="7"/>
  <c r="N85" i="7" s="1"/>
  <c r="F85" i="7"/>
  <c r="K84" i="7"/>
  <c r="F84" i="7"/>
  <c r="M82" i="7"/>
  <c r="L82" i="7"/>
  <c r="K82" i="7"/>
  <c r="N82" i="7" s="1"/>
  <c r="F82" i="7"/>
  <c r="K81" i="7"/>
  <c r="F81" i="7"/>
  <c r="K80" i="7"/>
  <c r="F80" i="7"/>
  <c r="M79" i="7"/>
  <c r="K79" i="7"/>
  <c r="N79" i="7" s="1"/>
  <c r="F79" i="7"/>
  <c r="L79" i="7" s="1"/>
  <c r="K78" i="7"/>
  <c r="F78" i="7"/>
  <c r="M77" i="7"/>
  <c r="L77" i="7"/>
  <c r="K77" i="7"/>
  <c r="N77" i="7" s="1"/>
  <c r="F77" i="7"/>
  <c r="M76" i="7"/>
  <c r="L76" i="7"/>
  <c r="K76" i="7"/>
  <c r="F76" i="7"/>
  <c r="G75" i="7"/>
  <c r="M74" i="7"/>
  <c r="L74" i="7"/>
  <c r="K74" i="7"/>
  <c r="N74" i="7" s="1"/>
  <c r="F74" i="7"/>
  <c r="M73" i="7"/>
  <c r="L73" i="7"/>
  <c r="K73" i="7"/>
  <c r="F73" i="7"/>
  <c r="K72" i="7"/>
  <c r="F72" i="7"/>
  <c r="K71" i="7"/>
  <c r="N71" i="7" s="1"/>
  <c r="F71" i="7"/>
  <c r="G70" i="7" s="1"/>
  <c r="M69" i="7"/>
  <c r="K69" i="7"/>
  <c r="F69" i="7"/>
  <c r="K68" i="7"/>
  <c r="N68" i="7" s="1"/>
  <c r="F68" i="7"/>
  <c r="M68" i="7" s="1"/>
  <c r="K67" i="7"/>
  <c r="F67" i="7"/>
  <c r="G64" i="7" s="1"/>
  <c r="M66" i="7"/>
  <c r="L66" i="7"/>
  <c r="K66" i="7"/>
  <c r="N66" i="7" s="1"/>
  <c r="F66" i="7"/>
  <c r="L65" i="7"/>
  <c r="K65" i="7"/>
  <c r="F65" i="7"/>
  <c r="M65" i="7" s="1"/>
  <c r="M63" i="7"/>
  <c r="L63" i="7"/>
  <c r="K63" i="7"/>
  <c r="N63" i="7" s="1"/>
  <c r="F63" i="7"/>
  <c r="L62" i="7"/>
  <c r="K62" i="7"/>
  <c r="F62" i="7"/>
  <c r="N62" i="7" s="1"/>
  <c r="K61" i="7"/>
  <c r="F61" i="7"/>
  <c r="N61" i="7" s="1"/>
  <c r="K60" i="7"/>
  <c r="F60" i="7"/>
  <c r="K59" i="7"/>
  <c r="F59" i="7"/>
  <c r="G56" i="7" s="1"/>
  <c r="M58" i="7"/>
  <c r="K58" i="7"/>
  <c r="N58" i="7" s="1"/>
  <c r="F58" i="7"/>
  <c r="L58" i="7" s="1"/>
  <c r="K57" i="7"/>
  <c r="F57" i="7"/>
  <c r="M55" i="7"/>
  <c r="K55" i="7"/>
  <c r="N55" i="7" s="1"/>
  <c r="F55" i="7"/>
  <c r="L55" i="7" s="1"/>
  <c r="K54" i="7"/>
  <c r="F54" i="7"/>
  <c r="M53" i="7"/>
  <c r="L53" i="7"/>
  <c r="K53" i="7"/>
  <c r="N53" i="7" s="1"/>
  <c r="F53" i="7"/>
  <c r="M52" i="7"/>
  <c r="L52" i="7"/>
  <c r="K52" i="7"/>
  <c r="F52" i="7"/>
  <c r="G51" i="7"/>
  <c r="M50" i="7"/>
  <c r="L50" i="7"/>
  <c r="K50" i="7"/>
  <c r="N50" i="7" s="1"/>
  <c r="F50" i="7"/>
  <c r="M49" i="7"/>
  <c r="L49" i="7"/>
  <c r="K49" i="7"/>
  <c r="F49" i="7"/>
  <c r="M48" i="7"/>
  <c r="L48" i="7"/>
  <c r="K48" i="7"/>
  <c r="F48" i="7"/>
  <c r="K47" i="7"/>
  <c r="N47" i="7" s="1"/>
  <c r="F47" i="7"/>
  <c r="G46" i="7" s="1"/>
  <c r="K45" i="7"/>
  <c r="F45" i="7"/>
  <c r="K44" i="7"/>
  <c r="N44" i="7" s="1"/>
  <c r="F44" i="7"/>
  <c r="M44" i="7" s="1"/>
  <c r="K43" i="7"/>
  <c r="F43" i="7"/>
  <c r="M42" i="7"/>
  <c r="L42" i="7"/>
  <c r="K42" i="7"/>
  <c r="N42" i="7" s="1"/>
  <c r="F42" i="7"/>
  <c r="L41" i="7"/>
  <c r="K41" i="7"/>
  <c r="F41" i="7"/>
  <c r="M41" i="7" s="1"/>
  <c r="M40" i="7"/>
  <c r="L40" i="7"/>
  <c r="K40" i="7"/>
  <c r="N40" i="7" s="1"/>
  <c r="F40" i="7"/>
  <c r="K39" i="7"/>
  <c r="F39" i="7"/>
  <c r="K38" i="7"/>
  <c r="F38" i="7"/>
  <c r="G37" i="7" s="1"/>
  <c r="K36" i="7"/>
  <c r="F36" i="7"/>
  <c r="L35" i="7"/>
  <c r="K35" i="7"/>
  <c r="F35" i="7"/>
  <c r="N34" i="7"/>
  <c r="M34" i="7"/>
  <c r="K34" i="7"/>
  <c r="F34" i="7"/>
  <c r="L34" i="7" s="1"/>
  <c r="K33" i="7"/>
  <c r="F33" i="7"/>
  <c r="M32" i="7"/>
  <c r="L32" i="7"/>
  <c r="K32" i="7"/>
  <c r="N32" i="7" s="1"/>
  <c r="F32" i="7"/>
  <c r="M31" i="7"/>
  <c r="L31" i="7"/>
  <c r="K31" i="7"/>
  <c r="F31" i="7"/>
  <c r="M30" i="7"/>
  <c r="L30" i="7"/>
  <c r="K30" i="7"/>
  <c r="F30" i="7"/>
  <c r="K29" i="7"/>
  <c r="N29" i="7" s="1"/>
  <c r="F29" i="7"/>
  <c r="G28" i="7" s="1"/>
  <c r="K27" i="7"/>
  <c r="F27" i="7"/>
  <c r="M25" i="7"/>
  <c r="L25" i="7"/>
  <c r="K25" i="7"/>
  <c r="F25" i="7"/>
  <c r="M24" i="7"/>
  <c r="L24" i="7"/>
  <c r="K24" i="7"/>
  <c r="F24" i="7"/>
  <c r="K23" i="7"/>
  <c r="N23" i="7" s="1"/>
  <c r="F23" i="7"/>
  <c r="M23" i="7" s="1"/>
  <c r="K22" i="7"/>
  <c r="F22" i="7"/>
  <c r="M21" i="7"/>
  <c r="L21" i="7"/>
  <c r="K21" i="7"/>
  <c r="N21" i="7" s="1"/>
  <c r="F21" i="7"/>
  <c r="L20" i="7"/>
  <c r="K20" i="7"/>
  <c r="F20" i="7"/>
  <c r="M20" i="7" s="1"/>
  <c r="K19" i="7"/>
  <c r="F19" i="7"/>
  <c r="G18" i="7" s="1"/>
  <c r="K17" i="7"/>
  <c r="F17" i="7"/>
  <c r="M17" i="7" s="1"/>
  <c r="M16" i="7"/>
  <c r="L16" i="7"/>
  <c r="K16" i="7"/>
  <c r="N16" i="7" s="1"/>
  <c r="F16" i="7"/>
  <c r="K15" i="7"/>
  <c r="F15" i="7"/>
  <c r="K14" i="7"/>
  <c r="F14" i="7"/>
  <c r="L14" i="7" s="1"/>
  <c r="M13" i="7"/>
  <c r="K13" i="7"/>
  <c r="N13" i="7" s="1"/>
  <c r="F13" i="7"/>
  <c r="L13" i="7" s="1"/>
  <c r="K12" i="7"/>
  <c r="F12" i="7"/>
  <c r="F185" i="7" s="1"/>
  <c r="M11" i="7"/>
  <c r="L11" i="7"/>
  <c r="K11" i="7"/>
  <c r="N11" i="7" s="1"/>
  <c r="F11" i="7"/>
  <c r="M10" i="7"/>
  <c r="L10" i="7"/>
  <c r="K10" i="7"/>
  <c r="N10" i="7" s="1"/>
  <c r="F10" i="7"/>
  <c r="G9" i="7"/>
  <c r="N192" i="6"/>
  <c r="L185" i="9" l="1"/>
  <c r="N185" i="9"/>
  <c r="M185" i="9"/>
  <c r="N200" i="9" s="1"/>
  <c r="G185" i="9"/>
  <c r="H64" i="9" s="1"/>
  <c r="L185" i="8"/>
  <c r="M185" i="8"/>
  <c r="N185" i="8"/>
  <c r="N186" i="8" s="1"/>
  <c r="H185" i="8"/>
  <c r="N117" i="7"/>
  <c r="N72" i="7"/>
  <c r="N111" i="7"/>
  <c r="N129" i="7"/>
  <c r="N25" i="7"/>
  <c r="N49" i="7"/>
  <c r="N86" i="7"/>
  <c r="N112" i="7"/>
  <c r="N45" i="7"/>
  <c r="N124" i="7"/>
  <c r="N36" i="7"/>
  <c r="N60" i="7"/>
  <c r="N94" i="7"/>
  <c r="N138" i="7"/>
  <c r="N183" i="7"/>
  <c r="N76" i="7"/>
  <c r="N73" i="7"/>
  <c r="N15" i="7"/>
  <c r="N81" i="7"/>
  <c r="N39" i="7"/>
  <c r="N105" i="7"/>
  <c r="N178" i="7"/>
  <c r="N52" i="7"/>
  <c r="N31" i="7"/>
  <c r="L59" i="7"/>
  <c r="L151" i="7"/>
  <c r="N30" i="7"/>
  <c r="L78" i="7"/>
  <c r="N78" i="7"/>
  <c r="M78" i="7"/>
  <c r="N90" i="7"/>
  <c r="G167" i="7"/>
  <c r="N38" i="7"/>
  <c r="M38" i="7"/>
  <c r="L102" i="7"/>
  <c r="M102" i="7"/>
  <c r="G100" i="7"/>
  <c r="N102" i="7"/>
  <c r="M109" i="7"/>
  <c r="L109" i="7"/>
  <c r="N109" i="7"/>
  <c r="N123" i="7"/>
  <c r="L126" i="7"/>
  <c r="M126" i="7"/>
  <c r="N126" i="7"/>
  <c r="N157" i="7"/>
  <c r="G156" i="7"/>
  <c r="M157" i="7"/>
  <c r="L33" i="7"/>
  <c r="N33" i="7"/>
  <c r="M33" i="7"/>
  <c r="L45" i="7"/>
  <c r="N148" i="7"/>
  <c r="G147" i="7"/>
  <c r="M148" i="7"/>
  <c r="N163" i="7"/>
  <c r="G162" i="7"/>
  <c r="M163" i="7"/>
  <c r="L19" i="7"/>
  <c r="L38" i="7"/>
  <c r="M45" i="7"/>
  <c r="L61" i="7"/>
  <c r="M72" i="7"/>
  <c r="G83" i="7"/>
  <c r="L123" i="7"/>
  <c r="L157" i="7"/>
  <c r="N169" i="7"/>
  <c r="M169" i="7"/>
  <c r="M61" i="7"/>
  <c r="M123" i="7"/>
  <c r="L148" i="7"/>
  <c r="L163" i="7"/>
  <c r="L169" i="7"/>
  <c r="M19" i="7"/>
  <c r="N27" i="7"/>
  <c r="G26" i="7"/>
  <c r="N19" i="7"/>
  <c r="N69" i="7"/>
  <c r="N80" i="7"/>
  <c r="M80" i="7"/>
  <c r="N96" i="7"/>
  <c r="G95" i="7"/>
  <c r="G149" i="7"/>
  <c r="G164" i="7"/>
  <c r="N14" i="7"/>
  <c r="M14" i="7"/>
  <c r="L57" i="7"/>
  <c r="N57" i="7"/>
  <c r="M57" i="7"/>
  <c r="N116" i="7"/>
  <c r="M116" i="7"/>
  <c r="M143" i="7"/>
  <c r="L143" i="7"/>
  <c r="G141" i="7"/>
  <c r="N143" i="7"/>
  <c r="M88" i="7"/>
  <c r="L88" i="7"/>
  <c r="N88" i="7"/>
  <c r="L99" i="7"/>
  <c r="N99" i="7"/>
  <c r="M99" i="7"/>
  <c r="M67" i="7"/>
  <c r="L67" i="7"/>
  <c r="N67" i="7"/>
  <c r="M22" i="7"/>
  <c r="L22" i="7"/>
  <c r="N22" i="7"/>
  <c r="L72" i="7"/>
  <c r="N177" i="7"/>
  <c r="M177" i="7"/>
  <c r="L177" i="7"/>
  <c r="L27" i="7"/>
  <c r="N35" i="7"/>
  <c r="M35" i="7"/>
  <c r="L54" i="7"/>
  <c r="M54" i="7"/>
  <c r="N54" i="7"/>
  <c r="L12" i="7"/>
  <c r="N12" i="7"/>
  <c r="M12" i="7"/>
  <c r="N24" i="7"/>
  <c r="M27" i="7"/>
  <c r="M43" i="7"/>
  <c r="L43" i="7"/>
  <c r="N43" i="7"/>
  <c r="N48" i="7"/>
  <c r="L69" i="7"/>
  <c r="L80" i="7"/>
  <c r="L96" i="7"/>
  <c r="N104" i="7"/>
  <c r="M104" i="7"/>
  <c r="L114" i="7"/>
  <c r="M114" i="7"/>
  <c r="N114" i="7"/>
  <c r="M140" i="7"/>
  <c r="L140" i="7"/>
  <c r="N140" i="7"/>
  <c r="N145" i="7"/>
  <c r="M145" i="7"/>
  <c r="N160" i="7"/>
  <c r="G159" i="7"/>
  <c r="G185" i="7"/>
  <c r="N190" i="7" s="1"/>
  <c r="N191" i="7" s="1"/>
  <c r="N59" i="7"/>
  <c r="M59" i="7"/>
  <c r="M121" i="7"/>
  <c r="L121" i="7"/>
  <c r="N121" i="7"/>
  <c r="N128" i="7"/>
  <c r="M128" i="7"/>
  <c r="N151" i="7"/>
  <c r="N166" i="7"/>
  <c r="M166" i="7"/>
  <c r="N172" i="7"/>
  <c r="M172" i="7"/>
  <c r="G171" i="7"/>
  <c r="M86" i="7"/>
  <c r="M183" i="7"/>
  <c r="M62" i="7"/>
  <c r="M138" i="7"/>
  <c r="L15" i="7"/>
  <c r="N17" i="7"/>
  <c r="N20" i="7"/>
  <c r="L36" i="7"/>
  <c r="L39" i="7"/>
  <c r="N41" i="7"/>
  <c r="L60" i="7"/>
  <c r="N65" i="7"/>
  <c r="L81" i="7"/>
  <c r="L84" i="7"/>
  <c r="L105" i="7"/>
  <c r="N107" i="7"/>
  <c r="L117" i="7"/>
  <c r="N119" i="7"/>
  <c r="M124" i="7"/>
  <c r="L129" i="7"/>
  <c r="L133" i="7"/>
  <c r="N135" i="7"/>
  <c r="L178" i="7"/>
  <c r="N180" i="7"/>
  <c r="L17" i="7"/>
  <c r="M175" i="7"/>
  <c r="L23" i="7"/>
  <c r="L29" i="7"/>
  <c r="M36" i="7"/>
  <c r="M39" i="7"/>
  <c r="L44" i="7"/>
  <c r="L47" i="7"/>
  <c r="M60" i="7"/>
  <c r="L68" i="7"/>
  <c r="L71" i="7"/>
  <c r="M81" i="7"/>
  <c r="M84" i="7"/>
  <c r="L89" i="7"/>
  <c r="M105" i="7"/>
  <c r="L110" i="7"/>
  <c r="M117" i="7"/>
  <c r="L122" i="7"/>
  <c r="M129" i="7"/>
  <c r="M133" i="7"/>
  <c r="L144" i="7"/>
  <c r="L150" i="7"/>
  <c r="L165" i="7"/>
  <c r="L168" i="7"/>
  <c r="M178" i="7"/>
  <c r="N175" i="7"/>
  <c r="M15" i="7"/>
  <c r="M29" i="7"/>
  <c r="M47" i="7"/>
  <c r="M71" i="7"/>
  <c r="N84" i="7"/>
  <c r="N133" i="7"/>
  <c r="M150" i="7"/>
  <c r="M165" i="7"/>
  <c r="M168" i="7"/>
  <c r="H185" i="6"/>
  <c r="H182" i="6"/>
  <c r="H171" i="6"/>
  <c r="H167" i="6"/>
  <c r="H164" i="6"/>
  <c r="H162" i="6"/>
  <c r="H159" i="6"/>
  <c r="H156" i="6"/>
  <c r="H154" i="6"/>
  <c r="H149" i="6"/>
  <c r="H147" i="6"/>
  <c r="H141" i="6"/>
  <c r="H137" i="6"/>
  <c r="K130" i="6"/>
  <c r="L130" i="6"/>
  <c r="M130" i="6"/>
  <c r="N130" i="6"/>
  <c r="H132" i="6"/>
  <c r="H100" i="6"/>
  <c r="H95" i="6"/>
  <c r="H93" i="6"/>
  <c r="H83" i="6"/>
  <c r="H75" i="6"/>
  <c r="H70" i="6"/>
  <c r="H64" i="6"/>
  <c r="H56" i="6"/>
  <c r="H51" i="6"/>
  <c r="K52" i="6"/>
  <c r="N52" i="6" s="1"/>
  <c r="L52" i="6"/>
  <c r="M52" i="6"/>
  <c r="K53" i="6"/>
  <c r="L53" i="6"/>
  <c r="M53" i="6"/>
  <c r="N53" i="6"/>
  <c r="L41" i="6"/>
  <c r="M41" i="6"/>
  <c r="N41" i="6"/>
  <c r="L42" i="6"/>
  <c r="M42" i="6"/>
  <c r="N42" i="6"/>
  <c r="K41" i="6"/>
  <c r="K42" i="6"/>
  <c r="K43" i="6"/>
  <c r="H46" i="6"/>
  <c r="H37" i="6"/>
  <c r="H28" i="6"/>
  <c r="H26" i="6"/>
  <c r="H18" i="6"/>
  <c r="H9" i="6"/>
  <c r="N190" i="6"/>
  <c r="K184" i="6"/>
  <c r="K183" i="6"/>
  <c r="K174" i="6"/>
  <c r="K175" i="6"/>
  <c r="K176" i="6"/>
  <c r="K177" i="6"/>
  <c r="K178" i="6"/>
  <c r="K179" i="6"/>
  <c r="K180" i="6"/>
  <c r="K181" i="6"/>
  <c r="K173" i="6"/>
  <c r="K172" i="6"/>
  <c r="K170" i="6"/>
  <c r="K169" i="6"/>
  <c r="K168" i="6"/>
  <c r="K166" i="6"/>
  <c r="K165" i="6"/>
  <c r="K163" i="6"/>
  <c r="K161" i="6"/>
  <c r="K160" i="6"/>
  <c r="K158" i="6"/>
  <c r="K157" i="6"/>
  <c r="K155" i="6"/>
  <c r="K153" i="6"/>
  <c r="K152" i="6"/>
  <c r="K151" i="6"/>
  <c r="K150" i="6"/>
  <c r="K148" i="6"/>
  <c r="K145" i="6"/>
  <c r="K146" i="6"/>
  <c r="K142" i="6"/>
  <c r="K143" i="6"/>
  <c r="K144" i="6"/>
  <c r="K140" i="6"/>
  <c r="K139" i="6"/>
  <c r="K138" i="6"/>
  <c r="K136" i="6"/>
  <c r="K135" i="6"/>
  <c r="K134" i="6"/>
  <c r="K133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99" i="6"/>
  <c r="K98" i="6"/>
  <c r="K97" i="6"/>
  <c r="K96" i="6"/>
  <c r="K94" i="6"/>
  <c r="K92" i="6"/>
  <c r="K91" i="6"/>
  <c r="K90" i="6"/>
  <c r="K89" i="6"/>
  <c r="K88" i="6"/>
  <c r="K87" i="6"/>
  <c r="K86" i="6"/>
  <c r="K85" i="6"/>
  <c r="K84" i="6"/>
  <c r="K79" i="6"/>
  <c r="K80" i="6"/>
  <c r="K81" i="6"/>
  <c r="K82" i="6"/>
  <c r="K78" i="6"/>
  <c r="K77" i="6"/>
  <c r="K76" i="6"/>
  <c r="K73" i="6"/>
  <c r="K74" i="6"/>
  <c r="K72" i="6"/>
  <c r="K71" i="6"/>
  <c r="K67" i="6"/>
  <c r="K68" i="6"/>
  <c r="K69" i="6"/>
  <c r="K66" i="6"/>
  <c r="K65" i="6"/>
  <c r="K62" i="6"/>
  <c r="K63" i="6"/>
  <c r="K59" i="6"/>
  <c r="K60" i="6"/>
  <c r="K61" i="6"/>
  <c r="K58" i="6"/>
  <c r="K57" i="6"/>
  <c r="H26" i="9" l="1"/>
  <c r="H37" i="9"/>
  <c r="H51" i="9"/>
  <c r="H95" i="9"/>
  <c r="H100" i="9"/>
  <c r="H93" i="9"/>
  <c r="H9" i="9"/>
  <c r="N198" i="9"/>
  <c r="N199" i="9" s="1"/>
  <c r="H28" i="9"/>
  <c r="H137" i="9"/>
  <c r="H182" i="9"/>
  <c r="H159" i="9"/>
  <c r="H18" i="9"/>
  <c r="H149" i="9"/>
  <c r="H56" i="9"/>
  <c r="H164" i="9"/>
  <c r="H83" i="9"/>
  <c r="H162" i="9"/>
  <c r="H70" i="9"/>
  <c r="H154" i="9"/>
  <c r="H147" i="9"/>
  <c r="H156" i="9"/>
  <c r="H141" i="9"/>
  <c r="H171" i="9"/>
  <c r="H167" i="9"/>
  <c r="H46" i="9"/>
  <c r="N186" i="9"/>
  <c r="H132" i="9"/>
  <c r="M186" i="9"/>
  <c r="H75" i="9"/>
  <c r="N201" i="9"/>
  <c r="N203" i="9" s="1"/>
  <c r="N192" i="8"/>
  <c r="M186" i="8"/>
  <c r="M185" i="7"/>
  <c r="M186" i="7" s="1"/>
  <c r="N185" i="7"/>
  <c r="N186" i="7" s="1"/>
  <c r="L185" i="7"/>
  <c r="H167" i="7"/>
  <c r="H70" i="7"/>
  <c r="H83" i="7"/>
  <c r="H141" i="7"/>
  <c r="H149" i="7"/>
  <c r="H93" i="7"/>
  <c r="H18" i="7"/>
  <c r="H147" i="7"/>
  <c r="H159" i="7"/>
  <c r="H95" i="7"/>
  <c r="H46" i="7"/>
  <c r="H26" i="7"/>
  <c r="H164" i="7"/>
  <c r="H154" i="7"/>
  <c r="H100" i="7"/>
  <c r="H64" i="7"/>
  <c r="H182" i="7"/>
  <c r="H132" i="7"/>
  <c r="H156" i="7"/>
  <c r="H51" i="7"/>
  <c r="H162" i="7"/>
  <c r="H37" i="7"/>
  <c r="H137" i="7"/>
  <c r="H9" i="7"/>
  <c r="H171" i="7"/>
  <c r="H75" i="7"/>
  <c r="H28" i="7"/>
  <c r="H56" i="7"/>
  <c r="N166" i="6"/>
  <c r="N57" i="6"/>
  <c r="N148" i="6"/>
  <c r="N90" i="6"/>
  <c r="N168" i="6"/>
  <c r="N76" i="6"/>
  <c r="N114" i="6"/>
  <c r="N173" i="6"/>
  <c r="G51" i="6"/>
  <c r="K109" i="6"/>
  <c r="M108" i="6"/>
  <c r="L108" i="6"/>
  <c r="K108" i="6"/>
  <c r="N108" i="6" s="1"/>
  <c r="M107" i="6"/>
  <c r="K107" i="6"/>
  <c r="K106" i="6"/>
  <c r="K105" i="6"/>
  <c r="K104" i="6"/>
  <c r="K103" i="6"/>
  <c r="M102" i="6"/>
  <c r="L102" i="6"/>
  <c r="K102" i="6"/>
  <c r="K101" i="6"/>
  <c r="K19" i="6"/>
  <c r="K20" i="6"/>
  <c r="N20" i="6"/>
  <c r="K22" i="6"/>
  <c r="L22" i="6"/>
  <c r="M22" i="6"/>
  <c r="K23" i="6"/>
  <c r="N23" i="6" s="1"/>
  <c r="K24" i="6"/>
  <c r="K25" i="6"/>
  <c r="F11" i="6"/>
  <c r="G9" i="6" s="1"/>
  <c r="F12" i="6"/>
  <c r="F13" i="6"/>
  <c r="F14" i="6"/>
  <c r="F15" i="6"/>
  <c r="F16" i="6"/>
  <c r="F17" i="6"/>
  <c r="F19" i="6"/>
  <c r="M19" i="6" s="1"/>
  <c r="F20" i="6"/>
  <c r="M20" i="6" s="1"/>
  <c r="F21" i="6"/>
  <c r="F22" i="6"/>
  <c r="F23" i="6"/>
  <c r="L23" i="6" s="1"/>
  <c r="F24" i="6"/>
  <c r="M24" i="6" s="1"/>
  <c r="F25" i="6"/>
  <c r="L25" i="6" s="1"/>
  <c r="F27" i="6"/>
  <c r="G26" i="6" s="1"/>
  <c r="F29" i="6"/>
  <c r="F30" i="6"/>
  <c r="F31" i="6"/>
  <c r="F32" i="6"/>
  <c r="F33" i="6"/>
  <c r="F34" i="6"/>
  <c r="F35" i="6"/>
  <c r="F36" i="6"/>
  <c r="F38" i="6"/>
  <c r="F39" i="6"/>
  <c r="F40" i="6"/>
  <c r="F41" i="6"/>
  <c r="F42" i="6"/>
  <c r="F43" i="6"/>
  <c r="F44" i="6"/>
  <c r="F45" i="6"/>
  <c r="F47" i="6"/>
  <c r="F48" i="6"/>
  <c r="F49" i="6"/>
  <c r="F50" i="6"/>
  <c r="F52" i="6"/>
  <c r="F53" i="6"/>
  <c r="F54" i="6"/>
  <c r="F55" i="6"/>
  <c r="F57" i="6"/>
  <c r="F58" i="6"/>
  <c r="N58" i="6" s="1"/>
  <c r="F59" i="6"/>
  <c r="F60" i="6"/>
  <c r="F61" i="6"/>
  <c r="F62" i="6"/>
  <c r="F63" i="6"/>
  <c r="F65" i="6"/>
  <c r="F66" i="6"/>
  <c r="F67" i="6"/>
  <c r="F68" i="6"/>
  <c r="F69" i="6"/>
  <c r="F71" i="6"/>
  <c r="F72" i="6"/>
  <c r="F73" i="6"/>
  <c r="F74" i="6"/>
  <c r="F76" i="6"/>
  <c r="F77" i="6"/>
  <c r="N77" i="6" s="1"/>
  <c r="F78" i="6"/>
  <c r="F79" i="6"/>
  <c r="F80" i="6"/>
  <c r="F81" i="6"/>
  <c r="F82" i="6"/>
  <c r="F84" i="6"/>
  <c r="F85" i="6"/>
  <c r="F86" i="6"/>
  <c r="N86" i="6" s="1"/>
  <c r="F87" i="6"/>
  <c r="F88" i="6"/>
  <c r="N88" i="6" s="1"/>
  <c r="F89" i="6"/>
  <c r="N89" i="6" s="1"/>
  <c r="F90" i="6"/>
  <c r="F91" i="6"/>
  <c r="N91" i="6" s="1"/>
  <c r="F92" i="6"/>
  <c r="N92" i="6" s="1"/>
  <c r="F94" i="6"/>
  <c r="N94" i="6" s="1"/>
  <c r="F96" i="6"/>
  <c r="N96" i="6" s="1"/>
  <c r="F97" i="6"/>
  <c r="N97" i="6" s="1"/>
  <c r="F98" i="6"/>
  <c r="F99" i="6"/>
  <c r="F101" i="6"/>
  <c r="F102" i="6"/>
  <c r="F103" i="6"/>
  <c r="L103" i="6" s="1"/>
  <c r="F104" i="6"/>
  <c r="L104" i="6" s="1"/>
  <c r="F105" i="6"/>
  <c r="L105" i="6" s="1"/>
  <c r="F106" i="6"/>
  <c r="M106" i="6" s="1"/>
  <c r="F107" i="6"/>
  <c r="L107" i="6" s="1"/>
  <c r="F108" i="6"/>
  <c r="F109" i="6"/>
  <c r="M109" i="6" s="1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N122" i="6" s="1"/>
  <c r="F123" i="6"/>
  <c r="F124" i="6"/>
  <c r="F125" i="6"/>
  <c r="F126" i="6"/>
  <c r="F127" i="6"/>
  <c r="F128" i="6"/>
  <c r="F129" i="6"/>
  <c r="F130" i="6"/>
  <c r="F133" i="6"/>
  <c r="F134" i="6"/>
  <c r="F135" i="6"/>
  <c r="F136" i="6"/>
  <c r="F138" i="6"/>
  <c r="N138" i="6" s="1"/>
  <c r="F139" i="6"/>
  <c r="F140" i="6"/>
  <c r="F142" i="6"/>
  <c r="F143" i="6"/>
  <c r="F144" i="6"/>
  <c r="F145" i="6"/>
  <c r="F146" i="6"/>
  <c r="F148" i="6"/>
  <c r="F150" i="6"/>
  <c r="F151" i="6"/>
  <c r="F152" i="6"/>
  <c r="N152" i="6" s="1"/>
  <c r="F153" i="6"/>
  <c r="F155" i="6"/>
  <c r="F157" i="6"/>
  <c r="F158" i="6"/>
  <c r="F160" i="6"/>
  <c r="F161" i="6"/>
  <c r="F163" i="6"/>
  <c r="F165" i="6"/>
  <c r="F166" i="6"/>
  <c r="F168" i="6"/>
  <c r="F169" i="6"/>
  <c r="N169" i="6" s="1"/>
  <c r="F170" i="6"/>
  <c r="F172" i="6"/>
  <c r="N172" i="6" s="1"/>
  <c r="F173" i="6"/>
  <c r="F174" i="6"/>
  <c r="F175" i="6"/>
  <c r="F176" i="6"/>
  <c r="F177" i="6"/>
  <c r="F178" i="6"/>
  <c r="F179" i="6"/>
  <c r="F180" i="6"/>
  <c r="F181" i="6"/>
  <c r="F183" i="6"/>
  <c r="N183" i="6" s="1"/>
  <c r="F184" i="6"/>
  <c r="F10" i="6"/>
  <c r="H185" i="9" l="1"/>
  <c r="N193" i="8"/>
  <c r="N194" i="8" s="1"/>
  <c r="N192" i="7"/>
  <c r="N193" i="7" s="1"/>
  <c r="N194" i="7" s="1"/>
  <c r="H185" i="7"/>
  <c r="G46" i="6"/>
  <c r="L20" i="6"/>
  <c r="G28" i="6"/>
  <c r="G37" i="6"/>
  <c r="G64" i="6"/>
  <c r="N105" i="6"/>
  <c r="M105" i="6"/>
  <c r="N106" i="6"/>
  <c r="G56" i="6"/>
  <c r="G70" i="6"/>
  <c r="N109" i="6"/>
  <c r="L109" i="6"/>
  <c r="N22" i="6"/>
  <c r="G154" i="6"/>
  <c r="M155" i="6"/>
  <c r="L155" i="6"/>
  <c r="M80" i="6"/>
  <c r="L80" i="6"/>
  <c r="M103" i="6"/>
  <c r="L176" i="6"/>
  <c r="M176" i="6"/>
  <c r="N176" i="6"/>
  <c r="L79" i="6"/>
  <c r="M79" i="6"/>
  <c r="N79" i="6"/>
  <c r="N104" i="6"/>
  <c r="L175" i="6"/>
  <c r="M175" i="6"/>
  <c r="N175" i="6"/>
  <c r="N78" i="6"/>
  <c r="M78" i="6"/>
  <c r="L78" i="6"/>
  <c r="N155" i="6"/>
  <c r="N129" i="6"/>
  <c r="L129" i="6"/>
  <c r="M129" i="6"/>
  <c r="M58" i="6"/>
  <c r="L58" i="6"/>
  <c r="M25" i="6"/>
  <c r="M104" i="6"/>
  <c r="L128" i="6"/>
  <c r="M128" i="6"/>
  <c r="N128" i="6"/>
  <c r="L127" i="6"/>
  <c r="N127" i="6"/>
  <c r="M127" i="6"/>
  <c r="L19" i="6"/>
  <c r="L161" i="6"/>
  <c r="M161" i="6"/>
  <c r="G159" i="6"/>
  <c r="L160" i="6"/>
  <c r="M160" i="6"/>
  <c r="M84" i="6"/>
  <c r="L84" i="6"/>
  <c r="G18" i="6"/>
  <c r="N158" i="6"/>
  <c r="M158" i="6"/>
  <c r="L158" i="6"/>
  <c r="N103" i="6"/>
  <c r="M134" i="6"/>
  <c r="L134" i="6"/>
  <c r="M133" i="6"/>
  <c r="L133" i="6"/>
  <c r="G132" i="6"/>
  <c r="L60" i="6"/>
  <c r="M60" i="6"/>
  <c r="N60" i="6"/>
  <c r="N80" i="6"/>
  <c r="M96" i="6"/>
  <c r="L96" i="6"/>
  <c r="G95" i="6"/>
  <c r="N150" i="6"/>
  <c r="M150" i="6"/>
  <c r="G149" i="6"/>
  <c r="L150" i="6"/>
  <c r="M76" i="6"/>
  <c r="L76" i="6"/>
  <c r="N133" i="6"/>
  <c r="M148" i="6"/>
  <c r="G147" i="6"/>
  <c r="L148" i="6"/>
  <c r="N25" i="6"/>
  <c r="M170" i="6"/>
  <c r="L170" i="6"/>
  <c r="L146" i="6"/>
  <c r="M146" i="6"/>
  <c r="N146" i="6"/>
  <c r="M126" i="6"/>
  <c r="L126" i="6"/>
  <c r="L110" i="6"/>
  <c r="M110" i="6"/>
  <c r="M91" i="6"/>
  <c r="L91" i="6"/>
  <c r="M73" i="6"/>
  <c r="N73" i="6"/>
  <c r="L73" i="6"/>
  <c r="N24" i="6"/>
  <c r="N19" i="6"/>
  <c r="N110" i="6"/>
  <c r="N134" i="6"/>
  <c r="L85" i="6"/>
  <c r="M85" i="6"/>
  <c r="M139" i="6"/>
  <c r="L139" i="6"/>
  <c r="M180" i="6"/>
  <c r="L180" i="6"/>
  <c r="N180" i="6"/>
  <c r="L118" i="6"/>
  <c r="M118" i="6"/>
  <c r="N139" i="6"/>
  <c r="M178" i="6"/>
  <c r="L178" i="6"/>
  <c r="G100" i="6"/>
  <c r="L62" i="6"/>
  <c r="M62" i="6"/>
  <c r="N62" i="6"/>
  <c r="M177" i="6"/>
  <c r="L177" i="6"/>
  <c r="N177" i="6"/>
  <c r="M99" i="6"/>
  <c r="L99" i="6"/>
  <c r="M98" i="6"/>
  <c r="L98" i="6"/>
  <c r="N85" i="6"/>
  <c r="L114" i="6"/>
  <c r="M114" i="6"/>
  <c r="N59" i="6"/>
  <c r="L59" i="6"/>
  <c r="M59" i="6"/>
  <c r="M151" i="6"/>
  <c r="L151" i="6"/>
  <c r="M173" i="6"/>
  <c r="L173" i="6"/>
  <c r="L57" i="6"/>
  <c r="M57" i="6"/>
  <c r="N84" i="6"/>
  <c r="M92" i="6"/>
  <c r="L92" i="6"/>
  <c r="G167" i="6"/>
  <c r="M168" i="6"/>
  <c r="L168" i="6"/>
  <c r="L144" i="6"/>
  <c r="M144" i="6"/>
  <c r="N144" i="6"/>
  <c r="M124" i="6"/>
  <c r="N124" i="6"/>
  <c r="L124" i="6"/>
  <c r="L89" i="6"/>
  <c r="M89" i="6"/>
  <c r="M71" i="6"/>
  <c r="N71" i="6"/>
  <c r="L71" i="6"/>
  <c r="L24" i="6"/>
  <c r="L101" i="6"/>
  <c r="L106" i="6"/>
  <c r="G83" i="6"/>
  <c r="N151" i="6"/>
  <c r="L120" i="6"/>
  <c r="M120" i="6"/>
  <c r="N120" i="6"/>
  <c r="M119" i="6"/>
  <c r="N119" i="6"/>
  <c r="L119" i="6"/>
  <c r="M136" i="6"/>
  <c r="L136" i="6"/>
  <c r="L63" i="6"/>
  <c r="M63" i="6"/>
  <c r="N63" i="6"/>
  <c r="N161" i="6"/>
  <c r="M135" i="6"/>
  <c r="L135" i="6"/>
  <c r="M81" i="6"/>
  <c r="N81" i="6"/>
  <c r="L81" i="6"/>
  <c r="L61" i="6"/>
  <c r="M61" i="6"/>
  <c r="N61" i="6"/>
  <c r="M153" i="6"/>
  <c r="L153" i="6"/>
  <c r="M97" i="6"/>
  <c r="L97" i="6"/>
  <c r="N135" i="6"/>
  <c r="N174" i="6"/>
  <c r="L174" i="6"/>
  <c r="M174" i="6"/>
  <c r="L113" i="6"/>
  <c r="N113" i="6"/>
  <c r="M113" i="6"/>
  <c r="M77" i="6"/>
  <c r="L77" i="6"/>
  <c r="M94" i="6"/>
  <c r="L94" i="6"/>
  <c r="G93" i="6"/>
  <c r="L111" i="6"/>
  <c r="N111" i="6"/>
  <c r="M111" i="6"/>
  <c r="M169" i="6"/>
  <c r="L169" i="6"/>
  <c r="N125" i="6"/>
  <c r="L125" i="6"/>
  <c r="M125" i="6"/>
  <c r="L72" i="6"/>
  <c r="M72" i="6"/>
  <c r="N72" i="6"/>
  <c r="L166" i="6"/>
  <c r="M166" i="6"/>
  <c r="M123" i="6"/>
  <c r="N123" i="6"/>
  <c r="L123" i="6"/>
  <c r="L69" i="6"/>
  <c r="M69" i="6"/>
  <c r="N69" i="6"/>
  <c r="M101" i="6"/>
  <c r="N126" i="6"/>
  <c r="N118" i="6"/>
  <c r="N66" i="6"/>
  <c r="L66" i="6"/>
  <c r="M66" i="6"/>
  <c r="L181" i="6"/>
  <c r="N181" i="6"/>
  <c r="M181" i="6"/>
  <c r="M138" i="6"/>
  <c r="G137" i="6"/>
  <c r="L138" i="6"/>
  <c r="L65" i="6"/>
  <c r="M65" i="6"/>
  <c r="M179" i="6"/>
  <c r="N179" i="6"/>
  <c r="L179" i="6"/>
  <c r="L82" i="6"/>
  <c r="M82" i="6"/>
  <c r="N82" i="6"/>
  <c r="F185" i="6"/>
  <c r="N136" i="6"/>
  <c r="L157" i="6"/>
  <c r="G156" i="6"/>
  <c r="N157" i="6"/>
  <c r="M157" i="6"/>
  <c r="N117" i="6"/>
  <c r="L117" i="6"/>
  <c r="M117" i="6"/>
  <c r="N160" i="6"/>
  <c r="L116" i="6"/>
  <c r="M116" i="6"/>
  <c r="N116" i="6"/>
  <c r="N65" i="6"/>
  <c r="L115" i="6"/>
  <c r="M115" i="6"/>
  <c r="N115" i="6"/>
  <c r="N153" i="6"/>
  <c r="M152" i="6"/>
  <c r="L152" i="6"/>
  <c r="L112" i="6"/>
  <c r="M112" i="6"/>
  <c r="N112" i="6"/>
  <c r="G171" i="6"/>
  <c r="L172" i="6"/>
  <c r="M172" i="6"/>
  <c r="L74" i="6"/>
  <c r="M74" i="6"/>
  <c r="N74" i="6"/>
  <c r="N145" i="6"/>
  <c r="L145" i="6"/>
  <c r="M145" i="6"/>
  <c r="M90" i="6"/>
  <c r="L90" i="6"/>
  <c r="G75" i="6"/>
  <c r="N99" i="6"/>
  <c r="L143" i="6"/>
  <c r="N143" i="6"/>
  <c r="M143" i="6"/>
  <c r="L88" i="6"/>
  <c r="M88" i="6"/>
  <c r="N184" i="6"/>
  <c r="M184" i="6"/>
  <c r="L184" i="6"/>
  <c r="G164" i="6"/>
  <c r="M165" i="6"/>
  <c r="L165" i="6"/>
  <c r="N165" i="6"/>
  <c r="N142" i="6"/>
  <c r="G141" i="6"/>
  <c r="L142" i="6"/>
  <c r="M142" i="6"/>
  <c r="L122" i="6"/>
  <c r="M122" i="6"/>
  <c r="M87" i="6"/>
  <c r="L87" i="6"/>
  <c r="L68" i="6"/>
  <c r="M68" i="6"/>
  <c r="N68" i="6"/>
  <c r="M23" i="6"/>
  <c r="N101" i="6"/>
  <c r="N107" i="6"/>
  <c r="N98" i="6"/>
  <c r="N170" i="6"/>
  <c r="N87" i="6"/>
  <c r="M183" i="6"/>
  <c r="G182" i="6"/>
  <c r="L183" i="6"/>
  <c r="M163" i="6"/>
  <c r="L163" i="6"/>
  <c r="G162" i="6"/>
  <c r="L140" i="6"/>
  <c r="M140" i="6"/>
  <c r="L121" i="6"/>
  <c r="M121" i="6"/>
  <c r="N121" i="6"/>
  <c r="M86" i="6"/>
  <c r="L86" i="6"/>
  <c r="L67" i="6"/>
  <c r="M67" i="6"/>
  <c r="N102" i="6"/>
  <c r="N178" i="6"/>
  <c r="N163" i="6"/>
  <c r="N140" i="6"/>
  <c r="N67" i="6"/>
  <c r="G185" i="6" l="1"/>
  <c r="K10" i="6"/>
  <c r="K11" i="6"/>
  <c r="K12" i="6"/>
  <c r="K13" i="6"/>
  <c r="K14" i="6"/>
  <c r="K15" i="6"/>
  <c r="K16" i="6"/>
  <c r="K17" i="6"/>
  <c r="K21" i="6"/>
  <c r="K27" i="6"/>
  <c r="K29" i="6"/>
  <c r="K30" i="6"/>
  <c r="K31" i="6"/>
  <c r="K32" i="6"/>
  <c r="K33" i="6"/>
  <c r="K34" i="6"/>
  <c r="K35" i="6"/>
  <c r="K36" i="6"/>
  <c r="K38" i="6"/>
  <c r="K39" i="6"/>
  <c r="K40" i="6"/>
  <c r="K44" i="6"/>
  <c r="K45" i="6"/>
  <c r="K47" i="6"/>
  <c r="K48" i="6"/>
  <c r="K49" i="6"/>
  <c r="K50" i="6"/>
  <c r="K54" i="6"/>
  <c r="K55" i="6"/>
  <c r="N188" i="6"/>
  <c r="L188" i="6"/>
  <c r="M193" i="6"/>
  <c r="L29" i="6" l="1"/>
  <c r="M29" i="6"/>
  <c r="N29" i="6"/>
  <c r="M15" i="6"/>
  <c r="L15" i="6"/>
  <c r="N15" i="6"/>
  <c r="L16" i="6"/>
  <c r="M16" i="6"/>
  <c r="N16" i="6"/>
  <c r="L43" i="6"/>
  <c r="M43" i="6"/>
  <c r="N43" i="6"/>
  <c r="L32" i="6"/>
  <c r="M32" i="6"/>
  <c r="N32" i="6"/>
  <c r="L47" i="6"/>
  <c r="M47" i="6"/>
  <c r="N47" i="6"/>
  <c r="L49" i="6"/>
  <c r="N49" i="6"/>
  <c r="M49" i="6"/>
  <c r="M55" i="6"/>
  <c r="L55" i="6"/>
  <c r="N55" i="6"/>
  <c r="L17" i="6"/>
  <c r="M17" i="6"/>
  <c r="N17" i="6"/>
  <c r="L21" i="6"/>
  <c r="M21" i="6"/>
  <c r="N21" i="6"/>
  <c r="L35" i="6"/>
  <c r="M35" i="6"/>
  <c r="N35" i="6"/>
  <c r="L11" i="6"/>
  <c r="M11" i="6"/>
  <c r="N11" i="6"/>
  <c r="L12" i="6"/>
  <c r="M12" i="6"/>
  <c r="N12" i="6"/>
  <c r="L38" i="6"/>
  <c r="M38" i="6"/>
  <c r="N38" i="6"/>
  <c r="L30" i="6"/>
  <c r="M30" i="6"/>
  <c r="N30" i="6"/>
  <c r="M44" i="6"/>
  <c r="N44" i="6"/>
  <c r="L44" i="6"/>
  <c r="M45" i="6"/>
  <c r="L45" i="6"/>
  <c r="N45" i="6"/>
  <c r="L34" i="6"/>
  <c r="M34" i="6"/>
  <c r="N34" i="6"/>
  <c r="N48" i="6"/>
  <c r="L48" i="6"/>
  <c r="M48" i="6"/>
  <c r="N10" i="6"/>
  <c r="M10" i="6"/>
  <c r="L10" i="6"/>
  <c r="L13" i="6"/>
  <c r="M13" i="6"/>
  <c r="N13" i="6"/>
  <c r="L27" i="6"/>
  <c r="N27" i="6"/>
  <c r="M27" i="6"/>
  <c r="L39" i="6"/>
  <c r="M39" i="6"/>
  <c r="N39" i="6"/>
  <c r="L31" i="6"/>
  <c r="M31" i="6"/>
  <c r="N31" i="6"/>
  <c r="M33" i="6"/>
  <c r="N33" i="6"/>
  <c r="L33" i="6"/>
  <c r="L36" i="6"/>
  <c r="N36" i="6"/>
  <c r="M36" i="6"/>
  <c r="N50" i="6"/>
  <c r="L50" i="6"/>
  <c r="M50" i="6"/>
  <c r="L14" i="6"/>
  <c r="M14" i="6"/>
  <c r="N14" i="6"/>
  <c r="L40" i="6"/>
  <c r="N40" i="6"/>
  <c r="M40" i="6"/>
  <c r="M54" i="6"/>
  <c r="L54" i="6"/>
  <c r="N54" i="6"/>
  <c r="M185" i="6" l="1"/>
  <c r="M186" i="6" s="1"/>
  <c r="N185" i="6"/>
  <c r="N186" i="6" s="1"/>
  <c r="L185" i="6"/>
  <c r="N191" i="6"/>
  <c r="N193" i="6" l="1"/>
  <c r="N194" i="6" s="1"/>
</calcChain>
</file>

<file path=xl/sharedStrings.xml><?xml version="1.0" encoding="utf-8"?>
<sst xmlns="http://schemas.openxmlformats.org/spreadsheetml/2006/main" count="2937" uniqueCount="220">
  <si>
    <t>DÓLAR BNA</t>
  </si>
  <si>
    <t>DÓLAR MEP</t>
  </si>
  <si>
    <t>OBRA: EDIFICIO EL SALVADOR 4140</t>
  </si>
  <si>
    <t xml:space="preserve">Certificado </t>
  </si>
  <si>
    <t>PRESUPUESTO OBRA CIVIL</t>
  </si>
  <si>
    <t xml:space="preserve"> </t>
  </si>
  <si>
    <t>Descripción</t>
  </si>
  <si>
    <t>U</t>
  </si>
  <si>
    <t>Cant</t>
  </si>
  <si>
    <t xml:space="preserve">P unit </t>
  </si>
  <si>
    <t>Subtotal</t>
  </si>
  <si>
    <t>Avance</t>
  </si>
  <si>
    <t>Importe</t>
  </si>
  <si>
    <t>PRESUPUESTO 02 - ALBANILERIA + INSTALACIONES + TERMINACIONES</t>
  </si>
  <si>
    <t>Anterior</t>
  </si>
  <si>
    <t>Actual</t>
  </si>
  <si>
    <t>Acumulado</t>
  </si>
  <si>
    <t>ALBAÑILERIA</t>
  </si>
  <si>
    <t>Muro tipo 1 (interiores, divisorio de locales) e: 10 cm - Ladrillo hueco 08 x 18 x 33</t>
  </si>
  <si>
    <t>m2</t>
  </si>
  <si>
    <t xml:space="preserve">Muro tipo 2 y 3 (medianera, caja de escaleras y ascensor) e: 15 cm - Ladrillo hueco portante 12 x 19 x 33 </t>
  </si>
  <si>
    <t>Muro tipo 4 (divisorio de unidades y fachas) e: 15 cm -  Ladrillo hueco 12 x 18 x 33</t>
  </si>
  <si>
    <t>Enchape medianeras existentes - Contemplamos picado zonas sueltas y enchape con ladrillo comun para PB</t>
  </si>
  <si>
    <t xml:space="preserve">Mamposteria cribada de ladrillo visto en balcones </t>
  </si>
  <si>
    <t xml:space="preserve">Bloque de H° con masillado de hormigon </t>
  </si>
  <si>
    <t>Cordón de hormigón en umbrales carpinterías</t>
  </si>
  <si>
    <t>ml</t>
  </si>
  <si>
    <t>Pozo de bombeo pluvial y cloacal</t>
  </si>
  <si>
    <t>gl</t>
  </si>
  <si>
    <t>AISLACIONES</t>
  </si>
  <si>
    <t>Aislación hidrófuga horizontal (baños) - Inc. membrana geotextil y 35% en concepto de babetas</t>
  </si>
  <si>
    <t>Azotado hidrofugo - Sobre medianeras existentes</t>
  </si>
  <si>
    <t xml:space="preserve">Azotado hidrofugo - Contrapiso de vereda </t>
  </si>
  <si>
    <t xml:space="preserve">Aislación térmica en terrazas, eps e:2,00 cm </t>
  </si>
  <si>
    <t>Barrera de vapor</t>
  </si>
  <si>
    <t>Membrana asfaltica geotextil 4mm - Balcones y azotea - Inc. 20% en concepto de babetas</t>
  </si>
  <si>
    <t>Impermeabilización de subsuelo</t>
  </si>
  <si>
    <t>CUBIERTAS</t>
  </si>
  <si>
    <t>Babeta de chapa galvanizada en medianeras</t>
  </si>
  <si>
    <t>REVOQUES</t>
  </si>
  <si>
    <t>Revoque Grueso Impermeable Exterior proyectable</t>
  </si>
  <si>
    <t>Revoque Grueso Impermeable Exterior a mas de 3m proyectable - Medianero y fachadas</t>
  </si>
  <si>
    <t>Buña en revoque</t>
  </si>
  <si>
    <t>Revoque Grueso Interior + fino</t>
  </si>
  <si>
    <t>Yeso interior</t>
  </si>
  <si>
    <t xml:space="preserve">Arista en yeso </t>
  </si>
  <si>
    <t xml:space="preserve">Provisión y colocación de guardacanto yesero </t>
  </si>
  <si>
    <t>u</t>
  </si>
  <si>
    <t>Revoque Grueso Impermeable Interior b/ revestimiento</t>
  </si>
  <si>
    <t>CONTRAPISOS Y CARPETAS</t>
  </si>
  <si>
    <t>Contrapiso de cascotes en SS e: 15 cm</t>
  </si>
  <si>
    <t>Contrapiso de cascote s/terreno natural e: 20 cm - Incluye film de polietileno</t>
  </si>
  <si>
    <t>Contrapiso de cascotes en azoteas c/pendiente e: 15 cm</t>
  </si>
  <si>
    <t xml:space="preserve">Contrapiso - Carpeta monolitico e: 7 cm </t>
  </si>
  <si>
    <t xml:space="preserve">Carpeta en PB y balcones, baños y azoteas e: 3,00 cm </t>
  </si>
  <si>
    <t>Carpeta sobre membrana</t>
  </si>
  <si>
    <t>Banquinas para cocinas</t>
  </si>
  <si>
    <t>Banquinas para bombas y tanques en SB</t>
  </si>
  <si>
    <t>ESCALERAS</t>
  </si>
  <si>
    <t>Cemento alisado arrodillado en escaleras</t>
  </si>
  <si>
    <t xml:space="preserve">Provisión nariz escalera, hierro angulo 5/8 x 1/8" </t>
  </si>
  <si>
    <t xml:space="preserve">Zócalo de concreto </t>
  </si>
  <si>
    <t>Provisión y colocación de Rodapie/ Zócalo rampante en placa cementicia</t>
  </si>
  <si>
    <t>VENTILACIONES</t>
  </si>
  <si>
    <t>Ventilación Conducto Humos. Incluye toma de aire en PB - No aplica s/proyecto</t>
  </si>
  <si>
    <t xml:space="preserve">Ventilación Baños - En caño Ø 110 </t>
  </si>
  <si>
    <t>Colocación de rejillas de inyección y extracción - No aplica s/proyecto</t>
  </si>
  <si>
    <t>un</t>
  </si>
  <si>
    <t>Sombreretes en chapa prepintada C25</t>
  </si>
  <si>
    <t>PISOS - PROVISION A CARGO DEL COMITENTE</t>
  </si>
  <si>
    <t>Colocación de travertino en hall PB - Provisión a cargo del comitente</t>
  </si>
  <si>
    <t>Colocación de porcelanato en paliers, terraza y espacios comunes - Provisión a cargo del comitente</t>
  </si>
  <si>
    <t>Colocación de porcelanato en UF - Provisión a cargo del comitente</t>
  </si>
  <si>
    <t>Colocación de porcelanato en baños - Provisión a cargo del comitente</t>
  </si>
  <si>
    <t xml:space="preserve">Provisión y ejecución de alisado de cemento rodillado </t>
  </si>
  <si>
    <t>Colocación de baldoson de vereda - Provisión a cargo del comitente</t>
  </si>
  <si>
    <t>Provisión y ejecución de pavimento e: 18 cm, incluye malla Q188</t>
  </si>
  <si>
    <t>ZOCALOS Y SOLIAS - PROVISION A CARGO DEL COMITENTE</t>
  </si>
  <si>
    <t>Provisión y colocación de zocalos de Madera (MDF) h: 7 cm</t>
  </si>
  <si>
    <t>Colocación de zocalo de porcelanico - Provisión a cargo del comitente</t>
  </si>
  <si>
    <t>Colocación de zocalo de porcelanato en palieres - Provisión a cargo del comitente</t>
  </si>
  <si>
    <t>Colocación de zocalo de porcelanato en terraza y espacios comunes - Provisión a cargo del comitente</t>
  </si>
  <si>
    <t>REVESTIMIENTOS - PROVISION A CARGO DEL COMITENTE</t>
  </si>
  <si>
    <t>Revestimiento en baños - Provisión a cargo del comitente</t>
  </si>
  <si>
    <t>Revestimiento en cocinas - Provisión a cargo del comitente</t>
  </si>
  <si>
    <t>Revestimiento tejuela exterior - Provisión a cargo del comitente</t>
  </si>
  <si>
    <t>Provisión y colocación de perfileria de aluminio tipo ATRIM L anod. Natural</t>
  </si>
  <si>
    <t>CIELORRASOS</t>
  </si>
  <si>
    <t xml:space="preserve">Cielorraso junta tomada placa STD </t>
  </si>
  <si>
    <t>Cielorraso junta tomada placa RH</t>
  </si>
  <si>
    <t>Cajon en junta tomada placa STD</t>
  </si>
  <si>
    <t>Buña perimetral / Cantoneras</t>
  </si>
  <si>
    <t>Aplicado de yeso interior</t>
  </si>
  <si>
    <t xml:space="preserve">Buña en yeso </t>
  </si>
  <si>
    <t>H° Visto - Maquillaje para recibir pintura</t>
  </si>
  <si>
    <t>PINTURA</t>
  </si>
  <si>
    <t>Látex interior para paredes Bco. mate (enduido parcial)</t>
  </si>
  <si>
    <t>Látex interior para paredes Bco. mate (s/enduido)</t>
  </si>
  <si>
    <t>Látex para cielorraso Bco. mate (enduido parcial)</t>
  </si>
  <si>
    <t>Látex para cielorraso Bco. mate (enduido completo)</t>
  </si>
  <si>
    <t>Latex interior cielorraso sobre H°</t>
  </si>
  <si>
    <t>Revestimiento plastico tipo Quimtex en exteriores y PB</t>
  </si>
  <si>
    <t>Revestimiento plastico tipo Quimtex en exteriores a mas de 3m de altura, incluye medianeras</t>
  </si>
  <si>
    <t>Esmalte sintético en puertas placa, chapa y de ascensor</t>
  </si>
  <si>
    <t>Convertidor y esmalte sintentico en barandas - Escalera, balcones, porton, medidores y SDM</t>
  </si>
  <si>
    <t>MARMOLES Y GRANITOS - PROVISION Y COLOCACION A CARGO DEL COMITENTE</t>
  </si>
  <si>
    <t>CARPINTERIA - PROVISION A CARGO DEL COMITENTE</t>
  </si>
  <si>
    <t>Amure de puertas placa  Provisión a cargo del comitente</t>
  </si>
  <si>
    <t>Amure de puertas de chapa e ingresos depto - Provisión a cargo del comitente</t>
  </si>
  <si>
    <t>Amure de premarcos - Provisión a cargo del comitente</t>
  </si>
  <si>
    <t>Amure Puertas de Ascensor - Provisión a cargo del comitente</t>
  </si>
  <si>
    <t>INSTALACION ELECTRICA</t>
  </si>
  <si>
    <t>Tendido y cableado boca Iluminación</t>
  </si>
  <si>
    <t>Tendido y cableado boca Iluminación - Caja mignon para Led</t>
  </si>
  <si>
    <t>Tendido y cableado boca tomacorriente</t>
  </si>
  <si>
    <t>Tendido y cableado boca tomacorriente especial (AA.CC)</t>
  </si>
  <si>
    <t>Tendido y cableado boca MBT Timbre</t>
  </si>
  <si>
    <t>Tendido y cableado boca de temostato - Sin instalación de termostato</t>
  </si>
  <si>
    <t xml:space="preserve">Boca de TV - Cañería c/cable testigo </t>
  </si>
  <si>
    <t xml:space="preserve">Boca de PE - Cañería c/cable testigo </t>
  </si>
  <si>
    <t xml:space="preserve">Boca de CCTV - Cañería c/cable testigo </t>
  </si>
  <si>
    <t>Tablero Servicios generales - TSG</t>
  </si>
  <si>
    <t>Tablero Bombas impulsión - TS BI</t>
  </si>
  <si>
    <t>Tablero Seccional ascensor - TS.ASC.</t>
  </si>
  <si>
    <t>Tablero de Bomba presurizadora - TS BR</t>
  </si>
  <si>
    <t xml:space="preserve">Tablero TS Local </t>
  </si>
  <si>
    <t>Tablero de UF (monoambiente)</t>
  </si>
  <si>
    <t>Tablero de UF (2 y 3 ambientes)</t>
  </si>
  <si>
    <t>Montante eléctrica</t>
  </si>
  <si>
    <t xml:space="preserve">Montante TV + Tablero TV - Cañería c/cable testigo </t>
  </si>
  <si>
    <t>Montante PE + Tablero PE- Cañería c/cable testigo</t>
  </si>
  <si>
    <t>Colocación de sensor de movimiento - Provisión a cargo del comitente</t>
  </si>
  <si>
    <t>Colocación de teclas simples y/o combinadas - Provisión a cargo del comitente</t>
  </si>
  <si>
    <t>Colocación de pulsadores, circulación + timbres - Provisión a cargo del comitente</t>
  </si>
  <si>
    <t>Colocación de tomacorriente simple y doble 10 A - Provisión a cargo del comitente</t>
  </si>
  <si>
    <t>Colocación de luz de emergencia - Provisión a cargo del comitente</t>
  </si>
  <si>
    <t>Colocación de zumbador - Provisión a cargo del comitente</t>
  </si>
  <si>
    <t>Colocación artefactos en espacios comunes y balcones - Provisión a cargo del comitente. NO incluye provisión, ni colocación de artefactos en interior de UF</t>
  </si>
  <si>
    <t>Colocación de fotocelula - Provisión a cargo del comitente</t>
  </si>
  <si>
    <t xml:space="preserve">Acometida y gabiente de medidores </t>
  </si>
  <si>
    <t>Puesta a tierra, jabalinas y cableados</t>
  </si>
  <si>
    <t>Certificado DCI para servicios generales</t>
  </si>
  <si>
    <t>INSTALACION SANITARIA, GRIFERIA Y SANITARIOS</t>
  </si>
  <si>
    <t>INSTALACION CLOACAL</t>
  </si>
  <si>
    <t>Tendido caño cloacal en planta baja y ss</t>
  </si>
  <si>
    <t>Armado de pozo de bombeo cloacal</t>
  </si>
  <si>
    <t>Por armar CDV en planta tipo</t>
  </si>
  <si>
    <t>Montantes, remate y ventilación a los 4 vientos</t>
  </si>
  <si>
    <t>INSTALACION PLUVIAL</t>
  </si>
  <si>
    <t>Tendido caño pluvial en planta baja y ss</t>
  </si>
  <si>
    <t>Tendido caño pluvial por pisos</t>
  </si>
  <si>
    <t>Instalación tanque de recupero y bombeo pluvial</t>
  </si>
  <si>
    <t>INSTALACION AGUA FRIA Y CALIENTE</t>
  </si>
  <si>
    <t>Tendido caño de agua en SS hasta TB. Colocación de TB, armado de colector y cuadro de bombas</t>
  </si>
  <si>
    <t>Colocación TR, armado de colector, subida y bajadas de AF</t>
  </si>
  <si>
    <t>Colocación de bomba presurizadora, armado de colector y montantes presurizadas (ultimo piso 4°) AF</t>
  </si>
  <si>
    <t>Distribución agua fria y caliente en planta tipo</t>
  </si>
  <si>
    <t>Colocación de artefactos y griferias - Provisión a cargo del comitente</t>
  </si>
  <si>
    <t>INSTALACION DESCARGA SPLIT</t>
  </si>
  <si>
    <t>Armado y conexionado de desagües AA.CC</t>
  </si>
  <si>
    <t>INSTALACION CALEFACCION</t>
  </si>
  <si>
    <t>Tendido de cañerías de mando y retorno para calefacción</t>
  </si>
  <si>
    <t>Montaje de radiadores - Provisión a cargo del comitente</t>
  </si>
  <si>
    <t>Montaje de caldera y puesta en marcha - Provisión a cargo del comitente</t>
  </si>
  <si>
    <t>Diferencia por piso radiante (colectores y gabinetes a cargo del comitente)</t>
  </si>
  <si>
    <t>INSTALACION DE INCENDIO</t>
  </si>
  <si>
    <t xml:space="preserve">Tendido cañeria de incendio - Gabinetes, mangueras, lanzas y valvulas cotizadas en provisiones </t>
  </si>
  <si>
    <t>INSTALACION DE GAS</t>
  </si>
  <si>
    <t>Provisión y tendido de cañerías de gas a cada UF</t>
  </si>
  <si>
    <t>Tramites gas - Prefactibilidad, inspección parcial, final</t>
  </si>
  <si>
    <t>AIRE ACONDICIONADO - PROVISION A CARGO DEL COMITENTE</t>
  </si>
  <si>
    <t xml:space="preserve">Preinstalación para AA.CC </t>
  </si>
  <si>
    <t>Montaje, colocación y puesta en marcha de equipos - Provisión a cargo del comitente</t>
  </si>
  <si>
    <t>ASCENSOR  - PROVISION A CARGO DEL COMITENTE</t>
  </si>
  <si>
    <t>Ascensores - Provisión y colocación a cargo del comitente</t>
  </si>
  <si>
    <t>EQUIPAMIENTO - PROVISION A CARGO DEL COMITENTE</t>
  </si>
  <si>
    <t>Artefactos de cocina, instalacion anafes y hornos - Provisión a cargo del comitente</t>
  </si>
  <si>
    <t>Instalacion de extractores de baños - Provisión a cargo del comitente</t>
  </si>
  <si>
    <t>TRABAJOS COMPLEMENTARIOS</t>
  </si>
  <si>
    <t>Albañilería parrila completa</t>
  </si>
  <si>
    <t>Colocación de ladrillos de vidrio - Provisión a cargo del comitente</t>
  </si>
  <si>
    <t>Provisión y amure de tapas para pleno electricos y gas en palieres</t>
  </si>
  <si>
    <t>AYUDA DE GREMIOS</t>
  </si>
  <si>
    <t>Sereno</t>
  </si>
  <si>
    <t>mes</t>
  </si>
  <si>
    <t>Tecnico de seguridad &amp; higiene permanente en Obra</t>
  </si>
  <si>
    <t>Higiene y seguridad Res 51</t>
  </si>
  <si>
    <t>Protecciones y defensas</t>
  </si>
  <si>
    <t>Ayuda de gremios</t>
  </si>
  <si>
    <t xml:space="preserve">Limpieza periodica </t>
  </si>
  <si>
    <t>Limpieza final de Obra</t>
  </si>
  <si>
    <t>Fletes</t>
  </si>
  <si>
    <t>Alquiler de equipos - Montacargas, tubos de descarga y balancin</t>
  </si>
  <si>
    <t>Volquetes</t>
  </si>
  <si>
    <t>JEFATURA DE OBRA</t>
  </si>
  <si>
    <t>Supervisión profesional de Obra</t>
  </si>
  <si>
    <t>Movilidad y viaticos</t>
  </si>
  <si>
    <t>SUBTOTAL PRESUPUESTO 02 (SIN IVA)</t>
  </si>
  <si>
    <t>Presupuesto base Sep-24</t>
  </si>
  <si>
    <t>RESUMEN CERTIFICADO</t>
  </si>
  <si>
    <t xml:space="preserve">CERT. N° </t>
  </si>
  <si>
    <t>%</t>
  </si>
  <si>
    <t>IMPORTE</t>
  </si>
  <si>
    <t>A</t>
  </si>
  <si>
    <t>Presupuesto aprobado</t>
  </si>
  <si>
    <t>B</t>
  </si>
  <si>
    <t>Anticipo</t>
  </si>
  <si>
    <t>C</t>
  </si>
  <si>
    <t>Certificado actual</t>
  </si>
  <si>
    <t>D</t>
  </si>
  <si>
    <t xml:space="preserve">Desacopio </t>
  </si>
  <si>
    <t>E</t>
  </si>
  <si>
    <t>Subtotal certificacion actual completa (SIN IVA)</t>
  </si>
  <si>
    <t>Actualización por CAC base Sep-24 por fuera de OC</t>
  </si>
  <si>
    <r>
      <t>Revoque Grueso Impermeable Exterior a mas de 3m proyectable -</t>
    </r>
    <r>
      <rPr>
        <i/>
        <sz val="10"/>
        <color rgb="FFFF0000"/>
        <rFont val="Calibri"/>
        <family val="2"/>
      </rPr>
      <t xml:space="preserve"> Medianero y fachadas</t>
    </r>
  </si>
  <si>
    <t>Tablero UF - Circuitos independientes</t>
  </si>
  <si>
    <t>DEDUCTIVOS</t>
  </si>
  <si>
    <t>F</t>
  </si>
  <si>
    <t>Deductivos</t>
  </si>
  <si>
    <r>
      <t xml:space="preserve">Revestimiento tejuela exterior </t>
    </r>
    <r>
      <rPr>
        <sz val="10"/>
        <color rgb="FFFF0000"/>
        <rFont val="Calibri"/>
        <family val="2"/>
      </rPr>
      <t>- Provisión a cargo del comitente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</si>
</sst>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-* #,##0.0_-;\-* #,##0.0_-;_-* &quot;-&quot;??_-;_-@_-"/>
  </numFmts>
  <fonts count="13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FF0000"/>
      <name val="Calibri"/>
      <family val="2"/>
    </font>
    <font>
      <i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2">
    <xf numFmtId="0" fontId="0" fillId="0" borderId="15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15"/>
    <xf numFmtId="0" fontId="1" fillId="0" borderId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99">
    <xf numFmtId="0" fontId="0" fillId="0" borderId="15" xfId="0"/>
    <xf numFmtId="164" fontId="7" fillId="0" borderId="0" xfId="1" applyFont="1" applyFill="1" applyAlignment="1">
      <alignment horizontal="center" vertical="center"/>
    </xf>
    <xf numFmtId="0" fontId="7" fillId="0" borderId="0" xfId="1" applyNumberFormat="1" applyFont="1"/>
    <xf numFmtId="0" fontId="7" fillId="0" borderId="0" xfId="2" applyFont="1" applyAlignment="1">
      <alignment horizontal="center" vertical="center"/>
    </xf>
    <xf numFmtId="165" fontId="6" fillId="0" borderId="0" xfId="1" applyNumberFormat="1" applyFont="1" applyBorder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 wrapText="1"/>
    </xf>
    <xf numFmtId="0" fontId="7" fillId="0" borderId="0" xfId="2" applyFont="1"/>
    <xf numFmtId="0" fontId="8" fillId="0" borderId="0" xfId="1" applyNumberFormat="1" applyFont="1" applyAlignment="1">
      <alignment vertical="center"/>
    </xf>
    <xf numFmtId="164" fontId="8" fillId="2" borderId="1" xfId="1" applyFont="1" applyFill="1" applyBorder="1" applyAlignment="1">
      <alignment horizontal="center" vertical="center" wrapText="1"/>
    </xf>
    <xf numFmtId="164" fontId="6" fillId="0" borderId="0" xfId="1" applyFont="1" applyFill="1" applyAlignment="1">
      <alignment horizontal="center" vertical="center" wrapText="1"/>
    </xf>
    <xf numFmtId="0" fontId="6" fillId="0" borderId="0" xfId="1" applyNumberFormat="1" applyFont="1" applyAlignment="1">
      <alignment vertical="center" wrapText="1"/>
    </xf>
    <xf numFmtId="0" fontId="6" fillId="0" borderId="0" xfId="3" applyFont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65" fontId="8" fillId="0" borderId="0" xfId="1" applyNumberFormat="1" applyFont="1" applyAlignment="1">
      <alignment horizontal="center" vertical="center" wrapText="1"/>
    </xf>
    <xf numFmtId="0" fontId="6" fillId="0" borderId="0" xfId="3" applyFont="1" applyAlignment="1">
      <alignment vertical="center" wrapText="1"/>
    </xf>
    <xf numFmtId="14" fontId="8" fillId="0" borderId="0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165" fontId="6" fillId="0" borderId="2" xfId="1" applyNumberFormat="1" applyFont="1" applyFill="1" applyBorder="1" applyAlignment="1">
      <alignment horizontal="center" vertical="center" wrapText="1"/>
    </xf>
    <xf numFmtId="165" fontId="8" fillId="0" borderId="0" xfId="1" applyNumberFormat="1" applyFont="1" applyBorder="1" applyAlignment="1">
      <alignment horizontal="center" vertical="center" wrapText="1"/>
    </xf>
    <xf numFmtId="164" fontId="8" fillId="0" borderId="3" xfId="1" applyFont="1" applyFill="1" applyBorder="1" applyAlignment="1">
      <alignment horizontal="center" vertical="center" wrapText="1"/>
    </xf>
    <xf numFmtId="0" fontId="8" fillId="0" borderId="4" xfId="1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/>
    </xf>
    <xf numFmtId="165" fontId="8" fillId="0" borderId="5" xfId="1" applyNumberFormat="1" applyFont="1" applyFill="1" applyBorder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164" fontId="8" fillId="0" borderId="3" xfId="1" applyFont="1" applyFill="1" applyBorder="1" applyAlignment="1">
      <alignment horizontal="center" vertical="center"/>
    </xf>
    <xf numFmtId="0" fontId="8" fillId="0" borderId="6" xfId="1" applyNumberFormat="1" applyFont="1" applyBorder="1" applyAlignment="1">
      <alignment vertical="center" wrapText="1"/>
    </xf>
    <xf numFmtId="0" fontId="6" fillId="0" borderId="6" xfId="3" applyFont="1" applyBorder="1" applyAlignment="1">
      <alignment horizontal="center" vertical="center" wrapText="1"/>
    </xf>
    <xf numFmtId="165" fontId="6" fillId="0" borderId="6" xfId="1" applyNumberFormat="1" applyFont="1" applyFill="1" applyBorder="1" applyAlignment="1">
      <alignment horizontal="center" vertical="center" wrapText="1"/>
    </xf>
    <xf numFmtId="165" fontId="8" fillId="0" borderId="4" xfId="1" applyNumberFormat="1" applyFont="1" applyFill="1" applyBorder="1" applyAlignment="1">
      <alignment horizontal="center" vertical="center" wrapText="1"/>
    </xf>
    <xf numFmtId="9" fontId="7" fillId="0" borderId="0" xfId="4" applyFont="1"/>
    <xf numFmtId="164" fontId="7" fillId="0" borderId="7" xfId="1" applyFont="1" applyFill="1" applyBorder="1" applyAlignment="1">
      <alignment horizontal="center" vertical="center"/>
    </xf>
    <xf numFmtId="0" fontId="6" fillId="0" borderId="7" xfId="1" applyNumberFormat="1" applyFont="1" applyBorder="1" applyAlignment="1">
      <alignment vertical="top" wrapText="1"/>
    </xf>
    <xf numFmtId="49" fontId="6" fillId="0" borderId="7" xfId="2" applyNumberFormat="1" applyFont="1" applyBorder="1" applyAlignment="1">
      <alignment horizontal="center" vertical="center"/>
    </xf>
    <xf numFmtId="165" fontId="7" fillId="0" borderId="7" xfId="1" applyNumberFormat="1" applyFont="1" applyFill="1" applyBorder="1" applyAlignment="1">
      <alignment horizontal="center" vertical="center"/>
    </xf>
    <xf numFmtId="165" fontId="7" fillId="0" borderId="7" xfId="1" applyNumberFormat="1" applyFont="1" applyBorder="1" applyAlignment="1">
      <alignment horizontal="center" vertical="center"/>
    </xf>
    <xf numFmtId="164" fontId="7" fillId="0" borderId="8" xfId="1" applyFont="1" applyFill="1" applyBorder="1" applyAlignment="1">
      <alignment horizontal="center" vertical="center"/>
    </xf>
    <xf numFmtId="0" fontId="6" fillId="0" borderId="8" xfId="1" applyNumberFormat="1" applyFont="1" applyBorder="1" applyAlignment="1">
      <alignment vertical="top" wrapText="1"/>
    </xf>
    <xf numFmtId="49" fontId="6" fillId="0" borderId="8" xfId="2" applyNumberFormat="1" applyFont="1" applyBorder="1" applyAlignment="1">
      <alignment horizontal="center" vertical="center"/>
    </xf>
    <xf numFmtId="165" fontId="7" fillId="0" borderId="8" xfId="1" applyNumberFormat="1" applyFont="1" applyFill="1" applyBorder="1" applyAlignment="1">
      <alignment horizontal="center" vertical="center"/>
    </xf>
    <xf numFmtId="165" fontId="7" fillId="0" borderId="8" xfId="1" applyNumberFormat="1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 wrapText="1"/>
    </xf>
    <xf numFmtId="165" fontId="6" fillId="0" borderId="8" xfId="1" applyNumberFormat="1" applyFont="1" applyFill="1" applyBorder="1" applyAlignment="1">
      <alignment horizontal="center" vertical="center" wrapText="1"/>
    </xf>
    <xf numFmtId="164" fontId="7" fillId="0" borderId="9" xfId="1" applyFont="1" applyFill="1" applyBorder="1" applyAlignment="1">
      <alignment horizontal="center" vertical="center"/>
    </xf>
    <xf numFmtId="0" fontId="6" fillId="0" borderId="9" xfId="1" applyNumberFormat="1" applyFont="1" applyBorder="1" applyAlignment="1">
      <alignment vertical="top" wrapText="1"/>
    </xf>
    <xf numFmtId="49" fontId="6" fillId="0" borderId="9" xfId="2" applyNumberFormat="1" applyFont="1" applyBorder="1" applyAlignment="1">
      <alignment horizontal="center" vertical="center"/>
    </xf>
    <xf numFmtId="165" fontId="7" fillId="0" borderId="9" xfId="1" applyNumberFormat="1" applyFont="1" applyFill="1" applyBorder="1" applyAlignment="1">
      <alignment horizontal="center" vertical="center"/>
    </xf>
    <xf numFmtId="49" fontId="6" fillId="0" borderId="8" xfId="5" applyNumberFormat="1" applyFont="1" applyBorder="1" applyAlignment="1">
      <alignment horizontal="center" vertical="center"/>
    </xf>
    <xf numFmtId="165" fontId="6" fillId="0" borderId="8" xfId="1" applyNumberFormat="1" applyFont="1" applyFill="1" applyBorder="1" applyAlignment="1">
      <alignment horizontal="center" vertical="center"/>
    </xf>
    <xf numFmtId="0" fontId="7" fillId="0" borderId="8" xfId="1" applyNumberFormat="1" applyFont="1" applyBorder="1" applyAlignment="1">
      <alignment vertical="center" wrapText="1"/>
    </xf>
    <xf numFmtId="0" fontId="6" fillId="0" borderId="8" xfId="1" applyNumberFormat="1" applyFont="1" applyBorder="1" applyAlignment="1">
      <alignment horizontal="left"/>
    </xf>
    <xf numFmtId="165" fontId="6" fillId="0" borderId="9" xfId="1" applyNumberFormat="1" applyFont="1" applyFill="1" applyBorder="1" applyAlignment="1">
      <alignment horizontal="center" vertical="center"/>
    </xf>
    <xf numFmtId="164" fontId="7" fillId="0" borderId="12" xfId="1" applyFont="1" applyFill="1" applyBorder="1" applyAlignment="1">
      <alignment horizontal="center" vertical="center"/>
    </xf>
    <xf numFmtId="0" fontId="6" fillId="0" borderId="8" xfId="1" applyNumberFormat="1" applyFont="1" applyBorder="1" applyAlignment="1">
      <alignment horizontal="left" vertical="center"/>
    </xf>
    <xf numFmtId="164" fontId="7" fillId="0" borderId="8" xfId="6" applyFont="1" applyFill="1" applyBorder="1" applyAlignment="1">
      <alignment horizontal="center" vertical="center"/>
    </xf>
    <xf numFmtId="164" fontId="7" fillId="0" borderId="0" xfId="6" applyFont="1" applyFill="1"/>
    <xf numFmtId="164" fontId="7" fillId="0" borderId="0" xfId="6" applyFont="1"/>
    <xf numFmtId="0" fontId="6" fillId="0" borderId="9" xfId="1" applyNumberFormat="1" applyFont="1" applyBorder="1" applyAlignment="1">
      <alignment horizontal="left" vertical="center"/>
    </xf>
    <xf numFmtId="165" fontId="7" fillId="0" borderId="9" xfId="1" applyNumberFormat="1" applyFont="1" applyBorder="1" applyAlignment="1">
      <alignment horizontal="center" vertical="center"/>
    </xf>
    <xf numFmtId="49" fontId="6" fillId="0" borderId="7" xfId="5" applyNumberFormat="1" applyFont="1" applyBorder="1" applyAlignment="1">
      <alignment horizontal="center" vertical="center"/>
    </xf>
    <xf numFmtId="165" fontId="6" fillId="0" borderId="7" xfId="1" applyNumberFormat="1" applyFont="1" applyFill="1" applyBorder="1" applyAlignment="1">
      <alignment horizontal="center" vertical="center"/>
    </xf>
    <xf numFmtId="0" fontId="6" fillId="0" borderId="0" xfId="2" applyFont="1"/>
    <xf numFmtId="49" fontId="6" fillId="0" borderId="9" xfId="5" applyNumberFormat="1" applyFont="1" applyBorder="1" applyAlignment="1">
      <alignment horizontal="center" vertical="center"/>
    </xf>
    <xf numFmtId="165" fontId="8" fillId="0" borderId="6" xfId="1" applyNumberFormat="1" applyFont="1" applyFill="1" applyBorder="1" applyAlignment="1">
      <alignment horizontal="center" vertical="center" wrapText="1"/>
    </xf>
    <xf numFmtId="0" fontId="7" fillId="0" borderId="4" xfId="2" applyFont="1" applyBorder="1"/>
    <xf numFmtId="165" fontId="7" fillId="0" borderId="16" xfId="1" applyNumberFormat="1" applyFont="1" applyBorder="1" applyAlignment="1">
      <alignment horizontal="center" vertical="center"/>
    </xf>
    <xf numFmtId="164" fontId="9" fillId="0" borderId="6" xfId="8" applyFont="1" applyBorder="1"/>
    <xf numFmtId="0" fontId="8" fillId="0" borderId="0" xfId="1" applyNumberFormat="1" applyFont="1" applyAlignment="1">
      <alignment horizontal="center" vertical="center"/>
    </xf>
    <xf numFmtId="167" fontId="9" fillId="0" borderId="2" xfId="8" applyNumberFormat="1" applyFont="1" applyBorder="1" applyAlignment="1">
      <alignment horizontal="left"/>
    </xf>
    <xf numFmtId="167" fontId="7" fillId="0" borderId="0" xfId="8" applyNumberFormat="1" applyFont="1"/>
    <xf numFmtId="164" fontId="7" fillId="0" borderId="0" xfId="8" applyFont="1"/>
    <xf numFmtId="164" fontId="9" fillId="0" borderId="0" xfId="8" applyFont="1" applyAlignment="1">
      <alignment horizontal="right"/>
    </xf>
    <xf numFmtId="167" fontId="6" fillId="0" borderId="0" xfId="8" applyNumberFormat="1" applyFont="1" applyAlignment="1">
      <alignment vertical="center" wrapText="1"/>
    </xf>
    <xf numFmtId="167" fontId="6" fillId="0" borderId="0" xfId="8" applyNumberFormat="1" applyFont="1" applyAlignment="1">
      <alignment horizontal="center" vertical="center" wrapText="1"/>
    </xf>
    <xf numFmtId="164" fontId="6" fillId="0" borderId="0" xfId="8" applyFont="1" applyAlignment="1">
      <alignment vertical="center" wrapText="1"/>
    </xf>
    <xf numFmtId="167" fontId="9" fillId="0" borderId="1" xfId="8" applyNumberFormat="1" applyFont="1" applyBorder="1" applyAlignment="1">
      <alignment horizontal="center" vertical="center"/>
    </xf>
    <xf numFmtId="164" fontId="9" fillId="0" borderId="1" xfId="8" applyFont="1" applyBorder="1" applyAlignment="1">
      <alignment horizontal="center" vertical="center"/>
    </xf>
    <xf numFmtId="9" fontId="6" fillId="0" borderId="8" xfId="19" applyFont="1" applyFill="1" applyBorder="1" applyAlignment="1">
      <alignment horizontal="center" vertical="center" wrapText="1"/>
    </xf>
    <xf numFmtId="165" fontId="7" fillId="0" borderId="12" xfId="20" applyNumberFormat="1" applyFont="1" applyBorder="1" applyAlignment="1">
      <alignment vertical="center"/>
    </xf>
    <xf numFmtId="164" fontId="7" fillId="0" borderId="3" xfId="8" applyFont="1" applyFill="1" applyBorder="1" applyAlignment="1">
      <alignment horizontal="center"/>
    </xf>
    <xf numFmtId="164" fontId="7" fillId="0" borderId="6" xfId="8" applyFont="1" applyBorder="1" applyAlignment="1">
      <alignment horizontal="center" vertical="center"/>
    </xf>
    <xf numFmtId="164" fontId="6" fillId="0" borderId="6" xfId="8" applyFont="1" applyBorder="1"/>
    <xf numFmtId="166" fontId="6" fillId="0" borderId="6" xfId="8" applyNumberFormat="1" applyFont="1" applyBorder="1"/>
    <xf numFmtId="166" fontId="7" fillId="0" borderId="6" xfId="8" applyNumberFormat="1" applyFont="1" applyBorder="1"/>
    <xf numFmtId="166" fontId="9" fillId="0" borderId="6" xfId="8" applyNumberFormat="1" applyFont="1" applyBorder="1"/>
    <xf numFmtId="167" fontId="7" fillId="0" borderId="6" xfId="8" applyNumberFormat="1" applyFont="1" applyBorder="1"/>
    <xf numFmtId="167" fontId="7" fillId="0" borderId="6" xfId="8" applyNumberFormat="1" applyFont="1" applyBorder="1" applyAlignment="1">
      <alignment horizontal="center" vertical="center"/>
    </xf>
    <xf numFmtId="167" fontId="9" fillId="0" borderId="6" xfId="8" applyNumberFormat="1" applyFont="1" applyBorder="1" applyAlignment="1">
      <alignment horizontal="right" vertical="center"/>
    </xf>
    <xf numFmtId="166" fontId="9" fillId="0" borderId="6" xfId="8" applyNumberFormat="1" applyFont="1" applyBorder="1" applyAlignment="1">
      <alignment horizontal="left" vertical="center"/>
    </xf>
    <xf numFmtId="164" fontId="9" fillId="0" borderId="6" xfId="8" applyFont="1" applyBorder="1" applyAlignment="1">
      <alignment horizontal="center" vertical="center"/>
    </xf>
    <xf numFmtId="14" fontId="9" fillId="0" borderId="4" xfId="8" applyNumberFormat="1" applyFont="1" applyBorder="1" applyAlignment="1">
      <alignment horizontal="center" vertical="center"/>
    </xf>
    <xf numFmtId="164" fontId="9" fillId="0" borderId="3" xfId="8" applyFont="1" applyFill="1" applyBorder="1" applyAlignment="1">
      <alignment horizontal="center"/>
    </xf>
    <xf numFmtId="164" fontId="8" fillId="0" borderId="6" xfId="8" applyFont="1" applyBorder="1"/>
    <xf numFmtId="166" fontId="8" fillId="0" borderId="6" xfId="8" applyNumberFormat="1" applyFont="1" applyBorder="1"/>
    <xf numFmtId="167" fontId="9" fillId="0" borderId="6" xfId="8" applyNumberFormat="1" applyFont="1" applyBorder="1"/>
    <xf numFmtId="167" fontId="9" fillId="0" borderId="6" xfId="8" applyNumberFormat="1" applyFont="1" applyBorder="1" applyAlignment="1">
      <alignment horizontal="center" vertical="center"/>
    </xf>
    <xf numFmtId="164" fontId="9" fillId="0" borderId="4" xfId="8" applyFont="1" applyBorder="1" applyAlignment="1">
      <alignment horizontal="center" vertical="center"/>
    </xf>
    <xf numFmtId="164" fontId="7" fillId="3" borderId="19" xfId="8" applyFont="1" applyFill="1" applyBorder="1"/>
    <xf numFmtId="164" fontId="7" fillId="3" borderId="20" xfId="8" applyFont="1" applyFill="1" applyBorder="1" applyAlignment="1">
      <alignment horizontal="center" vertical="center"/>
    </xf>
    <xf numFmtId="164" fontId="6" fillId="3" borderId="20" xfId="8" applyFont="1" applyFill="1" applyBorder="1"/>
    <xf numFmtId="166" fontId="6" fillId="3" borderId="20" xfId="8" applyNumberFormat="1" applyFont="1" applyFill="1" applyBorder="1"/>
    <xf numFmtId="166" fontId="7" fillId="3" borderId="20" xfId="8" applyNumberFormat="1" applyFont="1" applyFill="1" applyBorder="1"/>
    <xf numFmtId="166" fontId="9" fillId="3" borderId="20" xfId="8" applyNumberFormat="1" applyFont="1" applyFill="1" applyBorder="1"/>
    <xf numFmtId="167" fontId="7" fillId="3" borderId="20" xfId="8" applyNumberFormat="1" applyFont="1" applyFill="1" applyBorder="1"/>
    <xf numFmtId="167" fontId="7" fillId="3" borderId="20" xfId="8" applyNumberFormat="1" applyFont="1" applyFill="1" applyBorder="1" applyAlignment="1">
      <alignment horizontal="center" vertical="center"/>
    </xf>
    <xf numFmtId="164" fontId="7" fillId="3" borderId="20" xfId="8" applyFont="1" applyFill="1" applyBorder="1"/>
    <xf numFmtId="165" fontId="7" fillId="3" borderId="21" xfId="8" applyNumberFormat="1" applyFont="1" applyFill="1" applyBorder="1"/>
    <xf numFmtId="164" fontId="7" fillId="0" borderId="8" xfId="8" applyFont="1" applyFill="1" applyBorder="1" applyAlignment="1">
      <alignment horizontal="center"/>
    </xf>
    <xf numFmtId="164" fontId="7" fillId="0" borderId="10" xfId="8" applyFont="1" applyBorder="1"/>
    <xf numFmtId="164" fontId="7" fillId="0" borderId="17" xfId="8" applyFont="1" applyBorder="1" applyAlignment="1">
      <alignment horizontal="center" vertical="center"/>
    </xf>
    <xf numFmtId="164" fontId="6" fillId="0" borderId="17" xfId="8" applyFont="1" applyBorder="1"/>
    <xf numFmtId="166" fontId="6" fillId="0" borderId="17" xfId="8" applyNumberFormat="1" applyFont="1" applyBorder="1"/>
    <xf numFmtId="166" fontId="7" fillId="0" borderId="17" xfId="8" applyNumberFormat="1" applyFont="1" applyBorder="1"/>
    <xf numFmtId="166" fontId="9" fillId="0" borderId="17" xfId="8" applyNumberFormat="1" applyFont="1" applyBorder="1"/>
    <xf numFmtId="167" fontId="7" fillId="0" borderId="17" xfId="8" applyNumberFormat="1" applyFont="1" applyBorder="1" applyAlignment="1">
      <alignment horizontal="center" vertical="center"/>
    </xf>
    <xf numFmtId="167" fontId="7" fillId="0" borderId="17" xfId="8" applyNumberFormat="1" applyFont="1" applyBorder="1"/>
    <xf numFmtId="164" fontId="7" fillId="0" borderId="17" xfId="8" applyFont="1" applyBorder="1"/>
    <xf numFmtId="166" fontId="7" fillId="0" borderId="18" xfId="8" applyNumberFormat="1" applyFont="1" applyBorder="1"/>
    <xf numFmtId="164" fontId="7" fillId="3" borderId="10" xfId="8" applyFont="1" applyFill="1" applyBorder="1"/>
    <xf numFmtId="164" fontId="7" fillId="3" borderId="17" xfId="8" applyFont="1" applyFill="1" applyBorder="1" applyAlignment="1">
      <alignment horizontal="center" vertical="center"/>
    </xf>
    <xf numFmtId="164" fontId="6" fillId="3" borderId="17" xfId="8" applyFont="1" applyFill="1" applyBorder="1"/>
    <xf numFmtId="166" fontId="6" fillId="3" borderId="17" xfId="8" applyNumberFormat="1" applyFont="1" applyFill="1" applyBorder="1"/>
    <xf numFmtId="166" fontId="7" fillId="3" borderId="17" xfId="8" applyNumberFormat="1" applyFont="1" applyFill="1" applyBorder="1"/>
    <xf numFmtId="166" fontId="9" fillId="3" borderId="17" xfId="8" applyNumberFormat="1" applyFont="1" applyFill="1" applyBorder="1"/>
    <xf numFmtId="167" fontId="7" fillId="3" borderId="17" xfId="8" applyNumberFormat="1" applyFont="1" applyFill="1" applyBorder="1"/>
    <xf numFmtId="167" fontId="7" fillId="3" borderId="17" xfId="8" applyNumberFormat="1" applyFont="1" applyFill="1" applyBorder="1" applyAlignment="1">
      <alignment horizontal="center" vertical="center"/>
    </xf>
    <xf numFmtId="164" fontId="7" fillId="3" borderId="17" xfId="8" applyFont="1" applyFill="1" applyBorder="1"/>
    <xf numFmtId="166" fontId="7" fillId="3" borderId="18" xfId="8" applyNumberFormat="1" applyFont="1" applyFill="1" applyBorder="1"/>
    <xf numFmtId="0" fontId="7" fillId="0" borderId="6" xfId="2" applyFont="1" applyBorder="1"/>
    <xf numFmtId="165" fontId="9" fillId="0" borderId="3" xfId="1" applyNumberFormat="1" applyFont="1" applyBorder="1"/>
    <xf numFmtId="165" fontId="9" fillId="0" borderId="6" xfId="1" applyNumberFormat="1" applyFont="1" applyBorder="1"/>
    <xf numFmtId="165" fontId="9" fillId="0" borderId="4" xfId="1" applyNumberFormat="1" applyFont="1" applyBorder="1"/>
    <xf numFmtId="9" fontId="7" fillId="0" borderId="7" xfId="18" applyFont="1" applyBorder="1" applyAlignment="1">
      <alignment horizontal="center" vertical="center"/>
    </xf>
    <xf numFmtId="9" fontId="6" fillId="0" borderId="7" xfId="19" applyFont="1" applyFill="1" applyBorder="1" applyAlignment="1">
      <alignment horizontal="center" vertical="center" wrapText="1"/>
    </xf>
    <xf numFmtId="9" fontId="7" fillId="0" borderId="8" xfId="18" applyFont="1" applyBorder="1" applyAlignment="1">
      <alignment horizontal="center" vertical="center"/>
    </xf>
    <xf numFmtId="9" fontId="7" fillId="0" borderId="9" xfId="18" applyFont="1" applyBorder="1" applyAlignment="1">
      <alignment horizontal="center" vertical="center"/>
    </xf>
    <xf numFmtId="9" fontId="6" fillId="0" borderId="9" xfId="19" applyFont="1" applyFill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9" fontId="7" fillId="0" borderId="8" xfId="18" applyFont="1" applyFill="1" applyBorder="1" applyAlignment="1">
      <alignment horizontal="center" vertical="center"/>
    </xf>
    <xf numFmtId="9" fontId="6" fillId="0" borderId="7" xfId="18" applyFont="1" applyBorder="1" applyAlignment="1">
      <alignment horizontal="center" vertical="center"/>
    </xf>
    <xf numFmtId="9" fontId="6" fillId="0" borderId="9" xfId="18" applyFont="1" applyBorder="1" applyAlignment="1">
      <alignment horizontal="center" vertical="center"/>
    </xf>
    <xf numFmtId="164" fontId="7" fillId="0" borderId="0" xfId="1" applyFont="1"/>
    <xf numFmtId="0" fontId="9" fillId="0" borderId="0" xfId="8" applyNumberFormat="1" applyFont="1" applyFill="1" applyBorder="1" applyAlignment="1">
      <alignment vertical="center" wrapText="1"/>
    </xf>
    <xf numFmtId="164" fontId="7" fillId="3" borderId="19" xfId="8" applyFont="1" applyFill="1" applyBorder="1" applyAlignment="1">
      <alignment horizontal="center" vertical="center"/>
    </xf>
    <xf numFmtId="166" fontId="7" fillId="3" borderId="10" xfId="8" applyNumberFormat="1" applyFont="1" applyFill="1" applyBorder="1" applyAlignment="1">
      <alignment horizontal="center" vertical="center"/>
    </xf>
    <xf numFmtId="164" fontId="7" fillId="0" borderId="11" xfId="8" applyFont="1" applyFill="1" applyBorder="1" applyAlignment="1">
      <alignment horizontal="center"/>
    </xf>
    <xf numFmtId="164" fontId="7" fillId="0" borderId="22" xfId="8" applyFont="1" applyBorder="1"/>
    <xf numFmtId="164" fontId="7" fillId="0" borderId="23" xfId="8" applyFont="1" applyBorder="1" applyAlignment="1">
      <alignment horizontal="center" vertical="center"/>
    </xf>
    <xf numFmtId="164" fontId="6" fillId="0" borderId="23" xfId="8" applyFont="1" applyBorder="1"/>
    <xf numFmtId="166" fontId="6" fillId="0" borderId="23" xfId="8" applyNumberFormat="1" applyFont="1" applyBorder="1"/>
    <xf numFmtId="166" fontId="7" fillId="0" borderId="23" xfId="8" applyNumberFormat="1" applyFont="1" applyBorder="1"/>
    <xf numFmtId="166" fontId="9" fillId="0" borderId="23" xfId="8" applyNumberFormat="1" applyFont="1" applyBorder="1"/>
    <xf numFmtId="167" fontId="7" fillId="0" borderId="23" xfId="8" applyNumberFormat="1" applyFont="1" applyBorder="1"/>
    <xf numFmtId="167" fontId="7" fillId="0" borderId="23" xfId="8" applyNumberFormat="1" applyFont="1" applyBorder="1" applyAlignment="1">
      <alignment horizontal="center" vertical="center"/>
    </xf>
    <xf numFmtId="164" fontId="7" fillId="0" borderId="23" xfId="8" applyFont="1" applyBorder="1"/>
    <xf numFmtId="10" fontId="7" fillId="0" borderId="23" xfId="8" applyNumberFormat="1" applyFont="1" applyBorder="1"/>
    <xf numFmtId="166" fontId="7" fillId="0" borderId="24" xfId="8" applyNumberFormat="1" applyFont="1" applyBorder="1"/>
    <xf numFmtId="166" fontId="9" fillId="3" borderId="3" xfId="8" applyNumberFormat="1" applyFont="1" applyFill="1" applyBorder="1" applyAlignment="1">
      <alignment horizontal="center" vertical="center"/>
    </xf>
    <xf numFmtId="164" fontId="9" fillId="3" borderId="3" xfId="8" applyFont="1" applyFill="1" applyBorder="1"/>
    <xf numFmtId="164" fontId="9" fillId="3" borderId="6" xfId="8" applyFont="1" applyFill="1" applyBorder="1" applyAlignment="1">
      <alignment horizontal="center" vertical="center"/>
    </xf>
    <xf numFmtId="164" fontId="8" fillId="3" borderId="6" xfId="8" applyFont="1" applyFill="1" applyBorder="1"/>
    <xf numFmtId="166" fontId="8" fillId="3" borderId="6" xfId="8" applyNumberFormat="1" applyFont="1" applyFill="1" applyBorder="1"/>
    <xf numFmtId="166" fontId="9" fillId="3" borderId="6" xfId="8" applyNumberFormat="1" applyFont="1" applyFill="1" applyBorder="1"/>
    <xf numFmtId="166" fontId="9" fillId="3" borderId="6" xfId="8" applyNumberFormat="1" applyFont="1" applyFill="1" applyBorder="1" applyAlignment="1">
      <alignment horizontal="right" vertical="center"/>
    </xf>
    <xf numFmtId="167" fontId="9" fillId="3" borderId="6" xfId="8" applyNumberFormat="1" applyFont="1" applyFill="1" applyBorder="1"/>
    <xf numFmtId="164" fontId="9" fillId="3" borderId="6" xfId="8" applyFont="1" applyFill="1" applyBorder="1"/>
    <xf numFmtId="166" fontId="9" fillId="3" borderId="4" xfId="8" applyNumberFormat="1" applyFont="1" applyFill="1" applyBorder="1"/>
    <xf numFmtId="9" fontId="7" fillId="0" borderId="0" xfId="18" applyFont="1" applyFill="1"/>
    <xf numFmtId="0" fontId="11" fillId="0" borderId="0" xfId="2" applyFont="1"/>
    <xf numFmtId="165" fontId="11" fillId="0" borderId="0" xfId="1" applyNumberFormat="1" applyFont="1" applyBorder="1"/>
    <xf numFmtId="9" fontId="11" fillId="0" borderId="0" xfId="2" applyNumberFormat="1" applyFont="1"/>
    <xf numFmtId="165" fontId="11" fillId="0" borderId="0" xfId="2" applyNumberFormat="1" applyFont="1"/>
    <xf numFmtId="166" fontId="11" fillId="0" borderId="0" xfId="8" applyNumberFormat="1" applyFont="1" applyBorder="1"/>
    <xf numFmtId="166" fontId="11" fillId="0" borderId="0" xfId="2" applyNumberFormat="1" applyFont="1"/>
    <xf numFmtId="164" fontId="7" fillId="0" borderId="16" xfId="8" applyFont="1" applyFill="1" applyBorder="1" applyAlignment="1">
      <alignment horizontal="center"/>
    </xf>
    <xf numFmtId="164" fontId="8" fillId="0" borderId="0" xfId="8" applyFont="1" applyFill="1" applyBorder="1" applyAlignment="1">
      <alignment horizontal="center" vertical="center" wrapText="1"/>
    </xf>
    <xf numFmtId="164" fontId="6" fillId="0" borderId="0" xfId="6" applyFont="1" applyFill="1" applyBorder="1" applyAlignment="1">
      <alignment horizontal="center" vertical="center" wrapText="1"/>
    </xf>
    <xf numFmtId="165" fontId="6" fillId="0" borderId="0" xfId="8" applyNumberFormat="1" applyFont="1" applyFill="1" applyBorder="1" applyAlignment="1">
      <alignment horizontal="center" vertical="center" wrapText="1"/>
    </xf>
    <xf numFmtId="165" fontId="7" fillId="0" borderId="0" xfId="1" applyNumberFormat="1" applyFont="1" applyBorder="1" applyAlignment="1">
      <alignment horizontal="center" vertical="center"/>
    </xf>
    <xf numFmtId="164" fontId="6" fillId="0" borderId="3" xfId="1" applyFont="1" applyFill="1" applyBorder="1" applyAlignment="1">
      <alignment horizontal="center" vertical="center"/>
    </xf>
    <xf numFmtId="0" fontId="6" fillId="0" borderId="6" xfId="1" applyNumberFormat="1" applyFont="1" applyBorder="1" applyAlignment="1">
      <alignment vertical="center" wrapText="1"/>
    </xf>
    <xf numFmtId="165" fontId="6" fillId="0" borderId="4" xfId="1" applyNumberFormat="1" applyFont="1" applyFill="1" applyBorder="1" applyAlignment="1">
      <alignment horizontal="center" vertical="center" wrapText="1"/>
    </xf>
    <xf numFmtId="165" fontId="7" fillId="0" borderId="0" xfId="1" applyNumberFormat="1" applyFont="1" applyFill="1" applyAlignment="1">
      <alignment horizontal="center" vertical="center"/>
    </xf>
    <xf numFmtId="165" fontId="6" fillId="0" borderId="13" xfId="1" applyNumberFormat="1" applyFont="1" applyFill="1" applyBorder="1" applyAlignment="1">
      <alignment horizontal="center" vertical="center" wrapText="1"/>
    </xf>
    <xf numFmtId="0" fontId="7" fillId="0" borderId="0" xfId="8" applyNumberFormat="1" applyFont="1" applyFill="1" applyBorder="1" applyAlignment="1">
      <alignment vertical="center" wrapText="1"/>
    </xf>
    <xf numFmtId="164" fontId="6" fillId="0" borderId="0" xfId="8" applyFont="1" applyFill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164" fontId="6" fillId="0" borderId="8" xfId="1" applyFont="1" applyFill="1" applyBorder="1" applyAlignment="1">
      <alignment horizontal="center" vertical="center"/>
    </xf>
    <xf numFmtId="0" fontId="6" fillId="0" borderId="8" xfId="1" applyNumberFormat="1" applyFont="1" applyBorder="1" applyAlignment="1">
      <alignment vertical="center" wrapText="1"/>
    </xf>
    <xf numFmtId="0" fontId="7" fillId="0" borderId="9" xfId="1" applyNumberFormat="1" applyFont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165" fontId="6" fillId="0" borderId="9" xfId="1" applyNumberFormat="1" applyFont="1" applyFill="1" applyBorder="1" applyAlignment="1">
      <alignment horizontal="center" vertical="center" wrapText="1"/>
    </xf>
    <xf numFmtId="165" fontId="7" fillId="0" borderId="14" xfId="1" applyNumberFormat="1" applyFont="1" applyBorder="1" applyAlignment="1">
      <alignment horizontal="center" vertical="center"/>
    </xf>
    <xf numFmtId="165" fontId="7" fillId="0" borderId="13" xfId="1" applyNumberFormat="1" applyFont="1" applyBorder="1" applyAlignment="1">
      <alignment horizontal="center" vertical="center"/>
    </xf>
    <xf numFmtId="165" fontId="7" fillId="0" borderId="25" xfId="1" applyNumberFormat="1" applyFont="1" applyBorder="1" applyAlignment="1">
      <alignment horizontal="center" vertical="center"/>
    </xf>
    <xf numFmtId="0" fontId="6" fillId="0" borderId="7" xfId="1" applyNumberFormat="1" applyFont="1" applyBorder="1" applyAlignment="1">
      <alignment horizontal="left"/>
    </xf>
    <xf numFmtId="0" fontId="6" fillId="0" borderId="8" xfId="1" applyNumberFormat="1" applyFont="1" applyFill="1" applyBorder="1" applyAlignment="1">
      <alignment horizontal="left" vertical="center"/>
    </xf>
    <xf numFmtId="165" fontId="7" fillId="0" borderId="7" xfId="20" applyNumberFormat="1" applyFont="1" applyBorder="1" applyAlignment="1">
      <alignment vertical="center"/>
    </xf>
    <xf numFmtId="165" fontId="7" fillId="0" borderId="8" xfId="20" applyNumberFormat="1" applyFont="1" applyBorder="1" applyAlignment="1">
      <alignment vertical="center"/>
    </xf>
    <xf numFmtId="165" fontId="7" fillId="0" borderId="9" xfId="20" applyNumberFormat="1" applyFont="1" applyBorder="1" applyAlignment="1">
      <alignment vertical="center"/>
    </xf>
    <xf numFmtId="9" fontId="7" fillId="0" borderId="12" xfId="18" applyFont="1" applyBorder="1" applyAlignment="1">
      <alignment horizontal="center" vertical="center"/>
    </xf>
    <xf numFmtId="9" fontId="6" fillId="0" borderId="12" xfId="19" applyFont="1" applyFill="1" applyBorder="1" applyAlignment="1">
      <alignment horizontal="center" vertical="center" wrapText="1"/>
    </xf>
    <xf numFmtId="9" fontId="7" fillId="0" borderId="3" xfId="18" applyFont="1" applyFill="1" applyBorder="1" applyAlignment="1">
      <alignment horizontal="center" vertical="center"/>
    </xf>
    <xf numFmtId="9" fontId="7" fillId="0" borderId="6" xfId="18" applyFont="1" applyFill="1" applyBorder="1" applyAlignment="1">
      <alignment horizontal="center" vertical="center"/>
    </xf>
    <xf numFmtId="165" fontId="7" fillId="0" borderId="6" xfId="20" applyNumberFormat="1" applyFont="1" applyFill="1" applyBorder="1" applyAlignment="1">
      <alignment vertical="center"/>
    </xf>
    <xf numFmtId="165" fontId="7" fillId="0" borderId="4" xfId="20" applyNumberFormat="1" applyFont="1" applyFill="1" applyBorder="1" applyAlignment="1">
      <alignment vertical="center"/>
    </xf>
    <xf numFmtId="0" fontId="6" fillId="0" borderId="7" xfId="1" applyNumberFormat="1" applyFont="1" applyBorder="1" applyAlignment="1">
      <alignment horizontal="left" vertical="center"/>
    </xf>
    <xf numFmtId="164" fontId="7" fillId="0" borderId="7" xfId="6" applyFont="1" applyFill="1" applyBorder="1" applyAlignment="1">
      <alignment horizontal="center" vertical="center"/>
    </xf>
    <xf numFmtId="165" fontId="7" fillId="0" borderId="14" xfId="1" applyNumberFormat="1" applyFont="1" applyFill="1" applyBorder="1" applyAlignment="1">
      <alignment horizontal="center" vertical="center"/>
    </xf>
    <xf numFmtId="165" fontId="6" fillId="0" borderId="25" xfId="1" applyNumberFormat="1" applyFont="1" applyFill="1" applyBorder="1" applyAlignment="1">
      <alignment horizontal="center" vertical="center" wrapText="1"/>
    </xf>
    <xf numFmtId="164" fontId="6" fillId="0" borderId="7" xfId="8" applyFont="1" applyFill="1" applyBorder="1" applyAlignment="1">
      <alignment horizontal="center" vertical="center" wrapText="1"/>
    </xf>
    <xf numFmtId="0" fontId="7" fillId="0" borderId="7" xfId="8" applyNumberFormat="1" applyFont="1" applyFill="1" applyBorder="1" applyAlignment="1">
      <alignment vertical="center" wrapText="1"/>
    </xf>
    <xf numFmtId="164" fontId="6" fillId="0" borderId="7" xfId="6" applyFont="1" applyFill="1" applyBorder="1" applyAlignment="1">
      <alignment horizontal="center" vertical="center" wrapText="1"/>
    </xf>
    <xf numFmtId="165" fontId="6" fillId="0" borderId="7" xfId="8" applyNumberFormat="1" applyFont="1" applyFill="1" applyBorder="1" applyAlignment="1">
      <alignment horizontal="center" vertical="center" wrapText="1"/>
    </xf>
    <xf numFmtId="164" fontId="6" fillId="0" borderId="8" xfId="8" applyFont="1" applyFill="1" applyBorder="1" applyAlignment="1">
      <alignment horizontal="center" vertical="center" wrapText="1"/>
    </xf>
    <xf numFmtId="0" fontId="7" fillId="0" borderId="8" xfId="8" applyNumberFormat="1" applyFont="1" applyFill="1" applyBorder="1" applyAlignment="1">
      <alignment vertical="center" wrapText="1"/>
    </xf>
    <xf numFmtId="164" fontId="6" fillId="0" borderId="8" xfId="6" applyFont="1" applyFill="1" applyBorder="1" applyAlignment="1">
      <alignment horizontal="center" vertical="center" wrapText="1"/>
    </xf>
    <xf numFmtId="165" fontId="6" fillId="0" borderId="8" xfId="8" applyNumberFormat="1" applyFont="1" applyFill="1" applyBorder="1" applyAlignment="1">
      <alignment horizontal="center" vertical="center" wrapText="1"/>
    </xf>
    <xf numFmtId="164" fontId="6" fillId="0" borderId="9" xfId="8" applyFont="1" applyFill="1" applyBorder="1" applyAlignment="1">
      <alignment horizontal="center" vertical="center" wrapText="1"/>
    </xf>
    <xf numFmtId="0" fontId="7" fillId="0" borderId="9" xfId="8" applyNumberFormat="1" applyFont="1" applyFill="1" applyBorder="1" applyAlignment="1">
      <alignment vertical="center" wrapText="1"/>
    </xf>
    <xf numFmtId="164" fontId="6" fillId="0" borderId="9" xfId="6" applyFont="1" applyFill="1" applyBorder="1" applyAlignment="1">
      <alignment horizontal="center" vertical="center" wrapText="1"/>
    </xf>
    <xf numFmtId="165" fontId="6" fillId="0" borderId="9" xfId="8" applyNumberFormat="1" applyFont="1" applyFill="1" applyBorder="1" applyAlignment="1">
      <alignment horizontal="center" vertical="center" wrapText="1"/>
    </xf>
    <xf numFmtId="164" fontId="8" fillId="0" borderId="3" xfId="8" applyFont="1" applyFill="1" applyBorder="1" applyAlignment="1">
      <alignment horizontal="center" vertical="center" wrapText="1"/>
    </xf>
    <xf numFmtId="0" fontId="9" fillId="0" borderId="6" xfId="8" applyNumberFormat="1" applyFont="1" applyFill="1" applyBorder="1" applyAlignment="1">
      <alignment vertical="center" wrapText="1"/>
    </xf>
    <xf numFmtId="164" fontId="8" fillId="0" borderId="6" xfId="6" applyFont="1" applyFill="1" applyBorder="1" applyAlignment="1">
      <alignment horizontal="center" vertical="center" wrapText="1"/>
    </xf>
    <xf numFmtId="165" fontId="8" fillId="0" borderId="6" xfId="8" applyNumberFormat="1" applyFont="1" applyFill="1" applyBorder="1" applyAlignment="1">
      <alignment horizontal="center" vertical="center" wrapText="1"/>
    </xf>
    <xf numFmtId="165" fontId="9" fillId="0" borderId="6" xfId="1" applyNumberFormat="1" applyFont="1" applyBorder="1" applyAlignment="1">
      <alignment horizontal="center" vertical="center"/>
    </xf>
    <xf numFmtId="165" fontId="9" fillId="0" borderId="4" xfId="1" applyNumberFormat="1" applyFont="1" applyBorder="1" applyAlignment="1">
      <alignment horizontal="center" vertical="center"/>
    </xf>
    <xf numFmtId="164" fontId="6" fillId="0" borderId="1" xfId="8" applyFont="1" applyFill="1" applyBorder="1" applyAlignment="1">
      <alignment horizontal="center" vertical="center" wrapText="1"/>
    </xf>
    <xf numFmtId="0" fontId="7" fillId="0" borderId="1" xfId="8" applyNumberFormat="1" applyFont="1" applyFill="1" applyBorder="1" applyAlignment="1">
      <alignment vertical="center" wrapText="1"/>
    </xf>
    <xf numFmtId="164" fontId="6" fillId="0" borderId="1" xfId="6" applyFont="1" applyFill="1" applyBorder="1" applyAlignment="1">
      <alignment horizontal="center" vertical="center" wrapText="1"/>
    </xf>
    <xf numFmtId="165" fontId="6" fillId="0" borderId="1" xfId="8" applyNumberFormat="1" applyFont="1" applyFill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/>
    </xf>
    <xf numFmtId="9" fontId="6" fillId="0" borderId="8" xfId="18" applyFont="1" applyBorder="1" applyAlignment="1">
      <alignment horizontal="center" vertical="center"/>
    </xf>
    <xf numFmtId="165" fontId="9" fillId="0" borderId="6" xfId="18" applyNumberFormat="1" applyFont="1" applyFill="1" applyBorder="1" applyAlignment="1">
      <alignment horizontal="center" vertical="center"/>
    </xf>
    <xf numFmtId="165" fontId="9" fillId="0" borderId="4" xfId="18" applyNumberFormat="1" applyFont="1" applyFill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10" fontId="7" fillId="0" borderId="17" xfId="8" applyNumberFormat="1" applyFont="1" applyFill="1" applyBorder="1"/>
    <xf numFmtId="14" fontId="9" fillId="0" borderId="0" xfId="8" applyNumberFormat="1" applyFont="1" applyFill="1" applyAlignment="1">
      <alignment horizontal="right"/>
    </xf>
    <xf numFmtId="166" fontId="9" fillId="0" borderId="2" xfId="8" applyNumberFormat="1" applyFont="1" applyFill="1" applyBorder="1" applyAlignment="1">
      <alignment horizontal="center"/>
    </xf>
    <xf numFmtId="2" fontId="7" fillId="0" borderId="0" xfId="2" applyNumberFormat="1" applyFont="1"/>
    <xf numFmtId="9" fontId="7" fillId="0" borderId="26" xfId="18" applyFont="1" applyBorder="1" applyAlignment="1">
      <alignment horizontal="center" vertical="center"/>
    </xf>
    <xf numFmtId="9" fontId="7" fillId="0" borderId="27" xfId="18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165" fontId="9" fillId="0" borderId="28" xfId="1" applyNumberFormat="1" applyFont="1" applyBorder="1"/>
    <xf numFmtId="9" fontId="7" fillId="0" borderId="28" xfId="18" applyFont="1" applyFill="1" applyBorder="1" applyAlignment="1">
      <alignment horizontal="center" vertical="center"/>
    </xf>
    <xf numFmtId="9" fontId="7" fillId="0" borderId="7" xfId="18" applyFont="1" applyFill="1" applyBorder="1" applyAlignment="1">
      <alignment horizontal="center" vertical="center"/>
    </xf>
    <xf numFmtId="9" fontId="7" fillId="4" borderId="8" xfId="18" applyFont="1" applyFill="1" applyBorder="1" applyAlignment="1">
      <alignment horizontal="center" vertical="center"/>
    </xf>
    <xf numFmtId="9" fontId="7" fillId="4" borderId="7" xfId="18" applyFont="1" applyFill="1" applyBorder="1" applyAlignment="1">
      <alignment horizontal="center" vertical="center"/>
    </xf>
    <xf numFmtId="0" fontId="9" fillId="0" borderId="0" xfId="2" applyFont="1"/>
    <xf numFmtId="164" fontId="7" fillId="5" borderId="7" xfId="1" applyFont="1" applyFill="1" applyBorder="1" applyAlignment="1">
      <alignment vertical="center"/>
    </xf>
    <xf numFmtId="49" fontId="6" fillId="0" borderId="7" xfId="2" applyNumberFormat="1" applyFont="1" applyBorder="1" applyAlignment="1">
      <alignment vertical="center"/>
    </xf>
    <xf numFmtId="164" fontId="7" fillId="0" borderId="7" xfId="1" applyFont="1" applyFill="1" applyBorder="1" applyAlignment="1">
      <alignment vertical="center"/>
    </xf>
    <xf numFmtId="165" fontId="7" fillId="0" borderId="7" xfId="1" applyNumberFormat="1" applyFont="1" applyFill="1" applyBorder="1" applyAlignment="1">
      <alignment vertical="center"/>
    </xf>
    <xf numFmtId="17" fontId="9" fillId="0" borderId="0" xfId="1" applyNumberFormat="1" applyFont="1" applyFill="1" applyBorder="1" applyAlignment="1">
      <alignment vertical="center" wrapText="1"/>
    </xf>
    <xf numFmtId="165" fontId="7" fillId="0" borderId="9" xfId="1" applyNumberFormat="1" applyFont="1" applyFill="1" applyBorder="1" applyAlignment="1">
      <alignment vertical="center"/>
    </xf>
    <xf numFmtId="164" fontId="6" fillId="0" borderId="9" xfId="1" applyFont="1" applyFill="1" applyBorder="1" applyAlignment="1">
      <alignment horizontal="center" vertical="center"/>
    </xf>
    <xf numFmtId="0" fontId="6" fillId="0" borderId="9" xfId="1" applyNumberFormat="1" applyFont="1" applyBorder="1" applyAlignment="1">
      <alignment vertical="center" wrapText="1"/>
    </xf>
    <xf numFmtId="164" fontId="6" fillId="0" borderId="9" xfId="1" applyFont="1" applyFill="1" applyBorder="1" applyAlignment="1">
      <alignment horizontal="center" vertical="center" wrapText="1"/>
    </xf>
    <xf numFmtId="9" fontId="7" fillId="0" borderId="9" xfId="18" applyFont="1" applyFill="1" applyBorder="1" applyAlignment="1">
      <alignment horizontal="center" vertical="center"/>
    </xf>
    <xf numFmtId="164" fontId="6" fillId="5" borderId="12" xfId="1" applyFont="1" applyFill="1" applyBorder="1" applyAlignment="1">
      <alignment horizontal="center" vertical="center"/>
    </xf>
    <xf numFmtId="0" fontId="6" fillId="0" borderId="12" xfId="1" applyNumberFormat="1" applyFont="1" applyBorder="1" applyAlignment="1">
      <alignment vertical="center" wrapText="1"/>
    </xf>
    <xf numFmtId="0" fontId="6" fillId="0" borderId="12" xfId="3" applyFont="1" applyBorder="1" applyAlignment="1">
      <alignment horizontal="center" vertical="center" wrapText="1"/>
    </xf>
    <xf numFmtId="164" fontId="6" fillId="0" borderId="12" xfId="1" applyFont="1" applyFill="1" applyBorder="1" applyAlignment="1">
      <alignment horizontal="center" vertical="center" wrapText="1"/>
    </xf>
    <xf numFmtId="165" fontId="7" fillId="0" borderId="12" xfId="1" applyNumberFormat="1" applyFont="1" applyFill="1" applyBorder="1" applyAlignment="1">
      <alignment vertical="center"/>
    </xf>
    <xf numFmtId="165" fontId="7" fillId="0" borderId="12" xfId="1" applyNumberFormat="1" applyFont="1" applyFill="1" applyBorder="1" applyAlignment="1">
      <alignment horizontal="center" vertical="center"/>
    </xf>
    <xf numFmtId="164" fontId="7" fillId="5" borderId="8" xfId="1" applyFont="1" applyFill="1" applyBorder="1" applyAlignment="1">
      <alignment horizontal="center" vertical="center"/>
    </xf>
    <xf numFmtId="0" fontId="6" fillId="0" borderId="8" xfId="1" applyNumberFormat="1" applyFont="1" applyBorder="1" applyAlignment="1">
      <alignment vertical="top"/>
    </xf>
    <xf numFmtId="165" fontId="7" fillId="0" borderId="8" xfId="1" applyNumberFormat="1" applyFont="1" applyFill="1" applyBorder="1" applyAlignment="1">
      <alignment vertical="center"/>
    </xf>
    <xf numFmtId="164" fontId="7" fillId="0" borderId="13" xfId="8" applyFont="1" applyFill="1" applyBorder="1" applyAlignment="1">
      <alignment horizontal="center"/>
    </xf>
    <xf numFmtId="164" fontId="7" fillId="0" borderId="13" xfId="8" applyFont="1" applyBorder="1"/>
    <xf numFmtId="164" fontId="7" fillId="0" borderId="0" xfId="8" applyFont="1" applyBorder="1" applyAlignment="1">
      <alignment horizontal="center" vertical="center"/>
    </xf>
    <xf numFmtId="164" fontId="6" fillId="0" borderId="0" xfId="8" applyFont="1" applyBorder="1"/>
    <xf numFmtId="166" fontId="6" fillId="0" borderId="0" xfId="8" applyNumberFormat="1" applyFont="1" applyBorder="1"/>
    <xf numFmtId="166" fontId="7" fillId="0" borderId="0" xfId="8" applyNumberFormat="1" applyFont="1" applyBorder="1"/>
    <xf numFmtId="166" fontId="9" fillId="0" borderId="0" xfId="8" applyNumberFormat="1" applyFont="1" applyBorder="1"/>
    <xf numFmtId="167" fontId="7" fillId="0" borderId="0" xfId="8" applyNumberFormat="1" applyFont="1" applyBorder="1"/>
    <xf numFmtId="167" fontId="7" fillId="0" borderId="0" xfId="8" applyNumberFormat="1" applyFont="1" applyBorder="1" applyAlignment="1">
      <alignment horizontal="center" vertical="center"/>
    </xf>
    <xf numFmtId="164" fontId="7" fillId="0" borderId="0" xfId="8" applyFont="1" applyBorder="1"/>
    <xf numFmtId="10" fontId="7" fillId="0" borderId="0" xfId="8" applyNumberFormat="1" applyFont="1" applyBorder="1"/>
    <xf numFmtId="166" fontId="7" fillId="0" borderId="29" xfId="8" applyNumberFormat="1" applyFont="1" applyBorder="1"/>
    <xf numFmtId="164" fontId="9" fillId="0" borderId="0" xfId="6" applyFont="1" applyFill="1"/>
    <xf numFmtId="165" fontId="7" fillId="0" borderId="0" xfId="2" applyNumberFormat="1" applyFont="1"/>
    <xf numFmtId="166" fontId="9" fillId="0" borderId="3" xfId="8" applyNumberFormat="1" applyFont="1" applyFill="1" applyBorder="1" applyAlignment="1">
      <alignment horizontal="center" vertical="center"/>
    </xf>
    <xf numFmtId="164" fontId="9" fillId="0" borderId="3" xfId="8" applyFont="1" applyFill="1" applyBorder="1"/>
    <xf numFmtId="164" fontId="9" fillId="0" borderId="6" xfId="8" applyFont="1" applyFill="1" applyBorder="1" applyAlignment="1">
      <alignment horizontal="center" vertical="center"/>
    </xf>
    <xf numFmtId="164" fontId="8" fillId="0" borderId="6" xfId="8" applyFont="1" applyFill="1" applyBorder="1"/>
    <xf numFmtId="166" fontId="8" fillId="0" borderId="6" xfId="8" applyNumberFormat="1" applyFont="1" applyFill="1" applyBorder="1"/>
    <xf numFmtId="166" fontId="9" fillId="0" borderId="6" xfId="8" applyNumberFormat="1" applyFont="1" applyFill="1" applyBorder="1"/>
    <xf numFmtId="166" fontId="9" fillId="0" borderId="6" xfId="8" applyNumberFormat="1" applyFont="1" applyFill="1" applyBorder="1" applyAlignment="1">
      <alignment horizontal="right" vertical="center"/>
    </xf>
    <xf numFmtId="167" fontId="9" fillId="0" borderId="6" xfId="8" applyNumberFormat="1" applyFont="1" applyFill="1" applyBorder="1"/>
    <xf numFmtId="164" fontId="9" fillId="0" borderId="6" xfId="8" applyFont="1" applyFill="1" applyBorder="1"/>
    <xf numFmtId="166" fontId="9" fillId="0" borderId="4" xfId="8" applyNumberFormat="1" applyFont="1" applyFill="1" applyBorder="1"/>
    <xf numFmtId="9" fontId="6" fillId="4" borderId="8" xfId="18" applyFont="1" applyFill="1" applyBorder="1" applyAlignment="1">
      <alignment horizontal="center" vertical="center"/>
    </xf>
    <xf numFmtId="167" fontId="9" fillId="0" borderId="1" xfId="8" applyNumberFormat="1" applyFont="1" applyBorder="1" applyAlignment="1">
      <alignment horizontal="center" vertical="center"/>
    </xf>
    <xf numFmtId="164" fontId="9" fillId="0" borderId="1" xfId="8" applyFont="1" applyBorder="1" applyAlignment="1">
      <alignment horizontal="center" vertical="center"/>
    </xf>
  </cellXfs>
  <cellStyles count="22">
    <cellStyle name="Millares" xfId="1" builtinId="3"/>
    <cellStyle name="Millares 10" xfId="6" xr:uid="{FBD24B3F-A3E5-4686-9073-358C73153A88}"/>
    <cellStyle name="Millares 10 2" xfId="14" xr:uid="{FB211F78-D874-41A3-B673-F00E01C82CEF}"/>
    <cellStyle name="Millares 12 2" xfId="8" xr:uid="{40FF3D32-77A8-4B2E-A2C9-CB79E4C10EBD}"/>
    <cellStyle name="Millares 12 2 2" xfId="21" xr:uid="{8D4945AD-64AE-4FB5-BE9B-80CD16833988}"/>
    <cellStyle name="Millares 2" xfId="20" xr:uid="{A313E438-6131-43F0-A4C6-BD3ED7918695}"/>
    <cellStyle name="Millares 3 2" xfId="10" xr:uid="{B931A190-F8D5-4367-93EF-45D39A41867A}"/>
    <cellStyle name="Millares 7" xfId="11" xr:uid="{4DB82FA7-B1D4-4374-8F93-7DC8CE1F88F2}"/>
    <cellStyle name="Normal" xfId="0" builtinId="0"/>
    <cellStyle name="Normal 12" xfId="5" xr:uid="{F7D8B431-DA04-422C-AE02-DE06A4AA6B7A}"/>
    <cellStyle name="Normal 2" xfId="2" xr:uid="{97648664-24B2-451C-A6EB-0F48298A9121}"/>
    <cellStyle name="Normal 2 2" xfId="3" xr:uid="{B58F4F25-33F6-4A18-9957-B5D756500701}"/>
    <cellStyle name="Normal 2 3" xfId="9" xr:uid="{88498F0D-2157-43A9-BEAE-342DE8A6B73C}"/>
    <cellStyle name="Normal 2 5" xfId="7" xr:uid="{B125451F-435B-40DD-AFE5-ECCD2691833E}"/>
    <cellStyle name="Normal 2 5 2" xfId="17" xr:uid="{90DFBA91-EFDB-4729-8D8F-B495C613907B}"/>
    <cellStyle name="Normal 4" xfId="16" xr:uid="{7F0D5B06-3E86-46FD-A19A-FF117D8B424D}"/>
    <cellStyle name="Normal 4 2" xfId="15" xr:uid="{4C17D1D6-0D07-4D79-8BE2-12A5E4B2CBF6}"/>
    <cellStyle name="Porcentaje" xfId="18" builtinId="5"/>
    <cellStyle name="Porcentaje 2 2" xfId="13" xr:uid="{02D940BA-E99B-45B6-B068-1FC6B7787FB6}"/>
    <cellStyle name="Porcentaje 5" xfId="4" xr:uid="{27A999AB-8BF0-413E-8E9F-D3A726734B67}"/>
    <cellStyle name="Porcentaje 5 2" xfId="12" xr:uid="{F5F717B7-C34F-41C8-BE02-0D94600507A4}"/>
    <cellStyle name="Porcentual 2" xfId="19" xr:uid="{0D48A63A-8C50-4C1F-8EDA-313DEA3AEAD5}"/>
  </cellStyles>
  <dxfs count="2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6C7313DA-B2D0-4D3D-9D21-4EBD29D58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E8F685B-186A-4B79-8989-FE6C2427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2670" cy="445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6F988C3A-9E7C-4FB6-8579-44E5EEE7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2670" cy="445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2381250</xdr:colOff>
      <xdr:row>3</xdr:row>
      <xdr:rowOff>95250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BB0F04F5-DBE2-496B-80CB-49A858F4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2670" cy="445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9960ED39-5A11-42DE-840A-F18318344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2670" cy="445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2381250</xdr:colOff>
      <xdr:row>3</xdr:row>
      <xdr:rowOff>95250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F1D9AB9-5951-4C41-92DB-067C9F65C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2381250</xdr:colOff>
      <xdr:row>3</xdr:row>
      <xdr:rowOff>95250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7B2F383B-D8A8-4FBE-80FE-E6F3B6973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1C0DAD2F-7ACE-4B97-A946-8F5734DE1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A0B3-D341-4244-A725-C7F56E7D22D4}">
  <dimension ref="A1:R195"/>
  <sheetViews>
    <sheetView workbookViewId="0">
      <pane xSplit="4" ySplit="8" topLeftCell="E164" activePane="bottomRight" state="frozen"/>
      <selection pane="topRight" activeCell="E1" sqref="E1"/>
      <selection pane="bottomLeft" activeCell="A9" sqref="A9"/>
      <selection pane="bottomRight" activeCell="J101" sqref="J101:J108"/>
    </sheetView>
  </sheetViews>
  <sheetFormatPr baseColWidth="10" defaultColWidth="11.5546875" defaultRowHeight="12.75" customHeight="1" outlineLevelRow="1" x14ac:dyDescent="0.3"/>
  <cols>
    <col min="1" max="1" width="6.5546875" style="1" bestFit="1" customWidth="1"/>
    <col min="2" max="2" width="82.6640625" style="2" bestFit="1" customWidth="1"/>
    <col min="3" max="3" width="5.33203125" style="3" bestFit="1" customWidth="1"/>
    <col min="4" max="4" width="6.5546875" style="4" bestFit="1" customWidth="1"/>
    <col min="5" max="5" width="11" style="5" bestFit="1" customWidth="1"/>
    <col min="6" max="6" width="11.6640625" style="5" bestFit="1" customWidth="1"/>
    <col min="7" max="7" width="11.6640625" style="26" bestFit="1" customWidth="1"/>
    <col min="8" max="8" width="5.33203125" style="7" bestFit="1" customWidth="1"/>
    <col min="9" max="14" width="13.33203125" style="7" customWidth="1"/>
    <col min="15" max="16" width="11.5546875" style="7"/>
    <col min="17" max="17" width="14.44140625" style="7" bestFit="1" customWidth="1"/>
    <col min="18" max="18" width="12.44140625" style="7" bestFit="1" customWidth="1"/>
    <col min="19" max="16384" width="11.5546875" style="7"/>
  </cols>
  <sheetData>
    <row r="1" spans="1:14" ht="12.75" customHeight="1" x14ac:dyDescent="0.3">
      <c r="F1" s="6" t="s">
        <v>0</v>
      </c>
      <c r="G1" s="6" t="s">
        <v>1</v>
      </c>
    </row>
    <row r="2" spans="1:14" ht="13.8" x14ac:dyDescent="0.3">
      <c r="E2" s="69"/>
      <c r="F2" s="9">
        <v>1005</v>
      </c>
      <c r="G2" s="9">
        <v>1170</v>
      </c>
    </row>
    <row r="3" spans="1:14" s="15" customFormat="1" ht="13.8" x14ac:dyDescent="0.25">
      <c r="A3" s="10"/>
      <c r="B3" s="11"/>
      <c r="C3" s="12"/>
      <c r="D3" s="13"/>
      <c r="E3" s="13"/>
      <c r="F3" s="13"/>
      <c r="G3" s="14"/>
    </row>
    <row r="4" spans="1:14" s="15" customFormat="1" ht="13.8" x14ac:dyDescent="0.25">
      <c r="A4" s="10"/>
      <c r="B4" s="11"/>
      <c r="C4" s="12"/>
      <c r="D4" s="13"/>
      <c r="E4" s="13"/>
      <c r="F4" s="16">
        <v>45628</v>
      </c>
      <c r="G4" s="14"/>
    </row>
    <row r="5" spans="1:14" s="15" customFormat="1" ht="13.8" x14ac:dyDescent="0.3">
      <c r="A5" s="10"/>
      <c r="B5" s="8" t="s">
        <v>2</v>
      </c>
      <c r="C5" s="12"/>
      <c r="D5" s="13"/>
      <c r="E5" s="17"/>
      <c r="F5" s="17"/>
      <c r="G5" s="14"/>
      <c r="I5" s="70" t="s">
        <v>3</v>
      </c>
      <c r="J5" s="242">
        <v>1</v>
      </c>
      <c r="K5" s="71"/>
      <c r="L5" s="72"/>
      <c r="M5" s="73"/>
      <c r="N5" s="241">
        <v>45958</v>
      </c>
    </row>
    <row r="6" spans="1:14" s="15" customFormat="1" ht="13.8" x14ac:dyDescent="0.25">
      <c r="A6" s="10"/>
      <c r="B6" s="8" t="s">
        <v>4</v>
      </c>
      <c r="C6" s="18"/>
      <c r="D6" s="19"/>
      <c r="E6" s="20"/>
      <c r="F6" s="20"/>
      <c r="G6" s="14"/>
      <c r="I6" s="74"/>
      <c r="J6" s="75"/>
      <c r="K6" s="74"/>
      <c r="L6" s="76"/>
      <c r="M6" s="76"/>
      <c r="N6" s="76"/>
    </row>
    <row r="7" spans="1:14" ht="13.8" x14ac:dyDescent="0.3">
      <c r="A7" s="21" t="s">
        <v>5</v>
      </c>
      <c r="B7" s="22" t="s">
        <v>6</v>
      </c>
      <c r="C7" s="23" t="s">
        <v>7</v>
      </c>
      <c r="D7" s="24" t="s">
        <v>8</v>
      </c>
      <c r="E7" s="25" t="s">
        <v>9</v>
      </c>
      <c r="F7" s="25" t="s">
        <v>10</v>
      </c>
      <c r="I7" s="297" t="s">
        <v>11</v>
      </c>
      <c r="J7" s="297"/>
      <c r="K7" s="297"/>
      <c r="L7" s="298" t="s">
        <v>12</v>
      </c>
      <c r="M7" s="298"/>
      <c r="N7" s="298"/>
    </row>
    <row r="8" spans="1:14" ht="13.8" x14ac:dyDescent="0.3">
      <c r="A8" s="182"/>
      <c r="B8" s="183" t="s">
        <v>13</v>
      </c>
      <c r="C8" s="29"/>
      <c r="D8" s="30"/>
      <c r="E8" s="30"/>
      <c r="F8" s="30"/>
      <c r="G8" s="184"/>
      <c r="H8" s="32"/>
      <c r="I8" s="77" t="s">
        <v>14</v>
      </c>
      <c r="J8" s="77" t="s">
        <v>15</v>
      </c>
      <c r="K8" s="77" t="s">
        <v>16</v>
      </c>
      <c r="L8" s="78" t="s">
        <v>14</v>
      </c>
      <c r="M8" s="78" t="s">
        <v>15</v>
      </c>
      <c r="N8" s="78" t="s">
        <v>16</v>
      </c>
    </row>
    <row r="9" spans="1:14" ht="13.8" x14ac:dyDescent="0.3">
      <c r="A9" s="27">
        <v>4</v>
      </c>
      <c r="B9" s="28" t="s">
        <v>17</v>
      </c>
      <c r="C9" s="189"/>
      <c r="D9" s="65"/>
      <c r="E9" s="65"/>
      <c r="F9" s="65"/>
      <c r="G9" s="31">
        <f>+SUM(F10:F17)</f>
        <v>54302889.68</v>
      </c>
      <c r="H9" s="32">
        <f>+G9/$G$185</f>
        <v>7.3815487191858167E-2</v>
      </c>
      <c r="I9" s="139"/>
      <c r="J9" s="140"/>
      <c r="K9" s="130"/>
      <c r="L9" s="130"/>
      <c r="M9" s="130"/>
      <c r="N9" s="66"/>
    </row>
    <row r="10" spans="1:14" ht="13.8" outlineLevel="1" x14ac:dyDescent="0.3">
      <c r="A10" s="33">
        <v>4.01</v>
      </c>
      <c r="B10" s="34" t="s">
        <v>18</v>
      </c>
      <c r="C10" s="35" t="s">
        <v>19</v>
      </c>
      <c r="D10" s="36">
        <v>819</v>
      </c>
      <c r="E10" s="37">
        <v>18993</v>
      </c>
      <c r="F10" s="37">
        <f>+D10*E10</f>
        <v>15555267</v>
      </c>
      <c r="G10" s="5"/>
      <c r="H10" s="32"/>
      <c r="I10" s="134"/>
      <c r="J10" s="134"/>
      <c r="K10" s="135">
        <f t="shared" ref="K10:K43" si="0">+I10+J10</f>
        <v>0</v>
      </c>
      <c r="L10" s="80">
        <f t="shared" ref="L10" si="1">+F10*I10</f>
        <v>0</v>
      </c>
      <c r="M10" s="80">
        <f t="shared" ref="M10" si="2">+F10*J10</f>
        <v>0</v>
      </c>
      <c r="N10" s="80">
        <f t="shared" ref="N10" si="3">+F10*K10</f>
        <v>0</v>
      </c>
    </row>
    <row r="11" spans="1:14" ht="27.6" outlineLevel="1" x14ac:dyDescent="0.3">
      <c r="A11" s="38">
        <v>4.0199999999999996</v>
      </c>
      <c r="B11" s="39" t="s">
        <v>20</v>
      </c>
      <c r="C11" s="40" t="s">
        <v>19</v>
      </c>
      <c r="D11" s="41">
        <v>612</v>
      </c>
      <c r="E11" s="42">
        <v>25172</v>
      </c>
      <c r="F11" s="42">
        <f t="shared" ref="F11:F74" si="4">+D11*E11</f>
        <v>15405264</v>
      </c>
      <c r="G11" s="5"/>
      <c r="H11" s="32"/>
      <c r="I11" s="136"/>
      <c r="J11" s="136"/>
      <c r="K11" s="79">
        <f t="shared" si="0"/>
        <v>0</v>
      </c>
      <c r="L11" s="80">
        <f t="shared" ref="L11:L55" si="5">+F11*I11</f>
        <v>0</v>
      </c>
      <c r="M11" s="80">
        <f t="shared" ref="M11:M55" si="6">+F11*J11</f>
        <v>0</v>
      </c>
      <c r="N11" s="80">
        <f t="shared" ref="N11:N55" si="7">+F11*K11</f>
        <v>0</v>
      </c>
    </row>
    <row r="12" spans="1:14" ht="13.8" outlineLevel="1" x14ac:dyDescent="0.3">
      <c r="A12" s="38">
        <v>4.03</v>
      </c>
      <c r="B12" s="39" t="s">
        <v>21</v>
      </c>
      <c r="C12" s="43" t="s">
        <v>19</v>
      </c>
      <c r="D12" s="44">
        <v>636</v>
      </c>
      <c r="E12" s="42">
        <v>21109</v>
      </c>
      <c r="F12" s="42">
        <f t="shared" si="4"/>
        <v>13425324</v>
      </c>
      <c r="G12" s="5"/>
      <c r="H12" s="32"/>
      <c r="I12" s="136"/>
      <c r="J12" s="136"/>
      <c r="K12" s="79">
        <f t="shared" si="0"/>
        <v>0</v>
      </c>
      <c r="L12" s="80">
        <f t="shared" si="5"/>
        <v>0</v>
      </c>
      <c r="M12" s="80">
        <f t="shared" si="6"/>
        <v>0</v>
      </c>
      <c r="N12" s="80">
        <f t="shared" si="7"/>
        <v>0</v>
      </c>
    </row>
    <row r="13" spans="1:14" ht="27.6" outlineLevel="1" x14ac:dyDescent="0.3">
      <c r="A13" s="38">
        <v>4.04</v>
      </c>
      <c r="B13" s="39" t="s">
        <v>22</v>
      </c>
      <c r="C13" s="40" t="s">
        <v>19</v>
      </c>
      <c r="D13" s="41">
        <v>195</v>
      </c>
      <c r="E13" s="42">
        <v>15092</v>
      </c>
      <c r="F13" s="42">
        <f t="shared" si="4"/>
        <v>2942940</v>
      </c>
      <c r="G13" s="5"/>
      <c r="H13" s="32"/>
      <c r="I13" s="136"/>
      <c r="J13" s="136"/>
      <c r="K13" s="79">
        <f t="shared" si="0"/>
        <v>0</v>
      </c>
      <c r="L13" s="80">
        <f t="shared" si="5"/>
        <v>0</v>
      </c>
      <c r="M13" s="80">
        <f t="shared" si="6"/>
        <v>0</v>
      </c>
      <c r="N13" s="80">
        <f t="shared" si="7"/>
        <v>0</v>
      </c>
    </row>
    <row r="14" spans="1:14" ht="13.8" outlineLevel="1" x14ac:dyDescent="0.3">
      <c r="A14" s="38">
        <v>4.05</v>
      </c>
      <c r="B14" s="39" t="s">
        <v>23</v>
      </c>
      <c r="C14" s="40" t="s">
        <v>19</v>
      </c>
      <c r="D14" s="41">
        <v>30.053999999999998</v>
      </c>
      <c r="E14" s="42">
        <v>67420</v>
      </c>
      <c r="F14" s="42">
        <f t="shared" si="4"/>
        <v>2026240.68</v>
      </c>
      <c r="G14" s="5"/>
      <c r="H14" s="32"/>
      <c r="I14" s="136"/>
      <c r="J14" s="136"/>
      <c r="K14" s="79">
        <f t="shared" si="0"/>
        <v>0</v>
      </c>
      <c r="L14" s="80">
        <f t="shared" si="5"/>
        <v>0</v>
      </c>
      <c r="M14" s="80">
        <f t="shared" si="6"/>
        <v>0</v>
      </c>
      <c r="N14" s="80">
        <f t="shared" si="7"/>
        <v>0</v>
      </c>
    </row>
    <row r="15" spans="1:14" ht="13.8" outlineLevel="1" x14ac:dyDescent="0.3">
      <c r="A15" s="38">
        <v>4.0599999999999996</v>
      </c>
      <c r="B15" s="39" t="s">
        <v>24</v>
      </c>
      <c r="C15" s="40" t="s">
        <v>19</v>
      </c>
      <c r="D15" s="41">
        <v>24</v>
      </c>
      <c r="E15" s="42">
        <v>54908</v>
      </c>
      <c r="F15" s="42">
        <f t="shared" si="4"/>
        <v>1317792</v>
      </c>
      <c r="G15" s="5"/>
      <c r="H15" s="32"/>
      <c r="I15" s="136"/>
      <c r="J15" s="136"/>
      <c r="K15" s="79">
        <f t="shared" si="0"/>
        <v>0</v>
      </c>
      <c r="L15" s="80">
        <f t="shared" si="5"/>
        <v>0</v>
      </c>
      <c r="M15" s="80">
        <f t="shared" si="6"/>
        <v>0</v>
      </c>
      <c r="N15" s="80">
        <f t="shared" si="7"/>
        <v>0</v>
      </c>
    </row>
    <row r="16" spans="1:14" ht="13.8" outlineLevel="1" x14ac:dyDescent="0.3">
      <c r="A16" s="38">
        <v>4.07</v>
      </c>
      <c r="B16" s="39" t="s">
        <v>25</v>
      </c>
      <c r="C16" s="40" t="s">
        <v>26</v>
      </c>
      <c r="D16" s="41">
        <v>81</v>
      </c>
      <c r="E16" s="42">
        <v>30989</v>
      </c>
      <c r="F16" s="42">
        <f t="shared" si="4"/>
        <v>2510109</v>
      </c>
      <c r="G16" s="5"/>
      <c r="H16" s="32"/>
      <c r="I16" s="136"/>
      <c r="J16" s="136"/>
      <c r="K16" s="79">
        <f t="shared" si="0"/>
        <v>0</v>
      </c>
      <c r="L16" s="80">
        <f t="shared" si="5"/>
        <v>0</v>
      </c>
      <c r="M16" s="80">
        <f t="shared" si="6"/>
        <v>0</v>
      </c>
      <c r="N16" s="80">
        <f t="shared" si="7"/>
        <v>0</v>
      </c>
    </row>
    <row r="17" spans="1:18" ht="13.8" outlineLevel="1" x14ac:dyDescent="0.3">
      <c r="A17" s="38">
        <v>4.08</v>
      </c>
      <c r="B17" s="39" t="s">
        <v>27</v>
      </c>
      <c r="C17" s="40" t="s">
        <v>28</v>
      </c>
      <c r="D17" s="41">
        <v>1</v>
      </c>
      <c r="E17" s="42">
        <v>1119953</v>
      </c>
      <c r="F17" s="42">
        <f t="shared" si="4"/>
        <v>1119953</v>
      </c>
      <c r="G17" s="5"/>
      <c r="H17" s="32"/>
      <c r="I17" s="136"/>
      <c r="J17" s="136"/>
      <c r="K17" s="79">
        <f t="shared" si="0"/>
        <v>0</v>
      </c>
      <c r="L17" s="80">
        <f t="shared" si="5"/>
        <v>0</v>
      </c>
      <c r="M17" s="80">
        <f t="shared" si="6"/>
        <v>0</v>
      </c>
      <c r="N17" s="80">
        <f t="shared" si="7"/>
        <v>0</v>
      </c>
    </row>
    <row r="18" spans="1:18" ht="13.8" x14ac:dyDescent="0.3">
      <c r="A18" s="27">
        <v>5</v>
      </c>
      <c r="B18" s="28" t="s">
        <v>29</v>
      </c>
      <c r="C18" s="189"/>
      <c r="D18" s="65"/>
      <c r="E18" s="65"/>
      <c r="F18" s="65"/>
      <c r="G18" s="31">
        <f>+SUM(F19:F25)</f>
        <v>35966419</v>
      </c>
      <c r="H18" s="32">
        <f>+G18/$G$185</f>
        <v>4.8890192707540352E-2</v>
      </c>
      <c r="I18" s="139"/>
      <c r="J18" s="140"/>
      <c r="K18" s="130"/>
      <c r="L18" s="130"/>
      <c r="M18" s="130"/>
      <c r="N18" s="66"/>
    </row>
    <row r="19" spans="1:18" ht="13.8" outlineLevel="1" x14ac:dyDescent="0.3">
      <c r="A19" s="33">
        <v>5.01</v>
      </c>
      <c r="B19" s="34" t="s">
        <v>30</v>
      </c>
      <c r="C19" s="35" t="s">
        <v>19</v>
      </c>
      <c r="D19" s="36">
        <v>139.05000000000001</v>
      </c>
      <c r="E19" s="37">
        <v>21800</v>
      </c>
      <c r="F19" s="37">
        <f t="shared" si="4"/>
        <v>3031290.0000000005</v>
      </c>
      <c r="G19" s="195"/>
      <c r="H19" s="32"/>
      <c r="I19" s="134"/>
      <c r="J19" s="134"/>
      <c r="K19" s="135">
        <f t="shared" ref="K19:K20" si="8">+I19+J19</f>
        <v>0</v>
      </c>
      <c r="L19" s="200">
        <f t="shared" ref="L19:L20" si="9">+F19*I19</f>
        <v>0</v>
      </c>
      <c r="M19" s="200">
        <f t="shared" ref="M19:M20" si="10">+F19*J19</f>
        <v>0</v>
      </c>
      <c r="N19" s="200">
        <f t="shared" ref="N19:N20" si="11">+F19*K19</f>
        <v>0</v>
      </c>
    </row>
    <row r="20" spans="1:18" ht="13.8" outlineLevel="1" x14ac:dyDescent="0.3">
      <c r="A20" s="190">
        <v>5.0199999999999996</v>
      </c>
      <c r="B20" s="191" t="s">
        <v>31</v>
      </c>
      <c r="C20" s="43" t="s">
        <v>19</v>
      </c>
      <c r="D20" s="44">
        <v>300</v>
      </c>
      <c r="E20" s="44">
        <v>5376</v>
      </c>
      <c r="F20" s="44">
        <f t="shared" si="4"/>
        <v>1612800</v>
      </c>
      <c r="G20" s="186"/>
      <c r="H20" s="32"/>
      <c r="I20" s="136"/>
      <c r="J20" s="136"/>
      <c r="K20" s="79">
        <f t="shared" si="8"/>
        <v>0</v>
      </c>
      <c r="L20" s="201">
        <f t="shared" si="9"/>
        <v>0</v>
      </c>
      <c r="M20" s="201">
        <f t="shared" si="10"/>
        <v>0</v>
      </c>
      <c r="N20" s="201">
        <f t="shared" si="11"/>
        <v>0</v>
      </c>
    </row>
    <row r="21" spans="1:18" ht="13.8" outlineLevel="1" x14ac:dyDescent="0.3">
      <c r="A21" s="38">
        <v>5.03</v>
      </c>
      <c r="B21" s="52" t="s">
        <v>32</v>
      </c>
      <c r="C21" s="49" t="s">
        <v>19</v>
      </c>
      <c r="D21" s="50">
        <v>48</v>
      </c>
      <c r="E21" s="42">
        <v>5376</v>
      </c>
      <c r="F21" s="42">
        <f t="shared" si="4"/>
        <v>258048</v>
      </c>
      <c r="G21" s="196"/>
      <c r="H21" s="32"/>
      <c r="I21" s="136"/>
      <c r="J21" s="136"/>
      <c r="K21" s="79">
        <f t="shared" si="0"/>
        <v>0</v>
      </c>
      <c r="L21" s="201">
        <f t="shared" si="5"/>
        <v>0</v>
      </c>
      <c r="M21" s="201">
        <f t="shared" si="6"/>
        <v>0</v>
      </c>
      <c r="N21" s="201">
        <f t="shared" si="7"/>
        <v>0</v>
      </c>
      <c r="R21" s="144"/>
    </row>
    <row r="22" spans="1:18" ht="13.8" outlineLevel="1" x14ac:dyDescent="0.3">
      <c r="A22" s="38">
        <v>5.04</v>
      </c>
      <c r="B22" s="39" t="s">
        <v>33</v>
      </c>
      <c r="C22" s="40" t="s">
        <v>19</v>
      </c>
      <c r="D22" s="50">
        <v>262</v>
      </c>
      <c r="E22" s="42">
        <v>4403</v>
      </c>
      <c r="F22" s="42">
        <f t="shared" si="4"/>
        <v>1153586</v>
      </c>
      <c r="G22" s="196"/>
      <c r="H22" s="32"/>
      <c r="I22" s="136"/>
      <c r="J22" s="136"/>
      <c r="K22" s="79">
        <f t="shared" ref="K22:K25" si="12">+I22+J22</f>
        <v>0</v>
      </c>
      <c r="L22" s="201">
        <f t="shared" ref="L22:L25" si="13">+F22*I22</f>
        <v>0</v>
      </c>
      <c r="M22" s="201">
        <f t="shared" ref="M22:M25" si="14">+F22*J22</f>
        <v>0</v>
      </c>
      <c r="N22" s="201">
        <f t="shared" ref="N22:N25" si="15">+F22*K22</f>
        <v>0</v>
      </c>
    </row>
    <row r="23" spans="1:18" ht="13.8" outlineLevel="1" x14ac:dyDescent="0.3">
      <c r="A23" s="38">
        <v>5.05</v>
      </c>
      <c r="B23" s="52" t="s">
        <v>34</v>
      </c>
      <c r="C23" s="49" t="s">
        <v>19</v>
      </c>
      <c r="D23" s="50">
        <v>510</v>
      </c>
      <c r="E23" s="42">
        <v>3578</v>
      </c>
      <c r="F23" s="42">
        <f t="shared" si="4"/>
        <v>1824780</v>
      </c>
      <c r="G23" s="196"/>
      <c r="H23" s="32"/>
      <c r="I23" s="136"/>
      <c r="J23" s="136"/>
      <c r="K23" s="79">
        <f t="shared" si="12"/>
        <v>0</v>
      </c>
      <c r="L23" s="201">
        <f t="shared" si="13"/>
        <v>0</v>
      </c>
      <c r="M23" s="201">
        <f t="shared" si="14"/>
        <v>0</v>
      </c>
      <c r="N23" s="201">
        <f t="shared" si="15"/>
        <v>0</v>
      </c>
    </row>
    <row r="24" spans="1:18" ht="13.8" outlineLevel="1" x14ac:dyDescent="0.3">
      <c r="A24" s="190">
        <v>5.0599999999999996</v>
      </c>
      <c r="B24" s="191" t="s">
        <v>35</v>
      </c>
      <c r="C24" s="43" t="s">
        <v>19</v>
      </c>
      <c r="D24" s="44">
        <v>510</v>
      </c>
      <c r="E24" s="44">
        <v>21800</v>
      </c>
      <c r="F24" s="44">
        <f t="shared" si="4"/>
        <v>11118000</v>
      </c>
      <c r="G24" s="186"/>
      <c r="H24" s="32"/>
      <c r="I24" s="136"/>
      <c r="J24" s="136"/>
      <c r="K24" s="79">
        <f t="shared" si="12"/>
        <v>0</v>
      </c>
      <c r="L24" s="201">
        <f t="shared" si="13"/>
        <v>0</v>
      </c>
      <c r="M24" s="201">
        <f t="shared" si="14"/>
        <v>0</v>
      </c>
      <c r="N24" s="201">
        <f t="shared" si="15"/>
        <v>0</v>
      </c>
    </row>
    <row r="25" spans="1:18" ht="13.8" outlineLevel="1" x14ac:dyDescent="0.3">
      <c r="A25" s="45">
        <v>5.07</v>
      </c>
      <c r="B25" s="192" t="s">
        <v>36</v>
      </c>
      <c r="C25" s="193" t="s">
        <v>28</v>
      </c>
      <c r="D25" s="194">
        <v>1</v>
      </c>
      <c r="E25" s="60">
        <v>16967915</v>
      </c>
      <c r="F25" s="60">
        <f t="shared" si="4"/>
        <v>16967915</v>
      </c>
      <c r="G25" s="197"/>
      <c r="H25" s="32"/>
      <c r="I25" s="137"/>
      <c r="J25" s="137">
        <v>1</v>
      </c>
      <c r="K25" s="138">
        <f t="shared" si="12"/>
        <v>1</v>
      </c>
      <c r="L25" s="202">
        <f t="shared" si="13"/>
        <v>0</v>
      </c>
      <c r="M25" s="202">
        <f t="shared" si="14"/>
        <v>16967915</v>
      </c>
      <c r="N25" s="202">
        <f t="shared" si="15"/>
        <v>16967915</v>
      </c>
    </row>
    <row r="26" spans="1:18" ht="13.8" x14ac:dyDescent="0.3">
      <c r="A26" s="27">
        <v>6</v>
      </c>
      <c r="B26" s="28" t="s">
        <v>37</v>
      </c>
      <c r="C26" s="189"/>
      <c r="D26" s="65"/>
      <c r="E26" s="65"/>
      <c r="F26" s="65"/>
      <c r="G26" s="31">
        <f>+SUM(F27)</f>
        <v>2433900</v>
      </c>
      <c r="H26" s="32">
        <f>+G26/$G$185</f>
        <v>3.3084706050630856E-3</v>
      </c>
      <c r="I26" s="139"/>
      <c r="J26" s="140"/>
      <c r="K26" s="130"/>
      <c r="L26" s="130"/>
      <c r="M26" s="130"/>
      <c r="N26" s="66"/>
    </row>
    <row r="27" spans="1:18" ht="13.8" outlineLevel="1" x14ac:dyDescent="0.3">
      <c r="A27" s="38">
        <v>6.02</v>
      </c>
      <c r="B27" s="51" t="s">
        <v>38</v>
      </c>
      <c r="C27" s="43" t="s">
        <v>26</v>
      </c>
      <c r="D27" s="44">
        <v>60</v>
      </c>
      <c r="E27" s="42">
        <v>40565</v>
      </c>
      <c r="F27" s="42">
        <f t="shared" si="4"/>
        <v>2433900</v>
      </c>
      <c r="G27" s="5"/>
      <c r="H27" s="32"/>
      <c r="I27" s="136"/>
      <c r="J27" s="136"/>
      <c r="K27" s="79">
        <f t="shared" si="0"/>
        <v>0</v>
      </c>
      <c r="L27" s="80">
        <f t="shared" si="5"/>
        <v>0</v>
      </c>
      <c r="M27" s="80">
        <f t="shared" si="6"/>
        <v>0</v>
      </c>
      <c r="N27" s="80">
        <f t="shared" si="7"/>
        <v>0</v>
      </c>
    </row>
    <row r="28" spans="1:18" ht="13.8" x14ac:dyDescent="0.3">
      <c r="A28" s="27">
        <v>7</v>
      </c>
      <c r="B28" s="28" t="s">
        <v>39</v>
      </c>
      <c r="C28" s="189"/>
      <c r="D28" s="65"/>
      <c r="E28" s="65"/>
      <c r="F28" s="65"/>
      <c r="G28" s="31">
        <f>+SUM(F29:F36)</f>
        <v>136390555.29860002</v>
      </c>
      <c r="H28" s="32">
        <f>+G28/$G$185</f>
        <v>0.18539962324403197</v>
      </c>
      <c r="I28" s="139"/>
      <c r="J28" s="140"/>
      <c r="K28" s="130"/>
      <c r="L28" s="130"/>
      <c r="M28" s="130"/>
      <c r="N28" s="66"/>
    </row>
    <row r="29" spans="1:18" ht="13.8" outlineLevel="1" x14ac:dyDescent="0.3">
      <c r="A29" s="38">
        <v>7.01</v>
      </c>
      <c r="B29" s="51" t="s">
        <v>40</v>
      </c>
      <c r="C29" s="43" t="s">
        <v>19</v>
      </c>
      <c r="D29" s="44">
        <v>678.25199999999995</v>
      </c>
      <c r="E29" s="42">
        <v>16571</v>
      </c>
      <c r="F29" s="42">
        <f t="shared" si="4"/>
        <v>11239313.891999999</v>
      </c>
      <c r="G29" s="5"/>
      <c r="H29" s="32"/>
      <c r="I29" s="136"/>
      <c r="J29" s="136"/>
      <c r="K29" s="79">
        <f t="shared" si="0"/>
        <v>0</v>
      </c>
      <c r="L29" s="80">
        <f t="shared" si="5"/>
        <v>0</v>
      </c>
      <c r="M29" s="80">
        <f t="shared" si="6"/>
        <v>0</v>
      </c>
      <c r="N29" s="80">
        <f t="shared" si="7"/>
        <v>0</v>
      </c>
    </row>
    <row r="30" spans="1:18" ht="13.8" outlineLevel="1" x14ac:dyDescent="0.3">
      <c r="A30" s="38">
        <v>7.02</v>
      </c>
      <c r="B30" s="39" t="s">
        <v>41</v>
      </c>
      <c r="C30" s="49" t="s">
        <v>19</v>
      </c>
      <c r="D30" s="41">
        <v>876.08119999999985</v>
      </c>
      <c r="E30" s="42">
        <v>22183</v>
      </c>
      <c r="F30" s="42">
        <f t="shared" si="4"/>
        <v>19434109.259599999</v>
      </c>
      <c r="G30" s="5"/>
      <c r="H30" s="32"/>
      <c r="I30" s="136"/>
      <c r="J30" s="136"/>
      <c r="K30" s="79">
        <f t="shared" si="0"/>
        <v>0</v>
      </c>
      <c r="L30" s="80">
        <f t="shared" si="5"/>
        <v>0</v>
      </c>
      <c r="M30" s="80">
        <f t="shared" si="6"/>
        <v>0</v>
      </c>
      <c r="N30" s="80">
        <f t="shared" si="7"/>
        <v>0</v>
      </c>
    </row>
    <row r="31" spans="1:18" ht="13.8" outlineLevel="1" x14ac:dyDescent="0.3">
      <c r="A31" s="38">
        <v>7.03</v>
      </c>
      <c r="B31" s="39" t="s">
        <v>42</v>
      </c>
      <c r="C31" s="49" t="s">
        <v>26</v>
      </c>
      <c r="D31" s="41">
        <v>182</v>
      </c>
      <c r="E31" s="42">
        <v>10806</v>
      </c>
      <c r="F31" s="42">
        <f t="shared" si="4"/>
        <v>1966692</v>
      </c>
      <c r="G31" s="5"/>
      <c r="H31" s="32"/>
      <c r="I31" s="136"/>
      <c r="J31" s="136"/>
      <c r="K31" s="79">
        <f t="shared" si="0"/>
        <v>0</v>
      </c>
      <c r="L31" s="80">
        <f t="shared" si="5"/>
        <v>0</v>
      </c>
      <c r="M31" s="80">
        <f t="shared" si="6"/>
        <v>0</v>
      </c>
      <c r="N31" s="80">
        <f t="shared" si="7"/>
        <v>0</v>
      </c>
    </row>
    <row r="32" spans="1:18" ht="13.8" outlineLevel="1" x14ac:dyDescent="0.3">
      <c r="A32" s="38">
        <v>7.04</v>
      </c>
      <c r="B32" s="39" t="s">
        <v>43</v>
      </c>
      <c r="C32" s="49" t="s">
        <v>19</v>
      </c>
      <c r="D32" s="41">
        <v>995.85109999999997</v>
      </c>
      <c r="E32" s="42">
        <v>26530</v>
      </c>
      <c r="F32" s="42">
        <f t="shared" si="4"/>
        <v>26419929.682999998</v>
      </c>
      <c r="G32" s="5"/>
      <c r="H32" s="32"/>
      <c r="I32" s="136"/>
      <c r="J32" s="136"/>
      <c r="K32" s="79">
        <f t="shared" si="0"/>
        <v>0</v>
      </c>
      <c r="L32" s="80">
        <f t="shared" si="5"/>
        <v>0</v>
      </c>
      <c r="M32" s="80">
        <f t="shared" si="6"/>
        <v>0</v>
      </c>
      <c r="N32" s="80">
        <f t="shared" si="7"/>
        <v>0</v>
      </c>
    </row>
    <row r="33" spans="1:16" ht="13.8" outlineLevel="1" x14ac:dyDescent="0.3">
      <c r="A33" s="38">
        <v>7.05</v>
      </c>
      <c r="B33" s="39" t="s">
        <v>44</v>
      </c>
      <c r="C33" s="49" t="s">
        <v>19</v>
      </c>
      <c r="D33" s="41">
        <v>2514.8970000000013</v>
      </c>
      <c r="E33" s="42">
        <v>22566</v>
      </c>
      <c r="F33" s="42">
        <f t="shared" si="4"/>
        <v>56751165.702000029</v>
      </c>
      <c r="G33" s="5"/>
      <c r="H33" s="32"/>
      <c r="I33" s="136"/>
      <c r="J33" s="136"/>
      <c r="K33" s="79">
        <f t="shared" si="0"/>
        <v>0</v>
      </c>
      <c r="L33" s="80">
        <f t="shared" si="5"/>
        <v>0</v>
      </c>
      <c r="M33" s="80">
        <f t="shared" si="6"/>
        <v>0</v>
      </c>
      <c r="N33" s="80">
        <f t="shared" si="7"/>
        <v>0</v>
      </c>
    </row>
    <row r="34" spans="1:16" ht="13.8" outlineLevel="1" x14ac:dyDescent="0.3">
      <c r="A34" s="38">
        <v>7.06</v>
      </c>
      <c r="B34" s="39" t="s">
        <v>45</v>
      </c>
      <c r="C34" s="49" t="s">
        <v>26</v>
      </c>
      <c r="D34" s="41">
        <v>509.9</v>
      </c>
      <c r="E34" s="42">
        <v>12771</v>
      </c>
      <c r="F34" s="42">
        <f t="shared" si="4"/>
        <v>6511932.8999999994</v>
      </c>
      <c r="G34" s="5"/>
      <c r="H34" s="32"/>
      <c r="I34" s="136"/>
      <c r="J34" s="136"/>
      <c r="K34" s="79">
        <f t="shared" si="0"/>
        <v>0</v>
      </c>
      <c r="L34" s="80">
        <f t="shared" si="5"/>
        <v>0</v>
      </c>
      <c r="M34" s="80">
        <f t="shared" si="6"/>
        <v>0</v>
      </c>
      <c r="N34" s="80">
        <f t="shared" si="7"/>
        <v>0</v>
      </c>
    </row>
    <row r="35" spans="1:16" ht="13.8" outlineLevel="1" x14ac:dyDescent="0.3">
      <c r="A35" s="38">
        <v>7.07</v>
      </c>
      <c r="B35" s="39" t="s">
        <v>46</v>
      </c>
      <c r="C35" s="49" t="s">
        <v>47</v>
      </c>
      <c r="D35" s="41">
        <v>198</v>
      </c>
      <c r="E35" s="42">
        <v>14947</v>
      </c>
      <c r="F35" s="42">
        <f t="shared" si="4"/>
        <v>2959506</v>
      </c>
      <c r="G35" s="5"/>
      <c r="H35" s="32"/>
      <c r="I35" s="136"/>
      <c r="J35" s="136"/>
      <c r="K35" s="79">
        <f t="shared" si="0"/>
        <v>0</v>
      </c>
      <c r="L35" s="80">
        <f t="shared" si="5"/>
        <v>0</v>
      </c>
      <c r="M35" s="80">
        <f t="shared" si="6"/>
        <v>0</v>
      </c>
      <c r="N35" s="80">
        <f t="shared" si="7"/>
        <v>0</v>
      </c>
    </row>
    <row r="36" spans="1:16" ht="13.8" outlineLevel="1" x14ac:dyDescent="0.3">
      <c r="A36" s="38">
        <v>7.08</v>
      </c>
      <c r="B36" s="39" t="s">
        <v>48</v>
      </c>
      <c r="C36" s="49" t="s">
        <v>19</v>
      </c>
      <c r="D36" s="41">
        <v>670.322</v>
      </c>
      <c r="E36" s="42">
        <v>16571</v>
      </c>
      <c r="F36" s="42">
        <f t="shared" si="4"/>
        <v>11107905.862</v>
      </c>
      <c r="G36" s="5"/>
      <c r="H36" s="32"/>
      <c r="I36" s="136"/>
      <c r="J36" s="136"/>
      <c r="K36" s="79">
        <f t="shared" si="0"/>
        <v>0</v>
      </c>
      <c r="L36" s="80">
        <f t="shared" si="5"/>
        <v>0</v>
      </c>
      <c r="M36" s="80">
        <f t="shared" si="6"/>
        <v>0</v>
      </c>
      <c r="N36" s="80">
        <f t="shared" si="7"/>
        <v>0</v>
      </c>
    </row>
    <row r="37" spans="1:16" ht="13.8" x14ac:dyDescent="0.3">
      <c r="A37" s="27">
        <v>8</v>
      </c>
      <c r="B37" s="28" t="s">
        <v>49</v>
      </c>
      <c r="C37" s="189"/>
      <c r="D37" s="65"/>
      <c r="E37" s="65"/>
      <c r="F37" s="65"/>
      <c r="G37" s="31">
        <f>+SUM(F38:F45)</f>
        <v>44788107</v>
      </c>
      <c r="H37" s="32">
        <f>+G37/$G$185</f>
        <v>6.0881768135880775E-2</v>
      </c>
      <c r="I37" s="139"/>
      <c r="J37" s="140"/>
      <c r="K37" s="130"/>
      <c r="L37" s="130"/>
      <c r="M37" s="130"/>
      <c r="N37" s="66"/>
    </row>
    <row r="38" spans="1:16" ht="13.8" outlineLevel="1" x14ac:dyDescent="0.3">
      <c r="A38" s="33">
        <v>8.01</v>
      </c>
      <c r="B38" s="198" t="s">
        <v>50</v>
      </c>
      <c r="C38" s="61" t="s">
        <v>19</v>
      </c>
      <c r="D38" s="62">
        <v>104</v>
      </c>
      <c r="E38" s="37">
        <v>31920</v>
      </c>
      <c r="F38" s="37">
        <f t="shared" si="4"/>
        <v>3319680</v>
      </c>
      <c r="G38" s="5"/>
      <c r="H38" s="32"/>
      <c r="I38" s="134"/>
      <c r="J38" s="134">
        <v>0.5</v>
      </c>
      <c r="K38" s="135">
        <f t="shared" si="0"/>
        <v>0.5</v>
      </c>
      <c r="L38" s="200">
        <f t="shared" si="5"/>
        <v>0</v>
      </c>
      <c r="M38" s="200">
        <f t="shared" si="6"/>
        <v>1659840</v>
      </c>
      <c r="N38" s="200">
        <f t="shared" si="7"/>
        <v>1659840</v>
      </c>
    </row>
    <row r="39" spans="1:16" ht="13.8" outlineLevel="1" x14ac:dyDescent="0.3">
      <c r="A39" s="38">
        <v>8.02</v>
      </c>
      <c r="B39" s="52" t="s">
        <v>51</v>
      </c>
      <c r="C39" s="49" t="s">
        <v>19</v>
      </c>
      <c r="D39" s="50">
        <v>48</v>
      </c>
      <c r="E39" s="42">
        <v>37268</v>
      </c>
      <c r="F39" s="42">
        <f t="shared" si="4"/>
        <v>1788864</v>
      </c>
      <c r="G39" s="5"/>
      <c r="H39" s="32"/>
      <c r="I39" s="136"/>
      <c r="J39" s="136"/>
      <c r="K39" s="79">
        <f t="shared" si="0"/>
        <v>0</v>
      </c>
      <c r="L39" s="201">
        <f t="shared" si="5"/>
        <v>0</v>
      </c>
      <c r="M39" s="201">
        <f t="shared" si="6"/>
        <v>0</v>
      </c>
      <c r="N39" s="201">
        <f t="shared" si="7"/>
        <v>0</v>
      </c>
    </row>
    <row r="40" spans="1:16" ht="13.8" outlineLevel="1" x14ac:dyDescent="0.3">
      <c r="A40" s="38">
        <v>8.0299999999999994</v>
      </c>
      <c r="B40" s="52" t="s">
        <v>52</v>
      </c>
      <c r="C40" s="49" t="s">
        <v>19</v>
      </c>
      <c r="D40" s="50">
        <v>235</v>
      </c>
      <c r="E40" s="42">
        <v>32410</v>
      </c>
      <c r="F40" s="42">
        <f t="shared" si="4"/>
        <v>7616350</v>
      </c>
      <c r="G40" s="5"/>
      <c r="H40" s="32"/>
      <c r="I40" s="136"/>
      <c r="J40" s="136"/>
      <c r="K40" s="79">
        <f t="shared" si="0"/>
        <v>0</v>
      </c>
      <c r="L40" s="201">
        <f t="shared" si="5"/>
        <v>0</v>
      </c>
      <c r="M40" s="201">
        <f t="shared" si="6"/>
        <v>0</v>
      </c>
      <c r="N40" s="201">
        <f t="shared" si="7"/>
        <v>0</v>
      </c>
    </row>
    <row r="41" spans="1:16" ht="13.8" outlineLevel="1" x14ac:dyDescent="0.3">
      <c r="A41" s="38">
        <v>8.0399999999999991</v>
      </c>
      <c r="B41" s="39" t="s">
        <v>53</v>
      </c>
      <c r="C41" s="40" t="s">
        <v>19</v>
      </c>
      <c r="D41" s="50">
        <v>878</v>
      </c>
      <c r="E41" s="42">
        <v>19006</v>
      </c>
      <c r="F41" s="42">
        <f t="shared" si="4"/>
        <v>16687268</v>
      </c>
      <c r="G41" s="5"/>
      <c r="H41" s="32"/>
      <c r="I41" s="136"/>
      <c r="J41" s="136"/>
      <c r="K41" s="79">
        <f t="shared" si="0"/>
        <v>0</v>
      </c>
      <c r="L41" s="201">
        <f t="shared" ref="L41:L42" si="16">+F41*I41</f>
        <v>0</v>
      </c>
      <c r="M41" s="201">
        <f t="shared" ref="M41:M42" si="17">+F41*J41</f>
        <v>0</v>
      </c>
      <c r="N41" s="201">
        <f t="shared" ref="N41:N42" si="18">+F41*K41</f>
        <v>0</v>
      </c>
    </row>
    <row r="42" spans="1:16" ht="13.8" outlineLevel="1" x14ac:dyDescent="0.3">
      <c r="A42" s="190">
        <v>8.0500000000000007</v>
      </c>
      <c r="B42" s="191" t="s">
        <v>54</v>
      </c>
      <c r="C42" s="43" t="s">
        <v>19</v>
      </c>
      <c r="D42" s="44">
        <v>564</v>
      </c>
      <c r="E42" s="44">
        <v>12439</v>
      </c>
      <c r="F42" s="44">
        <f t="shared" si="4"/>
        <v>7015596</v>
      </c>
      <c r="G42" s="5"/>
      <c r="H42" s="32"/>
      <c r="I42" s="239"/>
      <c r="J42" s="239"/>
      <c r="K42" s="79">
        <f t="shared" si="0"/>
        <v>0</v>
      </c>
      <c r="L42" s="201">
        <f t="shared" si="16"/>
        <v>0</v>
      </c>
      <c r="M42" s="201">
        <f t="shared" si="17"/>
        <v>0</v>
      </c>
      <c r="N42" s="201">
        <f t="shared" si="18"/>
        <v>0</v>
      </c>
    </row>
    <row r="43" spans="1:16" ht="13.8" outlineLevel="1" x14ac:dyDescent="0.3">
      <c r="A43" s="38">
        <v>8.06</v>
      </c>
      <c r="B43" s="199" t="s">
        <v>55</v>
      </c>
      <c r="C43" s="40" t="s">
        <v>19</v>
      </c>
      <c r="D43" s="41">
        <v>438</v>
      </c>
      <c r="E43" s="42">
        <v>12439</v>
      </c>
      <c r="F43" s="42">
        <f t="shared" si="4"/>
        <v>5448282</v>
      </c>
      <c r="G43" s="5"/>
      <c r="I43" s="136"/>
      <c r="J43" s="136"/>
      <c r="K43" s="79">
        <f t="shared" si="0"/>
        <v>0</v>
      </c>
      <c r="L43" s="201">
        <f t="shared" si="5"/>
        <v>0</v>
      </c>
      <c r="M43" s="201">
        <f t="shared" si="6"/>
        <v>0</v>
      </c>
      <c r="N43" s="201">
        <f t="shared" si="7"/>
        <v>0</v>
      </c>
      <c r="P43" s="144"/>
    </row>
    <row r="44" spans="1:16" ht="13.8" outlineLevel="1" x14ac:dyDescent="0.3">
      <c r="A44" s="38">
        <v>8.07</v>
      </c>
      <c r="B44" s="199" t="s">
        <v>56</v>
      </c>
      <c r="C44" s="40" t="s">
        <v>28</v>
      </c>
      <c r="D44" s="41">
        <v>1</v>
      </c>
      <c r="E44" s="42">
        <v>2426924</v>
      </c>
      <c r="F44" s="42">
        <f t="shared" si="4"/>
        <v>2426924</v>
      </c>
      <c r="G44" s="5"/>
      <c r="I44" s="136"/>
      <c r="J44" s="136"/>
      <c r="K44" s="79">
        <f t="shared" ref="K44:K55" si="19">+I44+J44</f>
        <v>0</v>
      </c>
      <c r="L44" s="201">
        <f t="shared" si="5"/>
        <v>0</v>
      </c>
      <c r="M44" s="201">
        <f t="shared" si="6"/>
        <v>0</v>
      </c>
      <c r="N44" s="201">
        <f t="shared" si="7"/>
        <v>0</v>
      </c>
    </row>
    <row r="45" spans="1:16" ht="13.8" outlineLevel="1" x14ac:dyDescent="0.3">
      <c r="A45" s="45">
        <v>8.08</v>
      </c>
      <c r="B45" s="59" t="s">
        <v>57</v>
      </c>
      <c r="C45" s="47" t="s">
        <v>28</v>
      </c>
      <c r="D45" s="48">
        <v>1</v>
      </c>
      <c r="E45" s="60">
        <v>485143</v>
      </c>
      <c r="F45" s="60">
        <f t="shared" si="4"/>
        <v>485143</v>
      </c>
      <c r="G45" s="5"/>
      <c r="I45" s="137"/>
      <c r="J45" s="137"/>
      <c r="K45" s="138">
        <f t="shared" si="19"/>
        <v>0</v>
      </c>
      <c r="L45" s="202">
        <f t="shared" si="5"/>
        <v>0</v>
      </c>
      <c r="M45" s="202">
        <f t="shared" si="6"/>
        <v>0</v>
      </c>
      <c r="N45" s="202">
        <f t="shared" si="7"/>
        <v>0</v>
      </c>
    </row>
    <row r="46" spans="1:16" ht="13.8" x14ac:dyDescent="0.3">
      <c r="A46" s="27">
        <v>9</v>
      </c>
      <c r="B46" s="28" t="s">
        <v>58</v>
      </c>
      <c r="C46" s="189"/>
      <c r="D46" s="65"/>
      <c r="E46" s="65"/>
      <c r="F46" s="65"/>
      <c r="G46" s="31">
        <f>+SUM(F47:F50)</f>
        <v>5769056.5999999996</v>
      </c>
      <c r="H46" s="32">
        <f>+G46/$G$185</f>
        <v>7.8420453511011904E-3</v>
      </c>
      <c r="I46" s="139"/>
      <c r="J46" s="140"/>
      <c r="K46" s="130"/>
      <c r="L46" s="130"/>
      <c r="M46" s="130"/>
      <c r="N46" s="66"/>
    </row>
    <row r="47" spans="1:16" s="57" customFormat="1" ht="13.8" outlineLevel="1" x14ac:dyDescent="0.3">
      <c r="A47" s="38">
        <v>9.01</v>
      </c>
      <c r="B47" s="55" t="s">
        <v>59</v>
      </c>
      <c r="C47" s="56" t="s">
        <v>28</v>
      </c>
      <c r="D47" s="41">
        <v>1</v>
      </c>
      <c r="E47" s="42">
        <v>2024643</v>
      </c>
      <c r="F47" s="42">
        <f t="shared" si="4"/>
        <v>2024643</v>
      </c>
      <c r="G47" s="185"/>
      <c r="H47" s="32"/>
      <c r="I47" s="141"/>
      <c r="J47" s="141"/>
      <c r="K47" s="79">
        <f t="shared" si="19"/>
        <v>0</v>
      </c>
      <c r="L47" s="80">
        <f t="shared" si="5"/>
        <v>0</v>
      </c>
      <c r="M47" s="80">
        <f t="shared" si="6"/>
        <v>0</v>
      </c>
      <c r="N47" s="80">
        <f t="shared" si="7"/>
        <v>0</v>
      </c>
    </row>
    <row r="48" spans="1:16" s="57" customFormat="1" ht="13.8" outlineLevel="1" x14ac:dyDescent="0.3">
      <c r="A48" s="54">
        <v>9.02</v>
      </c>
      <c r="B48" s="55" t="s">
        <v>60</v>
      </c>
      <c r="C48" s="56" t="s">
        <v>26</v>
      </c>
      <c r="D48" s="41">
        <v>122</v>
      </c>
      <c r="E48" s="42">
        <v>18814</v>
      </c>
      <c r="F48" s="42">
        <f t="shared" si="4"/>
        <v>2295308</v>
      </c>
      <c r="G48" s="185"/>
      <c r="H48" s="32"/>
      <c r="I48" s="141"/>
      <c r="J48" s="141"/>
      <c r="K48" s="79">
        <f t="shared" si="19"/>
        <v>0</v>
      </c>
      <c r="L48" s="80">
        <f t="shared" si="5"/>
        <v>0</v>
      </c>
      <c r="M48" s="80">
        <f t="shared" si="6"/>
        <v>0</v>
      </c>
      <c r="N48" s="80">
        <f t="shared" si="7"/>
        <v>0</v>
      </c>
    </row>
    <row r="49" spans="1:14" s="57" customFormat="1" ht="13.8" outlineLevel="1" x14ac:dyDescent="0.3">
      <c r="A49" s="38">
        <v>9.0299999999999994</v>
      </c>
      <c r="B49" s="55" t="s">
        <v>61</v>
      </c>
      <c r="C49" s="56" t="s">
        <v>26</v>
      </c>
      <c r="D49" s="41">
        <v>155</v>
      </c>
      <c r="E49" s="42">
        <v>5376</v>
      </c>
      <c r="F49" s="42">
        <f t="shared" si="4"/>
        <v>833280</v>
      </c>
      <c r="G49" s="185"/>
      <c r="H49" s="32"/>
      <c r="I49" s="141"/>
      <c r="J49" s="141"/>
      <c r="K49" s="79">
        <f t="shared" si="19"/>
        <v>0</v>
      </c>
      <c r="L49" s="80">
        <f t="shared" si="5"/>
        <v>0</v>
      </c>
      <c r="M49" s="80">
        <f t="shared" si="6"/>
        <v>0</v>
      </c>
      <c r="N49" s="80">
        <f t="shared" si="7"/>
        <v>0</v>
      </c>
    </row>
    <row r="50" spans="1:14" s="57" customFormat="1" ht="13.8" outlineLevel="1" x14ac:dyDescent="0.3">
      <c r="A50" s="54">
        <v>9.0399999999999991</v>
      </c>
      <c r="B50" s="55" t="s">
        <v>62</v>
      </c>
      <c r="C50" s="56" t="s">
        <v>26</v>
      </c>
      <c r="D50" s="41">
        <v>31.200000000000003</v>
      </c>
      <c r="E50" s="42">
        <v>19738</v>
      </c>
      <c r="F50" s="42">
        <f t="shared" si="4"/>
        <v>615825.60000000009</v>
      </c>
      <c r="G50" s="185"/>
      <c r="H50" s="32"/>
      <c r="I50" s="141"/>
      <c r="J50" s="141"/>
      <c r="K50" s="79">
        <f t="shared" si="19"/>
        <v>0</v>
      </c>
      <c r="L50" s="80">
        <f t="shared" si="5"/>
        <v>0</v>
      </c>
      <c r="M50" s="80">
        <f t="shared" si="6"/>
        <v>0</v>
      </c>
      <c r="N50" s="80">
        <f t="shared" si="7"/>
        <v>0</v>
      </c>
    </row>
    <row r="51" spans="1:14" s="58" customFormat="1" ht="13.8" x14ac:dyDescent="0.3">
      <c r="A51" s="27">
        <v>10</v>
      </c>
      <c r="B51" s="28" t="s">
        <v>63</v>
      </c>
      <c r="C51" s="189"/>
      <c r="D51" s="65"/>
      <c r="E51" s="65"/>
      <c r="F51" s="65"/>
      <c r="G51" s="31">
        <f>+SUM(F52:F55)</f>
        <v>4669278</v>
      </c>
      <c r="H51" s="32">
        <f>+G51/$G$185</f>
        <v>6.3470845186193985E-3</v>
      </c>
      <c r="I51" s="139"/>
      <c r="J51" s="140"/>
      <c r="K51" s="130"/>
      <c r="L51" s="130"/>
      <c r="M51" s="130"/>
      <c r="N51" s="66"/>
    </row>
    <row r="52" spans="1:14" s="58" customFormat="1" ht="13.8" outlineLevel="1" x14ac:dyDescent="0.3">
      <c r="A52" s="33">
        <v>10.01</v>
      </c>
      <c r="B52" s="209" t="s">
        <v>64</v>
      </c>
      <c r="C52" s="210" t="s">
        <v>28</v>
      </c>
      <c r="D52" s="36">
        <v>0</v>
      </c>
      <c r="E52" s="37">
        <v>0</v>
      </c>
      <c r="F52" s="37">
        <f t="shared" si="4"/>
        <v>0</v>
      </c>
      <c r="G52" s="211"/>
      <c r="H52" s="32"/>
      <c r="I52" s="142"/>
      <c r="J52" s="142"/>
      <c r="K52" s="135">
        <f t="shared" ref="K52:K53" si="20">+I52+J52</f>
        <v>0</v>
      </c>
      <c r="L52" s="200">
        <f t="shared" ref="L52:L53" si="21">+F52*I52</f>
        <v>0</v>
      </c>
      <c r="M52" s="200">
        <f t="shared" ref="M52:M53" si="22">+F52*J52</f>
        <v>0</v>
      </c>
      <c r="N52" s="200">
        <f t="shared" ref="N52:N53" si="23">+F52*K52</f>
        <v>0</v>
      </c>
    </row>
    <row r="53" spans="1:14" ht="13.8" outlineLevel="1" x14ac:dyDescent="0.3">
      <c r="A53" s="190">
        <v>10.02</v>
      </c>
      <c r="B53" s="191" t="s">
        <v>65</v>
      </c>
      <c r="C53" s="43" t="s">
        <v>28</v>
      </c>
      <c r="D53" s="44">
        <v>1</v>
      </c>
      <c r="E53" s="44">
        <v>2199545</v>
      </c>
      <c r="F53" s="44">
        <f t="shared" si="4"/>
        <v>2199545</v>
      </c>
      <c r="G53" s="186"/>
      <c r="H53" s="32"/>
      <c r="I53" s="236"/>
      <c r="J53" s="236"/>
      <c r="K53" s="79">
        <f t="shared" si="20"/>
        <v>0</v>
      </c>
      <c r="L53" s="201">
        <f t="shared" si="21"/>
        <v>0</v>
      </c>
      <c r="M53" s="201">
        <f t="shared" si="22"/>
        <v>0</v>
      </c>
      <c r="N53" s="201">
        <f t="shared" si="23"/>
        <v>0</v>
      </c>
    </row>
    <row r="54" spans="1:14" s="63" customFormat="1" ht="13.8" outlineLevel="1" x14ac:dyDescent="0.3">
      <c r="A54" s="38">
        <v>10.029999999999999</v>
      </c>
      <c r="B54" s="39" t="s">
        <v>66</v>
      </c>
      <c r="C54" s="49" t="s">
        <v>67</v>
      </c>
      <c r="D54" s="50">
        <v>0</v>
      </c>
      <c r="E54" s="42">
        <v>0</v>
      </c>
      <c r="F54" s="42">
        <f t="shared" si="4"/>
        <v>0</v>
      </c>
      <c r="G54" s="186"/>
      <c r="I54" s="236"/>
      <c r="J54" s="236"/>
      <c r="K54" s="79">
        <f t="shared" si="19"/>
        <v>0</v>
      </c>
      <c r="L54" s="201">
        <f t="shared" si="5"/>
        <v>0</v>
      </c>
      <c r="M54" s="201">
        <f t="shared" si="6"/>
        <v>0</v>
      </c>
      <c r="N54" s="201">
        <f t="shared" si="7"/>
        <v>0</v>
      </c>
    </row>
    <row r="55" spans="1:14" s="63" customFormat="1" ht="13.8" outlineLevel="1" x14ac:dyDescent="0.3">
      <c r="A55" s="45">
        <v>10.039999999999999</v>
      </c>
      <c r="B55" s="46" t="s">
        <v>68</v>
      </c>
      <c r="C55" s="64" t="s">
        <v>47</v>
      </c>
      <c r="D55" s="53">
        <v>7</v>
      </c>
      <c r="E55" s="60">
        <v>352819</v>
      </c>
      <c r="F55" s="60">
        <f t="shared" si="4"/>
        <v>2469733</v>
      </c>
      <c r="G55" s="212"/>
      <c r="I55" s="143"/>
      <c r="J55" s="143"/>
      <c r="K55" s="138">
        <f t="shared" si="19"/>
        <v>0</v>
      </c>
      <c r="L55" s="202">
        <f t="shared" si="5"/>
        <v>0</v>
      </c>
      <c r="M55" s="202">
        <f t="shared" si="6"/>
        <v>0</v>
      </c>
      <c r="N55" s="202">
        <f t="shared" si="7"/>
        <v>0</v>
      </c>
    </row>
    <row r="56" spans="1:14" s="63" customFormat="1" ht="13.8" x14ac:dyDescent="0.3">
      <c r="A56" s="27">
        <v>11</v>
      </c>
      <c r="B56" s="28" t="s">
        <v>69</v>
      </c>
      <c r="C56" s="189"/>
      <c r="D56" s="65"/>
      <c r="E56" s="65"/>
      <c r="F56" s="65"/>
      <c r="G56" s="31">
        <f>+SUM(F57:F63)</f>
        <v>48040802</v>
      </c>
      <c r="H56" s="32">
        <f>+G56/$G$185</f>
        <v>6.5303250446056074E-2</v>
      </c>
      <c r="I56" s="131"/>
      <c r="J56" s="132"/>
      <c r="K56" s="132"/>
      <c r="L56" s="132"/>
      <c r="M56" s="132"/>
      <c r="N56" s="133"/>
    </row>
    <row r="57" spans="1:14" s="57" customFormat="1" ht="13.8" outlineLevel="1" x14ac:dyDescent="0.3">
      <c r="A57" s="213">
        <v>11.01</v>
      </c>
      <c r="B57" s="214" t="s">
        <v>70</v>
      </c>
      <c r="C57" s="215" t="s">
        <v>19</v>
      </c>
      <c r="D57" s="216">
        <v>30</v>
      </c>
      <c r="E57" s="37">
        <v>21948</v>
      </c>
      <c r="F57" s="37">
        <f t="shared" si="4"/>
        <v>658440</v>
      </c>
      <c r="G57" s="67"/>
      <c r="H57" s="32"/>
      <c r="I57" s="142"/>
      <c r="J57" s="142"/>
      <c r="K57" s="135">
        <f t="shared" ref="K57:K58" si="24">+I57+J57</f>
        <v>0</v>
      </c>
      <c r="L57" s="200">
        <f t="shared" ref="L57:L58" si="25">+F57*I57</f>
        <v>0</v>
      </c>
      <c r="M57" s="200">
        <f t="shared" ref="M57:M58" si="26">+F57*J57</f>
        <v>0</v>
      </c>
      <c r="N57" s="200">
        <f t="shared" ref="N57:N58" si="27">+F57*K57</f>
        <v>0</v>
      </c>
    </row>
    <row r="58" spans="1:14" s="57" customFormat="1" ht="13.8" outlineLevel="1" x14ac:dyDescent="0.3">
      <c r="A58" s="217">
        <v>11.02</v>
      </c>
      <c r="B58" s="218" t="s">
        <v>71</v>
      </c>
      <c r="C58" s="219" t="s">
        <v>19</v>
      </c>
      <c r="D58" s="220">
        <v>185</v>
      </c>
      <c r="E58" s="42">
        <v>21948</v>
      </c>
      <c r="F58" s="42">
        <f t="shared" si="4"/>
        <v>4060380</v>
      </c>
      <c r="G58" s="181"/>
      <c r="H58" s="32"/>
      <c r="I58" s="236"/>
      <c r="J58" s="236"/>
      <c r="K58" s="79">
        <f t="shared" si="24"/>
        <v>0</v>
      </c>
      <c r="L58" s="201">
        <f t="shared" si="25"/>
        <v>0</v>
      </c>
      <c r="M58" s="201">
        <f t="shared" si="26"/>
        <v>0</v>
      </c>
      <c r="N58" s="201">
        <f t="shared" si="27"/>
        <v>0</v>
      </c>
    </row>
    <row r="59" spans="1:14" s="57" customFormat="1" ht="13.8" outlineLevel="1" x14ac:dyDescent="0.3">
      <c r="A59" s="217">
        <v>11.03</v>
      </c>
      <c r="B59" s="218" t="s">
        <v>72</v>
      </c>
      <c r="C59" s="219" t="s">
        <v>19</v>
      </c>
      <c r="D59" s="220">
        <v>942</v>
      </c>
      <c r="E59" s="42">
        <v>21948</v>
      </c>
      <c r="F59" s="42">
        <f t="shared" si="4"/>
        <v>20675016</v>
      </c>
      <c r="G59" s="181"/>
      <c r="H59" s="32"/>
      <c r="I59" s="236"/>
      <c r="J59" s="236"/>
      <c r="K59" s="79">
        <f t="shared" ref="K59:K62" si="28">+I59+J59</f>
        <v>0</v>
      </c>
      <c r="L59" s="201">
        <f t="shared" ref="L59:L62" si="29">+F59*I59</f>
        <v>0</v>
      </c>
      <c r="M59" s="201">
        <f t="shared" ref="M59:M62" si="30">+F59*J59</f>
        <v>0</v>
      </c>
      <c r="N59" s="201">
        <f t="shared" ref="N59:N62" si="31">+F59*K59</f>
        <v>0</v>
      </c>
    </row>
    <row r="60" spans="1:14" s="57" customFormat="1" ht="13.8" outlineLevel="1" x14ac:dyDescent="0.3">
      <c r="A60" s="217">
        <v>11.04</v>
      </c>
      <c r="B60" s="218" t="s">
        <v>73</v>
      </c>
      <c r="C60" s="219" t="s">
        <v>19</v>
      </c>
      <c r="D60" s="220">
        <v>110</v>
      </c>
      <c r="E60" s="42">
        <v>25799</v>
      </c>
      <c r="F60" s="42">
        <f t="shared" si="4"/>
        <v>2837890</v>
      </c>
      <c r="G60" s="181"/>
      <c r="H60" s="32"/>
      <c r="I60" s="236"/>
      <c r="J60" s="236"/>
      <c r="K60" s="79">
        <f t="shared" si="28"/>
        <v>0</v>
      </c>
      <c r="L60" s="201">
        <f t="shared" si="29"/>
        <v>0</v>
      </c>
      <c r="M60" s="201">
        <f t="shared" si="30"/>
        <v>0</v>
      </c>
      <c r="N60" s="201">
        <f t="shared" si="31"/>
        <v>0</v>
      </c>
    </row>
    <row r="61" spans="1:14" s="57" customFormat="1" ht="13.8" outlineLevel="1" x14ac:dyDescent="0.3">
      <c r="A61" s="217">
        <v>11.05</v>
      </c>
      <c r="B61" s="218" t="s">
        <v>74</v>
      </c>
      <c r="C61" s="219" t="s">
        <v>19</v>
      </c>
      <c r="D61" s="220">
        <v>128</v>
      </c>
      <c r="E61" s="42">
        <v>16080</v>
      </c>
      <c r="F61" s="42">
        <f t="shared" si="4"/>
        <v>2058240</v>
      </c>
      <c r="G61" s="181"/>
      <c r="H61" s="32"/>
      <c r="I61" s="236"/>
      <c r="J61" s="236"/>
      <c r="K61" s="79">
        <f t="shared" si="28"/>
        <v>0</v>
      </c>
      <c r="L61" s="201">
        <f t="shared" si="29"/>
        <v>0</v>
      </c>
      <c r="M61" s="201">
        <f t="shared" si="30"/>
        <v>0</v>
      </c>
      <c r="N61" s="201">
        <f t="shared" si="31"/>
        <v>0</v>
      </c>
    </row>
    <row r="62" spans="1:14" s="57" customFormat="1" ht="13.8" outlineLevel="1" x14ac:dyDescent="0.3">
      <c r="A62" s="217">
        <v>11.06</v>
      </c>
      <c r="B62" s="218" t="s">
        <v>75</v>
      </c>
      <c r="C62" s="219" t="s">
        <v>19</v>
      </c>
      <c r="D62" s="220">
        <v>48</v>
      </c>
      <c r="E62" s="42">
        <v>21948</v>
      </c>
      <c r="F62" s="42">
        <f t="shared" si="4"/>
        <v>1053504</v>
      </c>
      <c r="G62" s="181"/>
      <c r="H62" s="32"/>
      <c r="I62" s="236"/>
      <c r="J62" s="236"/>
      <c r="K62" s="79">
        <f t="shared" si="28"/>
        <v>0</v>
      </c>
      <c r="L62" s="201">
        <f t="shared" si="29"/>
        <v>0</v>
      </c>
      <c r="M62" s="201">
        <f t="shared" si="30"/>
        <v>0</v>
      </c>
      <c r="N62" s="201">
        <f t="shared" si="31"/>
        <v>0</v>
      </c>
    </row>
    <row r="63" spans="1:14" s="57" customFormat="1" ht="13.8" outlineLevel="1" x14ac:dyDescent="0.3">
      <c r="A63" s="221">
        <v>11.07</v>
      </c>
      <c r="B63" s="222" t="s">
        <v>76</v>
      </c>
      <c r="C63" s="223" t="s">
        <v>19</v>
      </c>
      <c r="D63" s="224">
        <v>226</v>
      </c>
      <c r="E63" s="60">
        <v>73882</v>
      </c>
      <c r="F63" s="60">
        <f t="shared" si="4"/>
        <v>16697332</v>
      </c>
      <c r="G63" s="181"/>
      <c r="H63" s="32"/>
      <c r="I63" s="143"/>
      <c r="J63" s="143"/>
      <c r="K63" s="138">
        <f t="shared" ref="K63" si="32">+I63+J63</f>
        <v>0</v>
      </c>
      <c r="L63" s="202">
        <f t="shared" ref="L63" si="33">+F63*I63</f>
        <v>0</v>
      </c>
      <c r="M63" s="202">
        <f t="shared" ref="M63" si="34">+F63*J63</f>
        <v>0</v>
      </c>
      <c r="N63" s="202">
        <f t="shared" ref="N63" si="35">+F63*K63</f>
        <v>0</v>
      </c>
    </row>
    <row r="64" spans="1:14" s="57" customFormat="1" ht="13.8" x14ac:dyDescent="0.3">
      <c r="A64" s="27">
        <v>12</v>
      </c>
      <c r="B64" s="28" t="s">
        <v>77</v>
      </c>
      <c r="C64" s="189"/>
      <c r="D64" s="65"/>
      <c r="E64" s="65"/>
      <c r="F64" s="65"/>
      <c r="G64" s="31">
        <f>+SUM(F65:F69)</f>
        <v>11022518</v>
      </c>
      <c r="H64" s="32">
        <f>+G64/$G$185</f>
        <v>1.4983227247125499E-2</v>
      </c>
      <c r="I64" s="131"/>
      <c r="J64" s="132"/>
      <c r="K64" s="132"/>
      <c r="L64" s="132"/>
      <c r="M64" s="132"/>
      <c r="N64" s="133"/>
    </row>
    <row r="65" spans="1:14" s="57" customFormat="1" ht="13.8" outlineLevel="1" x14ac:dyDescent="0.3">
      <c r="A65" s="213">
        <v>12.01</v>
      </c>
      <c r="B65" s="214" t="s">
        <v>78</v>
      </c>
      <c r="C65" s="215" t="s">
        <v>26</v>
      </c>
      <c r="D65" s="216">
        <v>779</v>
      </c>
      <c r="E65" s="37">
        <v>7422</v>
      </c>
      <c r="F65" s="37">
        <f t="shared" si="4"/>
        <v>5781738</v>
      </c>
      <c r="G65" s="181"/>
      <c r="H65" s="32"/>
      <c r="I65" s="142"/>
      <c r="J65" s="142"/>
      <c r="K65" s="135">
        <f t="shared" ref="K65:K66" si="36">+I65+J65</f>
        <v>0</v>
      </c>
      <c r="L65" s="200">
        <f t="shared" ref="L65:L66" si="37">+F65*I65</f>
        <v>0</v>
      </c>
      <c r="M65" s="200">
        <f t="shared" ref="M65:M66" si="38">+F65*J65</f>
        <v>0</v>
      </c>
      <c r="N65" s="200">
        <f t="shared" ref="N65:N66" si="39">+F65*K65</f>
        <v>0</v>
      </c>
    </row>
    <row r="66" spans="1:14" s="57" customFormat="1" ht="13.8" outlineLevel="1" x14ac:dyDescent="0.3">
      <c r="A66" s="217">
        <v>12.02</v>
      </c>
      <c r="B66" s="218" t="s">
        <v>61</v>
      </c>
      <c r="C66" s="219" t="s">
        <v>26</v>
      </c>
      <c r="D66" s="220">
        <v>155</v>
      </c>
      <c r="E66" s="42">
        <v>5376</v>
      </c>
      <c r="F66" s="42">
        <f t="shared" si="4"/>
        <v>833280</v>
      </c>
      <c r="G66" s="181"/>
      <c r="H66" s="32"/>
      <c r="I66" s="236"/>
      <c r="J66" s="236"/>
      <c r="K66" s="79">
        <f t="shared" si="36"/>
        <v>0</v>
      </c>
      <c r="L66" s="201">
        <f t="shared" si="37"/>
        <v>0</v>
      </c>
      <c r="M66" s="201">
        <f t="shared" si="38"/>
        <v>0</v>
      </c>
      <c r="N66" s="201">
        <f t="shared" si="39"/>
        <v>0</v>
      </c>
    </row>
    <row r="67" spans="1:14" s="57" customFormat="1" ht="13.8" outlineLevel="1" x14ac:dyDescent="0.3">
      <c r="A67" s="217">
        <v>12.03</v>
      </c>
      <c r="B67" s="218" t="s">
        <v>79</v>
      </c>
      <c r="C67" s="219" t="s">
        <v>26</v>
      </c>
      <c r="D67" s="220">
        <v>37</v>
      </c>
      <c r="E67" s="42">
        <v>7052</v>
      </c>
      <c r="F67" s="42">
        <f t="shared" si="4"/>
        <v>260924</v>
      </c>
      <c r="G67" s="181"/>
      <c r="H67" s="32"/>
      <c r="I67" s="236"/>
      <c r="J67" s="236"/>
      <c r="K67" s="79">
        <f t="shared" ref="K67:K69" si="40">+I67+J67</f>
        <v>0</v>
      </c>
      <c r="L67" s="201">
        <f t="shared" ref="L67:L69" si="41">+F67*I67</f>
        <v>0</v>
      </c>
      <c r="M67" s="201">
        <f t="shared" ref="M67:M69" si="42">+F67*J67</f>
        <v>0</v>
      </c>
      <c r="N67" s="201">
        <f t="shared" ref="N67:N69" si="43">+F67*K67</f>
        <v>0</v>
      </c>
    </row>
    <row r="68" spans="1:14" s="57" customFormat="1" ht="13.8" outlineLevel="1" x14ac:dyDescent="0.3">
      <c r="A68" s="217">
        <v>12.04</v>
      </c>
      <c r="B68" s="218" t="s">
        <v>80</v>
      </c>
      <c r="C68" s="219" t="s">
        <v>26</v>
      </c>
      <c r="D68" s="220">
        <v>433</v>
      </c>
      <c r="E68" s="42">
        <v>7052</v>
      </c>
      <c r="F68" s="42">
        <f t="shared" si="4"/>
        <v>3053516</v>
      </c>
      <c r="G68" s="181"/>
      <c r="H68" s="32"/>
      <c r="I68" s="236"/>
      <c r="J68" s="236"/>
      <c r="K68" s="79">
        <f t="shared" si="40"/>
        <v>0</v>
      </c>
      <c r="L68" s="201">
        <f t="shared" si="41"/>
        <v>0</v>
      </c>
      <c r="M68" s="201">
        <f t="shared" si="42"/>
        <v>0</v>
      </c>
      <c r="N68" s="201">
        <f t="shared" si="43"/>
        <v>0</v>
      </c>
    </row>
    <row r="69" spans="1:14" s="57" customFormat="1" ht="13.8" outlineLevel="1" x14ac:dyDescent="0.3">
      <c r="A69" s="221">
        <v>12.05</v>
      </c>
      <c r="B69" s="222" t="s">
        <v>81</v>
      </c>
      <c r="C69" s="223" t="s">
        <v>26</v>
      </c>
      <c r="D69" s="224">
        <v>155</v>
      </c>
      <c r="E69" s="60">
        <v>7052</v>
      </c>
      <c r="F69" s="60">
        <f t="shared" si="4"/>
        <v>1093060</v>
      </c>
      <c r="G69" s="181"/>
      <c r="H69" s="32"/>
      <c r="I69" s="143"/>
      <c r="J69" s="143"/>
      <c r="K69" s="138">
        <f t="shared" si="40"/>
        <v>0</v>
      </c>
      <c r="L69" s="202">
        <f t="shared" si="41"/>
        <v>0</v>
      </c>
      <c r="M69" s="202">
        <f t="shared" si="42"/>
        <v>0</v>
      </c>
      <c r="N69" s="202">
        <f t="shared" si="43"/>
        <v>0</v>
      </c>
    </row>
    <row r="70" spans="1:14" s="57" customFormat="1" ht="13.8" x14ac:dyDescent="0.3">
      <c r="A70" s="27">
        <v>13</v>
      </c>
      <c r="B70" s="28" t="s">
        <v>82</v>
      </c>
      <c r="C70" s="189"/>
      <c r="D70" s="65"/>
      <c r="E70" s="65"/>
      <c r="F70" s="65"/>
      <c r="G70" s="31">
        <f>+SUM(F71:F74)</f>
        <v>19433086.480999999</v>
      </c>
      <c r="H70" s="32">
        <f>+G70/$G$185</f>
        <v>2.641595603272005E-2</v>
      </c>
      <c r="I70" s="131"/>
      <c r="J70" s="132"/>
      <c r="K70" s="132"/>
      <c r="L70" s="132"/>
      <c r="M70" s="132"/>
      <c r="N70" s="133"/>
    </row>
    <row r="71" spans="1:14" s="57" customFormat="1" ht="13.8" outlineLevel="1" x14ac:dyDescent="0.3">
      <c r="A71" s="213">
        <v>13.01</v>
      </c>
      <c r="B71" s="214" t="s">
        <v>83</v>
      </c>
      <c r="C71" s="215" t="s">
        <v>19</v>
      </c>
      <c r="D71" s="216">
        <v>511</v>
      </c>
      <c r="E71" s="37">
        <v>25799</v>
      </c>
      <c r="F71" s="37">
        <f t="shared" si="4"/>
        <v>13183289</v>
      </c>
      <c r="G71" s="181"/>
      <c r="H71" s="32"/>
      <c r="I71" s="142"/>
      <c r="J71" s="142"/>
      <c r="K71" s="135">
        <f t="shared" ref="K71:K72" si="44">+I71+J71</f>
        <v>0</v>
      </c>
      <c r="L71" s="200">
        <f t="shared" ref="L71:L72" si="45">+F71*I71</f>
        <v>0</v>
      </c>
      <c r="M71" s="200">
        <f t="shared" ref="M71:M72" si="46">+F71*J71</f>
        <v>0</v>
      </c>
      <c r="N71" s="200">
        <f t="shared" ref="N71:N72" si="47">+F71*K71</f>
        <v>0</v>
      </c>
    </row>
    <row r="72" spans="1:14" s="57" customFormat="1" ht="13.8" outlineLevel="1" x14ac:dyDescent="0.3">
      <c r="A72" s="217">
        <v>13.02</v>
      </c>
      <c r="B72" s="218" t="s">
        <v>84</v>
      </c>
      <c r="C72" s="219" t="s">
        <v>19</v>
      </c>
      <c r="D72" s="220">
        <v>40</v>
      </c>
      <c r="E72" s="42">
        <v>25799</v>
      </c>
      <c r="F72" s="42">
        <f t="shared" si="4"/>
        <v>1031960</v>
      </c>
      <c r="G72" s="181"/>
      <c r="H72" s="32"/>
      <c r="I72" s="236"/>
      <c r="J72" s="236"/>
      <c r="K72" s="79">
        <f t="shared" si="44"/>
        <v>0</v>
      </c>
      <c r="L72" s="201">
        <f t="shared" si="45"/>
        <v>0</v>
      </c>
      <c r="M72" s="201">
        <f t="shared" si="46"/>
        <v>0</v>
      </c>
      <c r="N72" s="201">
        <f t="shared" si="47"/>
        <v>0</v>
      </c>
    </row>
    <row r="73" spans="1:14" s="57" customFormat="1" ht="13.8" outlineLevel="1" x14ac:dyDescent="0.3">
      <c r="A73" s="217">
        <v>13.03</v>
      </c>
      <c r="B73" s="218" t="s">
        <v>85</v>
      </c>
      <c r="C73" s="219" t="s">
        <v>19</v>
      </c>
      <c r="D73" s="220">
        <v>147.60100000000003</v>
      </c>
      <c r="E73" s="42">
        <v>29881</v>
      </c>
      <c r="F73" s="42">
        <f t="shared" si="4"/>
        <v>4410465.4810000006</v>
      </c>
      <c r="G73" s="181"/>
      <c r="H73" s="32"/>
      <c r="I73" s="236"/>
      <c r="J73" s="236"/>
      <c r="K73" s="79">
        <f t="shared" ref="K73:K74" si="48">+I73+J73</f>
        <v>0</v>
      </c>
      <c r="L73" s="201">
        <f t="shared" ref="L73:L74" si="49">+F73*I73</f>
        <v>0</v>
      </c>
      <c r="M73" s="201">
        <f t="shared" ref="M73:M74" si="50">+F73*J73</f>
        <v>0</v>
      </c>
      <c r="N73" s="201">
        <f t="shared" ref="N73:N74" si="51">+F73*K73</f>
        <v>0</v>
      </c>
    </row>
    <row r="74" spans="1:14" s="57" customFormat="1" ht="13.8" outlineLevel="1" x14ac:dyDescent="0.3">
      <c r="A74" s="221">
        <v>13.04</v>
      </c>
      <c r="B74" s="222" t="s">
        <v>86</v>
      </c>
      <c r="C74" s="223" t="s">
        <v>47</v>
      </c>
      <c r="D74" s="224">
        <v>41</v>
      </c>
      <c r="E74" s="60">
        <v>19692</v>
      </c>
      <c r="F74" s="60">
        <f t="shared" si="4"/>
        <v>807372</v>
      </c>
      <c r="G74" s="181"/>
      <c r="H74" s="32"/>
      <c r="I74" s="143"/>
      <c r="J74" s="143"/>
      <c r="K74" s="138">
        <f t="shared" si="48"/>
        <v>0</v>
      </c>
      <c r="L74" s="202">
        <f t="shared" si="49"/>
        <v>0</v>
      </c>
      <c r="M74" s="202">
        <f t="shared" si="50"/>
        <v>0</v>
      </c>
      <c r="N74" s="202">
        <f t="shared" si="51"/>
        <v>0</v>
      </c>
    </row>
    <row r="75" spans="1:14" s="57" customFormat="1" ht="13.8" x14ac:dyDescent="0.3">
      <c r="A75" s="27">
        <v>14</v>
      </c>
      <c r="B75" s="28" t="s">
        <v>87</v>
      </c>
      <c r="C75" s="189"/>
      <c r="D75" s="65"/>
      <c r="E75" s="65"/>
      <c r="F75" s="65"/>
      <c r="G75" s="31">
        <f>+SUM(F76:F82)</f>
        <v>50296168.959899999</v>
      </c>
      <c r="H75" s="32">
        <f>+G75/$G$185</f>
        <v>6.8369035930447242E-2</v>
      </c>
      <c r="I75" s="131"/>
      <c r="J75" s="132"/>
      <c r="K75" s="132"/>
      <c r="L75" s="132"/>
      <c r="M75" s="132"/>
      <c r="N75" s="133"/>
    </row>
    <row r="76" spans="1:14" s="57" customFormat="1" ht="13.8" outlineLevel="1" x14ac:dyDescent="0.3">
      <c r="A76" s="213">
        <v>14.01</v>
      </c>
      <c r="B76" s="214" t="s">
        <v>88</v>
      </c>
      <c r="C76" s="215" t="s">
        <v>19</v>
      </c>
      <c r="D76" s="216">
        <v>334.91519999999997</v>
      </c>
      <c r="E76" s="37">
        <v>29270</v>
      </c>
      <c r="F76" s="37">
        <f t="shared" ref="F76:F138" si="52">+D76*E76</f>
        <v>9802967.9039999992</v>
      </c>
      <c r="G76" s="181"/>
      <c r="H76" s="32"/>
      <c r="I76" s="142"/>
      <c r="J76" s="142"/>
      <c r="K76" s="135">
        <f t="shared" ref="K76:K78" si="53">+I76+J76</f>
        <v>0</v>
      </c>
      <c r="L76" s="200">
        <f t="shared" ref="L76:L78" si="54">+F76*I76</f>
        <v>0</v>
      </c>
      <c r="M76" s="200">
        <f t="shared" ref="M76:M78" si="55">+F76*J76</f>
        <v>0</v>
      </c>
      <c r="N76" s="200">
        <f t="shared" ref="N76:N78" si="56">+F76*K76</f>
        <v>0</v>
      </c>
    </row>
    <row r="77" spans="1:14" s="57" customFormat="1" ht="13.8" outlineLevel="1" x14ac:dyDescent="0.3">
      <c r="A77" s="217">
        <v>14.02</v>
      </c>
      <c r="B77" s="218" t="s">
        <v>89</v>
      </c>
      <c r="C77" s="219" t="s">
        <v>19</v>
      </c>
      <c r="D77" s="220">
        <v>280.3913</v>
      </c>
      <c r="E77" s="42">
        <v>33967</v>
      </c>
      <c r="F77" s="42">
        <f t="shared" si="52"/>
        <v>9524051.2871000003</v>
      </c>
      <c r="G77" s="181"/>
      <c r="H77" s="32"/>
      <c r="I77" s="236"/>
      <c r="J77" s="236"/>
      <c r="K77" s="79">
        <f t="shared" si="53"/>
        <v>0</v>
      </c>
      <c r="L77" s="201">
        <f t="shared" si="54"/>
        <v>0</v>
      </c>
      <c r="M77" s="201">
        <f t="shared" si="55"/>
        <v>0</v>
      </c>
      <c r="N77" s="201">
        <f t="shared" si="56"/>
        <v>0</v>
      </c>
    </row>
    <row r="78" spans="1:14" s="57" customFormat="1" ht="13.8" outlineLevel="1" x14ac:dyDescent="0.3">
      <c r="A78" s="217">
        <v>14.03</v>
      </c>
      <c r="B78" s="218" t="s">
        <v>90</v>
      </c>
      <c r="C78" s="219" t="s">
        <v>26</v>
      </c>
      <c r="D78" s="220">
        <v>60.8</v>
      </c>
      <c r="E78" s="42">
        <v>29270</v>
      </c>
      <c r="F78" s="42">
        <f t="shared" si="52"/>
        <v>1779616</v>
      </c>
      <c r="G78" s="181"/>
      <c r="H78" s="32"/>
      <c r="I78" s="236"/>
      <c r="J78" s="236"/>
      <c r="K78" s="79">
        <f t="shared" si="53"/>
        <v>0</v>
      </c>
      <c r="L78" s="201">
        <f t="shared" si="54"/>
        <v>0</v>
      </c>
      <c r="M78" s="201">
        <f t="shared" si="55"/>
        <v>0</v>
      </c>
      <c r="N78" s="201">
        <f t="shared" si="56"/>
        <v>0</v>
      </c>
    </row>
    <row r="79" spans="1:14" s="57" customFormat="1" ht="13.8" outlineLevel="1" x14ac:dyDescent="0.3">
      <c r="A79" s="217">
        <v>14.04</v>
      </c>
      <c r="B79" s="218" t="s">
        <v>91</v>
      </c>
      <c r="C79" s="219" t="s">
        <v>26</v>
      </c>
      <c r="D79" s="220">
        <v>1058.3799999999997</v>
      </c>
      <c r="E79" s="42">
        <v>7873</v>
      </c>
      <c r="F79" s="42">
        <f t="shared" si="52"/>
        <v>8332625.7399999974</v>
      </c>
      <c r="G79" s="181"/>
      <c r="H79" s="32"/>
      <c r="I79" s="236"/>
      <c r="J79" s="236"/>
      <c r="K79" s="79">
        <f t="shared" ref="K79:K82" si="57">+I79+J79</f>
        <v>0</v>
      </c>
      <c r="L79" s="201">
        <f t="shared" ref="L79:L82" si="58">+F79*I79</f>
        <v>0</v>
      </c>
      <c r="M79" s="201">
        <f t="shared" ref="M79:M82" si="59">+F79*J79</f>
        <v>0</v>
      </c>
      <c r="N79" s="201">
        <f t="shared" ref="N79:N82" si="60">+F79*K79</f>
        <v>0</v>
      </c>
    </row>
    <row r="80" spans="1:14" s="57" customFormat="1" ht="13.8" outlineLevel="1" x14ac:dyDescent="0.3">
      <c r="A80" s="217">
        <v>14.05</v>
      </c>
      <c r="B80" s="218" t="s">
        <v>92</v>
      </c>
      <c r="C80" s="219" t="s">
        <v>19</v>
      </c>
      <c r="D80" s="220">
        <v>504.12220000000002</v>
      </c>
      <c r="E80" s="42">
        <v>23364</v>
      </c>
      <c r="F80" s="42">
        <f t="shared" si="52"/>
        <v>11778311.080800001</v>
      </c>
      <c r="G80" s="181"/>
      <c r="H80" s="32"/>
      <c r="I80" s="236"/>
      <c r="J80" s="236"/>
      <c r="K80" s="79">
        <f t="shared" si="57"/>
        <v>0</v>
      </c>
      <c r="L80" s="201">
        <f t="shared" si="58"/>
        <v>0</v>
      </c>
      <c r="M80" s="201">
        <f t="shared" si="59"/>
        <v>0</v>
      </c>
      <c r="N80" s="201">
        <f t="shared" si="60"/>
        <v>0</v>
      </c>
    </row>
    <row r="81" spans="1:14" s="57" customFormat="1" ht="13.8" outlineLevel="1" x14ac:dyDescent="0.3">
      <c r="A81" s="217">
        <v>14.06</v>
      </c>
      <c r="B81" s="218" t="s">
        <v>93</v>
      </c>
      <c r="C81" s="219" t="s">
        <v>26</v>
      </c>
      <c r="D81" s="220">
        <v>555.99</v>
      </c>
      <c r="E81" s="42">
        <v>12771</v>
      </c>
      <c r="F81" s="42">
        <f t="shared" si="52"/>
        <v>7100548.29</v>
      </c>
      <c r="G81" s="181"/>
      <c r="H81" s="32"/>
      <c r="I81" s="236"/>
      <c r="J81" s="236"/>
      <c r="K81" s="79">
        <f t="shared" si="57"/>
        <v>0</v>
      </c>
      <c r="L81" s="201">
        <f t="shared" si="58"/>
        <v>0</v>
      </c>
      <c r="M81" s="201">
        <f t="shared" si="59"/>
        <v>0</v>
      </c>
      <c r="N81" s="201">
        <f t="shared" si="60"/>
        <v>0</v>
      </c>
    </row>
    <row r="82" spans="1:14" s="57" customFormat="1" ht="13.8" outlineLevel="1" x14ac:dyDescent="0.3">
      <c r="A82" s="221">
        <v>14.07</v>
      </c>
      <c r="B82" s="222" t="s">
        <v>94</v>
      </c>
      <c r="C82" s="223" t="s">
        <v>19</v>
      </c>
      <c r="D82" s="224">
        <v>429.07780000000002</v>
      </c>
      <c r="E82" s="60">
        <v>4610</v>
      </c>
      <c r="F82" s="60">
        <f t="shared" si="52"/>
        <v>1978048.6580000001</v>
      </c>
      <c r="G82" s="181"/>
      <c r="H82" s="32"/>
      <c r="I82" s="236"/>
      <c r="J82" s="236"/>
      <c r="K82" s="79">
        <f t="shared" si="57"/>
        <v>0</v>
      </c>
      <c r="L82" s="201">
        <f t="shared" si="58"/>
        <v>0</v>
      </c>
      <c r="M82" s="201">
        <f t="shared" si="59"/>
        <v>0</v>
      </c>
      <c r="N82" s="201">
        <f t="shared" si="60"/>
        <v>0</v>
      </c>
    </row>
    <row r="83" spans="1:14" s="57" customFormat="1" ht="13.8" x14ac:dyDescent="0.3">
      <c r="A83" s="27">
        <v>15</v>
      </c>
      <c r="B83" s="28" t="s">
        <v>95</v>
      </c>
      <c r="C83" s="189"/>
      <c r="D83" s="65"/>
      <c r="E83" s="65"/>
      <c r="F83" s="65"/>
      <c r="G83" s="31">
        <f>+SUM(F84:F92)</f>
        <v>0</v>
      </c>
      <c r="H83" s="32">
        <f>+G83/$G$185</f>
        <v>0</v>
      </c>
      <c r="I83" s="131"/>
      <c r="J83" s="132"/>
      <c r="K83" s="132"/>
      <c r="L83" s="132"/>
      <c r="M83" s="132"/>
      <c r="N83" s="133"/>
    </row>
    <row r="84" spans="1:14" s="57" customFormat="1" ht="13.8" outlineLevel="1" x14ac:dyDescent="0.3">
      <c r="A84" s="213">
        <v>15.01</v>
      </c>
      <c r="B84" s="214" t="s">
        <v>96</v>
      </c>
      <c r="C84" s="215" t="s">
        <v>19</v>
      </c>
      <c r="D84" s="216">
        <v>2670</v>
      </c>
      <c r="E84" s="37">
        <v>0</v>
      </c>
      <c r="F84" s="37">
        <f t="shared" si="52"/>
        <v>0</v>
      </c>
      <c r="G84" s="181"/>
      <c r="H84" s="32"/>
      <c r="I84" s="142"/>
      <c r="J84" s="142"/>
      <c r="K84" s="135">
        <f t="shared" ref="K84:K90" si="61">+I84+J84</f>
        <v>0</v>
      </c>
      <c r="L84" s="200">
        <f t="shared" ref="L84:L90" si="62">+F84*I84</f>
        <v>0</v>
      </c>
      <c r="M84" s="200">
        <f t="shared" ref="M84:M90" si="63">+F84*J84</f>
        <v>0</v>
      </c>
      <c r="N84" s="200">
        <f t="shared" ref="N84:N90" si="64">+F84*K84</f>
        <v>0</v>
      </c>
    </row>
    <row r="85" spans="1:14" s="57" customFormat="1" ht="13.8" outlineLevel="1" x14ac:dyDescent="0.3">
      <c r="A85" s="217">
        <v>15.02</v>
      </c>
      <c r="B85" s="218" t="s">
        <v>97</v>
      </c>
      <c r="C85" s="219" t="s">
        <v>19</v>
      </c>
      <c r="D85" s="220">
        <v>961</v>
      </c>
      <c r="E85" s="42">
        <v>0</v>
      </c>
      <c r="F85" s="42">
        <f t="shared" si="52"/>
        <v>0</v>
      </c>
      <c r="G85" s="181"/>
      <c r="H85" s="32"/>
      <c r="I85" s="236"/>
      <c r="J85" s="236"/>
      <c r="K85" s="79">
        <f t="shared" si="61"/>
        <v>0</v>
      </c>
      <c r="L85" s="201">
        <f t="shared" si="62"/>
        <v>0</v>
      </c>
      <c r="M85" s="201">
        <f t="shared" si="63"/>
        <v>0</v>
      </c>
      <c r="N85" s="201">
        <f t="shared" si="64"/>
        <v>0</v>
      </c>
    </row>
    <row r="86" spans="1:14" s="57" customFormat="1" ht="13.8" outlineLevel="1" x14ac:dyDescent="0.3">
      <c r="A86" s="217">
        <v>15.03</v>
      </c>
      <c r="B86" s="218" t="s">
        <v>98</v>
      </c>
      <c r="C86" s="219" t="s">
        <v>19</v>
      </c>
      <c r="D86" s="220">
        <v>518</v>
      </c>
      <c r="E86" s="42">
        <v>0</v>
      </c>
      <c r="F86" s="42">
        <f t="shared" si="52"/>
        <v>0</v>
      </c>
      <c r="G86" s="181"/>
      <c r="H86" s="32"/>
      <c r="I86" s="236"/>
      <c r="J86" s="236"/>
      <c r="K86" s="79">
        <f t="shared" si="61"/>
        <v>0</v>
      </c>
      <c r="L86" s="201">
        <f t="shared" si="62"/>
        <v>0</v>
      </c>
      <c r="M86" s="201">
        <f t="shared" si="63"/>
        <v>0</v>
      </c>
      <c r="N86" s="201">
        <f t="shared" si="64"/>
        <v>0</v>
      </c>
    </row>
    <row r="87" spans="1:14" s="57" customFormat="1" ht="13.8" outlineLevel="1" x14ac:dyDescent="0.3">
      <c r="A87" s="217">
        <v>15.04</v>
      </c>
      <c r="B87" s="218" t="s">
        <v>99</v>
      </c>
      <c r="C87" s="219" t="s">
        <v>19</v>
      </c>
      <c r="D87" s="220">
        <v>612</v>
      </c>
      <c r="E87" s="42">
        <v>0</v>
      </c>
      <c r="F87" s="42">
        <f t="shared" si="52"/>
        <v>0</v>
      </c>
      <c r="G87" s="181"/>
      <c r="H87" s="32"/>
      <c r="I87" s="236"/>
      <c r="J87" s="236"/>
      <c r="K87" s="79">
        <f t="shared" si="61"/>
        <v>0</v>
      </c>
      <c r="L87" s="201">
        <f t="shared" si="62"/>
        <v>0</v>
      </c>
      <c r="M87" s="201">
        <f t="shared" si="63"/>
        <v>0</v>
      </c>
      <c r="N87" s="201">
        <f t="shared" si="64"/>
        <v>0</v>
      </c>
    </row>
    <row r="88" spans="1:14" s="57" customFormat="1" ht="13.8" outlineLevel="1" x14ac:dyDescent="0.3">
      <c r="A88" s="217">
        <v>15.05</v>
      </c>
      <c r="B88" s="218" t="s">
        <v>100</v>
      </c>
      <c r="C88" s="219" t="s">
        <v>19</v>
      </c>
      <c r="D88" s="220">
        <v>422</v>
      </c>
      <c r="E88" s="42">
        <v>0</v>
      </c>
      <c r="F88" s="42">
        <f t="shared" si="52"/>
        <v>0</v>
      </c>
      <c r="G88" s="181"/>
      <c r="H88" s="32"/>
      <c r="I88" s="236"/>
      <c r="J88" s="236"/>
      <c r="K88" s="79">
        <f t="shared" si="61"/>
        <v>0</v>
      </c>
      <c r="L88" s="201">
        <f t="shared" si="62"/>
        <v>0</v>
      </c>
      <c r="M88" s="201">
        <f t="shared" si="63"/>
        <v>0</v>
      </c>
      <c r="N88" s="201">
        <f t="shared" si="64"/>
        <v>0</v>
      </c>
    </row>
    <row r="89" spans="1:14" s="57" customFormat="1" ht="13.8" outlineLevel="1" x14ac:dyDescent="0.3">
      <c r="A89" s="217">
        <v>15.07</v>
      </c>
      <c r="B89" s="218" t="s">
        <v>101</v>
      </c>
      <c r="C89" s="219" t="s">
        <v>19</v>
      </c>
      <c r="D89" s="220">
        <v>678.25199999999995</v>
      </c>
      <c r="E89" s="42">
        <v>0</v>
      </c>
      <c r="F89" s="42">
        <f t="shared" si="52"/>
        <v>0</v>
      </c>
      <c r="G89" s="181"/>
      <c r="H89" s="32"/>
      <c r="I89" s="236"/>
      <c r="J89" s="236"/>
      <c r="K89" s="79">
        <f t="shared" si="61"/>
        <v>0</v>
      </c>
      <c r="L89" s="201">
        <f t="shared" si="62"/>
        <v>0</v>
      </c>
      <c r="M89" s="201">
        <f t="shared" si="63"/>
        <v>0</v>
      </c>
      <c r="N89" s="201">
        <f t="shared" si="64"/>
        <v>0</v>
      </c>
    </row>
    <row r="90" spans="1:14" s="57" customFormat="1" ht="13.8" outlineLevel="1" x14ac:dyDescent="0.3">
      <c r="A90" s="217">
        <v>15.08</v>
      </c>
      <c r="B90" s="218" t="s">
        <v>102</v>
      </c>
      <c r="C90" s="219" t="s">
        <v>19</v>
      </c>
      <c r="D90" s="220">
        <v>728.48019999999985</v>
      </c>
      <c r="E90" s="42">
        <v>0</v>
      </c>
      <c r="F90" s="42">
        <f t="shared" si="52"/>
        <v>0</v>
      </c>
      <c r="G90" s="181"/>
      <c r="H90" s="32"/>
      <c r="I90" s="236"/>
      <c r="J90" s="236"/>
      <c r="K90" s="79">
        <f t="shared" si="61"/>
        <v>0</v>
      </c>
      <c r="L90" s="201">
        <f t="shared" si="62"/>
        <v>0</v>
      </c>
      <c r="M90" s="201">
        <f t="shared" si="63"/>
        <v>0</v>
      </c>
      <c r="N90" s="201">
        <f t="shared" si="64"/>
        <v>0</v>
      </c>
    </row>
    <row r="91" spans="1:14" s="57" customFormat="1" ht="13.8" outlineLevel="1" x14ac:dyDescent="0.3">
      <c r="A91" s="217">
        <v>15.09</v>
      </c>
      <c r="B91" s="218" t="s">
        <v>103</v>
      </c>
      <c r="C91" s="219" t="s">
        <v>67</v>
      </c>
      <c r="D91" s="220">
        <v>76</v>
      </c>
      <c r="E91" s="42">
        <v>0</v>
      </c>
      <c r="F91" s="42">
        <f t="shared" si="52"/>
        <v>0</v>
      </c>
      <c r="G91" s="181"/>
      <c r="H91" s="32"/>
      <c r="I91" s="236"/>
      <c r="J91" s="236"/>
      <c r="K91" s="79">
        <f t="shared" ref="K91:K92" si="65">+I91+J91</f>
        <v>0</v>
      </c>
      <c r="L91" s="201">
        <f t="shared" ref="L91:L92" si="66">+F91*I91</f>
        <v>0</v>
      </c>
      <c r="M91" s="201">
        <f t="shared" ref="M91:M92" si="67">+F91*J91</f>
        <v>0</v>
      </c>
      <c r="N91" s="201">
        <f t="shared" ref="N91:N92" si="68">+F91*K91</f>
        <v>0</v>
      </c>
    </row>
    <row r="92" spans="1:14" s="57" customFormat="1" ht="13.8" outlineLevel="1" x14ac:dyDescent="0.3">
      <c r="A92" s="221">
        <v>15.1</v>
      </c>
      <c r="B92" s="222" t="s">
        <v>104</v>
      </c>
      <c r="C92" s="223" t="s">
        <v>28</v>
      </c>
      <c r="D92" s="224">
        <v>1</v>
      </c>
      <c r="E92" s="60">
        <v>0</v>
      </c>
      <c r="F92" s="60">
        <f t="shared" si="52"/>
        <v>0</v>
      </c>
      <c r="G92" s="181"/>
      <c r="H92" s="32"/>
      <c r="I92" s="236"/>
      <c r="J92" s="236"/>
      <c r="K92" s="79">
        <f t="shared" si="65"/>
        <v>0</v>
      </c>
      <c r="L92" s="201">
        <f t="shared" si="66"/>
        <v>0</v>
      </c>
      <c r="M92" s="201">
        <f t="shared" si="67"/>
        <v>0</v>
      </c>
      <c r="N92" s="201">
        <f t="shared" si="68"/>
        <v>0</v>
      </c>
    </row>
    <row r="93" spans="1:14" s="57" customFormat="1" ht="13.8" x14ac:dyDescent="0.3">
      <c r="A93" s="27">
        <v>16</v>
      </c>
      <c r="B93" s="28" t="s">
        <v>105</v>
      </c>
      <c r="C93" s="189"/>
      <c r="D93" s="65"/>
      <c r="E93" s="65"/>
      <c r="F93" s="65"/>
      <c r="G93" s="31">
        <f>+SUM(F94)</f>
        <v>0</v>
      </c>
      <c r="H93" s="32">
        <f>+G93/$G$185</f>
        <v>0</v>
      </c>
      <c r="I93" s="205"/>
      <c r="J93" s="206"/>
      <c r="K93" s="206"/>
      <c r="L93" s="207"/>
      <c r="M93" s="207"/>
      <c r="N93" s="208"/>
    </row>
    <row r="94" spans="1:14" s="57" customFormat="1" ht="13.8" outlineLevel="1" x14ac:dyDescent="0.3">
      <c r="A94" s="188"/>
      <c r="B94" s="187"/>
      <c r="C94" s="179"/>
      <c r="D94" s="180"/>
      <c r="E94" s="181">
        <v>0</v>
      </c>
      <c r="F94" s="181">
        <f t="shared" si="52"/>
        <v>0</v>
      </c>
      <c r="G94" s="181"/>
      <c r="H94" s="32"/>
      <c r="I94" s="203"/>
      <c r="J94" s="203"/>
      <c r="K94" s="204">
        <f t="shared" ref="K94" si="69">+I94+J94</f>
        <v>0</v>
      </c>
      <c r="L94" s="80">
        <f t="shared" ref="L94" si="70">+F94*I94</f>
        <v>0</v>
      </c>
      <c r="M94" s="80">
        <f t="shared" ref="M94" si="71">+F94*J94</f>
        <v>0</v>
      </c>
      <c r="N94" s="80">
        <f t="shared" ref="N94" si="72">+F94*K94</f>
        <v>0</v>
      </c>
    </row>
    <row r="95" spans="1:14" s="57" customFormat="1" ht="13.8" x14ac:dyDescent="0.3">
      <c r="A95" s="27">
        <v>17</v>
      </c>
      <c r="B95" s="28" t="s">
        <v>106</v>
      </c>
      <c r="C95" s="189"/>
      <c r="D95" s="65"/>
      <c r="E95" s="65"/>
      <c r="F95" s="65"/>
      <c r="G95" s="31">
        <f>+SUM(F96:F99)</f>
        <v>7258243</v>
      </c>
      <c r="H95" s="32">
        <f>+G95/$G$185</f>
        <v>9.8663394592649264E-3</v>
      </c>
      <c r="I95" s="205"/>
      <c r="J95" s="206"/>
      <c r="K95" s="206"/>
      <c r="L95" s="207"/>
      <c r="M95" s="207"/>
      <c r="N95" s="208"/>
    </row>
    <row r="96" spans="1:14" s="57" customFormat="1" ht="13.8" outlineLevel="1" x14ac:dyDescent="0.3">
      <c r="A96" s="213">
        <v>17.010000000000002</v>
      </c>
      <c r="B96" s="214" t="s">
        <v>107</v>
      </c>
      <c r="C96" s="215" t="s">
        <v>47</v>
      </c>
      <c r="D96" s="216">
        <v>47</v>
      </c>
      <c r="E96" s="37">
        <v>64232</v>
      </c>
      <c r="F96" s="37">
        <f t="shared" si="52"/>
        <v>3018904</v>
      </c>
      <c r="G96" s="181"/>
      <c r="H96" s="32"/>
      <c r="I96" s="203"/>
      <c r="J96" s="203"/>
      <c r="K96" s="204">
        <f t="shared" ref="K96:K98" si="73">+I96+J96</f>
        <v>0</v>
      </c>
      <c r="L96" s="80">
        <f t="shared" ref="L96:L98" si="74">+F96*I96</f>
        <v>0</v>
      </c>
      <c r="M96" s="80">
        <f t="shared" ref="M96:M98" si="75">+F96*J96</f>
        <v>0</v>
      </c>
      <c r="N96" s="80">
        <f t="shared" ref="N96:N98" si="76">+F96*K96</f>
        <v>0</v>
      </c>
    </row>
    <row r="97" spans="1:14" s="57" customFormat="1" ht="13.8" outlineLevel="1" x14ac:dyDescent="0.3">
      <c r="A97" s="217">
        <v>17.02</v>
      </c>
      <c r="B97" s="218" t="s">
        <v>108</v>
      </c>
      <c r="C97" s="219" t="s">
        <v>47</v>
      </c>
      <c r="D97" s="220">
        <v>23</v>
      </c>
      <c r="E97" s="42">
        <v>64232</v>
      </c>
      <c r="F97" s="42">
        <f t="shared" si="52"/>
        <v>1477336</v>
      </c>
      <c r="G97" s="181"/>
      <c r="H97" s="32"/>
      <c r="I97" s="136"/>
      <c r="J97" s="136"/>
      <c r="K97" s="79">
        <f t="shared" si="73"/>
        <v>0</v>
      </c>
      <c r="L97" s="80">
        <f t="shared" si="74"/>
        <v>0</v>
      </c>
      <c r="M97" s="80">
        <f t="shared" si="75"/>
        <v>0</v>
      </c>
      <c r="N97" s="80">
        <f t="shared" si="76"/>
        <v>0</v>
      </c>
    </row>
    <row r="98" spans="1:14" s="57" customFormat="1" ht="13.8" outlineLevel="1" x14ac:dyDescent="0.3">
      <c r="A98" s="217">
        <v>17.03</v>
      </c>
      <c r="B98" s="218" t="s">
        <v>109</v>
      </c>
      <c r="C98" s="219" t="s">
        <v>47</v>
      </c>
      <c r="D98" s="220">
        <v>51</v>
      </c>
      <c r="E98" s="42">
        <v>41296</v>
      </c>
      <c r="F98" s="42">
        <f t="shared" si="52"/>
        <v>2106096</v>
      </c>
      <c r="G98" s="181"/>
      <c r="H98" s="32"/>
      <c r="I98" s="136"/>
      <c r="J98" s="136"/>
      <c r="K98" s="79">
        <f t="shared" si="73"/>
        <v>0</v>
      </c>
      <c r="L98" s="80">
        <f t="shared" si="74"/>
        <v>0</v>
      </c>
      <c r="M98" s="80">
        <f t="shared" si="75"/>
        <v>0</v>
      </c>
      <c r="N98" s="80">
        <f t="shared" si="76"/>
        <v>0</v>
      </c>
    </row>
    <row r="99" spans="1:14" s="57" customFormat="1" ht="13.8" outlineLevel="1" x14ac:dyDescent="0.3">
      <c r="A99" s="221">
        <v>17.04</v>
      </c>
      <c r="B99" s="222" t="s">
        <v>110</v>
      </c>
      <c r="C99" s="223" t="s">
        <v>47</v>
      </c>
      <c r="D99" s="224">
        <v>7</v>
      </c>
      <c r="E99" s="60">
        <v>93701</v>
      </c>
      <c r="F99" s="60">
        <f t="shared" si="52"/>
        <v>655907</v>
      </c>
      <c r="G99" s="181"/>
      <c r="H99" s="32"/>
      <c r="I99" s="136"/>
      <c r="J99" s="136"/>
      <c r="K99" s="79">
        <f t="shared" ref="K99" si="77">+I99+J99</f>
        <v>0</v>
      </c>
      <c r="L99" s="80">
        <f t="shared" ref="L99" si="78">+F99*I99</f>
        <v>0</v>
      </c>
      <c r="M99" s="80">
        <f t="shared" ref="M99" si="79">+F99*J99</f>
        <v>0</v>
      </c>
      <c r="N99" s="80">
        <f t="shared" ref="N99" si="80">+F99*K99</f>
        <v>0</v>
      </c>
    </row>
    <row r="100" spans="1:14" s="57" customFormat="1" ht="13.8" x14ac:dyDescent="0.3">
      <c r="A100" s="27">
        <v>18</v>
      </c>
      <c r="B100" s="28" t="s">
        <v>111</v>
      </c>
      <c r="C100" s="189"/>
      <c r="D100" s="65"/>
      <c r="E100" s="65"/>
      <c r="F100" s="65"/>
      <c r="G100" s="31">
        <f>+SUM(F101:F130)</f>
        <v>99277732</v>
      </c>
      <c r="H100" s="32">
        <f>+G100/$G$185</f>
        <v>0.13495109004450917</v>
      </c>
      <c r="I100" s="205"/>
      <c r="J100" s="206"/>
      <c r="K100" s="206"/>
      <c r="L100" s="207"/>
      <c r="M100" s="207"/>
      <c r="N100" s="208"/>
    </row>
    <row r="101" spans="1:14" s="57" customFormat="1" ht="13.8" outlineLevel="1" x14ac:dyDescent="0.3">
      <c r="A101" s="213">
        <v>18.010000000000002</v>
      </c>
      <c r="B101" s="214" t="s">
        <v>112</v>
      </c>
      <c r="C101" s="215" t="s">
        <v>47</v>
      </c>
      <c r="D101" s="216">
        <v>392</v>
      </c>
      <c r="E101" s="37">
        <v>59948</v>
      </c>
      <c r="F101" s="37">
        <f t="shared" si="52"/>
        <v>23499616</v>
      </c>
      <c r="G101" s="181"/>
      <c r="H101" s="32"/>
      <c r="I101" s="134"/>
      <c r="J101" s="134">
        <v>0.2</v>
      </c>
      <c r="K101" s="135">
        <f t="shared" ref="K101:K109" si="81">+I101+J101</f>
        <v>0.2</v>
      </c>
      <c r="L101" s="200">
        <f t="shared" ref="L101:L109" si="82">+F101*I101</f>
        <v>0</v>
      </c>
      <c r="M101" s="200">
        <f t="shared" ref="M101:M109" si="83">+F101*J101</f>
        <v>4699923.2</v>
      </c>
      <c r="N101" s="200">
        <f t="shared" ref="N101:N109" si="84">+F101*K101</f>
        <v>4699923.2</v>
      </c>
    </row>
    <row r="102" spans="1:14" s="57" customFormat="1" ht="13.8" outlineLevel="1" x14ac:dyDescent="0.3">
      <c r="A102" s="217">
        <v>18.02</v>
      </c>
      <c r="B102" s="218" t="s">
        <v>113</v>
      </c>
      <c r="C102" s="219" t="s">
        <v>47</v>
      </c>
      <c r="D102" s="220">
        <v>19</v>
      </c>
      <c r="E102" s="42">
        <v>59948</v>
      </c>
      <c r="F102" s="42">
        <f t="shared" si="52"/>
        <v>1139012</v>
      </c>
      <c r="G102" s="181"/>
      <c r="H102" s="32"/>
      <c r="I102" s="136"/>
      <c r="J102" s="136">
        <v>0.1</v>
      </c>
      <c r="K102" s="79">
        <f t="shared" si="81"/>
        <v>0.1</v>
      </c>
      <c r="L102" s="201">
        <f t="shared" si="82"/>
        <v>0</v>
      </c>
      <c r="M102" s="201">
        <f t="shared" si="83"/>
        <v>113901.20000000001</v>
      </c>
      <c r="N102" s="201">
        <f t="shared" si="84"/>
        <v>113901.20000000001</v>
      </c>
    </row>
    <row r="103" spans="1:14" s="57" customFormat="1" ht="13.8" outlineLevel="1" x14ac:dyDescent="0.3">
      <c r="A103" s="217">
        <v>18.03</v>
      </c>
      <c r="B103" s="218" t="s">
        <v>114</v>
      </c>
      <c r="C103" s="219" t="s">
        <v>47</v>
      </c>
      <c r="D103" s="220">
        <v>349</v>
      </c>
      <c r="E103" s="42">
        <v>57445</v>
      </c>
      <c r="F103" s="42">
        <f t="shared" si="52"/>
        <v>20048305</v>
      </c>
      <c r="G103" s="181"/>
      <c r="H103" s="32"/>
      <c r="I103" s="136"/>
      <c r="J103" s="136">
        <v>0.1</v>
      </c>
      <c r="K103" s="79">
        <f t="shared" si="81"/>
        <v>0.1</v>
      </c>
      <c r="L103" s="201">
        <f t="shared" si="82"/>
        <v>0</v>
      </c>
      <c r="M103" s="201">
        <f t="shared" si="83"/>
        <v>2004830.5</v>
      </c>
      <c r="N103" s="201">
        <f t="shared" si="84"/>
        <v>2004830.5</v>
      </c>
    </row>
    <row r="104" spans="1:14" s="57" customFormat="1" ht="13.8" outlineLevel="1" x14ac:dyDescent="0.3">
      <c r="A104" s="217">
        <v>18.04</v>
      </c>
      <c r="B104" s="218" t="s">
        <v>115</v>
      </c>
      <c r="C104" s="219" t="s">
        <v>47</v>
      </c>
      <c r="D104" s="220">
        <v>35</v>
      </c>
      <c r="E104" s="42">
        <v>64480</v>
      </c>
      <c r="F104" s="42">
        <f t="shared" si="52"/>
        <v>2256800</v>
      </c>
      <c r="G104" s="181"/>
      <c r="H104" s="32"/>
      <c r="I104" s="141"/>
      <c r="J104" s="141">
        <v>0.1</v>
      </c>
      <c r="K104" s="79">
        <f t="shared" si="81"/>
        <v>0.1</v>
      </c>
      <c r="L104" s="201">
        <f t="shared" si="82"/>
        <v>0</v>
      </c>
      <c r="M104" s="201">
        <f t="shared" si="83"/>
        <v>225680</v>
      </c>
      <c r="N104" s="201">
        <f t="shared" si="84"/>
        <v>225680</v>
      </c>
    </row>
    <row r="105" spans="1:14" s="57" customFormat="1" ht="13.8" outlineLevel="1" x14ac:dyDescent="0.3">
      <c r="A105" s="217">
        <v>18.05</v>
      </c>
      <c r="B105" s="218" t="s">
        <v>116</v>
      </c>
      <c r="C105" s="219" t="s">
        <v>47</v>
      </c>
      <c r="D105" s="220">
        <v>16</v>
      </c>
      <c r="E105" s="42">
        <v>57445</v>
      </c>
      <c r="F105" s="42">
        <f t="shared" si="52"/>
        <v>919120</v>
      </c>
      <c r="G105" s="181"/>
      <c r="H105" s="32"/>
      <c r="I105" s="141"/>
      <c r="J105" s="141"/>
      <c r="K105" s="79">
        <f t="shared" si="81"/>
        <v>0</v>
      </c>
      <c r="L105" s="201">
        <f t="shared" si="82"/>
        <v>0</v>
      </c>
      <c r="M105" s="201">
        <f t="shared" si="83"/>
        <v>0</v>
      </c>
      <c r="N105" s="201">
        <f t="shared" si="84"/>
        <v>0</v>
      </c>
    </row>
    <row r="106" spans="1:14" s="57" customFormat="1" ht="13.8" outlineLevel="1" x14ac:dyDescent="0.3">
      <c r="A106" s="217">
        <v>18.059999999999999</v>
      </c>
      <c r="B106" s="218" t="s">
        <v>117</v>
      </c>
      <c r="C106" s="219" t="s">
        <v>47</v>
      </c>
      <c r="D106" s="220">
        <v>16</v>
      </c>
      <c r="E106" s="42">
        <v>57445</v>
      </c>
      <c r="F106" s="42">
        <f t="shared" si="52"/>
        <v>919120</v>
      </c>
      <c r="G106" s="181"/>
      <c r="H106" s="32"/>
      <c r="I106" s="141"/>
      <c r="J106" s="141">
        <v>0.1</v>
      </c>
      <c r="K106" s="79">
        <f t="shared" si="81"/>
        <v>0.1</v>
      </c>
      <c r="L106" s="201">
        <f t="shared" si="82"/>
        <v>0</v>
      </c>
      <c r="M106" s="201">
        <f t="shared" si="83"/>
        <v>91912</v>
      </c>
      <c r="N106" s="201">
        <f t="shared" si="84"/>
        <v>91912</v>
      </c>
    </row>
    <row r="107" spans="1:14" s="57" customFormat="1" ht="13.8" outlineLevel="1" x14ac:dyDescent="0.3">
      <c r="A107" s="217">
        <v>18.07</v>
      </c>
      <c r="B107" s="218" t="s">
        <v>118</v>
      </c>
      <c r="C107" s="219" t="s">
        <v>47</v>
      </c>
      <c r="D107" s="220">
        <v>46</v>
      </c>
      <c r="E107" s="42">
        <v>43213</v>
      </c>
      <c r="F107" s="42">
        <f t="shared" si="52"/>
        <v>1987798</v>
      </c>
      <c r="G107" s="181"/>
      <c r="H107" s="32"/>
      <c r="I107" s="141"/>
      <c r="J107" s="141">
        <v>0.1</v>
      </c>
      <c r="K107" s="79">
        <f t="shared" si="81"/>
        <v>0.1</v>
      </c>
      <c r="L107" s="201">
        <f t="shared" si="82"/>
        <v>0</v>
      </c>
      <c r="M107" s="201">
        <f t="shared" si="83"/>
        <v>198779.80000000002</v>
      </c>
      <c r="N107" s="201">
        <f t="shared" si="84"/>
        <v>198779.80000000002</v>
      </c>
    </row>
    <row r="108" spans="1:14" s="57" customFormat="1" ht="13.8" outlineLevel="1" x14ac:dyDescent="0.3">
      <c r="A108" s="217">
        <v>18.079999999999998</v>
      </c>
      <c r="B108" s="218" t="s">
        <v>119</v>
      </c>
      <c r="C108" s="219" t="s">
        <v>47</v>
      </c>
      <c r="D108" s="220">
        <v>17</v>
      </c>
      <c r="E108" s="42">
        <v>43213</v>
      </c>
      <c r="F108" s="42">
        <f t="shared" si="52"/>
        <v>734621</v>
      </c>
      <c r="G108" s="181"/>
      <c r="H108" s="32"/>
      <c r="I108" s="136"/>
      <c r="J108" s="136">
        <v>0.1</v>
      </c>
      <c r="K108" s="79">
        <f t="shared" si="81"/>
        <v>0.1</v>
      </c>
      <c r="L108" s="201">
        <f t="shared" si="82"/>
        <v>0</v>
      </c>
      <c r="M108" s="201">
        <f t="shared" si="83"/>
        <v>73462.100000000006</v>
      </c>
      <c r="N108" s="201">
        <f t="shared" si="84"/>
        <v>73462.100000000006</v>
      </c>
    </row>
    <row r="109" spans="1:14" s="57" customFormat="1" ht="13.8" outlineLevel="1" x14ac:dyDescent="0.3">
      <c r="A109" s="217">
        <v>18.09</v>
      </c>
      <c r="B109" s="218" t="s">
        <v>120</v>
      </c>
      <c r="C109" s="219" t="s">
        <v>47</v>
      </c>
      <c r="D109" s="220">
        <v>11</v>
      </c>
      <c r="E109" s="42">
        <v>43213</v>
      </c>
      <c r="F109" s="42">
        <f t="shared" si="52"/>
        <v>475343</v>
      </c>
      <c r="G109" s="181"/>
      <c r="H109" s="32"/>
      <c r="I109" s="136"/>
      <c r="J109" s="136">
        <v>0.6</v>
      </c>
      <c r="K109" s="79">
        <f t="shared" si="81"/>
        <v>0.6</v>
      </c>
      <c r="L109" s="201">
        <f t="shared" si="82"/>
        <v>0</v>
      </c>
      <c r="M109" s="201">
        <f t="shared" si="83"/>
        <v>285205.8</v>
      </c>
      <c r="N109" s="201">
        <f t="shared" si="84"/>
        <v>285205.8</v>
      </c>
    </row>
    <row r="110" spans="1:14" s="57" customFormat="1" ht="13.8" outlineLevel="1" x14ac:dyDescent="0.3">
      <c r="A110" s="217">
        <v>18.100000000000001</v>
      </c>
      <c r="B110" s="218" t="s">
        <v>121</v>
      </c>
      <c r="C110" s="219" t="s">
        <v>47</v>
      </c>
      <c r="D110" s="220">
        <v>1</v>
      </c>
      <c r="E110" s="42">
        <v>2365100</v>
      </c>
      <c r="F110" s="42">
        <f t="shared" si="52"/>
        <v>2365100</v>
      </c>
      <c r="G110" s="181"/>
      <c r="H110" s="32"/>
      <c r="I110" s="141"/>
      <c r="J110" s="141"/>
      <c r="K110" s="79">
        <f t="shared" ref="K110:K129" si="85">+I110+J110</f>
        <v>0</v>
      </c>
      <c r="L110" s="201">
        <f t="shared" ref="L110:L129" si="86">+F110*I110</f>
        <v>0</v>
      </c>
      <c r="M110" s="201">
        <f t="shared" ref="M110:M129" si="87">+F110*J110</f>
        <v>0</v>
      </c>
      <c r="N110" s="201">
        <f t="shared" ref="N110:N129" si="88">+F110*K110</f>
        <v>0</v>
      </c>
    </row>
    <row r="111" spans="1:14" s="57" customFormat="1" ht="13.8" outlineLevel="1" x14ac:dyDescent="0.3">
      <c r="A111" s="217">
        <v>18.11</v>
      </c>
      <c r="B111" s="218" t="s">
        <v>122</v>
      </c>
      <c r="C111" s="219" t="s">
        <v>47</v>
      </c>
      <c r="D111" s="220">
        <v>1</v>
      </c>
      <c r="E111" s="42">
        <v>1112140</v>
      </c>
      <c r="F111" s="42">
        <f t="shared" si="52"/>
        <v>1112140</v>
      </c>
      <c r="G111" s="181"/>
      <c r="H111" s="32"/>
      <c r="I111" s="136"/>
      <c r="J111" s="136"/>
      <c r="K111" s="79">
        <f t="shared" si="85"/>
        <v>0</v>
      </c>
      <c r="L111" s="201">
        <f t="shared" si="86"/>
        <v>0</v>
      </c>
      <c r="M111" s="201">
        <f t="shared" si="87"/>
        <v>0</v>
      </c>
      <c r="N111" s="201">
        <f t="shared" si="88"/>
        <v>0</v>
      </c>
    </row>
    <row r="112" spans="1:14" s="57" customFormat="1" ht="13.8" outlineLevel="1" x14ac:dyDescent="0.3">
      <c r="A112" s="217">
        <v>18.12</v>
      </c>
      <c r="B112" s="218" t="s">
        <v>123</v>
      </c>
      <c r="C112" s="219" t="s">
        <v>47</v>
      </c>
      <c r="D112" s="220">
        <v>1</v>
      </c>
      <c r="E112" s="42">
        <v>669004</v>
      </c>
      <c r="F112" s="42">
        <f t="shared" si="52"/>
        <v>669004</v>
      </c>
      <c r="G112" s="181"/>
      <c r="H112" s="32"/>
      <c r="I112" s="136"/>
      <c r="J112" s="136"/>
      <c r="K112" s="79">
        <f t="shared" si="85"/>
        <v>0</v>
      </c>
      <c r="L112" s="201">
        <f t="shared" si="86"/>
        <v>0</v>
      </c>
      <c r="M112" s="201">
        <f t="shared" si="87"/>
        <v>0</v>
      </c>
      <c r="N112" s="201">
        <f t="shared" si="88"/>
        <v>0</v>
      </c>
    </row>
    <row r="113" spans="1:14" s="57" customFormat="1" ht="13.8" outlineLevel="1" x14ac:dyDescent="0.3">
      <c r="A113" s="217">
        <v>18.13</v>
      </c>
      <c r="B113" s="218" t="s">
        <v>124</v>
      </c>
      <c r="C113" s="219" t="s">
        <v>47</v>
      </c>
      <c r="D113" s="220">
        <v>1</v>
      </c>
      <c r="E113" s="42">
        <v>970259</v>
      </c>
      <c r="F113" s="42">
        <f t="shared" si="52"/>
        <v>970259</v>
      </c>
      <c r="G113" s="181"/>
      <c r="H113" s="32"/>
      <c r="I113" s="141"/>
      <c r="J113" s="141"/>
      <c r="K113" s="79">
        <f t="shared" si="85"/>
        <v>0</v>
      </c>
      <c r="L113" s="201">
        <f t="shared" si="86"/>
        <v>0</v>
      </c>
      <c r="M113" s="201">
        <f t="shared" si="87"/>
        <v>0</v>
      </c>
      <c r="N113" s="201">
        <f t="shared" si="88"/>
        <v>0</v>
      </c>
    </row>
    <row r="114" spans="1:14" s="57" customFormat="1" ht="13.8" outlineLevel="1" x14ac:dyDescent="0.3">
      <c r="A114" s="217">
        <v>18.14</v>
      </c>
      <c r="B114" s="218" t="s">
        <v>125</v>
      </c>
      <c r="C114" s="219" t="s">
        <v>47</v>
      </c>
      <c r="D114" s="220">
        <v>1</v>
      </c>
      <c r="E114" s="42">
        <v>507898</v>
      </c>
      <c r="F114" s="42">
        <f t="shared" si="52"/>
        <v>507898</v>
      </c>
      <c r="G114" s="181"/>
      <c r="H114" s="32"/>
      <c r="I114" s="136"/>
      <c r="J114" s="136"/>
      <c r="K114" s="79">
        <f t="shared" si="85"/>
        <v>0</v>
      </c>
      <c r="L114" s="201">
        <f t="shared" si="86"/>
        <v>0</v>
      </c>
      <c r="M114" s="201">
        <f t="shared" si="87"/>
        <v>0</v>
      </c>
      <c r="N114" s="201">
        <f t="shared" si="88"/>
        <v>0</v>
      </c>
    </row>
    <row r="115" spans="1:14" s="57" customFormat="1" ht="13.8" outlineLevel="1" x14ac:dyDescent="0.3">
      <c r="A115" s="217">
        <v>18.149999999999999</v>
      </c>
      <c r="B115" s="218" t="s">
        <v>126</v>
      </c>
      <c r="C115" s="219" t="s">
        <v>47</v>
      </c>
      <c r="D115" s="220">
        <v>7</v>
      </c>
      <c r="E115" s="42">
        <v>507898</v>
      </c>
      <c r="F115" s="42">
        <f t="shared" si="52"/>
        <v>3555286</v>
      </c>
      <c r="G115" s="181"/>
      <c r="H115" s="32"/>
      <c r="I115" s="136"/>
      <c r="J115" s="136"/>
      <c r="K115" s="79">
        <f t="shared" si="85"/>
        <v>0</v>
      </c>
      <c r="L115" s="201">
        <f t="shared" si="86"/>
        <v>0</v>
      </c>
      <c r="M115" s="201">
        <f t="shared" si="87"/>
        <v>0</v>
      </c>
      <c r="N115" s="201">
        <f t="shared" si="88"/>
        <v>0</v>
      </c>
    </row>
    <row r="116" spans="1:14" s="57" customFormat="1" ht="13.8" outlineLevel="1" x14ac:dyDescent="0.3">
      <c r="A116" s="217">
        <v>18.16</v>
      </c>
      <c r="B116" s="218" t="s">
        <v>127</v>
      </c>
      <c r="C116" s="219" t="s">
        <v>47</v>
      </c>
      <c r="D116" s="220">
        <v>9</v>
      </c>
      <c r="E116" s="42">
        <v>595498</v>
      </c>
      <c r="F116" s="42">
        <f t="shared" si="52"/>
        <v>5359482</v>
      </c>
      <c r="G116" s="181"/>
      <c r="H116" s="32"/>
      <c r="I116" s="141"/>
      <c r="J116" s="141"/>
      <c r="K116" s="79">
        <f t="shared" si="85"/>
        <v>0</v>
      </c>
      <c r="L116" s="201">
        <f t="shared" si="86"/>
        <v>0</v>
      </c>
      <c r="M116" s="201">
        <f t="shared" si="87"/>
        <v>0</v>
      </c>
      <c r="N116" s="201">
        <f t="shared" si="88"/>
        <v>0</v>
      </c>
    </row>
    <row r="117" spans="1:14" s="57" customFormat="1" ht="13.8" outlineLevel="1" x14ac:dyDescent="0.3">
      <c r="A117" s="217">
        <v>18.170000000000002</v>
      </c>
      <c r="B117" s="218" t="s">
        <v>128</v>
      </c>
      <c r="C117" s="219" t="s">
        <v>28</v>
      </c>
      <c r="D117" s="220">
        <v>1</v>
      </c>
      <c r="E117" s="42">
        <v>9502264</v>
      </c>
      <c r="F117" s="42">
        <f t="shared" si="52"/>
        <v>9502264</v>
      </c>
      <c r="G117" s="181"/>
      <c r="H117" s="32"/>
      <c r="I117" s="136"/>
      <c r="J117" s="136"/>
      <c r="K117" s="79">
        <f t="shared" si="85"/>
        <v>0</v>
      </c>
      <c r="L117" s="201">
        <f t="shared" si="86"/>
        <v>0</v>
      </c>
      <c r="M117" s="201">
        <f t="shared" si="87"/>
        <v>0</v>
      </c>
      <c r="N117" s="201">
        <f t="shared" si="88"/>
        <v>0</v>
      </c>
    </row>
    <row r="118" spans="1:14" s="57" customFormat="1" ht="13.8" outlineLevel="1" x14ac:dyDescent="0.3">
      <c r="A118" s="217">
        <v>18.18</v>
      </c>
      <c r="B118" s="218" t="s">
        <v>129</v>
      </c>
      <c r="C118" s="219" t="s">
        <v>28</v>
      </c>
      <c r="D118" s="220">
        <v>1</v>
      </c>
      <c r="E118" s="42">
        <v>1878534</v>
      </c>
      <c r="F118" s="42">
        <f t="shared" si="52"/>
        <v>1878534</v>
      </c>
      <c r="G118" s="181"/>
      <c r="H118" s="32"/>
      <c r="I118" s="136"/>
      <c r="J118" s="136"/>
      <c r="K118" s="79">
        <f t="shared" si="85"/>
        <v>0</v>
      </c>
      <c r="L118" s="201">
        <f t="shared" si="86"/>
        <v>0</v>
      </c>
      <c r="M118" s="201">
        <f t="shared" si="87"/>
        <v>0</v>
      </c>
      <c r="N118" s="201">
        <f t="shared" si="88"/>
        <v>0</v>
      </c>
    </row>
    <row r="119" spans="1:14" s="57" customFormat="1" ht="13.8" outlineLevel="1" x14ac:dyDescent="0.3">
      <c r="A119" s="217">
        <v>18.190000000000001</v>
      </c>
      <c r="B119" s="218" t="s">
        <v>130</v>
      </c>
      <c r="C119" s="219" t="s">
        <v>28</v>
      </c>
      <c r="D119" s="220">
        <v>1</v>
      </c>
      <c r="E119" s="42">
        <v>1878534</v>
      </c>
      <c r="F119" s="42">
        <f t="shared" si="52"/>
        <v>1878534</v>
      </c>
      <c r="G119" s="181"/>
      <c r="H119" s="32"/>
      <c r="I119" s="141"/>
      <c r="J119" s="141"/>
      <c r="K119" s="79">
        <f t="shared" si="85"/>
        <v>0</v>
      </c>
      <c r="L119" s="201">
        <f t="shared" si="86"/>
        <v>0</v>
      </c>
      <c r="M119" s="201">
        <f t="shared" si="87"/>
        <v>0</v>
      </c>
      <c r="N119" s="201">
        <f t="shared" si="88"/>
        <v>0</v>
      </c>
    </row>
    <row r="120" spans="1:14" s="57" customFormat="1" ht="13.8" outlineLevel="1" x14ac:dyDescent="0.3">
      <c r="A120" s="217">
        <v>18.2</v>
      </c>
      <c r="B120" s="218" t="s">
        <v>131</v>
      </c>
      <c r="C120" s="219" t="s">
        <v>47</v>
      </c>
      <c r="D120" s="220">
        <v>33</v>
      </c>
      <c r="E120" s="42">
        <v>14235</v>
      </c>
      <c r="F120" s="42">
        <f t="shared" si="52"/>
        <v>469755</v>
      </c>
      <c r="G120" s="181"/>
      <c r="H120" s="32"/>
      <c r="I120" s="136"/>
      <c r="J120" s="136"/>
      <c r="K120" s="79">
        <f t="shared" si="85"/>
        <v>0</v>
      </c>
      <c r="L120" s="201">
        <f t="shared" si="86"/>
        <v>0</v>
      </c>
      <c r="M120" s="201">
        <f t="shared" si="87"/>
        <v>0</v>
      </c>
      <c r="N120" s="201">
        <f t="shared" si="88"/>
        <v>0</v>
      </c>
    </row>
    <row r="121" spans="1:14" s="57" customFormat="1" ht="13.8" outlineLevel="1" x14ac:dyDescent="0.3">
      <c r="A121" s="217">
        <v>18.21</v>
      </c>
      <c r="B121" s="218" t="s">
        <v>132</v>
      </c>
      <c r="C121" s="219" t="s">
        <v>47</v>
      </c>
      <c r="D121" s="220">
        <v>150</v>
      </c>
      <c r="E121" s="42">
        <v>9276</v>
      </c>
      <c r="F121" s="42">
        <f t="shared" si="52"/>
        <v>1391400</v>
      </c>
      <c r="G121" s="181"/>
      <c r="H121" s="32"/>
      <c r="I121" s="136"/>
      <c r="J121" s="136"/>
      <c r="K121" s="79">
        <f t="shared" si="85"/>
        <v>0</v>
      </c>
      <c r="L121" s="201">
        <f t="shared" si="86"/>
        <v>0</v>
      </c>
      <c r="M121" s="201">
        <f t="shared" si="87"/>
        <v>0</v>
      </c>
      <c r="N121" s="201">
        <f t="shared" si="88"/>
        <v>0</v>
      </c>
    </row>
    <row r="122" spans="1:14" s="57" customFormat="1" ht="13.8" outlineLevel="1" x14ac:dyDescent="0.3">
      <c r="A122" s="217">
        <v>18.22</v>
      </c>
      <c r="B122" s="218" t="s">
        <v>133</v>
      </c>
      <c r="C122" s="219" t="s">
        <v>47</v>
      </c>
      <c r="D122" s="220">
        <v>16</v>
      </c>
      <c r="E122" s="42">
        <v>9276</v>
      </c>
      <c r="F122" s="42">
        <f t="shared" si="52"/>
        <v>148416</v>
      </c>
      <c r="G122" s="181"/>
      <c r="H122" s="32"/>
      <c r="I122" s="141"/>
      <c r="J122" s="141"/>
      <c r="K122" s="79">
        <f t="shared" si="85"/>
        <v>0</v>
      </c>
      <c r="L122" s="201">
        <f t="shared" si="86"/>
        <v>0</v>
      </c>
      <c r="M122" s="201">
        <f t="shared" si="87"/>
        <v>0</v>
      </c>
      <c r="N122" s="201">
        <f t="shared" si="88"/>
        <v>0</v>
      </c>
    </row>
    <row r="123" spans="1:14" s="57" customFormat="1" ht="13.8" outlineLevel="1" x14ac:dyDescent="0.3">
      <c r="A123" s="217">
        <v>18.23</v>
      </c>
      <c r="B123" s="218" t="s">
        <v>134</v>
      </c>
      <c r="C123" s="219" t="s">
        <v>47</v>
      </c>
      <c r="D123" s="220">
        <v>349</v>
      </c>
      <c r="E123" s="42">
        <v>9276</v>
      </c>
      <c r="F123" s="42">
        <f t="shared" si="52"/>
        <v>3237324</v>
      </c>
      <c r="G123" s="181"/>
      <c r="H123" s="32"/>
      <c r="I123" s="136"/>
      <c r="J123" s="136"/>
      <c r="K123" s="79">
        <f t="shared" si="85"/>
        <v>0</v>
      </c>
      <c r="L123" s="201">
        <f t="shared" si="86"/>
        <v>0</v>
      </c>
      <c r="M123" s="201">
        <f t="shared" si="87"/>
        <v>0</v>
      </c>
      <c r="N123" s="201">
        <f t="shared" si="88"/>
        <v>0</v>
      </c>
    </row>
    <row r="124" spans="1:14" s="57" customFormat="1" ht="13.8" outlineLevel="1" x14ac:dyDescent="0.3">
      <c r="A124" s="217">
        <v>18.239999999999998</v>
      </c>
      <c r="B124" s="218" t="s">
        <v>135</v>
      </c>
      <c r="C124" s="219" t="s">
        <v>47</v>
      </c>
      <c r="D124" s="220">
        <v>27</v>
      </c>
      <c r="E124" s="42">
        <v>22326</v>
      </c>
      <c r="F124" s="42">
        <f t="shared" si="52"/>
        <v>602802</v>
      </c>
      <c r="G124" s="181"/>
      <c r="H124" s="32"/>
      <c r="I124" s="136"/>
      <c r="J124" s="136"/>
      <c r="K124" s="79">
        <f t="shared" si="85"/>
        <v>0</v>
      </c>
      <c r="L124" s="201">
        <f t="shared" si="86"/>
        <v>0</v>
      </c>
      <c r="M124" s="201">
        <f t="shared" si="87"/>
        <v>0</v>
      </c>
      <c r="N124" s="201">
        <f t="shared" si="88"/>
        <v>0</v>
      </c>
    </row>
    <row r="125" spans="1:14" s="57" customFormat="1" ht="13.8" outlineLevel="1" x14ac:dyDescent="0.3">
      <c r="A125" s="217">
        <v>18.25</v>
      </c>
      <c r="B125" s="218" t="s">
        <v>136</v>
      </c>
      <c r="C125" s="219" t="s">
        <v>47</v>
      </c>
      <c r="D125" s="220">
        <v>16</v>
      </c>
      <c r="E125" s="42">
        <v>14235</v>
      </c>
      <c r="F125" s="42">
        <f t="shared" si="52"/>
        <v>227760</v>
      </c>
      <c r="G125" s="181"/>
      <c r="H125" s="32"/>
      <c r="I125" s="141"/>
      <c r="J125" s="141"/>
      <c r="K125" s="79">
        <f t="shared" si="85"/>
        <v>0</v>
      </c>
      <c r="L125" s="201">
        <f t="shared" si="86"/>
        <v>0</v>
      </c>
      <c r="M125" s="201">
        <f t="shared" si="87"/>
        <v>0</v>
      </c>
      <c r="N125" s="201">
        <f t="shared" si="88"/>
        <v>0</v>
      </c>
    </row>
    <row r="126" spans="1:14" s="57" customFormat="1" ht="27.6" outlineLevel="1" x14ac:dyDescent="0.3">
      <c r="A126" s="217">
        <v>18.260000000000002</v>
      </c>
      <c r="B126" s="218" t="s">
        <v>137</v>
      </c>
      <c r="C126" s="219" t="s">
        <v>47</v>
      </c>
      <c r="D126" s="220">
        <v>137</v>
      </c>
      <c r="E126" s="42">
        <v>14235</v>
      </c>
      <c r="F126" s="42">
        <f t="shared" si="52"/>
        <v>1950195</v>
      </c>
      <c r="G126" s="181"/>
      <c r="H126" s="32"/>
      <c r="I126" s="136"/>
      <c r="J126" s="136"/>
      <c r="K126" s="79">
        <f t="shared" si="85"/>
        <v>0</v>
      </c>
      <c r="L126" s="201">
        <f t="shared" si="86"/>
        <v>0</v>
      </c>
      <c r="M126" s="201">
        <f t="shared" si="87"/>
        <v>0</v>
      </c>
      <c r="N126" s="201">
        <f t="shared" si="88"/>
        <v>0</v>
      </c>
    </row>
    <row r="127" spans="1:14" s="57" customFormat="1" ht="13.8" outlineLevel="1" x14ac:dyDescent="0.3">
      <c r="A127" s="217">
        <v>18.27</v>
      </c>
      <c r="B127" s="218" t="s">
        <v>138</v>
      </c>
      <c r="C127" s="219" t="s">
        <v>47</v>
      </c>
      <c r="D127" s="220">
        <v>1</v>
      </c>
      <c r="E127" s="42">
        <v>14235</v>
      </c>
      <c r="F127" s="42">
        <f t="shared" si="52"/>
        <v>14235</v>
      </c>
      <c r="G127" s="181"/>
      <c r="H127" s="32"/>
      <c r="I127" s="136"/>
      <c r="J127" s="136"/>
      <c r="K127" s="79">
        <f t="shared" si="85"/>
        <v>0</v>
      </c>
      <c r="L127" s="201">
        <f t="shared" si="86"/>
        <v>0</v>
      </c>
      <c r="M127" s="201">
        <f t="shared" si="87"/>
        <v>0</v>
      </c>
      <c r="N127" s="201">
        <f t="shared" si="88"/>
        <v>0</v>
      </c>
    </row>
    <row r="128" spans="1:14" s="57" customFormat="1" ht="13.8" outlineLevel="1" x14ac:dyDescent="0.3">
      <c r="A128" s="217">
        <v>18.28</v>
      </c>
      <c r="B128" s="218" t="s">
        <v>139</v>
      </c>
      <c r="C128" s="219" t="s">
        <v>28</v>
      </c>
      <c r="D128" s="220">
        <v>1</v>
      </c>
      <c r="E128" s="42">
        <v>9332982</v>
      </c>
      <c r="F128" s="42">
        <f t="shared" si="52"/>
        <v>9332982</v>
      </c>
      <c r="G128" s="181"/>
      <c r="H128" s="32"/>
      <c r="I128" s="141"/>
      <c r="J128" s="141"/>
      <c r="K128" s="79">
        <f t="shared" si="85"/>
        <v>0</v>
      </c>
      <c r="L128" s="201">
        <f t="shared" si="86"/>
        <v>0</v>
      </c>
      <c r="M128" s="201">
        <f t="shared" si="87"/>
        <v>0</v>
      </c>
      <c r="N128" s="201">
        <f t="shared" si="88"/>
        <v>0</v>
      </c>
    </row>
    <row r="129" spans="1:14" s="57" customFormat="1" ht="13.8" outlineLevel="1" x14ac:dyDescent="0.3">
      <c r="A129" s="217">
        <v>18.29</v>
      </c>
      <c r="B129" s="218" t="s">
        <v>140</v>
      </c>
      <c r="C129" s="219" t="s">
        <v>28</v>
      </c>
      <c r="D129" s="220">
        <v>1</v>
      </c>
      <c r="E129" s="42">
        <v>1998778</v>
      </c>
      <c r="F129" s="42">
        <f t="shared" si="52"/>
        <v>1998778</v>
      </c>
      <c r="G129" s="181"/>
      <c r="H129" s="32"/>
      <c r="I129" s="136"/>
      <c r="J129" s="136"/>
      <c r="K129" s="79">
        <f t="shared" si="85"/>
        <v>0</v>
      </c>
      <c r="L129" s="201">
        <f t="shared" si="86"/>
        <v>0</v>
      </c>
      <c r="M129" s="201">
        <f t="shared" si="87"/>
        <v>0</v>
      </c>
      <c r="N129" s="201">
        <f t="shared" si="88"/>
        <v>0</v>
      </c>
    </row>
    <row r="130" spans="1:14" s="57" customFormat="1" ht="13.8" outlineLevel="1" x14ac:dyDescent="0.3">
      <c r="A130" s="221">
        <v>18.3</v>
      </c>
      <c r="B130" s="222" t="s">
        <v>141</v>
      </c>
      <c r="C130" s="223" t="s">
        <v>28</v>
      </c>
      <c r="D130" s="224">
        <v>1</v>
      </c>
      <c r="E130" s="60">
        <v>125849</v>
      </c>
      <c r="F130" s="60">
        <f t="shared" si="52"/>
        <v>125849</v>
      </c>
      <c r="G130" s="181"/>
      <c r="H130" s="32"/>
      <c r="I130" s="136"/>
      <c r="J130" s="136"/>
      <c r="K130" s="79">
        <f t="shared" ref="K130" si="89">+I130+J130</f>
        <v>0</v>
      </c>
      <c r="L130" s="201">
        <f t="shared" ref="L130" si="90">+F130*I130</f>
        <v>0</v>
      </c>
      <c r="M130" s="201">
        <f t="shared" ref="M130" si="91">+F130*J130</f>
        <v>0</v>
      </c>
      <c r="N130" s="201">
        <f t="shared" ref="N130" si="92">+F130*K130</f>
        <v>0</v>
      </c>
    </row>
    <row r="131" spans="1:14" s="57" customFormat="1" ht="13.8" outlineLevel="1" x14ac:dyDescent="0.3">
      <c r="A131" s="225">
        <v>19</v>
      </c>
      <c r="B131" s="226" t="s">
        <v>142</v>
      </c>
      <c r="C131" s="227"/>
      <c r="D131" s="228"/>
      <c r="E131" s="229"/>
      <c r="F131" s="230"/>
      <c r="G131" s="181"/>
      <c r="H131" s="32"/>
      <c r="I131" s="205"/>
      <c r="J131" s="206"/>
      <c r="K131" s="206"/>
      <c r="L131" s="207"/>
      <c r="M131" s="207"/>
      <c r="N131" s="208"/>
    </row>
    <row r="132" spans="1:14" s="57" customFormat="1" ht="13.8" x14ac:dyDescent="0.3">
      <c r="A132" s="27"/>
      <c r="B132" s="28" t="s">
        <v>143</v>
      </c>
      <c r="C132" s="189"/>
      <c r="D132" s="65"/>
      <c r="E132" s="65"/>
      <c r="F132" s="65"/>
      <c r="G132" s="31">
        <f>+SUM(F133:F136)</f>
        <v>21161055</v>
      </c>
      <c r="H132" s="32">
        <f>+G132/$G$185</f>
        <v>2.8764833575587834E-2</v>
      </c>
      <c r="I132" s="205"/>
      <c r="J132" s="206"/>
      <c r="K132" s="206"/>
      <c r="L132" s="207"/>
      <c r="M132" s="207"/>
      <c r="N132" s="208"/>
    </row>
    <row r="133" spans="1:14" s="57" customFormat="1" ht="13.8" outlineLevel="1" x14ac:dyDescent="0.3">
      <c r="A133" s="213">
        <v>19.010000000000002</v>
      </c>
      <c r="B133" s="214" t="s">
        <v>144</v>
      </c>
      <c r="C133" s="215" t="s">
        <v>28</v>
      </c>
      <c r="D133" s="216">
        <v>1</v>
      </c>
      <c r="E133" s="37">
        <v>7236758</v>
      </c>
      <c r="F133" s="37">
        <f t="shared" si="52"/>
        <v>7236758</v>
      </c>
      <c r="G133" s="181"/>
      <c r="H133" s="32"/>
      <c r="I133" s="134"/>
      <c r="J133" s="134">
        <v>0.05</v>
      </c>
      <c r="K133" s="135">
        <f t="shared" ref="K133:K136" si="93">+I133+J133</f>
        <v>0.05</v>
      </c>
      <c r="L133" s="200">
        <f t="shared" ref="L133:L136" si="94">+F133*I133</f>
        <v>0</v>
      </c>
      <c r="M133" s="200">
        <f t="shared" ref="M133:M136" si="95">+F133*J133</f>
        <v>361837.9</v>
      </c>
      <c r="N133" s="200">
        <f t="shared" ref="N133:N136" si="96">+F133*K133</f>
        <v>361837.9</v>
      </c>
    </row>
    <row r="134" spans="1:14" s="57" customFormat="1" ht="13.8" outlineLevel="1" x14ac:dyDescent="0.3">
      <c r="A134" s="217">
        <v>19.02</v>
      </c>
      <c r="B134" s="218" t="s">
        <v>145</v>
      </c>
      <c r="C134" s="219" t="s">
        <v>28</v>
      </c>
      <c r="D134" s="220">
        <v>1</v>
      </c>
      <c r="E134" s="42">
        <v>1001516</v>
      </c>
      <c r="F134" s="42">
        <f t="shared" si="52"/>
        <v>1001516</v>
      </c>
      <c r="G134" s="181"/>
      <c r="H134" s="32"/>
      <c r="I134" s="136"/>
      <c r="J134" s="136"/>
      <c r="K134" s="79">
        <f t="shared" si="93"/>
        <v>0</v>
      </c>
      <c r="L134" s="201">
        <f t="shared" si="94"/>
        <v>0</v>
      </c>
      <c r="M134" s="201">
        <f t="shared" si="95"/>
        <v>0</v>
      </c>
      <c r="N134" s="201">
        <f t="shared" si="96"/>
        <v>0</v>
      </c>
    </row>
    <row r="135" spans="1:14" s="57" customFormat="1" ht="13.8" outlineLevel="1" x14ac:dyDescent="0.3">
      <c r="A135" s="217">
        <v>19.03</v>
      </c>
      <c r="B135" s="218" t="s">
        <v>146</v>
      </c>
      <c r="C135" s="219" t="s">
        <v>28</v>
      </c>
      <c r="D135" s="220">
        <v>1</v>
      </c>
      <c r="E135" s="42">
        <v>8787491</v>
      </c>
      <c r="F135" s="42">
        <f t="shared" si="52"/>
        <v>8787491</v>
      </c>
      <c r="G135" s="181"/>
      <c r="H135" s="32"/>
      <c r="I135" s="136"/>
      <c r="J135" s="136"/>
      <c r="K135" s="79">
        <f t="shared" si="93"/>
        <v>0</v>
      </c>
      <c r="L135" s="201">
        <f t="shared" si="94"/>
        <v>0</v>
      </c>
      <c r="M135" s="201">
        <f t="shared" si="95"/>
        <v>0</v>
      </c>
      <c r="N135" s="201">
        <f t="shared" si="96"/>
        <v>0</v>
      </c>
    </row>
    <row r="136" spans="1:14" s="57" customFormat="1" ht="13.8" outlineLevel="1" x14ac:dyDescent="0.3">
      <c r="A136" s="221">
        <v>19.04</v>
      </c>
      <c r="B136" s="222" t="s">
        <v>147</v>
      </c>
      <c r="C136" s="223" t="s">
        <v>28</v>
      </c>
      <c r="D136" s="224">
        <v>1</v>
      </c>
      <c r="E136" s="60">
        <v>4135290</v>
      </c>
      <c r="F136" s="60">
        <f t="shared" si="52"/>
        <v>4135290</v>
      </c>
      <c r="G136" s="181"/>
      <c r="H136" s="32"/>
      <c r="I136" s="141"/>
      <c r="J136" s="141"/>
      <c r="K136" s="79">
        <f t="shared" si="93"/>
        <v>0</v>
      </c>
      <c r="L136" s="201">
        <f t="shared" si="94"/>
        <v>0</v>
      </c>
      <c r="M136" s="201">
        <f t="shared" si="95"/>
        <v>0</v>
      </c>
      <c r="N136" s="201">
        <f t="shared" si="96"/>
        <v>0</v>
      </c>
    </row>
    <row r="137" spans="1:14" s="57" customFormat="1" ht="13.8" x14ac:dyDescent="0.3">
      <c r="A137" s="27"/>
      <c r="B137" s="28" t="s">
        <v>148</v>
      </c>
      <c r="C137" s="189"/>
      <c r="D137" s="65"/>
      <c r="E137" s="65"/>
      <c r="F137" s="65"/>
      <c r="G137" s="31">
        <f>+SUM(F138:F140)</f>
        <v>6551951</v>
      </c>
      <c r="H137" s="32">
        <f>+G137/$G$185</f>
        <v>8.9062563331746124E-3</v>
      </c>
      <c r="I137" s="205"/>
      <c r="J137" s="206"/>
      <c r="K137" s="206"/>
      <c r="L137" s="206"/>
      <c r="M137" s="207"/>
      <c r="N137" s="208"/>
    </row>
    <row r="138" spans="1:14" s="57" customFormat="1" ht="13.8" outlineLevel="1" x14ac:dyDescent="0.3">
      <c r="A138" s="213">
        <v>19.05</v>
      </c>
      <c r="B138" s="214" t="s">
        <v>149</v>
      </c>
      <c r="C138" s="215" t="s">
        <v>28</v>
      </c>
      <c r="D138" s="216">
        <v>1</v>
      </c>
      <c r="E138" s="37">
        <v>2675380</v>
      </c>
      <c r="F138" s="37">
        <f t="shared" si="52"/>
        <v>2675380</v>
      </c>
      <c r="G138" s="181"/>
      <c r="H138" s="32"/>
      <c r="I138" s="134"/>
      <c r="J138" s="134">
        <v>0.05</v>
      </c>
      <c r="K138" s="135">
        <f t="shared" ref="K138:K140" si="97">+I138+J138</f>
        <v>0.05</v>
      </c>
      <c r="L138" s="200">
        <f t="shared" ref="L138:L140" si="98">+F138*I138</f>
        <v>0</v>
      </c>
      <c r="M138" s="200">
        <f t="shared" ref="M138:M140" si="99">+F138*J138</f>
        <v>133769</v>
      </c>
      <c r="N138" s="200">
        <f t="shared" ref="N138:N140" si="100">+F138*K138</f>
        <v>133769</v>
      </c>
    </row>
    <row r="139" spans="1:14" s="57" customFormat="1" ht="13.8" outlineLevel="1" x14ac:dyDescent="0.3">
      <c r="A139" s="217">
        <v>19.059999999999999</v>
      </c>
      <c r="B139" s="218" t="s">
        <v>150</v>
      </c>
      <c r="C139" s="219" t="s">
        <v>28</v>
      </c>
      <c r="D139" s="220">
        <v>1</v>
      </c>
      <c r="E139" s="42">
        <v>3057577</v>
      </c>
      <c r="F139" s="42">
        <f t="shared" ref="F139:F184" si="101">+D139*E139</f>
        <v>3057577</v>
      </c>
      <c r="G139" s="181"/>
      <c r="H139" s="32"/>
      <c r="I139" s="136"/>
      <c r="J139" s="136"/>
      <c r="K139" s="79">
        <f t="shared" si="97"/>
        <v>0</v>
      </c>
      <c r="L139" s="201">
        <f t="shared" si="98"/>
        <v>0</v>
      </c>
      <c r="M139" s="201">
        <f t="shared" si="99"/>
        <v>0</v>
      </c>
      <c r="N139" s="201">
        <f t="shared" si="100"/>
        <v>0</v>
      </c>
    </row>
    <row r="140" spans="1:14" s="57" customFormat="1" ht="13.8" outlineLevel="1" x14ac:dyDescent="0.3">
      <c r="A140" s="221">
        <v>19.07</v>
      </c>
      <c r="B140" s="222" t="s">
        <v>151</v>
      </c>
      <c r="C140" s="223" t="s">
        <v>28</v>
      </c>
      <c r="D140" s="224">
        <v>1</v>
      </c>
      <c r="E140" s="60">
        <v>818994</v>
      </c>
      <c r="F140" s="60">
        <f t="shared" si="101"/>
        <v>818994</v>
      </c>
      <c r="G140" s="181"/>
      <c r="H140" s="32"/>
      <c r="I140" s="136"/>
      <c r="J140" s="136"/>
      <c r="K140" s="79">
        <f t="shared" si="97"/>
        <v>0</v>
      </c>
      <c r="L140" s="201">
        <f t="shared" si="98"/>
        <v>0</v>
      </c>
      <c r="M140" s="201">
        <f t="shared" si="99"/>
        <v>0</v>
      </c>
      <c r="N140" s="201">
        <f t="shared" si="100"/>
        <v>0</v>
      </c>
    </row>
    <row r="141" spans="1:14" s="57" customFormat="1" ht="13.8" x14ac:dyDescent="0.3">
      <c r="A141" s="27"/>
      <c r="B141" s="28" t="s">
        <v>152</v>
      </c>
      <c r="C141" s="189"/>
      <c r="D141" s="65"/>
      <c r="E141" s="65"/>
      <c r="F141" s="65"/>
      <c r="G141" s="31">
        <f>+SUM(F142:F146)</f>
        <v>37004103</v>
      </c>
      <c r="H141" s="32">
        <f>+G141/$G$185</f>
        <v>5.0300746555826753E-2</v>
      </c>
      <c r="I141" s="205"/>
      <c r="J141" s="206"/>
      <c r="K141" s="206"/>
      <c r="L141" s="206"/>
      <c r="M141" s="207"/>
      <c r="N141" s="208"/>
    </row>
    <row r="142" spans="1:14" s="57" customFormat="1" ht="13.8" outlineLevel="1" x14ac:dyDescent="0.3">
      <c r="A142" s="213">
        <v>19.079999999999998</v>
      </c>
      <c r="B142" s="214" t="s">
        <v>153</v>
      </c>
      <c r="C142" s="215" t="s">
        <v>28</v>
      </c>
      <c r="D142" s="216">
        <v>1</v>
      </c>
      <c r="E142" s="37">
        <v>3750416</v>
      </c>
      <c r="F142" s="37">
        <f t="shared" si="101"/>
        <v>3750416</v>
      </c>
      <c r="G142" s="181"/>
      <c r="H142" s="32"/>
      <c r="I142" s="134"/>
      <c r="J142" s="134"/>
      <c r="K142" s="135">
        <f t="shared" ref="K142:K144" si="102">+I142+J142</f>
        <v>0</v>
      </c>
      <c r="L142" s="200">
        <f t="shared" ref="L142:L144" si="103">+F142*I142</f>
        <v>0</v>
      </c>
      <c r="M142" s="200">
        <f t="shared" ref="M142:M144" si="104">+F142*J142</f>
        <v>0</v>
      </c>
      <c r="N142" s="200">
        <f t="shared" ref="N142:N144" si="105">+F142*K142</f>
        <v>0</v>
      </c>
    </row>
    <row r="143" spans="1:14" s="57" customFormat="1" ht="13.8" outlineLevel="1" x14ac:dyDescent="0.3">
      <c r="A143" s="217">
        <v>19.09</v>
      </c>
      <c r="B143" s="218" t="s">
        <v>154</v>
      </c>
      <c r="C143" s="219" t="s">
        <v>28</v>
      </c>
      <c r="D143" s="220">
        <v>1</v>
      </c>
      <c r="E143" s="42">
        <v>7500832</v>
      </c>
      <c r="F143" s="42">
        <f t="shared" si="101"/>
        <v>7500832</v>
      </c>
      <c r="G143" s="181"/>
      <c r="H143" s="32"/>
      <c r="I143" s="136"/>
      <c r="J143" s="136"/>
      <c r="K143" s="79">
        <f t="shared" si="102"/>
        <v>0</v>
      </c>
      <c r="L143" s="201">
        <f t="shared" si="103"/>
        <v>0</v>
      </c>
      <c r="M143" s="201">
        <f t="shared" si="104"/>
        <v>0</v>
      </c>
      <c r="N143" s="201">
        <f t="shared" si="105"/>
        <v>0</v>
      </c>
    </row>
    <row r="144" spans="1:14" s="57" customFormat="1" ht="13.8" outlineLevel="1" x14ac:dyDescent="0.3">
      <c r="A144" s="217">
        <v>19.100000000000001</v>
      </c>
      <c r="B144" s="218" t="s">
        <v>155</v>
      </c>
      <c r="C144" s="219" t="s">
        <v>28</v>
      </c>
      <c r="D144" s="220">
        <v>1</v>
      </c>
      <c r="E144" s="42">
        <v>1750194</v>
      </c>
      <c r="F144" s="42">
        <f t="shared" si="101"/>
        <v>1750194</v>
      </c>
      <c r="G144" s="181"/>
      <c r="H144" s="32"/>
      <c r="I144" s="136"/>
      <c r="J144" s="136"/>
      <c r="K144" s="79">
        <f t="shared" si="102"/>
        <v>0</v>
      </c>
      <c r="L144" s="201">
        <f t="shared" si="103"/>
        <v>0</v>
      </c>
      <c r="M144" s="201">
        <f t="shared" si="104"/>
        <v>0</v>
      </c>
      <c r="N144" s="201">
        <f t="shared" si="105"/>
        <v>0</v>
      </c>
    </row>
    <row r="145" spans="1:14" s="57" customFormat="1" ht="13.8" outlineLevel="1" x14ac:dyDescent="0.3">
      <c r="A145" s="217">
        <v>19.11</v>
      </c>
      <c r="B145" s="218" t="s">
        <v>156</v>
      </c>
      <c r="C145" s="219" t="s">
        <v>28</v>
      </c>
      <c r="D145" s="220">
        <v>1</v>
      </c>
      <c r="E145" s="42">
        <v>14001552</v>
      </c>
      <c r="F145" s="42">
        <f t="shared" si="101"/>
        <v>14001552</v>
      </c>
      <c r="G145" s="181"/>
      <c r="H145" s="32"/>
      <c r="I145" s="136"/>
      <c r="J145" s="136"/>
      <c r="K145" s="79">
        <f t="shared" ref="K145:K146" si="106">+I145+J145</f>
        <v>0</v>
      </c>
      <c r="L145" s="201">
        <f t="shared" ref="L145:L146" si="107">+F145*I145</f>
        <v>0</v>
      </c>
      <c r="M145" s="201">
        <f t="shared" ref="M145:M146" si="108">+F145*J145</f>
        <v>0</v>
      </c>
      <c r="N145" s="201">
        <f t="shared" ref="N145:N146" si="109">+F145*K145</f>
        <v>0</v>
      </c>
    </row>
    <row r="146" spans="1:14" s="57" customFormat="1" ht="13.8" outlineLevel="1" x14ac:dyDescent="0.3">
      <c r="A146" s="221">
        <v>19.12</v>
      </c>
      <c r="B146" s="222" t="s">
        <v>157</v>
      </c>
      <c r="C146" s="223" t="s">
        <v>28</v>
      </c>
      <c r="D146" s="224">
        <v>1</v>
      </c>
      <c r="E146" s="60">
        <v>10001109</v>
      </c>
      <c r="F146" s="60">
        <f t="shared" si="101"/>
        <v>10001109</v>
      </c>
      <c r="G146" s="181"/>
      <c r="H146" s="32"/>
      <c r="I146" s="141"/>
      <c r="J146" s="141"/>
      <c r="K146" s="79">
        <f t="shared" si="106"/>
        <v>0</v>
      </c>
      <c r="L146" s="201">
        <f t="shared" si="107"/>
        <v>0</v>
      </c>
      <c r="M146" s="201">
        <f t="shared" si="108"/>
        <v>0</v>
      </c>
      <c r="N146" s="201">
        <f t="shared" si="109"/>
        <v>0</v>
      </c>
    </row>
    <row r="147" spans="1:14" s="57" customFormat="1" ht="13.8" x14ac:dyDescent="0.3">
      <c r="A147" s="27"/>
      <c r="B147" s="28" t="s">
        <v>158</v>
      </c>
      <c r="C147" s="189"/>
      <c r="D147" s="65"/>
      <c r="E147" s="65"/>
      <c r="F147" s="65"/>
      <c r="G147" s="31">
        <f>+SUM(F148)</f>
        <v>2047485</v>
      </c>
      <c r="H147" s="32">
        <f>+G147/$G$185</f>
        <v>2.7832055289073467E-3</v>
      </c>
      <c r="I147" s="205"/>
      <c r="J147" s="206"/>
      <c r="K147" s="206"/>
      <c r="L147" s="206"/>
      <c r="M147" s="207"/>
      <c r="N147" s="208"/>
    </row>
    <row r="148" spans="1:14" s="57" customFormat="1" ht="13.8" outlineLevel="1" x14ac:dyDescent="0.3">
      <c r="A148" s="231">
        <v>19.13</v>
      </c>
      <c r="B148" s="232" t="s">
        <v>159</v>
      </c>
      <c r="C148" s="233" t="s">
        <v>28</v>
      </c>
      <c r="D148" s="234">
        <v>1</v>
      </c>
      <c r="E148" s="235">
        <v>2047485</v>
      </c>
      <c r="F148" s="235">
        <f t="shared" si="101"/>
        <v>2047485</v>
      </c>
      <c r="G148" s="181"/>
      <c r="H148" s="32"/>
      <c r="I148" s="134"/>
      <c r="J148" s="134"/>
      <c r="K148" s="135">
        <f t="shared" ref="K148" si="110">+I148+J148</f>
        <v>0</v>
      </c>
      <c r="L148" s="200">
        <f t="shared" ref="L148" si="111">+F148*I148</f>
        <v>0</v>
      </c>
      <c r="M148" s="200">
        <f t="shared" ref="M148" si="112">+F148*J148</f>
        <v>0</v>
      </c>
      <c r="N148" s="200">
        <f t="shared" ref="N148" si="113">+F148*K148</f>
        <v>0</v>
      </c>
    </row>
    <row r="149" spans="1:14" s="57" customFormat="1" ht="13.8" x14ac:dyDescent="0.3">
      <c r="A149" s="27"/>
      <c r="B149" s="28" t="s">
        <v>160</v>
      </c>
      <c r="C149" s="189"/>
      <c r="D149" s="65"/>
      <c r="E149" s="65"/>
      <c r="F149" s="65"/>
      <c r="G149" s="31">
        <f>+SUM(F150:F153)</f>
        <v>32512648</v>
      </c>
      <c r="H149" s="32">
        <f>+G149/$G$185</f>
        <v>4.4195381979852545E-2</v>
      </c>
      <c r="I149" s="205"/>
      <c r="J149" s="206"/>
      <c r="K149" s="206"/>
      <c r="L149" s="206"/>
      <c r="M149" s="207"/>
      <c r="N149" s="208"/>
    </row>
    <row r="150" spans="1:14" s="57" customFormat="1" ht="13.8" outlineLevel="1" x14ac:dyDescent="0.3">
      <c r="A150" s="213">
        <v>19.14</v>
      </c>
      <c r="B150" s="214" t="s">
        <v>161</v>
      </c>
      <c r="C150" s="215" t="s">
        <v>28</v>
      </c>
      <c r="D150" s="216">
        <v>1</v>
      </c>
      <c r="E150" s="37">
        <v>15888634</v>
      </c>
      <c r="F150" s="37">
        <f t="shared" si="101"/>
        <v>15888634</v>
      </c>
      <c r="G150" s="181"/>
      <c r="H150" s="32"/>
      <c r="I150" s="134"/>
      <c r="J150" s="134"/>
      <c r="K150" s="135">
        <f t="shared" ref="K150:K153" si="114">+I150+J150</f>
        <v>0</v>
      </c>
      <c r="L150" s="200">
        <f t="shared" ref="L150:L153" si="115">+F150*I150</f>
        <v>0</v>
      </c>
      <c r="M150" s="200">
        <f t="shared" ref="M150:M153" si="116">+F150*J150</f>
        <v>0</v>
      </c>
      <c r="N150" s="200">
        <f t="shared" ref="N150:N153" si="117">+F150*K150</f>
        <v>0</v>
      </c>
    </row>
    <row r="151" spans="1:14" s="57" customFormat="1" ht="13.8" outlineLevel="1" x14ac:dyDescent="0.3">
      <c r="A151" s="217">
        <v>19.149999999999999</v>
      </c>
      <c r="B151" s="218" t="s">
        <v>162</v>
      </c>
      <c r="C151" s="219" t="s">
        <v>28</v>
      </c>
      <c r="D151" s="220">
        <v>1</v>
      </c>
      <c r="E151" s="42">
        <v>6190377</v>
      </c>
      <c r="F151" s="42">
        <f t="shared" si="101"/>
        <v>6190377</v>
      </c>
      <c r="G151" s="181"/>
      <c r="H151" s="32"/>
      <c r="I151" s="136"/>
      <c r="J151" s="136"/>
      <c r="K151" s="79">
        <f t="shared" si="114"/>
        <v>0</v>
      </c>
      <c r="L151" s="201">
        <f t="shared" si="115"/>
        <v>0</v>
      </c>
      <c r="M151" s="201">
        <f t="shared" si="116"/>
        <v>0</v>
      </c>
      <c r="N151" s="201">
        <f t="shared" si="117"/>
        <v>0</v>
      </c>
    </row>
    <row r="152" spans="1:14" s="57" customFormat="1" ht="13.8" outlineLevel="1" x14ac:dyDescent="0.3">
      <c r="A152" s="217">
        <v>19.16</v>
      </c>
      <c r="B152" s="218" t="s">
        <v>163</v>
      </c>
      <c r="C152" s="219" t="s">
        <v>28</v>
      </c>
      <c r="D152" s="220">
        <v>1</v>
      </c>
      <c r="E152" s="42">
        <v>4952302</v>
      </c>
      <c r="F152" s="42">
        <f t="shared" si="101"/>
        <v>4952302</v>
      </c>
      <c r="G152" s="181"/>
      <c r="H152" s="32"/>
      <c r="I152" s="136"/>
      <c r="J152" s="136"/>
      <c r="K152" s="79">
        <f t="shared" si="114"/>
        <v>0</v>
      </c>
      <c r="L152" s="201">
        <f t="shared" si="115"/>
        <v>0</v>
      </c>
      <c r="M152" s="201">
        <f t="shared" si="116"/>
        <v>0</v>
      </c>
      <c r="N152" s="201">
        <f t="shared" si="117"/>
        <v>0</v>
      </c>
    </row>
    <row r="153" spans="1:14" s="57" customFormat="1" ht="13.8" outlineLevel="1" x14ac:dyDescent="0.3">
      <c r="A153" s="221">
        <v>19.170000000000002</v>
      </c>
      <c r="B153" s="222" t="s">
        <v>164</v>
      </c>
      <c r="C153" s="223" t="s">
        <v>28</v>
      </c>
      <c r="D153" s="224">
        <v>1</v>
      </c>
      <c r="E153" s="60">
        <v>5481335</v>
      </c>
      <c r="F153" s="60">
        <f t="shared" si="101"/>
        <v>5481335</v>
      </c>
      <c r="G153" s="181"/>
      <c r="H153" s="32"/>
      <c r="I153" s="141"/>
      <c r="J153" s="141"/>
      <c r="K153" s="79">
        <f t="shared" si="114"/>
        <v>0</v>
      </c>
      <c r="L153" s="201">
        <f t="shared" si="115"/>
        <v>0</v>
      </c>
      <c r="M153" s="201">
        <f t="shared" si="116"/>
        <v>0</v>
      </c>
      <c r="N153" s="201">
        <f t="shared" si="117"/>
        <v>0</v>
      </c>
    </row>
    <row r="154" spans="1:14" s="57" customFormat="1" ht="13.8" x14ac:dyDescent="0.3">
      <c r="A154" s="27"/>
      <c r="B154" s="28" t="s">
        <v>165</v>
      </c>
      <c r="C154" s="189"/>
      <c r="D154" s="65"/>
      <c r="E154" s="65"/>
      <c r="F154" s="65"/>
      <c r="G154" s="31">
        <f>+SUM(F155)</f>
        <v>5206701</v>
      </c>
      <c r="H154" s="32">
        <f>+G154/$G$185</f>
        <v>7.0776191330180257E-3</v>
      </c>
      <c r="I154" s="205"/>
      <c r="J154" s="206"/>
      <c r="K154" s="206"/>
      <c r="L154" s="206"/>
      <c r="M154" s="207"/>
      <c r="N154" s="208"/>
    </row>
    <row r="155" spans="1:14" s="57" customFormat="1" ht="13.8" outlineLevel="1" x14ac:dyDescent="0.3">
      <c r="A155" s="231">
        <v>19.170000000000002</v>
      </c>
      <c r="B155" s="232" t="s">
        <v>166</v>
      </c>
      <c r="C155" s="233" t="s">
        <v>28</v>
      </c>
      <c r="D155" s="234">
        <v>1</v>
      </c>
      <c r="E155" s="235">
        <v>5206701</v>
      </c>
      <c r="F155" s="235">
        <f t="shared" si="101"/>
        <v>5206701</v>
      </c>
      <c r="G155" s="181"/>
      <c r="H155" s="32"/>
      <c r="I155" s="134"/>
      <c r="J155" s="134"/>
      <c r="K155" s="135">
        <f t="shared" ref="K155" si="118">+I155+J155</f>
        <v>0</v>
      </c>
      <c r="L155" s="200">
        <f t="shared" ref="L155" si="119">+F155*I155</f>
        <v>0</v>
      </c>
      <c r="M155" s="200">
        <f t="shared" ref="M155" si="120">+F155*J155</f>
        <v>0</v>
      </c>
      <c r="N155" s="200">
        <f t="shared" ref="N155" si="121">+F155*K155</f>
        <v>0</v>
      </c>
    </row>
    <row r="156" spans="1:14" s="57" customFormat="1" ht="13.8" x14ac:dyDescent="0.3">
      <c r="A156" s="27"/>
      <c r="B156" s="28" t="s">
        <v>167</v>
      </c>
      <c r="C156" s="189"/>
      <c r="D156" s="65"/>
      <c r="E156" s="65"/>
      <c r="F156" s="65"/>
      <c r="G156" s="31">
        <f>+SUM(F157:F158)</f>
        <v>20260948</v>
      </c>
      <c r="H156" s="32">
        <f>+G156/$G$185</f>
        <v>2.7541292119114061E-2</v>
      </c>
      <c r="I156" s="205"/>
      <c r="J156" s="206"/>
      <c r="K156" s="206"/>
      <c r="L156" s="206"/>
      <c r="M156" s="207"/>
      <c r="N156" s="208"/>
    </row>
    <row r="157" spans="1:14" s="57" customFormat="1" ht="13.8" outlineLevel="1" x14ac:dyDescent="0.3">
      <c r="A157" s="213">
        <v>19.18</v>
      </c>
      <c r="B157" s="214" t="s">
        <v>168</v>
      </c>
      <c r="C157" s="215" t="s">
        <v>28</v>
      </c>
      <c r="D157" s="216">
        <v>1</v>
      </c>
      <c r="E157" s="37">
        <v>16584566</v>
      </c>
      <c r="F157" s="37">
        <f t="shared" si="101"/>
        <v>16584566</v>
      </c>
      <c r="G157" s="181"/>
      <c r="H157" s="32"/>
      <c r="I157" s="134"/>
      <c r="J157" s="134"/>
      <c r="K157" s="135">
        <f t="shared" ref="K157:K158" si="122">+I157+J157</f>
        <v>0</v>
      </c>
      <c r="L157" s="200">
        <f t="shared" ref="L157:L158" si="123">+F157*I157</f>
        <v>0</v>
      </c>
      <c r="M157" s="200">
        <f t="shared" ref="M157:M158" si="124">+F157*J157</f>
        <v>0</v>
      </c>
      <c r="N157" s="200">
        <f t="shared" ref="N157:N158" si="125">+F157*K157</f>
        <v>0</v>
      </c>
    </row>
    <row r="158" spans="1:14" s="57" customFormat="1" ht="13.8" outlineLevel="1" x14ac:dyDescent="0.3">
      <c r="A158" s="221">
        <v>19.190000000000001</v>
      </c>
      <c r="B158" s="222" t="s">
        <v>169</v>
      </c>
      <c r="C158" s="223" t="s">
        <v>28</v>
      </c>
      <c r="D158" s="224">
        <v>1</v>
      </c>
      <c r="E158" s="60">
        <v>3676382</v>
      </c>
      <c r="F158" s="60">
        <f t="shared" si="101"/>
        <v>3676382</v>
      </c>
      <c r="G158" s="181"/>
      <c r="H158" s="32"/>
      <c r="I158" s="141"/>
      <c r="J158" s="141"/>
      <c r="K158" s="79">
        <f t="shared" si="122"/>
        <v>0</v>
      </c>
      <c r="L158" s="201">
        <f t="shared" si="123"/>
        <v>0</v>
      </c>
      <c r="M158" s="201">
        <f t="shared" si="124"/>
        <v>0</v>
      </c>
      <c r="N158" s="201">
        <f t="shared" si="125"/>
        <v>0</v>
      </c>
    </row>
    <row r="159" spans="1:14" s="57" customFormat="1" ht="13.8" x14ac:dyDescent="0.3">
      <c r="A159" s="27">
        <v>20</v>
      </c>
      <c r="B159" s="28" t="s">
        <v>170</v>
      </c>
      <c r="C159" s="189"/>
      <c r="D159" s="65"/>
      <c r="E159" s="65"/>
      <c r="F159" s="65"/>
      <c r="G159" s="31">
        <f>+SUM(F160:F161)</f>
        <v>35197776</v>
      </c>
      <c r="H159" s="32">
        <f>+G159/$G$185</f>
        <v>4.7845354065325175E-2</v>
      </c>
      <c r="I159" s="205"/>
      <c r="J159" s="206"/>
      <c r="K159" s="206"/>
      <c r="L159" s="206"/>
      <c r="M159" s="207"/>
      <c r="N159" s="208"/>
    </row>
    <row r="160" spans="1:14" s="57" customFormat="1" ht="13.8" outlineLevel="1" x14ac:dyDescent="0.3">
      <c r="A160" s="213">
        <v>20.010000000000002</v>
      </c>
      <c r="B160" s="214" t="s">
        <v>171</v>
      </c>
      <c r="C160" s="215" t="s">
        <v>47</v>
      </c>
      <c r="D160" s="216">
        <v>36</v>
      </c>
      <c r="E160" s="37">
        <v>740165</v>
      </c>
      <c r="F160" s="37">
        <f t="shared" si="101"/>
        <v>26645940</v>
      </c>
      <c r="G160" s="181"/>
      <c r="H160" s="32"/>
      <c r="I160" s="134"/>
      <c r="J160" s="134"/>
      <c r="K160" s="135">
        <f t="shared" ref="K160:K161" si="126">+I160+J160</f>
        <v>0</v>
      </c>
      <c r="L160" s="200">
        <f t="shared" ref="L160:L161" si="127">+F160*I160</f>
        <v>0</v>
      </c>
      <c r="M160" s="200">
        <f t="shared" ref="M160:M161" si="128">+F160*J160</f>
        <v>0</v>
      </c>
      <c r="N160" s="200">
        <f t="shared" ref="N160:N161" si="129">+F160*K160</f>
        <v>0</v>
      </c>
    </row>
    <row r="161" spans="1:14" s="57" customFormat="1" ht="13.8" outlineLevel="1" x14ac:dyDescent="0.3">
      <c r="A161" s="221">
        <v>20.02</v>
      </c>
      <c r="B161" s="222" t="s">
        <v>172</v>
      </c>
      <c r="C161" s="223" t="s">
        <v>47</v>
      </c>
      <c r="D161" s="224">
        <v>36</v>
      </c>
      <c r="E161" s="60">
        <v>237551</v>
      </c>
      <c r="F161" s="60">
        <f t="shared" si="101"/>
        <v>8551836</v>
      </c>
      <c r="G161" s="181"/>
      <c r="H161" s="32"/>
      <c r="I161" s="141"/>
      <c r="J161" s="141"/>
      <c r="K161" s="79">
        <f t="shared" si="126"/>
        <v>0</v>
      </c>
      <c r="L161" s="201">
        <f t="shared" si="127"/>
        <v>0</v>
      </c>
      <c r="M161" s="201">
        <f t="shared" si="128"/>
        <v>0</v>
      </c>
      <c r="N161" s="201">
        <f t="shared" si="129"/>
        <v>0</v>
      </c>
    </row>
    <row r="162" spans="1:14" s="57" customFormat="1" ht="13.8" x14ac:dyDescent="0.3">
      <c r="A162" s="27">
        <v>21</v>
      </c>
      <c r="B162" s="28" t="s">
        <v>173</v>
      </c>
      <c r="C162" s="189"/>
      <c r="D162" s="65"/>
      <c r="E162" s="65"/>
      <c r="F162" s="65"/>
      <c r="G162" s="31">
        <f>+SUM(F163)</f>
        <v>0</v>
      </c>
      <c r="H162" s="32">
        <f>+G162/$G$185</f>
        <v>0</v>
      </c>
      <c r="I162" s="205"/>
      <c r="J162" s="206"/>
      <c r="K162" s="206"/>
      <c r="L162" s="206"/>
      <c r="M162" s="207"/>
      <c r="N162" s="208"/>
    </row>
    <row r="163" spans="1:14" s="57" customFormat="1" ht="13.8" outlineLevel="1" x14ac:dyDescent="0.3">
      <c r="A163" s="231">
        <v>21.01</v>
      </c>
      <c r="B163" s="232" t="s">
        <v>174</v>
      </c>
      <c r="C163" s="233" t="s">
        <v>28</v>
      </c>
      <c r="D163" s="234">
        <v>0</v>
      </c>
      <c r="E163" s="235">
        <v>0</v>
      </c>
      <c r="F163" s="235">
        <f t="shared" si="101"/>
        <v>0</v>
      </c>
      <c r="G163" s="181"/>
      <c r="H163" s="32"/>
      <c r="I163" s="134"/>
      <c r="J163" s="134"/>
      <c r="K163" s="135">
        <f t="shared" ref="K163" si="130">+I163+J163</f>
        <v>0</v>
      </c>
      <c r="L163" s="200">
        <f t="shared" ref="L163" si="131">+F163*I163</f>
        <v>0</v>
      </c>
      <c r="M163" s="200">
        <f t="shared" ref="M163" si="132">+F163*J163</f>
        <v>0</v>
      </c>
      <c r="N163" s="200">
        <f t="shared" ref="N163" si="133">+F163*K163</f>
        <v>0</v>
      </c>
    </row>
    <row r="164" spans="1:14" s="57" customFormat="1" ht="13.8" x14ac:dyDescent="0.3">
      <c r="A164" s="27">
        <v>22</v>
      </c>
      <c r="B164" s="28" t="s">
        <v>175</v>
      </c>
      <c r="C164" s="189"/>
      <c r="D164" s="65"/>
      <c r="E164" s="65"/>
      <c r="F164" s="65"/>
      <c r="G164" s="31">
        <f>+SUM(F165:F166)</f>
        <v>2671152</v>
      </c>
      <c r="H164" s="32">
        <f>+G164/$G$185</f>
        <v>3.630974104792913E-3</v>
      </c>
      <c r="I164" s="205"/>
      <c r="J164" s="206"/>
      <c r="K164" s="206"/>
      <c r="L164" s="206"/>
      <c r="M164" s="207"/>
      <c r="N164" s="208"/>
    </row>
    <row r="165" spans="1:14" s="57" customFormat="1" ht="13.8" outlineLevel="1" x14ac:dyDescent="0.3">
      <c r="A165" s="213">
        <v>22.01</v>
      </c>
      <c r="B165" s="214" t="s">
        <v>176</v>
      </c>
      <c r="C165" s="215" t="s">
        <v>47</v>
      </c>
      <c r="D165" s="216">
        <v>16</v>
      </c>
      <c r="E165" s="37">
        <v>80944</v>
      </c>
      <c r="F165" s="37">
        <f t="shared" si="101"/>
        <v>1295104</v>
      </c>
      <c r="G165" s="181"/>
      <c r="H165" s="32"/>
      <c r="I165" s="141"/>
      <c r="J165" s="141"/>
      <c r="K165" s="79">
        <f t="shared" ref="K165:K166" si="134">+I165+J165</f>
        <v>0</v>
      </c>
      <c r="L165" s="201">
        <f t="shared" ref="L165:L166" si="135">+F165*I165</f>
        <v>0</v>
      </c>
      <c r="M165" s="201">
        <f t="shared" ref="M165:M166" si="136">+F165*J165</f>
        <v>0</v>
      </c>
      <c r="N165" s="201">
        <f t="shared" ref="N165:N166" si="137">+F165*K165</f>
        <v>0</v>
      </c>
    </row>
    <row r="166" spans="1:14" s="57" customFormat="1" ht="13.8" outlineLevel="1" x14ac:dyDescent="0.3">
      <c r="A166" s="221">
        <v>22.02</v>
      </c>
      <c r="B166" s="222" t="s">
        <v>177</v>
      </c>
      <c r="C166" s="223" t="s">
        <v>47</v>
      </c>
      <c r="D166" s="224">
        <v>17</v>
      </c>
      <c r="E166" s="60">
        <v>80944</v>
      </c>
      <c r="F166" s="60">
        <f t="shared" si="101"/>
        <v>1376048</v>
      </c>
      <c r="G166" s="181"/>
      <c r="H166" s="32"/>
      <c r="I166" s="141"/>
      <c r="J166" s="141"/>
      <c r="K166" s="79">
        <f t="shared" si="134"/>
        <v>0</v>
      </c>
      <c r="L166" s="201">
        <f t="shared" si="135"/>
        <v>0</v>
      </c>
      <c r="M166" s="201">
        <f t="shared" si="136"/>
        <v>0</v>
      </c>
      <c r="N166" s="201">
        <f t="shared" si="137"/>
        <v>0</v>
      </c>
    </row>
    <row r="167" spans="1:14" s="57" customFormat="1" ht="13.8" x14ac:dyDescent="0.3">
      <c r="A167" s="27">
        <v>23</v>
      </c>
      <c r="B167" s="28" t="s">
        <v>178</v>
      </c>
      <c r="C167" s="189"/>
      <c r="D167" s="65"/>
      <c r="E167" s="65"/>
      <c r="F167" s="65"/>
      <c r="G167" s="31">
        <f>+SUM(F168:F170)</f>
        <v>4668180</v>
      </c>
      <c r="H167" s="32">
        <f>+G167/$G$185</f>
        <v>6.3455919754892946E-3</v>
      </c>
      <c r="I167" s="205"/>
      <c r="J167" s="206"/>
      <c r="K167" s="206"/>
      <c r="L167" s="206"/>
      <c r="M167" s="207"/>
      <c r="N167" s="208"/>
    </row>
    <row r="168" spans="1:14" s="57" customFormat="1" ht="13.8" outlineLevel="1" x14ac:dyDescent="0.3">
      <c r="A168" s="213">
        <v>23.01</v>
      </c>
      <c r="B168" s="214" t="s">
        <v>179</v>
      </c>
      <c r="C168" s="215" t="s">
        <v>28</v>
      </c>
      <c r="D168" s="216">
        <v>7</v>
      </c>
      <c r="E168" s="37">
        <v>446402</v>
      </c>
      <c r="F168" s="37">
        <f t="shared" si="101"/>
        <v>3124814</v>
      </c>
      <c r="G168" s="181"/>
      <c r="H168" s="32"/>
      <c r="I168" s="134"/>
      <c r="J168" s="134"/>
      <c r="K168" s="135">
        <f t="shared" ref="K168:K170" si="138">+I168+J168</f>
        <v>0</v>
      </c>
      <c r="L168" s="200">
        <f t="shared" ref="L168:L170" si="139">+F168*I168</f>
        <v>0</v>
      </c>
      <c r="M168" s="200">
        <f t="shared" ref="M168:M170" si="140">+F168*J168</f>
        <v>0</v>
      </c>
      <c r="N168" s="200">
        <f t="shared" ref="N168:N170" si="141">+F168*K168</f>
        <v>0</v>
      </c>
    </row>
    <row r="169" spans="1:14" s="57" customFormat="1" ht="13.8" outlineLevel="1" x14ac:dyDescent="0.3">
      <c r="A169" s="217">
        <v>23.02</v>
      </c>
      <c r="B169" s="218" t="s">
        <v>180</v>
      </c>
      <c r="C169" s="219" t="s">
        <v>28</v>
      </c>
      <c r="D169" s="220">
        <v>1</v>
      </c>
      <c r="E169" s="42">
        <v>672060</v>
      </c>
      <c r="F169" s="42">
        <f t="shared" si="101"/>
        <v>672060</v>
      </c>
      <c r="G169" s="181"/>
      <c r="H169" s="32"/>
      <c r="I169" s="141"/>
      <c r="J169" s="141"/>
      <c r="K169" s="79">
        <f t="shared" si="138"/>
        <v>0</v>
      </c>
      <c r="L169" s="201">
        <f t="shared" si="139"/>
        <v>0</v>
      </c>
      <c r="M169" s="201">
        <f t="shared" si="140"/>
        <v>0</v>
      </c>
      <c r="N169" s="201">
        <f t="shared" si="141"/>
        <v>0</v>
      </c>
    </row>
    <row r="170" spans="1:14" s="57" customFormat="1" ht="13.8" outlineLevel="1" x14ac:dyDescent="0.3">
      <c r="A170" s="221">
        <v>23.03</v>
      </c>
      <c r="B170" s="222" t="s">
        <v>181</v>
      </c>
      <c r="C170" s="223" t="s">
        <v>28</v>
      </c>
      <c r="D170" s="224">
        <v>1</v>
      </c>
      <c r="E170" s="60">
        <v>871306</v>
      </c>
      <c r="F170" s="60">
        <f t="shared" si="101"/>
        <v>871306</v>
      </c>
      <c r="G170" s="181"/>
      <c r="H170" s="32"/>
      <c r="I170" s="141"/>
      <c r="J170" s="141"/>
      <c r="K170" s="79">
        <f t="shared" si="138"/>
        <v>0</v>
      </c>
      <c r="L170" s="201">
        <f t="shared" si="139"/>
        <v>0</v>
      </c>
      <c r="M170" s="201">
        <f t="shared" si="140"/>
        <v>0</v>
      </c>
      <c r="N170" s="201">
        <f t="shared" si="141"/>
        <v>0</v>
      </c>
    </row>
    <row r="171" spans="1:14" s="57" customFormat="1" ht="13.8" x14ac:dyDescent="0.3">
      <c r="A171" s="27">
        <v>24</v>
      </c>
      <c r="B171" s="28" t="s">
        <v>182</v>
      </c>
      <c r="C171" s="189"/>
      <c r="D171" s="65"/>
      <c r="E171" s="65"/>
      <c r="F171" s="65"/>
      <c r="G171" s="31">
        <f>+SUM(F172:F181)</f>
        <v>16311090</v>
      </c>
      <c r="H171" s="32">
        <f>+G171/$G$185</f>
        <v>2.2172135996359112E-2</v>
      </c>
      <c r="I171" s="205"/>
      <c r="J171" s="206"/>
      <c r="K171" s="206"/>
      <c r="L171" s="206"/>
      <c r="M171" s="207"/>
      <c r="N171" s="208"/>
    </row>
    <row r="172" spans="1:14" s="57" customFormat="1" ht="13.8" outlineLevel="1" x14ac:dyDescent="0.3">
      <c r="A172" s="213">
        <v>24.01</v>
      </c>
      <c r="B172" s="214" t="s">
        <v>183</v>
      </c>
      <c r="C172" s="215" t="s">
        <v>184</v>
      </c>
      <c r="D172" s="216">
        <v>6</v>
      </c>
      <c r="E172" s="37">
        <v>753138</v>
      </c>
      <c r="F172" s="37">
        <f t="shared" si="101"/>
        <v>4518828</v>
      </c>
      <c r="G172" s="181"/>
      <c r="H172" s="32"/>
      <c r="I172" s="134"/>
      <c r="J172" s="134"/>
      <c r="K172" s="135">
        <f t="shared" ref="K172:K173" si="142">+I172+J172</f>
        <v>0</v>
      </c>
      <c r="L172" s="200">
        <f t="shared" ref="L172:L173" si="143">+F172*I172</f>
        <v>0</v>
      </c>
      <c r="M172" s="200">
        <f t="shared" ref="M172:M173" si="144">+F172*J172</f>
        <v>0</v>
      </c>
      <c r="N172" s="200">
        <f t="shared" ref="N172:N173" si="145">+F172*K172</f>
        <v>0</v>
      </c>
    </row>
    <row r="173" spans="1:14" s="57" customFormat="1" ht="13.8" outlineLevel="1" x14ac:dyDescent="0.3">
      <c r="A173" s="217">
        <v>24.02</v>
      </c>
      <c r="B173" s="218" t="s">
        <v>185</v>
      </c>
      <c r="C173" s="219" t="s">
        <v>184</v>
      </c>
      <c r="D173" s="220"/>
      <c r="E173" s="42">
        <v>1944871</v>
      </c>
      <c r="F173" s="42">
        <f t="shared" si="101"/>
        <v>0</v>
      </c>
      <c r="G173" s="181"/>
      <c r="H173" s="32"/>
      <c r="I173" s="141"/>
      <c r="J173" s="141"/>
      <c r="K173" s="79">
        <f t="shared" si="142"/>
        <v>0</v>
      </c>
      <c r="L173" s="201">
        <f t="shared" si="143"/>
        <v>0</v>
      </c>
      <c r="M173" s="201">
        <f t="shared" si="144"/>
        <v>0</v>
      </c>
      <c r="N173" s="201">
        <f t="shared" si="145"/>
        <v>0</v>
      </c>
    </row>
    <row r="174" spans="1:14" s="57" customFormat="1" ht="13.8" outlineLevel="1" x14ac:dyDescent="0.3">
      <c r="A174" s="217">
        <v>24.03</v>
      </c>
      <c r="B174" s="218" t="s">
        <v>186</v>
      </c>
      <c r="C174" s="219" t="s">
        <v>184</v>
      </c>
      <c r="D174" s="220">
        <v>6</v>
      </c>
      <c r="E174" s="42">
        <v>188533</v>
      </c>
      <c r="F174" s="42">
        <f t="shared" si="101"/>
        <v>1131198</v>
      </c>
      <c r="G174" s="181"/>
      <c r="H174" s="32"/>
      <c r="I174" s="141"/>
      <c r="J174" s="141"/>
      <c r="K174" s="79">
        <f t="shared" ref="K174:K181" si="146">+I174+J174</f>
        <v>0</v>
      </c>
      <c r="L174" s="201">
        <f t="shared" ref="L174:L181" si="147">+F174*I174</f>
        <v>0</v>
      </c>
      <c r="M174" s="201">
        <f t="shared" ref="M174:M181" si="148">+F174*J174</f>
        <v>0</v>
      </c>
      <c r="N174" s="201">
        <f t="shared" ref="N174:N181" si="149">+F174*K174</f>
        <v>0</v>
      </c>
    </row>
    <row r="175" spans="1:14" s="57" customFormat="1" ht="13.8" outlineLevel="1" x14ac:dyDescent="0.3">
      <c r="A175" s="217">
        <v>24.04</v>
      </c>
      <c r="B175" s="218" t="s">
        <v>187</v>
      </c>
      <c r="C175" s="219" t="s">
        <v>28</v>
      </c>
      <c r="D175" s="220"/>
      <c r="E175" s="42">
        <v>4606562</v>
      </c>
      <c r="F175" s="42">
        <f t="shared" si="101"/>
        <v>0</v>
      </c>
      <c r="G175" s="181"/>
      <c r="H175" s="32"/>
      <c r="I175" s="141"/>
      <c r="J175" s="141"/>
      <c r="K175" s="79">
        <f t="shared" si="146"/>
        <v>0</v>
      </c>
      <c r="L175" s="201">
        <f t="shared" si="147"/>
        <v>0</v>
      </c>
      <c r="M175" s="201">
        <f t="shared" si="148"/>
        <v>0</v>
      </c>
      <c r="N175" s="201">
        <f t="shared" si="149"/>
        <v>0</v>
      </c>
    </row>
    <row r="176" spans="1:14" s="57" customFormat="1" ht="13.8" outlineLevel="1" x14ac:dyDescent="0.3">
      <c r="A176" s="217">
        <v>24.05</v>
      </c>
      <c r="B176" s="218" t="s">
        <v>188</v>
      </c>
      <c r="C176" s="219" t="s">
        <v>184</v>
      </c>
      <c r="D176" s="220">
        <v>6</v>
      </c>
      <c r="E176" s="42">
        <v>696152</v>
      </c>
      <c r="F176" s="42">
        <f t="shared" si="101"/>
        <v>4176912</v>
      </c>
      <c r="G176" s="181"/>
      <c r="H176" s="32"/>
      <c r="I176" s="141"/>
      <c r="J176" s="141"/>
      <c r="K176" s="79">
        <f t="shared" si="146"/>
        <v>0</v>
      </c>
      <c r="L176" s="201">
        <f t="shared" si="147"/>
        <v>0</v>
      </c>
      <c r="M176" s="201">
        <f t="shared" si="148"/>
        <v>0</v>
      </c>
      <c r="N176" s="201">
        <f t="shared" si="149"/>
        <v>0</v>
      </c>
    </row>
    <row r="177" spans="1:17" s="57" customFormat="1" ht="13.8" outlineLevel="1" x14ac:dyDescent="0.3">
      <c r="A177" s="217">
        <v>24.06</v>
      </c>
      <c r="B177" s="218" t="s">
        <v>189</v>
      </c>
      <c r="C177" s="219" t="s">
        <v>184</v>
      </c>
      <c r="D177" s="220">
        <v>6</v>
      </c>
      <c r="E177" s="42">
        <v>452333</v>
      </c>
      <c r="F177" s="42">
        <f t="shared" si="101"/>
        <v>2713998</v>
      </c>
      <c r="G177" s="181"/>
      <c r="H177" s="32"/>
      <c r="I177" s="141"/>
      <c r="J177" s="141"/>
      <c r="K177" s="79">
        <f t="shared" si="146"/>
        <v>0</v>
      </c>
      <c r="L177" s="201">
        <f t="shared" si="147"/>
        <v>0</v>
      </c>
      <c r="M177" s="201">
        <f t="shared" si="148"/>
        <v>0</v>
      </c>
      <c r="N177" s="201">
        <f t="shared" si="149"/>
        <v>0</v>
      </c>
    </row>
    <row r="178" spans="1:17" s="57" customFormat="1" ht="13.8" outlineLevel="1" x14ac:dyDescent="0.3">
      <c r="A178" s="217">
        <v>24.07</v>
      </c>
      <c r="B178" s="218" t="s">
        <v>190</v>
      </c>
      <c r="C178" s="219" t="s">
        <v>28</v>
      </c>
      <c r="D178" s="220">
        <v>0</v>
      </c>
      <c r="E178" s="42">
        <v>0</v>
      </c>
      <c r="F178" s="42">
        <f t="shared" si="101"/>
        <v>0</v>
      </c>
      <c r="G178" s="181"/>
      <c r="H178" s="32"/>
      <c r="I178" s="141"/>
      <c r="J178" s="141"/>
      <c r="K178" s="79">
        <f t="shared" si="146"/>
        <v>0</v>
      </c>
      <c r="L178" s="201">
        <f t="shared" si="147"/>
        <v>0</v>
      </c>
      <c r="M178" s="201">
        <f t="shared" si="148"/>
        <v>0</v>
      </c>
      <c r="N178" s="201">
        <f t="shared" si="149"/>
        <v>0</v>
      </c>
    </row>
    <row r="179" spans="1:17" s="57" customFormat="1" ht="13.8" outlineLevel="1" x14ac:dyDescent="0.3">
      <c r="A179" s="217">
        <v>24.08</v>
      </c>
      <c r="B179" s="218" t="s">
        <v>191</v>
      </c>
      <c r="C179" s="219" t="s">
        <v>184</v>
      </c>
      <c r="D179" s="220">
        <v>6</v>
      </c>
      <c r="E179" s="42">
        <v>314221</v>
      </c>
      <c r="F179" s="42">
        <f t="shared" si="101"/>
        <v>1885326</v>
      </c>
      <c r="G179" s="181"/>
      <c r="H179" s="32"/>
      <c r="I179" s="141"/>
      <c r="J179" s="141"/>
      <c r="K179" s="79">
        <f t="shared" si="146"/>
        <v>0</v>
      </c>
      <c r="L179" s="201">
        <f t="shared" si="147"/>
        <v>0</v>
      </c>
      <c r="M179" s="201">
        <f t="shared" si="148"/>
        <v>0</v>
      </c>
      <c r="N179" s="201">
        <f t="shared" si="149"/>
        <v>0</v>
      </c>
    </row>
    <row r="180" spans="1:17" s="57" customFormat="1" ht="13.8" outlineLevel="1" x14ac:dyDescent="0.3">
      <c r="A180" s="217">
        <v>24.09</v>
      </c>
      <c r="B180" s="218" t="s">
        <v>192</v>
      </c>
      <c r="C180" s="219" t="s">
        <v>184</v>
      </c>
      <c r="D180" s="220">
        <v>4</v>
      </c>
      <c r="E180" s="42">
        <v>0</v>
      </c>
      <c r="F180" s="42">
        <f t="shared" si="101"/>
        <v>0</v>
      </c>
      <c r="G180" s="181"/>
      <c r="H180" s="32"/>
      <c r="I180" s="141"/>
      <c r="J180" s="141"/>
      <c r="K180" s="79">
        <f t="shared" si="146"/>
        <v>0</v>
      </c>
      <c r="L180" s="201">
        <f t="shared" si="147"/>
        <v>0</v>
      </c>
      <c r="M180" s="201">
        <f t="shared" si="148"/>
        <v>0</v>
      </c>
      <c r="N180" s="201">
        <f t="shared" si="149"/>
        <v>0</v>
      </c>
    </row>
    <row r="181" spans="1:17" s="57" customFormat="1" ht="13.8" outlineLevel="1" x14ac:dyDescent="0.3">
      <c r="A181" s="221">
        <v>24.1</v>
      </c>
      <c r="B181" s="222" t="s">
        <v>193</v>
      </c>
      <c r="C181" s="223" t="s">
        <v>184</v>
      </c>
      <c r="D181" s="224">
        <v>6</v>
      </c>
      <c r="E181" s="60">
        <v>314138</v>
      </c>
      <c r="F181" s="60">
        <f t="shared" si="101"/>
        <v>1884828</v>
      </c>
      <c r="G181" s="181"/>
      <c r="H181" s="32"/>
      <c r="I181" s="141"/>
      <c r="J181" s="141"/>
      <c r="K181" s="79">
        <f t="shared" si="146"/>
        <v>0</v>
      </c>
      <c r="L181" s="201">
        <f t="shared" si="147"/>
        <v>0</v>
      </c>
      <c r="M181" s="201">
        <f t="shared" si="148"/>
        <v>0</v>
      </c>
      <c r="N181" s="201">
        <f t="shared" si="149"/>
        <v>0</v>
      </c>
    </row>
    <row r="182" spans="1:17" s="57" customFormat="1" ht="13.8" x14ac:dyDescent="0.3">
      <c r="A182" s="27">
        <v>25</v>
      </c>
      <c r="B182" s="28" t="s">
        <v>194</v>
      </c>
      <c r="C182" s="189"/>
      <c r="D182" s="65"/>
      <c r="E182" s="65"/>
      <c r="F182" s="65"/>
      <c r="G182" s="31">
        <f>+SUM(F183:F184)</f>
        <v>32415288</v>
      </c>
      <c r="H182" s="32">
        <f>+G182/$G$185</f>
        <v>4.4063037718334433E-2</v>
      </c>
      <c r="I182" s="205"/>
      <c r="J182" s="206"/>
      <c r="K182" s="206"/>
      <c r="L182" s="206"/>
      <c r="M182" s="207"/>
      <c r="N182" s="208"/>
    </row>
    <row r="183" spans="1:17" s="57" customFormat="1" ht="13.8" outlineLevel="1" x14ac:dyDescent="0.3">
      <c r="A183" s="213">
        <v>25.01</v>
      </c>
      <c r="B183" s="214" t="s">
        <v>195</v>
      </c>
      <c r="C183" s="215" t="s">
        <v>184</v>
      </c>
      <c r="D183" s="216">
        <v>6</v>
      </c>
      <c r="E183" s="37">
        <v>4774106</v>
      </c>
      <c r="F183" s="37">
        <f t="shared" si="101"/>
        <v>28644636</v>
      </c>
      <c r="G183" s="181"/>
      <c r="H183" s="32"/>
      <c r="I183" s="141"/>
      <c r="J183" s="141"/>
      <c r="K183" s="79">
        <f t="shared" ref="K183:K184" si="150">+I183+J183</f>
        <v>0</v>
      </c>
      <c r="L183" s="201">
        <f t="shared" ref="L183:L184" si="151">+F183*I183</f>
        <v>0</v>
      </c>
      <c r="M183" s="201">
        <f t="shared" ref="M183:M184" si="152">+F183*J183</f>
        <v>0</v>
      </c>
      <c r="N183" s="201">
        <f t="shared" ref="N183:N184" si="153">+F183*K183</f>
        <v>0</v>
      </c>
    </row>
    <row r="184" spans="1:17" s="57" customFormat="1" ht="13.8" outlineLevel="1" x14ac:dyDescent="0.3">
      <c r="A184" s="221">
        <v>25.02</v>
      </c>
      <c r="B184" s="222" t="s">
        <v>196</v>
      </c>
      <c r="C184" s="223" t="s">
        <v>184</v>
      </c>
      <c r="D184" s="224">
        <v>6</v>
      </c>
      <c r="E184" s="60">
        <v>628442</v>
      </c>
      <c r="F184" s="60">
        <f t="shared" si="101"/>
        <v>3770652</v>
      </c>
      <c r="G184" s="181"/>
      <c r="H184" s="32"/>
      <c r="I184" s="141"/>
      <c r="J184" s="141"/>
      <c r="K184" s="79">
        <f t="shared" si="150"/>
        <v>0</v>
      </c>
      <c r="L184" s="201">
        <f t="shared" si="151"/>
        <v>0</v>
      </c>
      <c r="M184" s="201">
        <f t="shared" si="152"/>
        <v>0</v>
      </c>
      <c r="N184" s="201">
        <f t="shared" si="153"/>
        <v>0</v>
      </c>
    </row>
    <row r="185" spans="1:17" s="57" customFormat="1" ht="13.8" x14ac:dyDescent="0.3">
      <c r="A185" s="27"/>
      <c r="B185" s="28" t="s">
        <v>197</v>
      </c>
      <c r="C185" s="189"/>
      <c r="D185" s="65"/>
      <c r="E185" s="65"/>
      <c r="F185" s="65">
        <f>+SUM(F9:F184)</f>
        <v>735657133.01950002</v>
      </c>
      <c r="G185" s="31">
        <f>+SUM(G9:G184)</f>
        <v>735657133.01950002</v>
      </c>
      <c r="H185" s="32">
        <f>+SUM(H9:H184)</f>
        <v>1</v>
      </c>
      <c r="I185" s="205"/>
      <c r="J185" s="206"/>
      <c r="K185" s="206"/>
      <c r="L185" s="237">
        <f>+SUM(L10:L184)</f>
        <v>0</v>
      </c>
      <c r="M185" s="237">
        <f>+SUM(M10:M184)</f>
        <v>26817056.5</v>
      </c>
      <c r="N185" s="238">
        <f>+SUM(N10:N184)</f>
        <v>26817056.5</v>
      </c>
    </row>
    <row r="186" spans="1:17" s="57" customFormat="1" ht="13.8" x14ac:dyDescent="0.3">
      <c r="A186" s="178"/>
      <c r="B186" s="145" t="s">
        <v>198</v>
      </c>
      <c r="C186" s="179"/>
      <c r="D186" s="180"/>
      <c r="E186" s="181"/>
      <c r="F186" s="181"/>
      <c r="G186" s="181"/>
      <c r="H186" s="32"/>
      <c r="L186" s="7"/>
      <c r="M186" s="170">
        <f>+M185/G185</f>
        <v>3.6453199862182484E-2</v>
      </c>
      <c r="N186" s="170">
        <f>+N185/G185</f>
        <v>3.6453199862182484E-2</v>
      </c>
    </row>
    <row r="187" spans="1:17" ht="12.75" customHeight="1" x14ac:dyDescent="0.3">
      <c r="M187" s="57"/>
      <c r="N187" s="57"/>
    </row>
    <row r="188" spans="1:17" ht="12.75" customHeight="1" x14ac:dyDescent="0.3">
      <c r="A188" s="81"/>
      <c r="B188" s="68" t="s">
        <v>199</v>
      </c>
      <c r="C188" s="82"/>
      <c r="D188" s="83"/>
      <c r="E188" s="84"/>
      <c r="F188" s="85"/>
      <c r="G188" s="86"/>
      <c r="H188" s="86"/>
      <c r="I188" s="87"/>
      <c r="J188" s="88"/>
      <c r="K188" s="89" t="s">
        <v>200</v>
      </c>
      <c r="L188" s="90">
        <f>+J5</f>
        <v>1</v>
      </c>
      <c r="M188" s="91"/>
      <c r="N188" s="92">
        <f>+N5</f>
        <v>45958</v>
      </c>
    </row>
    <row r="189" spans="1:17" ht="12.75" customHeight="1" x14ac:dyDescent="0.3">
      <c r="A189" s="93"/>
      <c r="B189" s="68" t="s">
        <v>6</v>
      </c>
      <c r="C189" s="91"/>
      <c r="D189" s="94"/>
      <c r="E189" s="95"/>
      <c r="F189" s="86"/>
      <c r="G189" s="86"/>
      <c r="H189" s="86"/>
      <c r="I189" s="96"/>
      <c r="J189" s="97"/>
      <c r="K189" s="96"/>
      <c r="L189" s="68"/>
      <c r="M189" s="91" t="s">
        <v>201</v>
      </c>
      <c r="N189" s="98" t="s">
        <v>202</v>
      </c>
    </row>
    <row r="190" spans="1:17" ht="12.75" customHeight="1" x14ac:dyDescent="0.3">
      <c r="A190" s="146" t="s">
        <v>203</v>
      </c>
      <c r="B190" s="99" t="s">
        <v>204</v>
      </c>
      <c r="C190" s="100"/>
      <c r="D190" s="101"/>
      <c r="E190" s="102"/>
      <c r="F190" s="103"/>
      <c r="G190" s="104"/>
      <c r="H190" s="104"/>
      <c r="I190" s="105"/>
      <c r="J190" s="106"/>
      <c r="K190" s="105"/>
      <c r="L190" s="107"/>
      <c r="M190" s="107"/>
      <c r="N190" s="108">
        <f>+G185</f>
        <v>735657133.01950002</v>
      </c>
      <c r="P190" s="171"/>
      <c r="Q190" s="172"/>
    </row>
    <row r="191" spans="1:17" ht="12.75" customHeight="1" x14ac:dyDescent="0.3">
      <c r="A191" s="109" t="s">
        <v>205</v>
      </c>
      <c r="B191" s="110" t="s">
        <v>206</v>
      </c>
      <c r="C191" s="111"/>
      <c r="D191" s="112"/>
      <c r="E191" s="113"/>
      <c r="F191" s="114"/>
      <c r="G191" s="115"/>
      <c r="H191" s="115"/>
      <c r="I191" s="114"/>
      <c r="J191" s="116"/>
      <c r="K191" s="117"/>
      <c r="L191" s="118"/>
      <c r="M191" s="240">
        <v>0.4</v>
      </c>
      <c r="N191" s="119">
        <f>+M191*N190</f>
        <v>294262853.20780003</v>
      </c>
      <c r="P191" s="173"/>
      <c r="Q191" s="172"/>
    </row>
    <row r="192" spans="1:17" ht="12.75" customHeight="1" x14ac:dyDescent="0.3">
      <c r="A192" s="147" t="s">
        <v>207</v>
      </c>
      <c r="B192" s="120" t="s">
        <v>208</v>
      </c>
      <c r="C192" s="121"/>
      <c r="D192" s="122"/>
      <c r="E192" s="123"/>
      <c r="F192" s="124"/>
      <c r="G192" s="125"/>
      <c r="H192" s="125"/>
      <c r="I192" s="126"/>
      <c r="J192" s="127"/>
      <c r="K192" s="126"/>
      <c r="L192" s="128"/>
      <c r="M192" s="128"/>
      <c r="N192" s="129">
        <f>+M185</f>
        <v>26817056.5</v>
      </c>
      <c r="P192" s="171"/>
      <c r="Q192" s="174"/>
    </row>
    <row r="193" spans="1:17" ht="12.75" customHeight="1" x14ac:dyDescent="0.3">
      <c r="A193" s="148" t="s">
        <v>209</v>
      </c>
      <c r="B193" s="149" t="s">
        <v>210</v>
      </c>
      <c r="C193" s="150"/>
      <c r="D193" s="151"/>
      <c r="E193" s="152"/>
      <c r="F193" s="153"/>
      <c r="G193" s="154"/>
      <c r="H193" s="154"/>
      <c r="I193" s="155"/>
      <c r="J193" s="156"/>
      <c r="K193" s="155"/>
      <c r="L193" s="157"/>
      <c r="M193" s="158">
        <f>-M191</f>
        <v>-0.4</v>
      </c>
      <c r="N193" s="159">
        <f>+M193*N192</f>
        <v>-10726822.600000001</v>
      </c>
      <c r="P193" s="173"/>
      <c r="Q193" s="175"/>
    </row>
    <row r="194" spans="1:17" ht="12.75" customHeight="1" x14ac:dyDescent="0.3">
      <c r="A194" s="160" t="s">
        <v>211</v>
      </c>
      <c r="B194" s="161" t="s">
        <v>212</v>
      </c>
      <c r="C194" s="162"/>
      <c r="D194" s="163"/>
      <c r="E194" s="164"/>
      <c r="F194" s="165"/>
      <c r="G194" s="165"/>
      <c r="H194" s="165"/>
      <c r="I194" s="165"/>
      <c r="J194" s="166"/>
      <c r="K194" s="167"/>
      <c r="L194" s="168"/>
      <c r="M194" s="168"/>
      <c r="N194" s="169">
        <f>+N192+N193</f>
        <v>16090233.899999999</v>
      </c>
      <c r="P194" s="171"/>
      <c r="Q194" s="176"/>
    </row>
    <row r="195" spans="1:17" ht="12.75" customHeight="1" x14ac:dyDescent="0.3">
      <c r="A195" s="177"/>
      <c r="B195" s="2" t="s">
        <v>213</v>
      </c>
      <c r="C195" s="150"/>
      <c r="D195" s="151"/>
      <c r="E195" s="152"/>
      <c r="F195" s="153"/>
      <c r="G195" s="154"/>
      <c r="H195" s="154"/>
      <c r="I195" s="155"/>
      <c r="J195" s="156"/>
      <c r="K195" s="155"/>
      <c r="L195" s="157"/>
    </row>
  </sheetData>
  <mergeCells count="2">
    <mergeCell ref="I7:K7"/>
    <mergeCell ref="L7:N7"/>
  </mergeCells>
  <conditionalFormatting sqref="C3:C12">
    <cfRule type="cellIs" dxfId="212" priority="64" operator="equal">
      <formula>"x"</formula>
    </cfRule>
  </conditionalFormatting>
  <conditionalFormatting sqref="C18">
    <cfRule type="cellIs" dxfId="211" priority="57" operator="equal">
      <formula>"x"</formula>
    </cfRule>
  </conditionalFormatting>
  <conditionalFormatting sqref="C20:C29">
    <cfRule type="cellIs" dxfId="210" priority="55" operator="equal">
      <formula>"x"</formula>
    </cfRule>
  </conditionalFormatting>
  <conditionalFormatting sqref="C37">
    <cfRule type="cellIs" dxfId="209" priority="53" operator="equal">
      <formula>"x"</formula>
    </cfRule>
  </conditionalFormatting>
  <conditionalFormatting sqref="C42:C53">
    <cfRule type="cellIs" dxfId="208" priority="52" operator="equal">
      <formula>"x"</formula>
    </cfRule>
  </conditionalFormatting>
  <conditionalFormatting sqref="C56:C186">
    <cfRule type="cellIs" dxfId="207" priority="30" operator="equal">
      <formula>"x"</formula>
    </cfRule>
  </conditionalFormatting>
  <conditionalFormatting sqref="K10:K17 K19:K25 K27 K29:K36 K38:K45 K47:K50 K52:K55">
    <cfRule type="cellIs" dxfId="206" priority="58" operator="lessThan">
      <formula>1</formula>
    </cfRule>
  </conditionalFormatting>
  <conditionalFormatting sqref="K57:K63">
    <cfRule type="cellIs" dxfId="205" priority="28" operator="lessThan">
      <formula>1</formula>
    </cfRule>
  </conditionalFormatting>
  <conditionalFormatting sqref="K65:K69">
    <cfRule type="cellIs" dxfId="204" priority="27" operator="lessThan">
      <formula>1</formula>
    </cfRule>
  </conditionalFormatting>
  <conditionalFormatting sqref="K71:K74">
    <cfRule type="cellIs" dxfId="203" priority="26" operator="lessThan">
      <formula>1</formula>
    </cfRule>
  </conditionalFormatting>
  <conditionalFormatting sqref="K76:K82">
    <cfRule type="cellIs" dxfId="202" priority="25" operator="lessThan">
      <formula>1</formula>
    </cfRule>
  </conditionalFormatting>
  <conditionalFormatting sqref="K84:K92">
    <cfRule type="cellIs" dxfId="201" priority="24" operator="lessThan">
      <formula>1</formula>
    </cfRule>
  </conditionalFormatting>
  <conditionalFormatting sqref="K94">
    <cfRule type="cellIs" dxfId="200" priority="23" operator="lessThan">
      <formula>1</formula>
    </cfRule>
  </conditionalFormatting>
  <conditionalFormatting sqref="K96:K99">
    <cfRule type="cellIs" dxfId="199" priority="22" operator="lessThan">
      <formula>1</formula>
    </cfRule>
  </conditionalFormatting>
  <conditionalFormatting sqref="K101:K130">
    <cfRule type="cellIs" dxfId="198" priority="29" operator="lessThan">
      <formula>1</formula>
    </cfRule>
  </conditionalFormatting>
  <conditionalFormatting sqref="K133:K136">
    <cfRule type="cellIs" dxfId="197" priority="21" operator="lessThan">
      <formula>1</formula>
    </cfRule>
  </conditionalFormatting>
  <conditionalFormatting sqref="K138:K140 K142:K146">
    <cfRule type="cellIs" dxfId="196" priority="20" operator="lessThan">
      <formula>1</formula>
    </cfRule>
  </conditionalFormatting>
  <conditionalFormatting sqref="K148">
    <cfRule type="cellIs" dxfId="195" priority="19" operator="lessThan">
      <formula>1</formula>
    </cfRule>
  </conditionalFormatting>
  <conditionalFormatting sqref="K150:K153">
    <cfRule type="cellIs" dxfId="194" priority="17" operator="lessThan">
      <formula>1</formula>
    </cfRule>
  </conditionalFormatting>
  <conditionalFormatting sqref="K155">
    <cfRule type="cellIs" dxfId="193" priority="16" operator="lessThan">
      <formula>1</formula>
    </cfRule>
  </conditionalFormatting>
  <conditionalFormatting sqref="K157:K158">
    <cfRule type="cellIs" dxfId="192" priority="14" operator="lessThan">
      <formula>1</formula>
    </cfRule>
  </conditionalFormatting>
  <conditionalFormatting sqref="K160:K161">
    <cfRule type="cellIs" dxfId="191" priority="12" operator="lessThan">
      <formula>1</formula>
    </cfRule>
  </conditionalFormatting>
  <conditionalFormatting sqref="K163">
    <cfRule type="cellIs" dxfId="190" priority="11" operator="lessThan">
      <formula>1</formula>
    </cfRule>
  </conditionalFormatting>
  <conditionalFormatting sqref="K165:K166">
    <cfRule type="cellIs" dxfId="189" priority="8" operator="lessThan">
      <formula>1</formula>
    </cfRule>
  </conditionalFormatting>
  <conditionalFormatting sqref="K168:K170">
    <cfRule type="cellIs" dxfId="188" priority="5" operator="lessThan">
      <formula>1</formula>
    </cfRule>
  </conditionalFormatting>
  <conditionalFormatting sqref="K172:K181">
    <cfRule type="cellIs" dxfId="187" priority="3" operator="lessThan">
      <formula>1</formula>
    </cfRule>
  </conditionalFormatting>
  <conditionalFormatting sqref="K183:K184">
    <cfRule type="cellIs" dxfId="186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1253-D3EA-482E-833C-C353A13F1BAF}">
  <dimension ref="A1:R195"/>
  <sheetViews>
    <sheetView workbookViewId="0">
      <pane xSplit="4" ySplit="8" topLeftCell="G146" activePane="bottomRight" state="frozen"/>
      <selection pane="topRight" activeCell="E1" sqref="E1"/>
      <selection pane="bottomLeft" activeCell="A9" sqref="A9"/>
      <selection pane="bottomRight" activeCell="B37" sqref="B37:B173"/>
    </sheetView>
  </sheetViews>
  <sheetFormatPr baseColWidth="10" defaultColWidth="11.5546875" defaultRowHeight="12.75" customHeight="1" outlineLevelRow="1" x14ac:dyDescent="0.3"/>
  <cols>
    <col min="1" max="1" width="6.5546875" style="1" bestFit="1" customWidth="1"/>
    <col min="2" max="2" width="82.6640625" style="2" bestFit="1" customWidth="1"/>
    <col min="3" max="3" width="5.33203125" style="3" bestFit="1" customWidth="1"/>
    <col min="4" max="4" width="6.5546875" style="4" bestFit="1" customWidth="1"/>
    <col min="5" max="5" width="11" style="5" bestFit="1" customWidth="1"/>
    <col min="6" max="6" width="11.6640625" style="5" bestFit="1" customWidth="1"/>
    <col min="7" max="7" width="11.6640625" style="26" bestFit="1" customWidth="1"/>
    <col min="8" max="8" width="5.33203125" style="7" bestFit="1" customWidth="1"/>
    <col min="9" max="14" width="13.33203125" style="7" customWidth="1"/>
    <col min="15" max="16" width="11.5546875" style="7"/>
    <col min="17" max="17" width="14.44140625" style="7" bestFit="1" customWidth="1"/>
    <col min="18" max="18" width="12.44140625" style="7" bestFit="1" customWidth="1"/>
    <col min="19" max="16384" width="11.5546875" style="7"/>
  </cols>
  <sheetData>
    <row r="1" spans="1:17" ht="12.75" customHeight="1" x14ac:dyDescent="0.3">
      <c r="F1" s="6" t="s">
        <v>0</v>
      </c>
      <c r="G1" s="6" t="s">
        <v>1</v>
      </c>
    </row>
    <row r="2" spans="1:17" ht="13.8" x14ac:dyDescent="0.3">
      <c r="E2" s="69"/>
      <c r="F2" s="9">
        <v>1005</v>
      </c>
      <c r="G2" s="9">
        <v>1170</v>
      </c>
    </row>
    <row r="3" spans="1:17" s="15" customFormat="1" ht="13.8" x14ac:dyDescent="0.25">
      <c r="A3" s="10"/>
      <c r="B3" s="11"/>
      <c r="C3" s="12"/>
      <c r="D3" s="13"/>
      <c r="E3" s="13"/>
      <c r="F3" s="13"/>
      <c r="G3" s="14"/>
    </row>
    <row r="4" spans="1:17" s="15" customFormat="1" ht="13.8" x14ac:dyDescent="0.25">
      <c r="A4" s="10"/>
      <c r="B4" s="11"/>
      <c r="C4" s="12"/>
      <c r="D4" s="13"/>
      <c r="E4" s="13"/>
      <c r="F4" s="16">
        <v>45628</v>
      </c>
      <c r="G4" s="14"/>
    </row>
    <row r="5" spans="1:17" s="15" customFormat="1" ht="13.8" x14ac:dyDescent="0.3">
      <c r="A5" s="10"/>
      <c r="B5" s="8" t="s">
        <v>2</v>
      </c>
      <c r="C5" s="12"/>
      <c r="D5" s="13"/>
      <c r="E5" s="17"/>
      <c r="F5" s="17"/>
      <c r="G5" s="14"/>
      <c r="I5" s="70" t="s">
        <v>3</v>
      </c>
      <c r="J5" s="242">
        <v>2</v>
      </c>
      <c r="K5" s="71"/>
      <c r="L5" s="72"/>
      <c r="M5" s="73"/>
      <c r="N5" s="241">
        <v>45988</v>
      </c>
    </row>
    <row r="6" spans="1:17" s="15" customFormat="1" ht="13.8" x14ac:dyDescent="0.25">
      <c r="A6" s="10"/>
      <c r="B6" s="8" t="s">
        <v>4</v>
      </c>
      <c r="C6" s="18"/>
      <c r="D6" s="19"/>
      <c r="E6" s="20"/>
      <c r="F6" s="20"/>
      <c r="G6" s="14"/>
      <c r="I6" s="74"/>
      <c r="J6" s="75"/>
      <c r="K6" s="74"/>
      <c r="L6" s="76"/>
      <c r="M6" s="76"/>
      <c r="N6" s="76"/>
    </row>
    <row r="7" spans="1:17" ht="13.8" x14ac:dyDescent="0.3">
      <c r="A7" s="21" t="s">
        <v>5</v>
      </c>
      <c r="B7" s="22" t="s">
        <v>6</v>
      </c>
      <c r="C7" s="23" t="s">
        <v>7</v>
      </c>
      <c r="D7" s="24" t="s">
        <v>8</v>
      </c>
      <c r="E7" s="25" t="s">
        <v>9</v>
      </c>
      <c r="F7" s="25" t="s">
        <v>10</v>
      </c>
      <c r="I7" s="297" t="s">
        <v>11</v>
      </c>
      <c r="J7" s="297"/>
      <c r="K7" s="297"/>
      <c r="L7" s="298" t="s">
        <v>12</v>
      </c>
      <c r="M7" s="298"/>
      <c r="N7" s="298"/>
    </row>
    <row r="8" spans="1:17" ht="13.8" x14ac:dyDescent="0.3">
      <c r="A8" s="182"/>
      <c r="B8" s="183" t="s">
        <v>13</v>
      </c>
      <c r="C8" s="29"/>
      <c r="D8" s="30"/>
      <c r="E8" s="30"/>
      <c r="F8" s="30"/>
      <c r="G8" s="184"/>
      <c r="H8" s="32"/>
      <c r="I8" s="77" t="s">
        <v>14</v>
      </c>
      <c r="J8" s="77" t="s">
        <v>15</v>
      </c>
      <c r="K8" s="77" t="s">
        <v>16</v>
      </c>
      <c r="L8" s="78" t="s">
        <v>14</v>
      </c>
      <c r="M8" s="78" t="s">
        <v>15</v>
      </c>
      <c r="N8" s="78" t="s">
        <v>16</v>
      </c>
    </row>
    <row r="9" spans="1:17" ht="13.8" x14ac:dyDescent="0.3">
      <c r="A9" s="27">
        <v>4</v>
      </c>
      <c r="B9" s="28" t="s">
        <v>17</v>
      </c>
      <c r="C9" s="189"/>
      <c r="D9" s="65"/>
      <c r="E9" s="65"/>
      <c r="F9" s="65"/>
      <c r="G9" s="31">
        <f>+SUM(F10:F17)</f>
        <v>54302889.68</v>
      </c>
      <c r="H9" s="32">
        <f>+G9/$G$185</f>
        <v>7.3815487191858167E-2</v>
      </c>
      <c r="I9" s="139"/>
      <c r="J9" s="140"/>
      <c r="K9" s="130"/>
      <c r="L9" s="130"/>
      <c r="M9" s="130"/>
      <c r="N9" s="66"/>
    </row>
    <row r="10" spans="1:17" ht="13.8" outlineLevel="1" x14ac:dyDescent="0.3">
      <c r="A10" s="33">
        <v>4.01</v>
      </c>
      <c r="B10" s="34" t="s">
        <v>18</v>
      </c>
      <c r="C10" s="35" t="s">
        <v>19</v>
      </c>
      <c r="D10" s="36">
        <v>819</v>
      </c>
      <c r="E10" s="37">
        <v>18993</v>
      </c>
      <c r="F10" s="37">
        <f>+D10*E10</f>
        <v>15555267</v>
      </c>
      <c r="G10" s="5"/>
      <c r="H10" s="32"/>
      <c r="I10" s="134">
        <f>+'SVD 4140_Pto. 01_Cert. 01'!K10</f>
        <v>0</v>
      </c>
      <c r="J10" s="134">
        <v>0.15</v>
      </c>
      <c r="K10" s="135">
        <f t="shared" ref="K10:K55" si="0">+I10+J10</f>
        <v>0.15</v>
      </c>
      <c r="L10" s="80">
        <f t="shared" ref="L10:L55" si="1">+F10*I10</f>
        <v>0</v>
      </c>
      <c r="M10" s="80">
        <f t="shared" ref="M10:M55" si="2">+F10*J10</f>
        <v>2333290.0499999998</v>
      </c>
      <c r="N10" s="80">
        <f t="shared" ref="N10:N55" si="3">+F10*K10</f>
        <v>2333290.0499999998</v>
      </c>
    </row>
    <row r="11" spans="1:17" ht="16.5" customHeight="1" outlineLevel="1" x14ac:dyDescent="0.3">
      <c r="A11" s="38">
        <v>4.0199999999999996</v>
      </c>
      <c r="B11" s="39" t="s">
        <v>20</v>
      </c>
      <c r="C11" s="40" t="s">
        <v>19</v>
      </c>
      <c r="D11" s="41">
        <v>612</v>
      </c>
      <c r="E11" s="42">
        <v>25172</v>
      </c>
      <c r="F11" s="42">
        <f t="shared" ref="F11:F74" si="4">+D11*E11</f>
        <v>15405264</v>
      </c>
      <c r="G11" s="5"/>
      <c r="H11" s="32"/>
      <c r="I11" s="136">
        <f>+'SVD 4140_Pto. 01_Cert. 01'!K11</f>
        <v>0</v>
      </c>
      <c r="J11" s="136">
        <v>0.05</v>
      </c>
      <c r="K11" s="79">
        <f t="shared" si="0"/>
        <v>0.05</v>
      </c>
      <c r="L11" s="80">
        <f t="shared" si="1"/>
        <v>0</v>
      </c>
      <c r="M11" s="80">
        <f t="shared" si="2"/>
        <v>770263.20000000007</v>
      </c>
      <c r="N11" s="80">
        <f t="shared" si="3"/>
        <v>770263.20000000007</v>
      </c>
    </row>
    <row r="12" spans="1:17" ht="13.8" outlineLevel="1" x14ac:dyDescent="0.3">
      <c r="A12" s="38">
        <v>4.03</v>
      </c>
      <c r="B12" s="39" t="s">
        <v>21</v>
      </c>
      <c r="C12" s="43" t="s">
        <v>19</v>
      </c>
      <c r="D12" s="44">
        <v>636</v>
      </c>
      <c r="E12" s="42">
        <v>21109</v>
      </c>
      <c r="F12" s="42">
        <f t="shared" si="4"/>
        <v>13425324</v>
      </c>
      <c r="G12" s="5"/>
      <c r="H12" s="32"/>
      <c r="I12" s="136">
        <f>+'SVD 4140_Pto. 01_Cert. 01'!K12</f>
        <v>0</v>
      </c>
      <c r="J12" s="136">
        <v>0.1</v>
      </c>
      <c r="K12" s="79">
        <f t="shared" si="0"/>
        <v>0.1</v>
      </c>
      <c r="L12" s="80">
        <f t="shared" si="1"/>
        <v>0</v>
      </c>
      <c r="M12" s="80">
        <f t="shared" si="2"/>
        <v>1342532.4000000001</v>
      </c>
      <c r="N12" s="80">
        <f t="shared" si="3"/>
        <v>1342532.4000000001</v>
      </c>
      <c r="Q12" s="243"/>
    </row>
    <row r="13" spans="1:17" ht="27.6" outlineLevel="1" x14ac:dyDescent="0.3">
      <c r="A13" s="38">
        <v>4.04</v>
      </c>
      <c r="B13" s="39" t="s">
        <v>22</v>
      </c>
      <c r="C13" s="40" t="s">
        <v>19</v>
      </c>
      <c r="D13" s="41">
        <v>195</v>
      </c>
      <c r="E13" s="42">
        <v>15092</v>
      </c>
      <c r="F13" s="42">
        <f t="shared" si="4"/>
        <v>2942940</v>
      </c>
      <c r="G13" s="5"/>
      <c r="H13" s="32"/>
      <c r="I13" s="136">
        <f>+'SVD 4140_Pto. 01_Cert. 01'!K13</f>
        <v>0</v>
      </c>
      <c r="J13" s="136"/>
      <c r="K13" s="79">
        <f t="shared" si="0"/>
        <v>0</v>
      </c>
      <c r="L13" s="80">
        <f t="shared" si="1"/>
        <v>0</v>
      </c>
      <c r="M13" s="80">
        <f t="shared" si="2"/>
        <v>0</v>
      </c>
      <c r="N13" s="80">
        <f t="shared" si="3"/>
        <v>0</v>
      </c>
    </row>
    <row r="14" spans="1:17" ht="13.8" outlineLevel="1" x14ac:dyDescent="0.3">
      <c r="A14" s="38">
        <v>4.05</v>
      </c>
      <c r="B14" s="39" t="s">
        <v>23</v>
      </c>
      <c r="C14" s="40" t="s">
        <v>19</v>
      </c>
      <c r="D14" s="41">
        <v>30.053999999999998</v>
      </c>
      <c r="E14" s="42">
        <v>67420</v>
      </c>
      <c r="F14" s="42">
        <f t="shared" si="4"/>
        <v>2026240.68</v>
      </c>
      <c r="G14" s="5"/>
      <c r="H14" s="32"/>
      <c r="I14" s="136">
        <f>+'SVD 4140_Pto. 01_Cert. 01'!K14</f>
        <v>0</v>
      </c>
      <c r="J14" s="136"/>
      <c r="K14" s="79">
        <f t="shared" si="0"/>
        <v>0</v>
      </c>
      <c r="L14" s="80">
        <f t="shared" si="1"/>
        <v>0</v>
      </c>
      <c r="M14" s="80">
        <f t="shared" si="2"/>
        <v>0</v>
      </c>
      <c r="N14" s="80">
        <f t="shared" si="3"/>
        <v>0</v>
      </c>
    </row>
    <row r="15" spans="1:17" ht="13.8" outlineLevel="1" x14ac:dyDescent="0.3">
      <c r="A15" s="38">
        <v>4.0599999999999996</v>
      </c>
      <c r="B15" s="39" t="s">
        <v>24</v>
      </c>
      <c r="C15" s="40" t="s">
        <v>19</v>
      </c>
      <c r="D15" s="41">
        <v>24</v>
      </c>
      <c r="E15" s="42">
        <v>54908</v>
      </c>
      <c r="F15" s="42">
        <f t="shared" si="4"/>
        <v>1317792</v>
      </c>
      <c r="G15" s="5"/>
      <c r="H15" s="32"/>
      <c r="I15" s="136">
        <f>+'SVD 4140_Pto. 01_Cert. 01'!K15</f>
        <v>0</v>
      </c>
      <c r="J15" s="136"/>
      <c r="K15" s="79">
        <f t="shared" si="0"/>
        <v>0</v>
      </c>
      <c r="L15" s="80">
        <f t="shared" si="1"/>
        <v>0</v>
      </c>
      <c r="M15" s="80">
        <f t="shared" si="2"/>
        <v>0</v>
      </c>
      <c r="N15" s="80">
        <f t="shared" si="3"/>
        <v>0</v>
      </c>
    </row>
    <row r="16" spans="1:17" ht="13.8" outlineLevel="1" x14ac:dyDescent="0.3">
      <c r="A16" s="38">
        <v>4.07</v>
      </c>
      <c r="B16" s="39" t="s">
        <v>25</v>
      </c>
      <c r="C16" s="40" t="s">
        <v>26</v>
      </c>
      <c r="D16" s="41">
        <v>81</v>
      </c>
      <c r="E16" s="42">
        <v>30989</v>
      </c>
      <c r="F16" s="42">
        <f t="shared" si="4"/>
        <v>2510109</v>
      </c>
      <c r="G16" s="5"/>
      <c r="H16" s="32"/>
      <c r="I16" s="136">
        <f>+'SVD 4140_Pto. 01_Cert. 01'!K16</f>
        <v>0</v>
      </c>
      <c r="J16" s="136"/>
      <c r="K16" s="79">
        <f t="shared" si="0"/>
        <v>0</v>
      </c>
      <c r="L16" s="80">
        <f t="shared" si="1"/>
        <v>0</v>
      </c>
      <c r="M16" s="80">
        <f t="shared" si="2"/>
        <v>0</v>
      </c>
      <c r="N16" s="80">
        <f t="shared" si="3"/>
        <v>0</v>
      </c>
    </row>
    <row r="17" spans="1:18" ht="13.8" outlineLevel="1" x14ac:dyDescent="0.3">
      <c r="A17" s="38">
        <v>4.08</v>
      </c>
      <c r="B17" s="39" t="s">
        <v>27</v>
      </c>
      <c r="C17" s="40" t="s">
        <v>28</v>
      </c>
      <c r="D17" s="41">
        <v>1</v>
      </c>
      <c r="E17" s="42">
        <v>1119953</v>
      </c>
      <c r="F17" s="42">
        <f t="shared" si="4"/>
        <v>1119953</v>
      </c>
      <c r="G17" s="5"/>
      <c r="H17" s="32"/>
      <c r="I17" s="136">
        <f>+'SVD 4140_Pto. 01_Cert. 01'!K17</f>
        <v>0</v>
      </c>
      <c r="J17" s="136">
        <v>0.5</v>
      </c>
      <c r="K17" s="79">
        <f t="shared" si="0"/>
        <v>0.5</v>
      </c>
      <c r="L17" s="80">
        <f t="shared" si="1"/>
        <v>0</v>
      </c>
      <c r="M17" s="80">
        <f t="shared" si="2"/>
        <v>559976.5</v>
      </c>
      <c r="N17" s="80">
        <f t="shared" si="3"/>
        <v>559976.5</v>
      </c>
    </row>
    <row r="18" spans="1:18" ht="13.8" x14ac:dyDescent="0.3">
      <c r="A18" s="27">
        <v>5</v>
      </c>
      <c r="B18" s="28" t="s">
        <v>29</v>
      </c>
      <c r="C18" s="189"/>
      <c r="D18" s="65"/>
      <c r="E18" s="65"/>
      <c r="F18" s="65"/>
      <c r="G18" s="31">
        <f>+SUM(F19:F25)</f>
        <v>35966419</v>
      </c>
      <c r="H18" s="32">
        <f>+G18/$G$185</f>
        <v>4.8890192707540352E-2</v>
      </c>
      <c r="I18" s="139"/>
      <c r="J18" s="140"/>
      <c r="K18" s="130"/>
      <c r="L18" s="130"/>
      <c r="M18" s="130"/>
      <c r="N18" s="66"/>
    </row>
    <row r="19" spans="1:18" ht="13.8" outlineLevel="1" x14ac:dyDescent="0.3">
      <c r="A19" s="33">
        <v>5.01</v>
      </c>
      <c r="B19" s="34" t="s">
        <v>30</v>
      </c>
      <c r="C19" s="35" t="s">
        <v>19</v>
      </c>
      <c r="D19" s="36">
        <v>139.05000000000001</v>
      </c>
      <c r="E19" s="37">
        <v>21800</v>
      </c>
      <c r="F19" s="37">
        <f t="shared" si="4"/>
        <v>3031290.0000000005</v>
      </c>
      <c r="G19" s="195"/>
      <c r="H19" s="32"/>
      <c r="I19" s="134">
        <f>+'SVD 4140_Pto. 01_Cert. 01'!K19</f>
        <v>0</v>
      </c>
      <c r="J19" s="134"/>
      <c r="K19" s="135">
        <f t="shared" ref="K19:K20" si="5">+I19+J19</f>
        <v>0</v>
      </c>
      <c r="L19" s="200">
        <f t="shared" ref="L19:L20" si="6">+F19*I19</f>
        <v>0</v>
      </c>
      <c r="M19" s="200">
        <f t="shared" ref="M19:M20" si="7">+F19*J19</f>
        <v>0</v>
      </c>
      <c r="N19" s="200">
        <f t="shared" ref="N19:N20" si="8">+F19*K19</f>
        <v>0</v>
      </c>
    </row>
    <row r="20" spans="1:18" ht="13.8" outlineLevel="1" x14ac:dyDescent="0.3">
      <c r="A20" s="190">
        <v>5.0199999999999996</v>
      </c>
      <c r="B20" s="191" t="s">
        <v>31</v>
      </c>
      <c r="C20" s="43" t="s">
        <v>19</v>
      </c>
      <c r="D20" s="44">
        <v>300</v>
      </c>
      <c r="E20" s="44">
        <v>5376</v>
      </c>
      <c r="F20" s="44">
        <f t="shared" si="4"/>
        <v>1612800</v>
      </c>
      <c r="G20" s="186"/>
      <c r="H20" s="32"/>
      <c r="I20" s="136">
        <f>+'SVD 4140_Pto. 01_Cert. 01'!K20</f>
        <v>0</v>
      </c>
      <c r="J20" s="136"/>
      <c r="K20" s="79">
        <f t="shared" si="5"/>
        <v>0</v>
      </c>
      <c r="L20" s="201">
        <f t="shared" si="6"/>
        <v>0</v>
      </c>
      <c r="M20" s="201">
        <f t="shared" si="7"/>
        <v>0</v>
      </c>
      <c r="N20" s="201">
        <f t="shared" si="8"/>
        <v>0</v>
      </c>
    </row>
    <row r="21" spans="1:18" ht="13.8" outlineLevel="1" x14ac:dyDescent="0.3">
      <c r="A21" s="38">
        <v>5.03</v>
      </c>
      <c r="B21" s="52" t="s">
        <v>32</v>
      </c>
      <c r="C21" s="49" t="s">
        <v>19</v>
      </c>
      <c r="D21" s="50">
        <v>48</v>
      </c>
      <c r="E21" s="42">
        <v>5376</v>
      </c>
      <c r="F21" s="42">
        <f t="shared" si="4"/>
        <v>258048</v>
      </c>
      <c r="G21" s="196"/>
      <c r="H21" s="32"/>
      <c r="I21" s="136">
        <f>+'SVD 4140_Pto. 01_Cert. 01'!K21</f>
        <v>0</v>
      </c>
      <c r="J21" s="136"/>
      <c r="K21" s="79">
        <f t="shared" si="0"/>
        <v>0</v>
      </c>
      <c r="L21" s="201">
        <f t="shared" si="1"/>
        <v>0</v>
      </c>
      <c r="M21" s="201">
        <f t="shared" si="2"/>
        <v>0</v>
      </c>
      <c r="N21" s="201">
        <f t="shared" si="3"/>
        <v>0</v>
      </c>
      <c r="R21" s="144"/>
    </row>
    <row r="22" spans="1:18" ht="13.8" outlineLevel="1" x14ac:dyDescent="0.3">
      <c r="A22" s="38">
        <v>5.04</v>
      </c>
      <c r="B22" s="39" t="s">
        <v>33</v>
      </c>
      <c r="C22" s="40" t="s">
        <v>19</v>
      </c>
      <c r="D22" s="50">
        <v>262</v>
      </c>
      <c r="E22" s="42">
        <v>4403</v>
      </c>
      <c r="F22" s="42">
        <f t="shared" si="4"/>
        <v>1153586</v>
      </c>
      <c r="G22" s="196"/>
      <c r="H22" s="32"/>
      <c r="I22" s="136">
        <f>+'SVD 4140_Pto. 01_Cert. 01'!K22</f>
        <v>0</v>
      </c>
      <c r="J22" s="136"/>
      <c r="K22" s="79">
        <f t="shared" si="0"/>
        <v>0</v>
      </c>
      <c r="L22" s="201">
        <f t="shared" si="1"/>
        <v>0</v>
      </c>
      <c r="M22" s="201">
        <f t="shared" si="2"/>
        <v>0</v>
      </c>
      <c r="N22" s="201">
        <f t="shared" si="3"/>
        <v>0</v>
      </c>
    </row>
    <row r="23" spans="1:18" ht="13.8" outlineLevel="1" x14ac:dyDescent="0.3">
      <c r="A23" s="38">
        <v>5.05</v>
      </c>
      <c r="B23" s="52" t="s">
        <v>34</v>
      </c>
      <c r="C23" s="49" t="s">
        <v>19</v>
      </c>
      <c r="D23" s="50">
        <v>510</v>
      </c>
      <c r="E23" s="42">
        <v>3578</v>
      </c>
      <c r="F23" s="42">
        <f t="shared" si="4"/>
        <v>1824780</v>
      </c>
      <c r="G23" s="196"/>
      <c r="H23" s="32"/>
      <c r="I23" s="136">
        <f>+'SVD 4140_Pto. 01_Cert. 01'!K23</f>
        <v>0</v>
      </c>
      <c r="J23" s="136"/>
      <c r="K23" s="79">
        <f t="shared" si="0"/>
        <v>0</v>
      </c>
      <c r="L23" s="201">
        <f t="shared" si="1"/>
        <v>0</v>
      </c>
      <c r="M23" s="201">
        <f t="shared" si="2"/>
        <v>0</v>
      </c>
      <c r="N23" s="201">
        <f t="shared" si="3"/>
        <v>0</v>
      </c>
    </row>
    <row r="24" spans="1:18" ht="13.8" outlineLevel="1" x14ac:dyDescent="0.3">
      <c r="A24" s="190">
        <v>5.0599999999999996</v>
      </c>
      <c r="B24" s="191" t="s">
        <v>35</v>
      </c>
      <c r="C24" s="43" t="s">
        <v>19</v>
      </c>
      <c r="D24" s="44">
        <v>510</v>
      </c>
      <c r="E24" s="44">
        <v>21800</v>
      </c>
      <c r="F24" s="44">
        <f t="shared" si="4"/>
        <v>11118000</v>
      </c>
      <c r="G24" s="186"/>
      <c r="H24" s="32"/>
      <c r="I24" s="136">
        <f>+'SVD 4140_Pto. 01_Cert. 01'!K24</f>
        <v>0</v>
      </c>
      <c r="J24" s="136"/>
      <c r="K24" s="79">
        <f t="shared" si="0"/>
        <v>0</v>
      </c>
      <c r="L24" s="201">
        <f t="shared" si="1"/>
        <v>0</v>
      </c>
      <c r="M24" s="201">
        <f t="shared" si="2"/>
        <v>0</v>
      </c>
      <c r="N24" s="201">
        <f t="shared" si="3"/>
        <v>0</v>
      </c>
    </row>
    <row r="25" spans="1:18" ht="13.8" outlineLevel="1" x14ac:dyDescent="0.3">
      <c r="A25" s="45">
        <v>5.07</v>
      </c>
      <c r="B25" s="192" t="s">
        <v>36</v>
      </c>
      <c r="C25" s="193" t="s">
        <v>28</v>
      </c>
      <c r="D25" s="194">
        <v>1</v>
      </c>
      <c r="E25" s="60">
        <v>16967915</v>
      </c>
      <c r="F25" s="60">
        <f t="shared" si="4"/>
        <v>16967915</v>
      </c>
      <c r="G25" s="197"/>
      <c r="H25" s="32"/>
      <c r="I25" s="137">
        <f>+'SVD 4140_Pto. 01_Cert. 01'!K25</f>
        <v>1</v>
      </c>
      <c r="J25" s="137"/>
      <c r="K25" s="138">
        <f t="shared" si="0"/>
        <v>1</v>
      </c>
      <c r="L25" s="202">
        <f t="shared" si="1"/>
        <v>16967915</v>
      </c>
      <c r="M25" s="202">
        <f t="shared" si="2"/>
        <v>0</v>
      </c>
      <c r="N25" s="202">
        <f t="shared" si="3"/>
        <v>16967915</v>
      </c>
    </row>
    <row r="26" spans="1:18" ht="13.8" x14ac:dyDescent="0.3">
      <c r="A26" s="27">
        <v>6</v>
      </c>
      <c r="B26" s="28" t="s">
        <v>37</v>
      </c>
      <c r="C26" s="189"/>
      <c r="D26" s="65"/>
      <c r="E26" s="65"/>
      <c r="F26" s="65"/>
      <c r="G26" s="31">
        <f>+SUM(F27)</f>
        <v>2433900</v>
      </c>
      <c r="H26" s="32">
        <f>+G26/$G$185</f>
        <v>3.3084706050630856E-3</v>
      </c>
      <c r="I26" s="139"/>
      <c r="J26" s="140"/>
      <c r="K26" s="130"/>
      <c r="L26" s="130"/>
      <c r="M26" s="130"/>
      <c r="N26" s="66"/>
    </row>
    <row r="27" spans="1:18" ht="13.8" outlineLevel="1" x14ac:dyDescent="0.3">
      <c r="A27" s="38">
        <v>6.02</v>
      </c>
      <c r="B27" s="51" t="s">
        <v>38</v>
      </c>
      <c r="C27" s="43" t="s">
        <v>26</v>
      </c>
      <c r="D27" s="44">
        <v>60</v>
      </c>
      <c r="E27" s="42">
        <v>40565</v>
      </c>
      <c r="F27" s="42">
        <f t="shared" si="4"/>
        <v>2433900</v>
      </c>
      <c r="G27" s="5"/>
      <c r="H27" s="32"/>
      <c r="I27" s="136">
        <f>+'SVD 4140_Pto. 01_Cert. 01'!K27</f>
        <v>0</v>
      </c>
      <c r="J27" s="136"/>
      <c r="K27" s="79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</row>
    <row r="28" spans="1:18" ht="13.8" x14ac:dyDescent="0.3">
      <c r="A28" s="27">
        <v>7</v>
      </c>
      <c r="B28" s="28" t="s">
        <v>39</v>
      </c>
      <c r="C28" s="189"/>
      <c r="D28" s="65"/>
      <c r="E28" s="65"/>
      <c r="F28" s="65"/>
      <c r="G28" s="31">
        <f>+SUM(F29:F36)</f>
        <v>136390555.29860002</v>
      </c>
      <c r="H28" s="32">
        <f>+G28/$G$185</f>
        <v>0.18539962324403197</v>
      </c>
      <c r="I28" s="139">
        <f>+'SVD 4140_Pto. 01_Cert. 01'!K28</f>
        <v>0</v>
      </c>
      <c r="J28" s="140"/>
      <c r="K28" s="130"/>
      <c r="L28" s="130"/>
      <c r="M28" s="130"/>
      <c r="N28" s="66"/>
    </row>
    <row r="29" spans="1:18" ht="13.8" outlineLevel="1" x14ac:dyDescent="0.3">
      <c r="A29" s="38">
        <v>7.01</v>
      </c>
      <c r="B29" s="51" t="s">
        <v>40</v>
      </c>
      <c r="C29" s="43" t="s">
        <v>19</v>
      </c>
      <c r="D29" s="44">
        <v>678.25199999999995</v>
      </c>
      <c r="E29" s="42">
        <v>16571</v>
      </c>
      <c r="F29" s="42">
        <f t="shared" si="4"/>
        <v>11239313.891999999</v>
      </c>
      <c r="G29" s="5"/>
      <c r="H29" s="32"/>
      <c r="I29" s="136">
        <f>+'SVD 4140_Pto. 01_Cert. 01'!K29</f>
        <v>0</v>
      </c>
      <c r="J29" s="136"/>
      <c r="K29" s="79">
        <f t="shared" si="0"/>
        <v>0</v>
      </c>
      <c r="L29" s="80">
        <f t="shared" si="1"/>
        <v>0</v>
      </c>
      <c r="M29" s="80">
        <f t="shared" si="2"/>
        <v>0</v>
      </c>
      <c r="N29" s="80">
        <f t="shared" si="3"/>
        <v>0</v>
      </c>
    </row>
    <row r="30" spans="1:18" ht="13.8" outlineLevel="1" x14ac:dyDescent="0.3">
      <c r="A30" s="38">
        <v>7.02</v>
      </c>
      <c r="B30" s="39" t="s">
        <v>41</v>
      </c>
      <c r="C30" s="49" t="s">
        <v>19</v>
      </c>
      <c r="D30" s="41">
        <v>876.08119999999985</v>
      </c>
      <c r="E30" s="42">
        <v>22183</v>
      </c>
      <c r="F30" s="42">
        <f t="shared" si="4"/>
        <v>19434109.259599999</v>
      </c>
      <c r="G30" s="5"/>
      <c r="H30" s="32"/>
      <c r="I30" s="136">
        <f>+'SVD 4140_Pto. 01_Cert. 01'!K30</f>
        <v>0</v>
      </c>
      <c r="J30" s="136"/>
      <c r="K30" s="79">
        <f t="shared" si="0"/>
        <v>0</v>
      </c>
      <c r="L30" s="80">
        <f t="shared" si="1"/>
        <v>0</v>
      </c>
      <c r="M30" s="80">
        <f t="shared" si="2"/>
        <v>0</v>
      </c>
      <c r="N30" s="80">
        <f t="shared" si="3"/>
        <v>0</v>
      </c>
    </row>
    <row r="31" spans="1:18" ht="13.8" outlineLevel="1" x14ac:dyDescent="0.3">
      <c r="A31" s="38">
        <v>7.03</v>
      </c>
      <c r="B31" s="39" t="s">
        <v>42</v>
      </c>
      <c r="C31" s="49" t="s">
        <v>26</v>
      </c>
      <c r="D31" s="41">
        <v>182</v>
      </c>
      <c r="E31" s="42">
        <v>10806</v>
      </c>
      <c r="F31" s="42">
        <f t="shared" si="4"/>
        <v>1966692</v>
      </c>
      <c r="G31" s="5"/>
      <c r="H31" s="32"/>
      <c r="I31" s="136">
        <f>+'SVD 4140_Pto. 01_Cert. 01'!K31</f>
        <v>0</v>
      </c>
      <c r="J31" s="136"/>
      <c r="K31" s="79">
        <f t="shared" si="0"/>
        <v>0</v>
      </c>
      <c r="L31" s="80">
        <f t="shared" si="1"/>
        <v>0</v>
      </c>
      <c r="M31" s="80">
        <f t="shared" si="2"/>
        <v>0</v>
      </c>
      <c r="N31" s="80">
        <f t="shared" si="3"/>
        <v>0</v>
      </c>
    </row>
    <row r="32" spans="1:18" ht="13.8" outlineLevel="1" x14ac:dyDescent="0.3">
      <c r="A32" s="38">
        <v>7.04</v>
      </c>
      <c r="B32" s="39" t="s">
        <v>43</v>
      </c>
      <c r="C32" s="49" t="s">
        <v>19</v>
      </c>
      <c r="D32" s="41">
        <v>995.85109999999997</v>
      </c>
      <c r="E32" s="42">
        <v>26530</v>
      </c>
      <c r="F32" s="42">
        <f t="shared" si="4"/>
        <v>26419929.682999998</v>
      </c>
      <c r="G32" s="5"/>
      <c r="H32" s="32"/>
      <c r="I32" s="136">
        <f>+'SVD 4140_Pto. 01_Cert. 01'!K32</f>
        <v>0</v>
      </c>
      <c r="J32" s="136"/>
      <c r="K32" s="79">
        <f t="shared" si="0"/>
        <v>0</v>
      </c>
      <c r="L32" s="80">
        <f t="shared" si="1"/>
        <v>0</v>
      </c>
      <c r="M32" s="80">
        <f t="shared" si="2"/>
        <v>0</v>
      </c>
      <c r="N32" s="80">
        <f t="shared" si="3"/>
        <v>0</v>
      </c>
    </row>
    <row r="33" spans="1:16" ht="13.8" outlineLevel="1" x14ac:dyDescent="0.3">
      <c r="A33" s="38">
        <v>7.05</v>
      </c>
      <c r="B33" s="39" t="s">
        <v>44</v>
      </c>
      <c r="C33" s="49" t="s">
        <v>19</v>
      </c>
      <c r="D33" s="41">
        <v>2514.8970000000013</v>
      </c>
      <c r="E33" s="42">
        <v>22566</v>
      </c>
      <c r="F33" s="42">
        <f t="shared" si="4"/>
        <v>56751165.702000029</v>
      </c>
      <c r="G33" s="5"/>
      <c r="H33" s="32"/>
      <c r="I33" s="136">
        <f>+'SVD 4140_Pto. 01_Cert. 01'!K33</f>
        <v>0</v>
      </c>
      <c r="J33" s="136"/>
      <c r="K33" s="79">
        <f t="shared" si="0"/>
        <v>0</v>
      </c>
      <c r="L33" s="80">
        <f t="shared" si="1"/>
        <v>0</v>
      </c>
      <c r="M33" s="80">
        <f t="shared" si="2"/>
        <v>0</v>
      </c>
      <c r="N33" s="80">
        <f t="shared" si="3"/>
        <v>0</v>
      </c>
    </row>
    <row r="34" spans="1:16" ht="13.8" outlineLevel="1" x14ac:dyDescent="0.3">
      <c r="A34" s="38">
        <v>7.06</v>
      </c>
      <c r="B34" s="39" t="s">
        <v>45</v>
      </c>
      <c r="C34" s="49" t="s">
        <v>26</v>
      </c>
      <c r="D34" s="41">
        <v>509.9</v>
      </c>
      <c r="E34" s="42">
        <v>12771</v>
      </c>
      <c r="F34" s="42">
        <f t="shared" si="4"/>
        <v>6511932.8999999994</v>
      </c>
      <c r="G34" s="5"/>
      <c r="H34" s="32"/>
      <c r="I34" s="136">
        <f>+'SVD 4140_Pto. 01_Cert. 01'!K34</f>
        <v>0</v>
      </c>
      <c r="J34" s="136"/>
      <c r="K34" s="79">
        <f t="shared" si="0"/>
        <v>0</v>
      </c>
      <c r="L34" s="80">
        <f t="shared" si="1"/>
        <v>0</v>
      </c>
      <c r="M34" s="80">
        <f t="shared" si="2"/>
        <v>0</v>
      </c>
      <c r="N34" s="80">
        <f t="shared" si="3"/>
        <v>0</v>
      </c>
    </row>
    <row r="35" spans="1:16" ht="13.8" outlineLevel="1" x14ac:dyDescent="0.3">
      <c r="A35" s="38">
        <v>7.07</v>
      </c>
      <c r="B35" s="39" t="s">
        <v>46</v>
      </c>
      <c r="C35" s="49" t="s">
        <v>47</v>
      </c>
      <c r="D35" s="41">
        <v>198</v>
      </c>
      <c r="E35" s="42">
        <v>14947</v>
      </c>
      <c r="F35" s="42">
        <f t="shared" si="4"/>
        <v>2959506</v>
      </c>
      <c r="G35" s="5"/>
      <c r="H35" s="32"/>
      <c r="I35" s="136">
        <f>+'SVD 4140_Pto. 01_Cert. 01'!K35</f>
        <v>0</v>
      </c>
      <c r="J35" s="136"/>
      <c r="K35" s="79">
        <f t="shared" si="0"/>
        <v>0</v>
      </c>
      <c r="L35" s="80">
        <f t="shared" si="1"/>
        <v>0</v>
      </c>
      <c r="M35" s="80">
        <f t="shared" si="2"/>
        <v>0</v>
      </c>
      <c r="N35" s="80">
        <f t="shared" si="3"/>
        <v>0</v>
      </c>
    </row>
    <row r="36" spans="1:16" ht="13.8" outlineLevel="1" x14ac:dyDescent="0.3">
      <c r="A36" s="38">
        <v>7.08</v>
      </c>
      <c r="B36" s="39" t="s">
        <v>48</v>
      </c>
      <c r="C36" s="49" t="s">
        <v>19</v>
      </c>
      <c r="D36" s="41">
        <v>670.322</v>
      </c>
      <c r="E36" s="42">
        <v>16571</v>
      </c>
      <c r="F36" s="42">
        <f t="shared" si="4"/>
        <v>11107905.862</v>
      </c>
      <c r="G36" s="5"/>
      <c r="H36" s="32"/>
      <c r="I36" s="136">
        <f>+'SVD 4140_Pto. 01_Cert. 01'!K36</f>
        <v>0</v>
      </c>
      <c r="J36" s="136"/>
      <c r="K36" s="79">
        <f t="shared" si="0"/>
        <v>0</v>
      </c>
      <c r="L36" s="80">
        <f t="shared" si="1"/>
        <v>0</v>
      </c>
      <c r="M36" s="80">
        <f t="shared" si="2"/>
        <v>0</v>
      </c>
      <c r="N36" s="80">
        <f t="shared" si="3"/>
        <v>0</v>
      </c>
    </row>
    <row r="37" spans="1:16" ht="13.8" x14ac:dyDescent="0.3">
      <c r="A37" s="27">
        <v>8</v>
      </c>
      <c r="B37" s="28" t="s">
        <v>49</v>
      </c>
      <c r="C37" s="189"/>
      <c r="D37" s="65"/>
      <c r="E37" s="65"/>
      <c r="F37" s="65"/>
      <c r="G37" s="31">
        <f>+SUM(F38:F45)</f>
        <v>44788107</v>
      </c>
      <c r="H37" s="32">
        <f>+G37/$G$185</f>
        <v>6.0881768135880775E-2</v>
      </c>
      <c r="I37" s="139"/>
      <c r="J37" s="140"/>
      <c r="K37" s="130"/>
      <c r="L37" s="130"/>
      <c r="M37" s="130"/>
      <c r="N37" s="66"/>
    </row>
    <row r="38" spans="1:16" ht="13.8" outlineLevel="1" x14ac:dyDescent="0.3">
      <c r="A38" s="33">
        <v>8.01</v>
      </c>
      <c r="B38" s="198" t="s">
        <v>50</v>
      </c>
      <c r="C38" s="61" t="s">
        <v>19</v>
      </c>
      <c r="D38" s="62">
        <v>104</v>
      </c>
      <c r="E38" s="37">
        <v>31920</v>
      </c>
      <c r="F38" s="37">
        <f t="shared" si="4"/>
        <v>3319680</v>
      </c>
      <c r="G38" s="5"/>
      <c r="H38" s="32"/>
      <c r="I38" s="134">
        <f>+'SVD 4140_Pto. 01_Cert. 01'!K38</f>
        <v>0.5</v>
      </c>
      <c r="J38" s="134">
        <v>0.5</v>
      </c>
      <c r="K38" s="135">
        <f t="shared" si="0"/>
        <v>1</v>
      </c>
      <c r="L38" s="200">
        <f t="shared" si="1"/>
        <v>1659840</v>
      </c>
      <c r="M38" s="200">
        <f t="shared" si="2"/>
        <v>1659840</v>
      </c>
      <c r="N38" s="200">
        <f t="shared" si="3"/>
        <v>3319680</v>
      </c>
    </row>
    <row r="39" spans="1:16" ht="13.8" outlineLevel="1" x14ac:dyDescent="0.3">
      <c r="A39" s="38">
        <v>8.02</v>
      </c>
      <c r="B39" s="52" t="s">
        <v>51</v>
      </c>
      <c r="C39" s="49" t="s">
        <v>19</v>
      </c>
      <c r="D39" s="50">
        <v>48</v>
      </c>
      <c r="E39" s="42">
        <v>37268</v>
      </c>
      <c r="F39" s="42">
        <f t="shared" si="4"/>
        <v>1788864</v>
      </c>
      <c r="G39" s="5"/>
      <c r="H39" s="32"/>
      <c r="I39" s="136">
        <f>+'SVD 4140_Pto. 01_Cert. 01'!K39</f>
        <v>0</v>
      </c>
      <c r="J39" s="136"/>
      <c r="K39" s="79">
        <f t="shared" si="0"/>
        <v>0</v>
      </c>
      <c r="L39" s="201">
        <f t="shared" si="1"/>
        <v>0</v>
      </c>
      <c r="M39" s="201">
        <f t="shared" si="2"/>
        <v>0</v>
      </c>
      <c r="N39" s="201">
        <f t="shared" si="3"/>
        <v>0</v>
      </c>
    </row>
    <row r="40" spans="1:16" ht="13.8" outlineLevel="1" x14ac:dyDescent="0.3">
      <c r="A40" s="38">
        <v>8.0299999999999994</v>
      </c>
      <c r="B40" s="52" t="s">
        <v>52</v>
      </c>
      <c r="C40" s="49" t="s">
        <v>19</v>
      </c>
      <c r="D40" s="50">
        <v>235</v>
      </c>
      <c r="E40" s="42">
        <v>32410</v>
      </c>
      <c r="F40" s="42">
        <f t="shared" si="4"/>
        <v>7616350</v>
      </c>
      <c r="G40" s="5"/>
      <c r="H40" s="32"/>
      <c r="I40" s="136">
        <f>+'SVD 4140_Pto. 01_Cert. 01'!K40</f>
        <v>0</v>
      </c>
      <c r="J40" s="136"/>
      <c r="K40" s="79">
        <f t="shared" si="0"/>
        <v>0</v>
      </c>
      <c r="L40" s="201">
        <f t="shared" si="1"/>
        <v>0</v>
      </c>
      <c r="M40" s="201">
        <f t="shared" si="2"/>
        <v>0</v>
      </c>
      <c r="N40" s="201">
        <f t="shared" si="3"/>
        <v>0</v>
      </c>
    </row>
    <row r="41" spans="1:16" ht="13.8" outlineLevel="1" x14ac:dyDescent="0.3">
      <c r="A41" s="38">
        <v>8.0399999999999991</v>
      </c>
      <c r="B41" s="39" t="s">
        <v>53</v>
      </c>
      <c r="C41" s="40" t="s">
        <v>19</v>
      </c>
      <c r="D41" s="50">
        <v>878</v>
      </c>
      <c r="E41" s="42">
        <v>19006</v>
      </c>
      <c r="F41" s="42">
        <f t="shared" si="4"/>
        <v>16687268</v>
      </c>
      <c r="G41" s="5"/>
      <c r="H41" s="32"/>
      <c r="I41" s="136">
        <f>+'SVD 4140_Pto. 01_Cert. 01'!K41</f>
        <v>0</v>
      </c>
      <c r="J41" s="136"/>
      <c r="K41" s="79">
        <f t="shared" si="0"/>
        <v>0</v>
      </c>
      <c r="L41" s="201">
        <f t="shared" si="1"/>
        <v>0</v>
      </c>
      <c r="M41" s="201">
        <f t="shared" si="2"/>
        <v>0</v>
      </c>
      <c r="N41" s="201">
        <f t="shared" si="3"/>
        <v>0</v>
      </c>
    </row>
    <row r="42" spans="1:16" ht="13.8" outlineLevel="1" x14ac:dyDescent="0.3">
      <c r="A42" s="190">
        <v>8.0500000000000007</v>
      </c>
      <c r="B42" s="191" t="s">
        <v>54</v>
      </c>
      <c r="C42" s="43" t="s">
        <v>19</v>
      </c>
      <c r="D42" s="44">
        <v>564</v>
      </c>
      <c r="E42" s="44">
        <v>12439</v>
      </c>
      <c r="F42" s="44">
        <f t="shared" si="4"/>
        <v>7015596</v>
      </c>
      <c r="G42" s="5"/>
      <c r="H42" s="32"/>
      <c r="I42" s="239">
        <f>+'SVD 4140_Pto. 01_Cert. 01'!K42</f>
        <v>0</v>
      </c>
      <c r="J42" s="239"/>
      <c r="K42" s="79">
        <f t="shared" si="0"/>
        <v>0</v>
      </c>
      <c r="L42" s="201">
        <f t="shared" si="1"/>
        <v>0</v>
      </c>
      <c r="M42" s="201">
        <f t="shared" si="2"/>
        <v>0</v>
      </c>
      <c r="N42" s="201">
        <f t="shared" si="3"/>
        <v>0</v>
      </c>
    </row>
    <row r="43" spans="1:16" ht="13.8" outlineLevel="1" x14ac:dyDescent="0.3">
      <c r="A43" s="38">
        <v>8.06</v>
      </c>
      <c r="B43" s="199" t="s">
        <v>55</v>
      </c>
      <c r="C43" s="40" t="s">
        <v>19</v>
      </c>
      <c r="D43" s="41">
        <v>438</v>
      </c>
      <c r="E43" s="42">
        <v>12439</v>
      </c>
      <c r="F43" s="42">
        <f t="shared" si="4"/>
        <v>5448282</v>
      </c>
      <c r="G43" s="5"/>
      <c r="I43" s="136">
        <f>+'SVD 4140_Pto. 01_Cert. 01'!K43</f>
        <v>0</v>
      </c>
      <c r="J43" s="136"/>
      <c r="K43" s="79">
        <f t="shared" si="0"/>
        <v>0</v>
      </c>
      <c r="L43" s="201">
        <f t="shared" si="1"/>
        <v>0</v>
      </c>
      <c r="M43" s="201">
        <f t="shared" si="2"/>
        <v>0</v>
      </c>
      <c r="N43" s="201">
        <f t="shared" si="3"/>
        <v>0</v>
      </c>
      <c r="P43" s="144"/>
    </row>
    <row r="44" spans="1:16" ht="13.8" outlineLevel="1" x14ac:dyDescent="0.3">
      <c r="A44" s="38">
        <v>8.07</v>
      </c>
      <c r="B44" s="199" t="s">
        <v>56</v>
      </c>
      <c r="C44" s="40" t="s">
        <v>28</v>
      </c>
      <c r="D44" s="41">
        <v>1</v>
      </c>
      <c r="E44" s="42">
        <v>2426924</v>
      </c>
      <c r="F44" s="42">
        <f t="shared" si="4"/>
        <v>2426924</v>
      </c>
      <c r="G44" s="5"/>
      <c r="I44" s="136">
        <f>+'SVD 4140_Pto. 01_Cert. 01'!K44</f>
        <v>0</v>
      </c>
      <c r="J44" s="136"/>
      <c r="K44" s="79">
        <f t="shared" si="0"/>
        <v>0</v>
      </c>
      <c r="L44" s="201">
        <f t="shared" si="1"/>
        <v>0</v>
      </c>
      <c r="M44" s="201">
        <f t="shared" si="2"/>
        <v>0</v>
      </c>
      <c r="N44" s="201">
        <f t="shared" si="3"/>
        <v>0</v>
      </c>
    </row>
    <row r="45" spans="1:16" ht="13.8" outlineLevel="1" x14ac:dyDescent="0.3">
      <c r="A45" s="45">
        <v>8.08</v>
      </c>
      <c r="B45" s="59" t="s">
        <v>57</v>
      </c>
      <c r="C45" s="47" t="s">
        <v>28</v>
      </c>
      <c r="D45" s="48">
        <v>1</v>
      </c>
      <c r="E45" s="60">
        <v>485143</v>
      </c>
      <c r="F45" s="60">
        <f t="shared" si="4"/>
        <v>485143</v>
      </c>
      <c r="G45" s="5"/>
      <c r="I45" s="137">
        <f>+'SVD 4140_Pto. 01_Cert. 01'!K45</f>
        <v>0</v>
      </c>
      <c r="J45" s="137"/>
      <c r="K45" s="138">
        <f t="shared" si="0"/>
        <v>0</v>
      </c>
      <c r="L45" s="202">
        <f t="shared" si="1"/>
        <v>0</v>
      </c>
      <c r="M45" s="202">
        <f t="shared" si="2"/>
        <v>0</v>
      </c>
      <c r="N45" s="202">
        <f t="shared" si="3"/>
        <v>0</v>
      </c>
    </row>
    <row r="46" spans="1:16" ht="13.8" x14ac:dyDescent="0.3">
      <c r="A46" s="27">
        <v>9</v>
      </c>
      <c r="B46" s="28" t="s">
        <v>58</v>
      </c>
      <c r="C46" s="189"/>
      <c r="D46" s="65"/>
      <c r="E46" s="65"/>
      <c r="F46" s="65"/>
      <c r="G46" s="31">
        <f>+SUM(F47:F50)</f>
        <v>5769056.5999999996</v>
      </c>
      <c r="H46" s="32">
        <f>+G46/$G$185</f>
        <v>7.8420453511011904E-3</v>
      </c>
      <c r="I46" s="139"/>
      <c r="J46" s="140"/>
      <c r="K46" s="130"/>
      <c r="L46" s="130"/>
      <c r="M46" s="130"/>
      <c r="N46" s="66"/>
    </row>
    <row r="47" spans="1:16" s="57" customFormat="1" ht="13.8" outlineLevel="1" x14ac:dyDescent="0.3">
      <c r="A47" s="38">
        <v>9.01</v>
      </c>
      <c r="B47" s="55" t="s">
        <v>59</v>
      </c>
      <c r="C47" s="56" t="s">
        <v>28</v>
      </c>
      <c r="D47" s="41">
        <v>1</v>
      </c>
      <c r="E47" s="42">
        <v>2024643</v>
      </c>
      <c r="F47" s="42">
        <f t="shared" si="4"/>
        <v>2024643</v>
      </c>
      <c r="G47" s="185"/>
      <c r="H47" s="32"/>
      <c r="I47" s="141">
        <f>+'SVD 4140_Pto. 01_Cert. 01'!K47</f>
        <v>0</v>
      </c>
      <c r="J47" s="141"/>
      <c r="K47" s="79">
        <f t="shared" si="0"/>
        <v>0</v>
      </c>
      <c r="L47" s="80">
        <f t="shared" si="1"/>
        <v>0</v>
      </c>
      <c r="M47" s="80">
        <f t="shared" si="2"/>
        <v>0</v>
      </c>
      <c r="N47" s="80">
        <f t="shared" si="3"/>
        <v>0</v>
      </c>
    </row>
    <row r="48" spans="1:16" s="57" customFormat="1" ht="13.8" outlineLevel="1" x14ac:dyDescent="0.3">
      <c r="A48" s="54">
        <v>9.02</v>
      </c>
      <c r="B48" s="55" t="s">
        <v>60</v>
      </c>
      <c r="C48" s="56" t="s">
        <v>26</v>
      </c>
      <c r="D48" s="41">
        <v>122</v>
      </c>
      <c r="E48" s="42">
        <v>18814</v>
      </c>
      <c r="F48" s="42">
        <f t="shared" si="4"/>
        <v>2295308</v>
      </c>
      <c r="G48" s="185"/>
      <c r="H48" s="32"/>
      <c r="I48" s="141">
        <f>+'SVD 4140_Pto. 01_Cert. 01'!K48</f>
        <v>0</v>
      </c>
      <c r="J48" s="141"/>
      <c r="K48" s="79">
        <f t="shared" si="0"/>
        <v>0</v>
      </c>
      <c r="L48" s="80">
        <f t="shared" si="1"/>
        <v>0</v>
      </c>
      <c r="M48" s="80">
        <f t="shared" si="2"/>
        <v>0</v>
      </c>
      <c r="N48" s="80">
        <f t="shared" si="3"/>
        <v>0</v>
      </c>
    </row>
    <row r="49" spans="1:14" s="57" customFormat="1" ht="13.8" outlineLevel="1" x14ac:dyDescent="0.3">
      <c r="A49" s="38">
        <v>9.0299999999999994</v>
      </c>
      <c r="B49" s="55" t="s">
        <v>61</v>
      </c>
      <c r="C49" s="56" t="s">
        <v>26</v>
      </c>
      <c r="D49" s="41">
        <v>155</v>
      </c>
      <c r="E49" s="42">
        <v>5376</v>
      </c>
      <c r="F49" s="42">
        <f t="shared" si="4"/>
        <v>833280</v>
      </c>
      <c r="G49" s="185"/>
      <c r="H49" s="32"/>
      <c r="I49" s="141">
        <f>+'SVD 4140_Pto. 01_Cert. 01'!K49</f>
        <v>0</v>
      </c>
      <c r="J49" s="141"/>
      <c r="K49" s="79">
        <f t="shared" si="0"/>
        <v>0</v>
      </c>
      <c r="L49" s="80">
        <f t="shared" si="1"/>
        <v>0</v>
      </c>
      <c r="M49" s="80">
        <f t="shared" si="2"/>
        <v>0</v>
      </c>
      <c r="N49" s="80">
        <f t="shared" si="3"/>
        <v>0</v>
      </c>
    </row>
    <row r="50" spans="1:14" s="57" customFormat="1" ht="13.8" outlineLevel="1" x14ac:dyDescent="0.3">
      <c r="A50" s="54">
        <v>9.0399999999999991</v>
      </c>
      <c r="B50" s="55" t="s">
        <v>62</v>
      </c>
      <c r="C50" s="56" t="s">
        <v>26</v>
      </c>
      <c r="D50" s="41">
        <v>31.200000000000003</v>
      </c>
      <c r="E50" s="42">
        <v>19738</v>
      </c>
      <c r="F50" s="42">
        <f t="shared" si="4"/>
        <v>615825.60000000009</v>
      </c>
      <c r="G50" s="185"/>
      <c r="H50" s="32"/>
      <c r="I50" s="141">
        <f>+'SVD 4140_Pto. 01_Cert. 01'!K50</f>
        <v>0</v>
      </c>
      <c r="J50" s="141"/>
      <c r="K50" s="79">
        <f t="shared" si="0"/>
        <v>0</v>
      </c>
      <c r="L50" s="80">
        <f t="shared" si="1"/>
        <v>0</v>
      </c>
      <c r="M50" s="80">
        <f t="shared" si="2"/>
        <v>0</v>
      </c>
      <c r="N50" s="80">
        <f t="shared" si="3"/>
        <v>0</v>
      </c>
    </row>
    <row r="51" spans="1:14" s="58" customFormat="1" ht="13.8" x14ac:dyDescent="0.3">
      <c r="A51" s="27">
        <v>10</v>
      </c>
      <c r="B51" s="28" t="s">
        <v>63</v>
      </c>
      <c r="C51" s="189"/>
      <c r="D51" s="65"/>
      <c r="E51" s="65"/>
      <c r="F51" s="65"/>
      <c r="G51" s="31">
        <f>+SUM(F52:F55)</f>
        <v>4669278</v>
      </c>
      <c r="H51" s="32">
        <f>+G51/$G$185</f>
        <v>6.3470845186193985E-3</v>
      </c>
      <c r="I51" s="139"/>
      <c r="J51" s="140"/>
      <c r="K51" s="130"/>
      <c r="L51" s="130"/>
      <c r="M51" s="130"/>
      <c r="N51" s="66"/>
    </row>
    <row r="52" spans="1:14" s="58" customFormat="1" ht="13.8" outlineLevel="1" x14ac:dyDescent="0.3">
      <c r="A52" s="33">
        <v>10.01</v>
      </c>
      <c r="B52" s="209" t="s">
        <v>64</v>
      </c>
      <c r="C52" s="210" t="s">
        <v>28</v>
      </c>
      <c r="D52" s="36">
        <v>0</v>
      </c>
      <c r="E52" s="37">
        <v>0</v>
      </c>
      <c r="F52" s="37">
        <f t="shared" si="4"/>
        <v>0</v>
      </c>
      <c r="G52" s="211"/>
      <c r="H52" s="32"/>
      <c r="I52" s="142">
        <f>+'SVD 4140_Pto. 01_Cert. 01'!K52</f>
        <v>0</v>
      </c>
      <c r="J52" s="142"/>
      <c r="K52" s="135">
        <f t="shared" ref="K52:K53" si="9">+I52+J52</f>
        <v>0</v>
      </c>
      <c r="L52" s="200">
        <f t="shared" ref="L52:L53" si="10">+F52*I52</f>
        <v>0</v>
      </c>
      <c r="M52" s="200">
        <f t="shared" ref="M52:M53" si="11">+F52*J52</f>
        <v>0</v>
      </c>
      <c r="N52" s="200">
        <f t="shared" ref="N52:N53" si="12">+F52*K52</f>
        <v>0</v>
      </c>
    </row>
    <row r="53" spans="1:14" ht="13.8" outlineLevel="1" x14ac:dyDescent="0.3">
      <c r="A53" s="190">
        <v>10.02</v>
      </c>
      <c r="B53" s="191" t="s">
        <v>65</v>
      </c>
      <c r="C53" s="43" t="s">
        <v>28</v>
      </c>
      <c r="D53" s="44">
        <v>1</v>
      </c>
      <c r="E53" s="44">
        <v>2199545</v>
      </c>
      <c r="F53" s="44">
        <f t="shared" si="4"/>
        <v>2199545</v>
      </c>
      <c r="G53" s="186"/>
      <c r="H53" s="32"/>
      <c r="I53" s="236">
        <f>+'SVD 4140_Pto. 01_Cert. 01'!K53</f>
        <v>0</v>
      </c>
      <c r="J53" s="236"/>
      <c r="K53" s="79">
        <f t="shared" si="9"/>
        <v>0</v>
      </c>
      <c r="L53" s="201">
        <f t="shared" si="10"/>
        <v>0</v>
      </c>
      <c r="M53" s="201">
        <f t="shared" si="11"/>
        <v>0</v>
      </c>
      <c r="N53" s="201">
        <f t="shared" si="12"/>
        <v>0</v>
      </c>
    </row>
    <row r="54" spans="1:14" s="63" customFormat="1" ht="13.8" outlineLevel="1" x14ac:dyDescent="0.3">
      <c r="A54" s="38">
        <v>10.029999999999999</v>
      </c>
      <c r="B54" s="39" t="s">
        <v>66</v>
      </c>
      <c r="C54" s="49" t="s">
        <v>67</v>
      </c>
      <c r="D54" s="50">
        <v>0</v>
      </c>
      <c r="E54" s="42">
        <v>0</v>
      </c>
      <c r="F54" s="42">
        <f t="shared" si="4"/>
        <v>0</v>
      </c>
      <c r="G54" s="186"/>
      <c r="I54" s="236">
        <f>+'SVD 4140_Pto. 01_Cert. 01'!K54</f>
        <v>0</v>
      </c>
      <c r="J54" s="236"/>
      <c r="K54" s="79">
        <f t="shared" si="0"/>
        <v>0</v>
      </c>
      <c r="L54" s="201">
        <f t="shared" si="1"/>
        <v>0</v>
      </c>
      <c r="M54" s="201">
        <f t="shared" si="2"/>
        <v>0</v>
      </c>
      <c r="N54" s="201">
        <f t="shared" si="3"/>
        <v>0</v>
      </c>
    </row>
    <row r="55" spans="1:14" s="63" customFormat="1" ht="13.8" outlineLevel="1" x14ac:dyDescent="0.3">
      <c r="A55" s="45">
        <v>10.039999999999999</v>
      </c>
      <c r="B55" s="46" t="s">
        <v>68</v>
      </c>
      <c r="C55" s="64" t="s">
        <v>47</v>
      </c>
      <c r="D55" s="53">
        <v>7</v>
      </c>
      <c r="E55" s="60">
        <v>352819</v>
      </c>
      <c r="F55" s="60">
        <f t="shared" si="4"/>
        <v>2469733</v>
      </c>
      <c r="G55" s="212"/>
      <c r="I55" s="143">
        <f>+'SVD 4140_Pto. 01_Cert. 01'!K55</f>
        <v>0</v>
      </c>
      <c r="J55" s="143"/>
      <c r="K55" s="138">
        <f t="shared" si="0"/>
        <v>0</v>
      </c>
      <c r="L55" s="202">
        <f t="shared" si="1"/>
        <v>0</v>
      </c>
      <c r="M55" s="202">
        <f t="shared" si="2"/>
        <v>0</v>
      </c>
      <c r="N55" s="202">
        <f t="shared" si="3"/>
        <v>0</v>
      </c>
    </row>
    <row r="56" spans="1:14" s="63" customFormat="1" ht="13.8" x14ac:dyDescent="0.3">
      <c r="A56" s="27">
        <v>11</v>
      </c>
      <c r="B56" s="28" t="s">
        <v>69</v>
      </c>
      <c r="C56" s="189"/>
      <c r="D56" s="65"/>
      <c r="E56" s="65"/>
      <c r="F56" s="65"/>
      <c r="G56" s="31">
        <f>+SUM(F57:F63)</f>
        <v>48040802</v>
      </c>
      <c r="H56" s="32">
        <f>+G56/$G$185</f>
        <v>6.5303250446056074E-2</v>
      </c>
      <c r="I56" s="131"/>
      <c r="J56" s="132"/>
      <c r="K56" s="132"/>
      <c r="L56" s="132"/>
      <c r="M56" s="132"/>
      <c r="N56" s="133"/>
    </row>
    <row r="57" spans="1:14" s="57" customFormat="1" ht="13.8" outlineLevel="1" x14ac:dyDescent="0.3">
      <c r="A57" s="213">
        <v>11.01</v>
      </c>
      <c r="B57" s="214" t="s">
        <v>70</v>
      </c>
      <c r="C57" s="215" t="s">
        <v>19</v>
      </c>
      <c r="D57" s="216">
        <v>30</v>
      </c>
      <c r="E57" s="37">
        <v>21948</v>
      </c>
      <c r="F57" s="37">
        <f t="shared" si="4"/>
        <v>658440</v>
      </c>
      <c r="G57" s="67"/>
      <c r="H57" s="32"/>
      <c r="I57" s="142">
        <f>+'SVD 4140_Pto. 01_Cert. 01'!K57</f>
        <v>0</v>
      </c>
      <c r="J57" s="142"/>
      <c r="K57" s="135">
        <f t="shared" ref="K57:K63" si="13">+I57+J57</f>
        <v>0</v>
      </c>
      <c r="L57" s="200">
        <f t="shared" ref="L57:L63" si="14">+F57*I57</f>
        <v>0</v>
      </c>
      <c r="M57" s="200">
        <f t="shared" ref="M57:M63" si="15">+F57*J57</f>
        <v>0</v>
      </c>
      <c r="N57" s="200">
        <f t="shared" ref="N57:N63" si="16">+F57*K57</f>
        <v>0</v>
      </c>
    </row>
    <row r="58" spans="1:14" s="57" customFormat="1" ht="13.8" outlineLevel="1" x14ac:dyDescent="0.3">
      <c r="A58" s="217">
        <v>11.02</v>
      </c>
      <c r="B58" s="218" t="s">
        <v>71</v>
      </c>
      <c r="C58" s="219" t="s">
        <v>19</v>
      </c>
      <c r="D58" s="220">
        <v>185</v>
      </c>
      <c r="E58" s="42">
        <v>21948</v>
      </c>
      <c r="F58" s="42">
        <f t="shared" si="4"/>
        <v>4060380</v>
      </c>
      <c r="G58" s="181"/>
      <c r="H58" s="32"/>
      <c r="I58" s="236">
        <f>+'SVD 4140_Pto. 01_Cert. 01'!K58</f>
        <v>0</v>
      </c>
      <c r="J58" s="236"/>
      <c r="K58" s="79">
        <f t="shared" si="13"/>
        <v>0</v>
      </c>
      <c r="L58" s="201">
        <f t="shared" si="14"/>
        <v>0</v>
      </c>
      <c r="M58" s="201">
        <f t="shared" si="15"/>
        <v>0</v>
      </c>
      <c r="N58" s="201">
        <f t="shared" si="16"/>
        <v>0</v>
      </c>
    </row>
    <row r="59" spans="1:14" s="57" customFormat="1" ht="13.8" outlineLevel="1" x14ac:dyDescent="0.3">
      <c r="A59" s="217">
        <v>11.03</v>
      </c>
      <c r="B59" s="218" t="s">
        <v>72</v>
      </c>
      <c r="C59" s="219" t="s">
        <v>19</v>
      </c>
      <c r="D59" s="220">
        <v>942</v>
      </c>
      <c r="E59" s="42">
        <v>21948</v>
      </c>
      <c r="F59" s="42">
        <f t="shared" si="4"/>
        <v>20675016</v>
      </c>
      <c r="G59" s="181"/>
      <c r="H59" s="32"/>
      <c r="I59" s="236">
        <f>+'SVD 4140_Pto. 01_Cert. 01'!K59</f>
        <v>0</v>
      </c>
      <c r="J59" s="236"/>
      <c r="K59" s="79">
        <f t="shared" si="13"/>
        <v>0</v>
      </c>
      <c r="L59" s="201">
        <f t="shared" si="14"/>
        <v>0</v>
      </c>
      <c r="M59" s="201">
        <f t="shared" si="15"/>
        <v>0</v>
      </c>
      <c r="N59" s="201">
        <f t="shared" si="16"/>
        <v>0</v>
      </c>
    </row>
    <row r="60" spans="1:14" s="57" customFormat="1" ht="13.8" outlineLevel="1" x14ac:dyDescent="0.3">
      <c r="A60" s="217">
        <v>11.04</v>
      </c>
      <c r="B60" s="218" t="s">
        <v>73</v>
      </c>
      <c r="C60" s="219" t="s">
        <v>19</v>
      </c>
      <c r="D60" s="220">
        <v>110</v>
      </c>
      <c r="E60" s="42">
        <v>25799</v>
      </c>
      <c r="F60" s="42">
        <f t="shared" si="4"/>
        <v>2837890</v>
      </c>
      <c r="G60" s="181"/>
      <c r="H60" s="32"/>
      <c r="I60" s="236">
        <f>+'SVD 4140_Pto. 01_Cert. 01'!K60</f>
        <v>0</v>
      </c>
      <c r="J60" s="236"/>
      <c r="K60" s="79">
        <f t="shared" si="13"/>
        <v>0</v>
      </c>
      <c r="L60" s="201">
        <f t="shared" si="14"/>
        <v>0</v>
      </c>
      <c r="M60" s="201">
        <f t="shared" si="15"/>
        <v>0</v>
      </c>
      <c r="N60" s="201">
        <f t="shared" si="16"/>
        <v>0</v>
      </c>
    </row>
    <row r="61" spans="1:14" s="57" customFormat="1" ht="13.8" outlineLevel="1" x14ac:dyDescent="0.3">
      <c r="A61" s="217">
        <v>11.05</v>
      </c>
      <c r="B61" s="218" t="s">
        <v>74</v>
      </c>
      <c r="C61" s="219" t="s">
        <v>19</v>
      </c>
      <c r="D61" s="220">
        <v>128</v>
      </c>
      <c r="E61" s="42">
        <v>16080</v>
      </c>
      <c r="F61" s="42">
        <f t="shared" si="4"/>
        <v>2058240</v>
      </c>
      <c r="G61" s="181"/>
      <c r="H61" s="32"/>
      <c r="I61" s="236">
        <f>+'SVD 4140_Pto. 01_Cert. 01'!K61</f>
        <v>0</v>
      </c>
      <c r="J61" s="236"/>
      <c r="K61" s="79">
        <f t="shared" si="13"/>
        <v>0</v>
      </c>
      <c r="L61" s="201">
        <f t="shared" si="14"/>
        <v>0</v>
      </c>
      <c r="M61" s="201">
        <f t="shared" si="15"/>
        <v>0</v>
      </c>
      <c r="N61" s="201">
        <f t="shared" si="16"/>
        <v>0</v>
      </c>
    </row>
    <row r="62" spans="1:14" s="57" customFormat="1" ht="13.8" outlineLevel="1" x14ac:dyDescent="0.3">
      <c r="A62" s="217">
        <v>11.06</v>
      </c>
      <c r="B62" s="218" t="s">
        <v>75</v>
      </c>
      <c r="C62" s="219" t="s">
        <v>19</v>
      </c>
      <c r="D62" s="220">
        <v>48</v>
      </c>
      <c r="E62" s="42">
        <v>21948</v>
      </c>
      <c r="F62" s="42">
        <f t="shared" si="4"/>
        <v>1053504</v>
      </c>
      <c r="G62" s="181"/>
      <c r="H62" s="32"/>
      <c r="I62" s="236">
        <f>+'SVD 4140_Pto. 01_Cert. 01'!K62</f>
        <v>0</v>
      </c>
      <c r="J62" s="236"/>
      <c r="K62" s="79">
        <f t="shared" si="13"/>
        <v>0</v>
      </c>
      <c r="L62" s="201">
        <f t="shared" si="14"/>
        <v>0</v>
      </c>
      <c r="M62" s="201">
        <f t="shared" si="15"/>
        <v>0</v>
      </c>
      <c r="N62" s="201">
        <f t="shared" si="16"/>
        <v>0</v>
      </c>
    </row>
    <row r="63" spans="1:14" s="57" customFormat="1" ht="13.8" outlineLevel="1" x14ac:dyDescent="0.3">
      <c r="A63" s="221">
        <v>11.07</v>
      </c>
      <c r="B63" s="222" t="s">
        <v>76</v>
      </c>
      <c r="C63" s="223" t="s">
        <v>19</v>
      </c>
      <c r="D63" s="224">
        <v>226</v>
      </c>
      <c r="E63" s="60">
        <v>73882</v>
      </c>
      <c r="F63" s="60">
        <f t="shared" si="4"/>
        <v>16697332</v>
      </c>
      <c r="G63" s="181"/>
      <c r="H63" s="32"/>
      <c r="I63" s="143">
        <f>+'SVD 4140_Pto. 01_Cert. 01'!K63</f>
        <v>0</v>
      </c>
      <c r="J63" s="143"/>
      <c r="K63" s="138">
        <f t="shared" si="13"/>
        <v>0</v>
      </c>
      <c r="L63" s="202">
        <f t="shared" si="14"/>
        <v>0</v>
      </c>
      <c r="M63" s="202">
        <f t="shared" si="15"/>
        <v>0</v>
      </c>
      <c r="N63" s="202">
        <f t="shared" si="16"/>
        <v>0</v>
      </c>
    </row>
    <row r="64" spans="1:14" s="57" customFormat="1" ht="13.8" x14ac:dyDescent="0.3">
      <c r="A64" s="27">
        <v>12</v>
      </c>
      <c r="B64" s="28" t="s">
        <v>77</v>
      </c>
      <c r="C64" s="189"/>
      <c r="D64" s="65"/>
      <c r="E64" s="65"/>
      <c r="F64" s="65"/>
      <c r="G64" s="31">
        <f>+SUM(F65:F69)</f>
        <v>11022518</v>
      </c>
      <c r="H64" s="32">
        <f>+G64/$G$185</f>
        <v>1.4983227247125499E-2</v>
      </c>
      <c r="I64" s="131"/>
      <c r="J64" s="132"/>
      <c r="K64" s="132"/>
      <c r="L64" s="132"/>
      <c r="M64" s="132"/>
      <c r="N64" s="133"/>
    </row>
    <row r="65" spans="1:14" s="57" customFormat="1" ht="13.8" outlineLevel="1" x14ac:dyDescent="0.3">
      <c r="A65" s="213">
        <v>12.01</v>
      </c>
      <c r="B65" s="214" t="s">
        <v>78</v>
      </c>
      <c r="C65" s="215" t="s">
        <v>26</v>
      </c>
      <c r="D65" s="216">
        <v>779</v>
      </c>
      <c r="E65" s="37">
        <v>7422</v>
      </c>
      <c r="F65" s="37">
        <f t="shared" si="4"/>
        <v>5781738</v>
      </c>
      <c r="G65" s="181"/>
      <c r="H65" s="32"/>
      <c r="I65" s="142">
        <f>+'SVD 4140_Pto. 01_Cert. 01'!K65</f>
        <v>0</v>
      </c>
      <c r="J65" s="142"/>
      <c r="K65" s="135">
        <f t="shared" ref="K65:K69" si="17">+I65+J65</f>
        <v>0</v>
      </c>
      <c r="L65" s="200">
        <f t="shared" ref="L65:L69" si="18">+F65*I65</f>
        <v>0</v>
      </c>
      <c r="M65" s="200">
        <f t="shared" ref="M65:M69" si="19">+F65*J65</f>
        <v>0</v>
      </c>
      <c r="N65" s="200">
        <f t="shared" ref="N65:N69" si="20">+F65*K65</f>
        <v>0</v>
      </c>
    </row>
    <row r="66" spans="1:14" s="57" customFormat="1" ht="13.8" outlineLevel="1" x14ac:dyDescent="0.3">
      <c r="A66" s="217">
        <v>12.02</v>
      </c>
      <c r="B66" s="218" t="s">
        <v>61</v>
      </c>
      <c r="C66" s="219" t="s">
        <v>26</v>
      </c>
      <c r="D66" s="220">
        <v>155</v>
      </c>
      <c r="E66" s="42">
        <v>5376</v>
      </c>
      <c r="F66" s="42">
        <f t="shared" si="4"/>
        <v>833280</v>
      </c>
      <c r="G66" s="181"/>
      <c r="H66" s="32"/>
      <c r="I66" s="236">
        <f>+'SVD 4140_Pto. 01_Cert. 01'!K66</f>
        <v>0</v>
      </c>
      <c r="J66" s="236"/>
      <c r="K66" s="79">
        <f t="shared" si="17"/>
        <v>0</v>
      </c>
      <c r="L66" s="201">
        <f t="shared" si="18"/>
        <v>0</v>
      </c>
      <c r="M66" s="201">
        <f t="shared" si="19"/>
        <v>0</v>
      </c>
      <c r="N66" s="201">
        <f t="shared" si="20"/>
        <v>0</v>
      </c>
    </row>
    <row r="67" spans="1:14" s="57" customFormat="1" ht="13.8" outlineLevel="1" x14ac:dyDescent="0.3">
      <c r="A67" s="217">
        <v>12.03</v>
      </c>
      <c r="B67" s="218" t="s">
        <v>79</v>
      </c>
      <c r="C67" s="219" t="s">
        <v>26</v>
      </c>
      <c r="D67" s="220">
        <v>37</v>
      </c>
      <c r="E67" s="42">
        <v>7052</v>
      </c>
      <c r="F67" s="42">
        <f t="shared" si="4"/>
        <v>260924</v>
      </c>
      <c r="G67" s="181"/>
      <c r="H67" s="32"/>
      <c r="I67" s="236">
        <f>+'SVD 4140_Pto. 01_Cert. 01'!K67</f>
        <v>0</v>
      </c>
      <c r="J67" s="236"/>
      <c r="K67" s="79">
        <f t="shared" si="17"/>
        <v>0</v>
      </c>
      <c r="L67" s="201">
        <f t="shared" si="18"/>
        <v>0</v>
      </c>
      <c r="M67" s="201">
        <f t="shared" si="19"/>
        <v>0</v>
      </c>
      <c r="N67" s="201">
        <f t="shared" si="20"/>
        <v>0</v>
      </c>
    </row>
    <row r="68" spans="1:14" s="57" customFormat="1" ht="13.8" outlineLevel="1" x14ac:dyDescent="0.3">
      <c r="A68" s="217">
        <v>12.04</v>
      </c>
      <c r="B68" s="218" t="s">
        <v>80</v>
      </c>
      <c r="C68" s="219" t="s">
        <v>26</v>
      </c>
      <c r="D68" s="220">
        <v>433</v>
      </c>
      <c r="E68" s="42">
        <v>7052</v>
      </c>
      <c r="F68" s="42">
        <f t="shared" si="4"/>
        <v>3053516</v>
      </c>
      <c r="G68" s="181"/>
      <c r="H68" s="32"/>
      <c r="I68" s="236">
        <f>+'SVD 4140_Pto. 01_Cert. 01'!K68</f>
        <v>0</v>
      </c>
      <c r="J68" s="236"/>
      <c r="K68" s="79">
        <f t="shared" si="17"/>
        <v>0</v>
      </c>
      <c r="L68" s="201">
        <f t="shared" si="18"/>
        <v>0</v>
      </c>
      <c r="M68" s="201">
        <f t="shared" si="19"/>
        <v>0</v>
      </c>
      <c r="N68" s="201">
        <f t="shared" si="20"/>
        <v>0</v>
      </c>
    </row>
    <row r="69" spans="1:14" s="57" customFormat="1" ht="13.8" outlineLevel="1" x14ac:dyDescent="0.3">
      <c r="A69" s="221">
        <v>12.05</v>
      </c>
      <c r="B69" s="222" t="s">
        <v>81</v>
      </c>
      <c r="C69" s="223" t="s">
        <v>26</v>
      </c>
      <c r="D69" s="224">
        <v>155</v>
      </c>
      <c r="E69" s="60">
        <v>7052</v>
      </c>
      <c r="F69" s="60">
        <f t="shared" si="4"/>
        <v>1093060</v>
      </c>
      <c r="G69" s="181"/>
      <c r="H69" s="32"/>
      <c r="I69" s="143">
        <f>+'SVD 4140_Pto. 01_Cert. 01'!K69</f>
        <v>0</v>
      </c>
      <c r="J69" s="143"/>
      <c r="K69" s="138">
        <f t="shared" si="17"/>
        <v>0</v>
      </c>
      <c r="L69" s="202">
        <f t="shared" si="18"/>
        <v>0</v>
      </c>
      <c r="M69" s="202">
        <f t="shared" si="19"/>
        <v>0</v>
      </c>
      <c r="N69" s="202">
        <f t="shared" si="20"/>
        <v>0</v>
      </c>
    </row>
    <row r="70" spans="1:14" s="57" customFormat="1" ht="13.8" x14ac:dyDescent="0.3">
      <c r="A70" s="27">
        <v>13</v>
      </c>
      <c r="B70" s="28" t="s">
        <v>82</v>
      </c>
      <c r="C70" s="189"/>
      <c r="D70" s="65"/>
      <c r="E70" s="65"/>
      <c r="F70" s="65"/>
      <c r="G70" s="31">
        <f>+SUM(F71:F74)</f>
        <v>19433086.480999999</v>
      </c>
      <c r="H70" s="32">
        <f>+G70/$G$185</f>
        <v>2.641595603272005E-2</v>
      </c>
      <c r="I70" s="131"/>
      <c r="J70" s="132"/>
      <c r="K70" s="132"/>
      <c r="L70" s="132"/>
      <c r="M70" s="132"/>
      <c r="N70" s="133"/>
    </row>
    <row r="71" spans="1:14" s="57" customFormat="1" ht="13.8" outlineLevel="1" x14ac:dyDescent="0.3">
      <c r="A71" s="213">
        <v>13.01</v>
      </c>
      <c r="B71" s="214" t="s">
        <v>83</v>
      </c>
      <c r="C71" s="215" t="s">
        <v>19</v>
      </c>
      <c r="D71" s="216">
        <v>511</v>
      </c>
      <c r="E71" s="37">
        <v>25799</v>
      </c>
      <c r="F71" s="37">
        <f t="shared" si="4"/>
        <v>13183289</v>
      </c>
      <c r="G71" s="181"/>
      <c r="H71" s="32"/>
      <c r="I71" s="142">
        <f>+'SVD 4140_Pto. 01_Cert. 01'!K71</f>
        <v>0</v>
      </c>
      <c r="J71" s="142"/>
      <c r="K71" s="135">
        <f t="shared" ref="K71:K74" si="21">+I71+J71</f>
        <v>0</v>
      </c>
      <c r="L71" s="200">
        <f t="shared" ref="L71:L74" si="22">+F71*I71</f>
        <v>0</v>
      </c>
      <c r="M71" s="200">
        <f t="shared" ref="M71:M74" si="23">+F71*J71</f>
        <v>0</v>
      </c>
      <c r="N71" s="200">
        <f t="shared" ref="N71:N74" si="24">+F71*K71</f>
        <v>0</v>
      </c>
    </row>
    <row r="72" spans="1:14" s="57" customFormat="1" ht="13.8" outlineLevel="1" x14ac:dyDescent="0.3">
      <c r="A72" s="217">
        <v>13.02</v>
      </c>
      <c r="B72" s="218" t="s">
        <v>84</v>
      </c>
      <c r="C72" s="219" t="s">
        <v>19</v>
      </c>
      <c r="D72" s="220">
        <v>40</v>
      </c>
      <c r="E72" s="42">
        <v>25799</v>
      </c>
      <c r="F72" s="42">
        <f t="shared" si="4"/>
        <v>1031960</v>
      </c>
      <c r="G72" s="181"/>
      <c r="H72" s="32"/>
      <c r="I72" s="236">
        <f>+'SVD 4140_Pto. 01_Cert. 01'!K72</f>
        <v>0</v>
      </c>
      <c r="J72" s="236"/>
      <c r="K72" s="79">
        <f t="shared" si="21"/>
        <v>0</v>
      </c>
      <c r="L72" s="201">
        <f t="shared" si="22"/>
        <v>0</v>
      </c>
      <c r="M72" s="201">
        <f t="shared" si="23"/>
        <v>0</v>
      </c>
      <c r="N72" s="201">
        <f t="shared" si="24"/>
        <v>0</v>
      </c>
    </row>
    <row r="73" spans="1:14" s="57" customFormat="1" ht="13.8" outlineLevel="1" x14ac:dyDescent="0.3">
      <c r="A73" s="217">
        <v>13.03</v>
      </c>
      <c r="B73" s="218" t="s">
        <v>85</v>
      </c>
      <c r="C73" s="219" t="s">
        <v>19</v>
      </c>
      <c r="D73" s="220">
        <v>147.60100000000003</v>
      </c>
      <c r="E73" s="42">
        <v>29881</v>
      </c>
      <c r="F73" s="42">
        <f t="shared" si="4"/>
        <v>4410465.4810000006</v>
      </c>
      <c r="G73" s="181"/>
      <c r="H73" s="32"/>
      <c r="I73" s="236">
        <f>+'SVD 4140_Pto. 01_Cert. 01'!K73</f>
        <v>0</v>
      </c>
      <c r="J73" s="236"/>
      <c r="K73" s="79">
        <f t="shared" si="21"/>
        <v>0</v>
      </c>
      <c r="L73" s="201">
        <f t="shared" si="22"/>
        <v>0</v>
      </c>
      <c r="M73" s="201">
        <f t="shared" si="23"/>
        <v>0</v>
      </c>
      <c r="N73" s="201">
        <f t="shared" si="24"/>
        <v>0</v>
      </c>
    </row>
    <row r="74" spans="1:14" s="57" customFormat="1" ht="13.8" outlineLevel="1" x14ac:dyDescent="0.3">
      <c r="A74" s="221">
        <v>13.04</v>
      </c>
      <c r="B74" s="222" t="s">
        <v>86</v>
      </c>
      <c r="C74" s="223" t="s">
        <v>47</v>
      </c>
      <c r="D74" s="224">
        <v>41</v>
      </c>
      <c r="E74" s="60">
        <v>19692</v>
      </c>
      <c r="F74" s="60">
        <f t="shared" si="4"/>
        <v>807372</v>
      </c>
      <c r="G74" s="181"/>
      <c r="H74" s="32"/>
      <c r="I74" s="143">
        <f>+'SVD 4140_Pto. 01_Cert. 01'!K74</f>
        <v>0</v>
      </c>
      <c r="J74" s="143"/>
      <c r="K74" s="138">
        <f t="shared" si="21"/>
        <v>0</v>
      </c>
      <c r="L74" s="202">
        <f t="shared" si="22"/>
        <v>0</v>
      </c>
      <c r="M74" s="202">
        <f t="shared" si="23"/>
        <v>0</v>
      </c>
      <c r="N74" s="202">
        <f t="shared" si="24"/>
        <v>0</v>
      </c>
    </row>
    <row r="75" spans="1:14" s="57" customFormat="1" ht="13.8" x14ac:dyDescent="0.3">
      <c r="A75" s="27">
        <v>14</v>
      </c>
      <c r="B75" s="28" t="s">
        <v>87</v>
      </c>
      <c r="C75" s="189"/>
      <c r="D75" s="65"/>
      <c r="E75" s="65"/>
      <c r="F75" s="65"/>
      <c r="G75" s="31">
        <f>+SUM(F76:F82)</f>
        <v>50296168.959899999</v>
      </c>
      <c r="H75" s="32">
        <f>+G75/$G$185</f>
        <v>6.8369035930447242E-2</v>
      </c>
      <c r="I75" s="131"/>
      <c r="J75" s="132"/>
      <c r="K75" s="132"/>
      <c r="L75" s="132"/>
      <c r="M75" s="132"/>
      <c r="N75" s="133"/>
    </row>
    <row r="76" spans="1:14" s="57" customFormat="1" ht="13.8" outlineLevel="1" x14ac:dyDescent="0.3">
      <c r="A76" s="213">
        <v>14.01</v>
      </c>
      <c r="B76" s="214" t="s">
        <v>88</v>
      </c>
      <c r="C76" s="215" t="s">
        <v>19</v>
      </c>
      <c r="D76" s="216">
        <v>334.91519999999997</v>
      </c>
      <c r="E76" s="37">
        <v>29270</v>
      </c>
      <c r="F76" s="37">
        <f t="shared" ref="F76:F139" si="25">+D76*E76</f>
        <v>9802967.9039999992</v>
      </c>
      <c r="G76" s="181"/>
      <c r="H76" s="32"/>
      <c r="I76" s="142">
        <f>+'SVD 4140_Pto. 01_Cert. 01'!K76</f>
        <v>0</v>
      </c>
      <c r="J76" s="142"/>
      <c r="K76" s="135">
        <f t="shared" ref="K76:K82" si="26">+I76+J76</f>
        <v>0</v>
      </c>
      <c r="L76" s="200">
        <f t="shared" ref="L76:L82" si="27">+F76*I76</f>
        <v>0</v>
      </c>
      <c r="M76" s="200">
        <f t="shared" ref="M76:M82" si="28">+F76*J76</f>
        <v>0</v>
      </c>
      <c r="N76" s="200">
        <f t="shared" ref="N76:N82" si="29">+F76*K76</f>
        <v>0</v>
      </c>
    </row>
    <row r="77" spans="1:14" s="57" customFormat="1" ht="13.8" outlineLevel="1" x14ac:dyDescent="0.3">
      <c r="A77" s="217">
        <v>14.02</v>
      </c>
      <c r="B77" s="218" t="s">
        <v>89</v>
      </c>
      <c r="C77" s="219" t="s">
        <v>19</v>
      </c>
      <c r="D77" s="220">
        <v>280.3913</v>
      </c>
      <c r="E77" s="42">
        <v>33967</v>
      </c>
      <c r="F77" s="42">
        <f t="shared" si="25"/>
        <v>9524051.2871000003</v>
      </c>
      <c r="G77" s="181"/>
      <c r="H77" s="32"/>
      <c r="I77" s="236">
        <f>+'SVD 4140_Pto. 01_Cert. 01'!K77</f>
        <v>0</v>
      </c>
      <c r="J77" s="236"/>
      <c r="K77" s="79">
        <f t="shared" si="26"/>
        <v>0</v>
      </c>
      <c r="L77" s="201">
        <f t="shared" si="27"/>
        <v>0</v>
      </c>
      <c r="M77" s="201">
        <f t="shared" si="28"/>
        <v>0</v>
      </c>
      <c r="N77" s="201">
        <f t="shared" si="29"/>
        <v>0</v>
      </c>
    </row>
    <row r="78" spans="1:14" s="57" customFormat="1" ht="13.8" outlineLevel="1" x14ac:dyDescent="0.3">
      <c r="A78" s="217">
        <v>14.03</v>
      </c>
      <c r="B78" s="218" t="s">
        <v>90</v>
      </c>
      <c r="C78" s="219" t="s">
        <v>26</v>
      </c>
      <c r="D78" s="220">
        <v>60.8</v>
      </c>
      <c r="E78" s="42">
        <v>29270</v>
      </c>
      <c r="F78" s="42">
        <f t="shared" si="25"/>
        <v>1779616</v>
      </c>
      <c r="G78" s="181"/>
      <c r="H78" s="32"/>
      <c r="I78" s="236">
        <f>+'SVD 4140_Pto. 01_Cert. 01'!K78</f>
        <v>0</v>
      </c>
      <c r="J78" s="236"/>
      <c r="K78" s="79">
        <f t="shared" si="26"/>
        <v>0</v>
      </c>
      <c r="L78" s="201">
        <f t="shared" si="27"/>
        <v>0</v>
      </c>
      <c r="M78" s="201">
        <f t="shared" si="28"/>
        <v>0</v>
      </c>
      <c r="N78" s="201">
        <f t="shared" si="29"/>
        <v>0</v>
      </c>
    </row>
    <row r="79" spans="1:14" s="57" customFormat="1" ht="13.8" outlineLevel="1" x14ac:dyDescent="0.3">
      <c r="A79" s="217">
        <v>14.04</v>
      </c>
      <c r="B79" s="218" t="s">
        <v>91</v>
      </c>
      <c r="C79" s="219" t="s">
        <v>26</v>
      </c>
      <c r="D79" s="220">
        <v>1058.3799999999997</v>
      </c>
      <c r="E79" s="42">
        <v>7873</v>
      </c>
      <c r="F79" s="42">
        <f t="shared" si="25"/>
        <v>8332625.7399999974</v>
      </c>
      <c r="G79" s="181"/>
      <c r="H79" s="32"/>
      <c r="I79" s="236">
        <f>+'SVD 4140_Pto. 01_Cert. 01'!K79</f>
        <v>0</v>
      </c>
      <c r="J79" s="236"/>
      <c r="K79" s="79">
        <f t="shared" si="26"/>
        <v>0</v>
      </c>
      <c r="L79" s="201">
        <f t="shared" si="27"/>
        <v>0</v>
      </c>
      <c r="M79" s="201">
        <f t="shared" si="28"/>
        <v>0</v>
      </c>
      <c r="N79" s="201">
        <f t="shared" si="29"/>
        <v>0</v>
      </c>
    </row>
    <row r="80" spans="1:14" s="57" customFormat="1" ht="13.8" outlineLevel="1" x14ac:dyDescent="0.3">
      <c r="A80" s="217">
        <v>14.05</v>
      </c>
      <c r="B80" s="218" t="s">
        <v>92</v>
      </c>
      <c r="C80" s="219" t="s">
        <v>19</v>
      </c>
      <c r="D80" s="220">
        <v>504.12220000000002</v>
      </c>
      <c r="E80" s="42">
        <v>23364</v>
      </c>
      <c r="F80" s="42">
        <f t="shared" si="25"/>
        <v>11778311.080800001</v>
      </c>
      <c r="G80" s="181"/>
      <c r="H80" s="32"/>
      <c r="I80" s="236">
        <f>+'SVD 4140_Pto. 01_Cert. 01'!K80</f>
        <v>0</v>
      </c>
      <c r="J80" s="236"/>
      <c r="K80" s="79">
        <f t="shared" si="26"/>
        <v>0</v>
      </c>
      <c r="L80" s="201">
        <f t="shared" si="27"/>
        <v>0</v>
      </c>
      <c r="M80" s="201">
        <f t="shared" si="28"/>
        <v>0</v>
      </c>
      <c r="N80" s="201">
        <f t="shared" si="29"/>
        <v>0</v>
      </c>
    </row>
    <row r="81" spans="1:14" s="57" customFormat="1" ht="13.8" outlineLevel="1" x14ac:dyDescent="0.3">
      <c r="A81" s="217">
        <v>14.06</v>
      </c>
      <c r="B81" s="218" t="s">
        <v>93</v>
      </c>
      <c r="C81" s="219" t="s">
        <v>26</v>
      </c>
      <c r="D81" s="220">
        <v>555.99</v>
      </c>
      <c r="E81" s="42">
        <v>12771</v>
      </c>
      <c r="F81" s="42">
        <f t="shared" si="25"/>
        <v>7100548.29</v>
      </c>
      <c r="G81" s="181"/>
      <c r="H81" s="32"/>
      <c r="I81" s="236">
        <f>+'SVD 4140_Pto. 01_Cert. 01'!K81</f>
        <v>0</v>
      </c>
      <c r="J81" s="236"/>
      <c r="K81" s="79">
        <f t="shared" si="26"/>
        <v>0</v>
      </c>
      <c r="L81" s="201">
        <f t="shared" si="27"/>
        <v>0</v>
      </c>
      <c r="M81" s="201">
        <f t="shared" si="28"/>
        <v>0</v>
      </c>
      <c r="N81" s="201">
        <f t="shared" si="29"/>
        <v>0</v>
      </c>
    </row>
    <row r="82" spans="1:14" s="57" customFormat="1" ht="13.8" outlineLevel="1" x14ac:dyDescent="0.3">
      <c r="A82" s="221">
        <v>14.07</v>
      </c>
      <c r="B82" s="222" t="s">
        <v>94</v>
      </c>
      <c r="C82" s="223" t="s">
        <v>19</v>
      </c>
      <c r="D82" s="224">
        <v>429.07780000000002</v>
      </c>
      <c r="E82" s="60">
        <v>4610</v>
      </c>
      <c r="F82" s="60">
        <f t="shared" si="25"/>
        <v>1978048.6580000001</v>
      </c>
      <c r="G82" s="181"/>
      <c r="H82" s="32"/>
      <c r="I82" s="236">
        <f>+'SVD 4140_Pto. 01_Cert. 01'!K82</f>
        <v>0</v>
      </c>
      <c r="J82" s="236"/>
      <c r="K82" s="79">
        <f t="shared" si="26"/>
        <v>0</v>
      </c>
      <c r="L82" s="201">
        <f t="shared" si="27"/>
        <v>0</v>
      </c>
      <c r="M82" s="201">
        <f t="shared" si="28"/>
        <v>0</v>
      </c>
      <c r="N82" s="201">
        <f t="shared" si="29"/>
        <v>0</v>
      </c>
    </row>
    <row r="83" spans="1:14" s="57" customFormat="1" ht="13.8" x14ac:dyDescent="0.3">
      <c r="A83" s="27">
        <v>15</v>
      </c>
      <c r="B83" s="28" t="s">
        <v>95</v>
      </c>
      <c r="C83" s="189"/>
      <c r="D83" s="65"/>
      <c r="E83" s="65"/>
      <c r="F83" s="65"/>
      <c r="G83" s="31">
        <f>+SUM(F84:F92)</f>
        <v>0</v>
      </c>
      <c r="H83" s="32">
        <f>+G83/$G$185</f>
        <v>0</v>
      </c>
      <c r="I83" s="131"/>
      <c r="J83" s="132"/>
      <c r="K83" s="132"/>
      <c r="L83" s="132"/>
      <c r="M83" s="132"/>
      <c r="N83" s="133"/>
    </row>
    <row r="84" spans="1:14" s="57" customFormat="1" ht="13.8" outlineLevel="1" x14ac:dyDescent="0.3">
      <c r="A84" s="213">
        <v>15.01</v>
      </c>
      <c r="B84" s="214" t="s">
        <v>96</v>
      </c>
      <c r="C84" s="215" t="s">
        <v>19</v>
      </c>
      <c r="D84" s="216">
        <v>2670</v>
      </c>
      <c r="E84" s="37">
        <v>0</v>
      </c>
      <c r="F84" s="37">
        <f t="shared" si="25"/>
        <v>0</v>
      </c>
      <c r="G84" s="181"/>
      <c r="H84" s="32"/>
      <c r="I84" s="142">
        <f>+'SVD 4140_Pto. 01_Cert. 01'!K84</f>
        <v>0</v>
      </c>
      <c r="J84" s="142"/>
      <c r="K84" s="135">
        <f t="shared" ref="K84:K92" si="30">+I84+J84</f>
        <v>0</v>
      </c>
      <c r="L84" s="200">
        <f t="shared" ref="L84:L92" si="31">+F84*I84</f>
        <v>0</v>
      </c>
      <c r="M84" s="200">
        <f t="shared" ref="M84:M92" si="32">+F84*J84</f>
        <v>0</v>
      </c>
      <c r="N84" s="200">
        <f t="shared" ref="N84:N92" si="33">+F84*K84</f>
        <v>0</v>
      </c>
    </row>
    <row r="85" spans="1:14" s="57" customFormat="1" ht="13.8" outlineLevel="1" x14ac:dyDescent="0.3">
      <c r="A85" s="217">
        <v>15.02</v>
      </c>
      <c r="B85" s="218" t="s">
        <v>97</v>
      </c>
      <c r="C85" s="219" t="s">
        <v>19</v>
      </c>
      <c r="D85" s="220">
        <v>961</v>
      </c>
      <c r="E85" s="42">
        <v>0</v>
      </c>
      <c r="F85" s="42">
        <f t="shared" si="25"/>
        <v>0</v>
      </c>
      <c r="G85" s="181"/>
      <c r="H85" s="32"/>
      <c r="I85" s="236">
        <f>+'SVD 4140_Pto. 01_Cert. 01'!K85</f>
        <v>0</v>
      </c>
      <c r="J85" s="236"/>
      <c r="K85" s="79">
        <f t="shared" si="30"/>
        <v>0</v>
      </c>
      <c r="L85" s="201">
        <f t="shared" si="31"/>
        <v>0</v>
      </c>
      <c r="M85" s="201">
        <f t="shared" si="32"/>
        <v>0</v>
      </c>
      <c r="N85" s="201">
        <f t="shared" si="33"/>
        <v>0</v>
      </c>
    </row>
    <row r="86" spans="1:14" s="57" customFormat="1" ht="13.8" outlineLevel="1" x14ac:dyDescent="0.3">
      <c r="A86" s="217">
        <v>15.03</v>
      </c>
      <c r="B86" s="218" t="s">
        <v>98</v>
      </c>
      <c r="C86" s="219" t="s">
        <v>19</v>
      </c>
      <c r="D86" s="220">
        <v>518</v>
      </c>
      <c r="E86" s="42">
        <v>0</v>
      </c>
      <c r="F86" s="42">
        <f t="shared" si="25"/>
        <v>0</v>
      </c>
      <c r="G86" s="181"/>
      <c r="H86" s="32"/>
      <c r="I86" s="236">
        <f>+'SVD 4140_Pto. 01_Cert. 01'!K86</f>
        <v>0</v>
      </c>
      <c r="J86" s="236"/>
      <c r="K86" s="79">
        <f t="shared" si="30"/>
        <v>0</v>
      </c>
      <c r="L86" s="201">
        <f t="shared" si="31"/>
        <v>0</v>
      </c>
      <c r="M86" s="201">
        <f t="shared" si="32"/>
        <v>0</v>
      </c>
      <c r="N86" s="201">
        <f t="shared" si="33"/>
        <v>0</v>
      </c>
    </row>
    <row r="87" spans="1:14" s="57" customFormat="1" ht="13.8" outlineLevel="1" x14ac:dyDescent="0.3">
      <c r="A87" s="217">
        <v>15.04</v>
      </c>
      <c r="B87" s="218" t="s">
        <v>99</v>
      </c>
      <c r="C87" s="219" t="s">
        <v>19</v>
      </c>
      <c r="D87" s="220">
        <v>612</v>
      </c>
      <c r="E87" s="42">
        <v>0</v>
      </c>
      <c r="F87" s="42">
        <f t="shared" si="25"/>
        <v>0</v>
      </c>
      <c r="G87" s="181"/>
      <c r="H87" s="32"/>
      <c r="I87" s="236">
        <f>+'SVD 4140_Pto. 01_Cert. 01'!K87</f>
        <v>0</v>
      </c>
      <c r="J87" s="236"/>
      <c r="K87" s="79">
        <f t="shared" si="30"/>
        <v>0</v>
      </c>
      <c r="L87" s="201">
        <f t="shared" si="31"/>
        <v>0</v>
      </c>
      <c r="M87" s="201">
        <f t="shared" si="32"/>
        <v>0</v>
      </c>
      <c r="N87" s="201">
        <f t="shared" si="33"/>
        <v>0</v>
      </c>
    </row>
    <row r="88" spans="1:14" s="57" customFormat="1" ht="13.8" outlineLevel="1" x14ac:dyDescent="0.3">
      <c r="A88" s="217">
        <v>15.05</v>
      </c>
      <c r="B88" s="218" t="s">
        <v>100</v>
      </c>
      <c r="C88" s="219" t="s">
        <v>19</v>
      </c>
      <c r="D88" s="220">
        <v>422</v>
      </c>
      <c r="E88" s="42">
        <v>0</v>
      </c>
      <c r="F88" s="42">
        <f t="shared" si="25"/>
        <v>0</v>
      </c>
      <c r="G88" s="181"/>
      <c r="H88" s="32"/>
      <c r="I88" s="236">
        <f>+'SVD 4140_Pto. 01_Cert. 01'!K88</f>
        <v>0</v>
      </c>
      <c r="J88" s="236"/>
      <c r="K88" s="79">
        <f t="shared" si="30"/>
        <v>0</v>
      </c>
      <c r="L88" s="201">
        <f t="shared" si="31"/>
        <v>0</v>
      </c>
      <c r="M88" s="201">
        <f t="shared" si="32"/>
        <v>0</v>
      </c>
      <c r="N88" s="201">
        <f t="shared" si="33"/>
        <v>0</v>
      </c>
    </row>
    <row r="89" spans="1:14" s="57" customFormat="1" ht="13.8" outlineLevel="1" x14ac:dyDescent="0.3">
      <c r="A89" s="217">
        <v>15.07</v>
      </c>
      <c r="B89" s="218" t="s">
        <v>101</v>
      </c>
      <c r="C89" s="219" t="s">
        <v>19</v>
      </c>
      <c r="D89" s="220">
        <v>678.25199999999995</v>
      </c>
      <c r="E89" s="42">
        <v>0</v>
      </c>
      <c r="F89" s="42">
        <f t="shared" si="25"/>
        <v>0</v>
      </c>
      <c r="G89" s="181"/>
      <c r="H89" s="32"/>
      <c r="I89" s="236">
        <f>+'SVD 4140_Pto. 01_Cert. 01'!K89</f>
        <v>0</v>
      </c>
      <c r="J89" s="236"/>
      <c r="K89" s="79">
        <f t="shared" si="30"/>
        <v>0</v>
      </c>
      <c r="L89" s="201">
        <f t="shared" si="31"/>
        <v>0</v>
      </c>
      <c r="M89" s="201">
        <f t="shared" si="32"/>
        <v>0</v>
      </c>
      <c r="N89" s="201">
        <f t="shared" si="33"/>
        <v>0</v>
      </c>
    </row>
    <row r="90" spans="1:14" s="57" customFormat="1" ht="13.8" outlineLevel="1" x14ac:dyDescent="0.3">
      <c r="A90" s="217">
        <v>15.08</v>
      </c>
      <c r="B90" s="218" t="s">
        <v>102</v>
      </c>
      <c r="C90" s="219" t="s">
        <v>19</v>
      </c>
      <c r="D90" s="220">
        <v>728.48019999999985</v>
      </c>
      <c r="E90" s="42">
        <v>0</v>
      </c>
      <c r="F90" s="42">
        <f t="shared" si="25"/>
        <v>0</v>
      </c>
      <c r="G90" s="181"/>
      <c r="H90" s="32"/>
      <c r="I90" s="236">
        <f>+'SVD 4140_Pto. 01_Cert. 01'!K90</f>
        <v>0</v>
      </c>
      <c r="J90" s="236"/>
      <c r="K90" s="79">
        <f t="shared" si="30"/>
        <v>0</v>
      </c>
      <c r="L90" s="201">
        <f t="shared" si="31"/>
        <v>0</v>
      </c>
      <c r="M90" s="201">
        <f t="shared" si="32"/>
        <v>0</v>
      </c>
      <c r="N90" s="201">
        <f t="shared" si="33"/>
        <v>0</v>
      </c>
    </row>
    <row r="91" spans="1:14" s="57" customFormat="1" ht="13.8" outlineLevel="1" x14ac:dyDescent="0.3">
      <c r="A91" s="217">
        <v>15.09</v>
      </c>
      <c r="B91" s="218" t="s">
        <v>103</v>
      </c>
      <c r="C91" s="219" t="s">
        <v>67</v>
      </c>
      <c r="D91" s="220">
        <v>76</v>
      </c>
      <c r="E91" s="42">
        <v>0</v>
      </c>
      <c r="F91" s="42">
        <f t="shared" si="25"/>
        <v>0</v>
      </c>
      <c r="G91" s="181"/>
      <c r="H91" s="32"/>
      <c r="I91" s="236">
        <f>+'SVD 4140_Pto. 01_Cert. 01'!K91</f>
        <v>0</v>
      </c>
      <c r="J91" s="236"/>
      <c r="K91" s="79">
        <f t="shared" si="30"/>
        <v>0</v>
      </c>
      <c r="L91" s="201">
        <f t="shared" si="31"/>
        <v>0</v>
      </c>
      <c r="M91" s="201">
        <f t="shared" si="32"/>
        <v>0</v>
      </c>
      <c r="N91" s="201">
        <f t="shared" si="33"/>
        <v>0</v>
      </c>
    </row>
    <row r="92" spans="1:14" s="57" customFormat="1" ht="13.8" outlineLevel="1" x14ac:dyDescent="0.3">
      <c r="A92" s="221">
        <v>15.1</v>
      </c>
      <c r="B92" s="222" t="s">
        <v>104</v>
      </c>
      <c r="C92" s="223" t="s">
        <v>28</v>
      </c>
      <c r="D92" s="224">
        <v>1</v>
      </c>
      <c r="E92" s="60">
        <v>0</v>
      </c>
      <c r="F92" s="60">
        <f t="shared" si="25"/>
        <v>0</v>
      </c>
      <c r="G92" s="181"/>
      <c r="H92" s="32"/>
      <c r="I92" s="236">
        <f>+'SVD 4140_Pto. 01_Cert. 01'!K92</f>
        <v>0</v>
      </c>
      <c r="J92" s="236"/>
      <c r="K92" s="79">
        <f t="shared" si="30"/>
        <v>0</v>
      </c>
      <c r="L92" s="201">
        <f t="shared" si="31"/>
        <v>0</v>
      </c>
      <c r="M92" s="201">
        <f t="shared" si="32"/>
        <v>0</v>
      </c>
      <c r="N92" s="201">
        <f t="shared" si="33"/>
        <v>0</v>
      </c>
    </row>
    <row r="93" spans="1:14" s="57" customFormat="1" ht="13.8" x14ac:dyDescent="0.3">
      <c r="A93" s="27">
        <v>16</v>
      </c>
      <c r="B93" s="28" t="s">
        <v>105</v>
      </c>
      <c r="C93" s="189"/>
      <c r="D93" s="65"/>
      <c r="E93" s="65"/>
      <c r="F93" s="65"/>
      <c r="G93" s="31">
        <f>+SUM(F94)</f>
        <v>0</v>
      </c>
      <c r="H93" s="32">
        <f>+G93/$G$185</f>
        <v>0</v>
      </c>
      <c r="I93" s="205"/>
      <c r="J93" s="206"/>
      <c r="K93" s="206"/>
      <c r="L93" s="207"/>
      <c r="M93" s="207"/>
      <c r="N93" s="208"/>
    </row>
    <row r="94" spans="1:14" s="57" customFormat="1" ht="13.8" outlineLevel="1" x14ac:dyDescent="0.3">
      <c r="A94" s="188"/>
      <c r="B94" s="187"/>
      <c r="C94" s="179"/>
      <c r="D94" s="180"/>
      <c r="E94" s="181">
        <v>0</v>
      </c>
      <c r="F94" s="181">
        <f t="shared" si="25"/>
        <v>0</v>
      </c>
      <c r="G94" s="181"/>
      <c r="H94" s="32"/>
      <c r="I94" s="203">
        <f>+'SVD 4140_Pto. 01_Cert. 01'!K94</f>
        <v>0</v>
      </c>
      <c r="J94" s="203"/>
      <c r="K94" s="204">
        <f t="shared" ref="K94" si="34">+I94+J94</f>
        <v>0</v>
      </c>
      <c r="L94" s="80">
        <f t="shared" ref="L94" si="35">+F94*I94</f>
        <v>0</v>
      </c>
      <c r="M94" s="80">
        <f t="shared" ref="M94" si="36">+F94*J94</f>
        <v>0</v>
      </c>
      <c r="N94" s="80">
        <f t="shared" ref="N94" si="37">+F94*K94</f>
        <v>0</v>
      </c>
    </row>
    <row r="95" spans="1:14" s="57" customFormat="1" ht="13.8" x14ac:dyDescent="0.3">
      <c r="A95" s="27">
        <v>17</v>
      </c>
      <c r="B95" s="28" t="s">
        <v>106</v>
      </c>
      <c r="C95" s="189"/>
      <c r="D95" s="65"/>
      <c r="E95" s="65"/>
      <c r="F95" s="65"/>
      <c r="G95" s="31">
        <f>+SUM(F96:F99)</f>
        <v>7258243</v>
      </c>
      <c r="H95" s="32">
        <f>+G95/$G$185</f>
        <v>9.8663394592649264E-3</v>
      </c>
      <c r="I95" s="205"/>
      <c r="J95" s="206"/>
      <c r="K95" s="206"/>
      <c r="L95" s="207"/>
      <c r="M95" s="207"/>
      <c r="N95" s="208"/>
    </row>
    <row r="96" spans="1:14" s="57" customFormat="1" ht="13.8" outlineLevel="1" x14ac:dyDescent="0.3">
      <c r="A96" s="213">
        <v>17.010000000000002</v>
      </c>
      <c r="B96" s="214" t="s">
        <v>107</v>
      </c>
      <c r="C96" s="215" t="s">
        <v>47</v>
      </c>
      <c r="D96" s="216">
        <v>47</v>
      </c>
      <c r="E96" s="37">
        <v>64232</v>
      </c>
      <c r="F96" s="37">
        <f t="shared" si="25"/>
        <v>3018904</v>
      </c>
      <c r="G96" s="181"/>
      <c r="H96" s="32"/>
      <c r="I96" s="203">
        <f>+'SVD 4140_Pto. 01_Cert. 01'!K96</f>
        <v>0</v>
      </c>
      <c r="J96" s="203"/>
      <c r="K96" s="204">
        <f t="shared" ref="K96:K99" si="38">+I96+J96</f>
        <v>0</v>
      </c>
      <c r="L96" s="80">
        <f t="shared" ref="L96:L99" si="39">+F96*I96</f>
        <v>0</v>
      </c>
      <c r="M96" s="80">
        <f t="shared" ref="M96:M99" si="40">+F96*J96</f>
        <v>0</v>
      </c>
      <c r="N96" s="80">
        <f t="shared" ref="N96:N99" si="41">+F96*K96</f>
        <v>0</v>
      </c>
    </row>
    <row r="97" spans="1:14" s="57" customFormat="1" ht="13.8" outlineLevel="1" x14ac:dyDescent="0.3">
      <c r="A97" s="217">
        <v>17.02</v>
      </c>
      <c r="B97" s="218" t="s">
        <v>108</v>
      </c>
      <c r="C97" s="219" t="s">
        <v>47</v>
      </c>
      <c r="D97" s="220">
        <v>23</v>
      </c>
      <c r="E97" s="42">
        <v>64232</v>
      </c>
      <c r="F97" s="42">
        <f t="shared" si="25"/>
        <v>1477336</v>
      </c>
      <c r="G97" s="181"/>
      <c r="H97" s="32"/>
      <c r="I97" s="136">
        <f>+'SVD 4140_Pto. 01_Cert. 01'!K97</f>
        <v>0</v>
      </c>
      <c r="J97" s="136"/>
      <c r="K97" s="79">
        <f t="shared" si="38"/>
        <v>0</v>
      </c>
      <c r="L97" s="80">
        <f t="shared" si="39"/>
        <v>0</v>
      </c>
      <c r="M97" s="80">
        <f t="shared" si="40"/>
        <v>0</v>
      </c>
      <c r="N97" s="80">
        <f t="shared" si="41"/>
        <v>0</v>
      </c>
    </row>
    <row r="98" spans="1:14" s="57" customFormat="1" ht="13.8" outlineLevel="1" x14ac:dyDescent="0.3">
      <c r="A98" s="217">
        <v>17.03</v>
      </c>
      <c r="B98" s="218" t="s">
        <v>109</v>
      </c>
      <c r="C98" s="219" t="s">
        <v>47</v>
      </c>
      <c r="D98" s="220">
        <v>51</v>
      </c>
      <c r="E98" s="42">
        <v>41296</v>
      </c>
      <c r="F98" s="42">
        <f t="shared" si="25"/>
        <v>2106096</v>
      </c>
      <c r="G98" s="181"/>
      <c r="H98" s="32"/>
      <c r="I98" s="136">
        <f>+'SVD 4140_Pto. 01_Cert. 01'!K98</f>
        <v>0</v>
      </c>
      <c r="J98" s="136"/>
      <c r="K98" s="79">
        <f t="shared" si="38"/>
        <v>0</v>
      </c>
      <c r="L98" s="80">
        <f t="shared" si="39"/>
        <v>0</v>
      </c>
      <c r="M98" s="80">
        <f t="shared" si="40"/>
        <v>0</v>
      </c>
      <c r="N98" s="80">
        <f t="shared" si="41"/>
        <v>0</v>
      </c>
    </row>
    <row r="99" spans="1:14" s="57" customFormat="1" ht="13.8" outlineLevel="1" x14ac:dyDescent="0.3">
      <c r="A99" s="221">
        <v>17.04</v>
      </c>
      <c r="B99" s="222" t="s">
        <v>110</v>
      </c>
      <c r="C99" s="223" t="s">
        <v>47</v>
      </c>
      <c r="D99" s="224">
        <v>7</v>
      </c>
      <c r="E99" s="60">
        <v>93701</v>
      </c>
      <c r="F99" s="60">
        <f t="shared" si="25"/>
        <v>655907</v>
      </c>
      <c r="G99" s="181"/>
      <c r="H99" s="32"/>
      <c r="I99" s="136">
        <f>+'SVD 4140_Pto. 01_Cert. 01'!K99</f>
        <v>0</v>
      </c>
      <c r="J99" s="136"/>
      <c r="K99" s="79">
        <f t="shared" si="38"/>
        <v>0</v>
      </c>
      <c r="L99" s="80">
        <f t="shared" si="39"/>
        <v>0</v>
      </c>
      <c r="M99" s="80">
        <f t="shared" si="40"/>
        <v>0</v>
      </c>
      <c r="N99" s="80">
        <f t="shared" si="41"/>
        <v>0</v>
      </c>
    </row>
    <row r="100" spans="1:14" s="57" customFormat="1" ht="13.8" x14ac:dyDescent="0.3">
      <c r="A100" s="27">
        <v>18</v>
      </c>
      <c r="B100" s="28" t="s">
        <v>111</v>
      </c>
      <c r="C100" s="189"/>
      <c r="D100" s="65"/>
      <c r="E100" s="65"/>
      <c r="F100" s="65"/>
      <c r="G100" s="31">
        <f>+SUM(F101:F130)</f>
        <v>99277732</v>
      </c>
      <c r="H100" s="32">
        <f>+G100/$G$185</f>
        <v>0.13495109004450917</v>
      </c>
      <c r="I100" s="205"/>
      <c r="J100" s="206"/>
      <c r="K100" s="206"/>
      <c r="L100" s="207"/>
      <c r="M100" s="207"/>
      <c r="N100" s="208"/>
    </row>
    <row r="101" spans="1:14" s="57" customFormat="1" ht="13.8" outlineLevel="1" x14ac:dyDescent="0.3">
      <c r="A101" s="213">
        <v>18.010000000000002</v>
      </c>
      <c r="B101" s="214" t="s">
        <v>112</v>
      </c>
      <c r="C101" s="215" t="s">
        <v>47</v>
      </c>
      <c r="D101" s="216">
        <v>392</v>
      </c>
      <c r="E101" s="37">
        <v>59948</v>
      </c>
      <c r="F101" s="37">
        <f t="shared" si="25"/>
        <v>23499616</v>
      </c>
      <c r="G101" s="181"/>
      <c r="H101" s="32"/>
      <c r="I101" s="134">
        <f>+'SVD 4140_Pto. 01_Cert. 01'!K101</f>
        <v>0.2</v>
      </c>
      <c r="J101" s="134">
        <v>0.1</v>
      </c>
      <c r="K101" s="135">
        <f t="shared" ref="K101:K130" si="42">+I101+J101</f>
        <v>0.30000000000000004</v>
      </c>
      <c r="L101" s="200">
        <f t="shared" ref="L101:L130" si="43">+F101*I101</f>
        <v>4699923.2</v>
      </c>
      <c r="M101" s="200">
        <f t="shared" ref="M101:M130" si="44">+F101*J101</f>
        <v>2349961.6</v>
      </c>
      <c r="N101" s="200">
        <f t="shared" ref="N101:N130" si="45">+F101*K101</f>
        <v>7049884.8000000007</v>
      </c>
    </row>
    <row r="102" spans="1:14" s="57" customFormat="1" ht="13.8" outlineLevel="1" x14ac:dyDescent="0.3">
      <c r="A102" s="217">
        <v>18.02</v>
      </c>
      <c r="B102" s="218" t="s">
        <v>113</v>
      </c>
      <c r="C102" s="219" t="s">
        <v>47</v>
      </c>
      <c r="D102" s="220">
        <v>19</v>
      </c>
      <c r="E102" s="42">
        <v>59948</v>
      </c>
      <c r="F102" s="42">
        <f t="shared" si="25"/>
        <v>1139012</v>
      </c>
      <c r="G102" s="181"/>
      <c r="H102" s="32"/>
      <c r="I102" s="136">
        <f>+'SVD 4140_Pto. 01_Cert. 01'!K102</f>
        <v>0.1</v>
      </c>
      <c r="J102" s="136">
        <v>0.05</v>
      </c>
      <c r="K102" s="79">
        <f t="shared" si="42"/>
        <v>0.15000000000000002</v>
      </c>
      <c r="L102" s="201">
        <f t="shared" si="43"/>
        <v>113901.20000000001</v>
      </c>
      <c r="M102" s="201">
        <f t="shared" si="44"/>
        <v>56950.600000000006</v>
      </c>
      <c r="N102" s="201">
        <f t="shared" si="45"/>
        <v>170851.80000000002</v>
      </c>
    </row>
    <row r="103" spans="1:14" s="57" customFormat="1" ht="13.8" outlineLevel="1" x14ac:dyDescent="0.3">
      <c r="A103" s="217">
        <v>18.03</v>
      </c>
      <c r="B103" s="218" t="s">
        <v>114</v>
      </c>
      <c r="C103" s="219" t="s">
        <v>47</v>
      </c>
      <c r="D103" s="220">
        <v>349</v>
      </c>
      <c r="E103" s="42">
        <v>57445</v>
      </c>
      <c r="F103" s="42">
        <f t="shared" si="25"/>
        <v>20048305</v>
      </c>
      <c r="G103" s="181"/>
      <c r="H103" s="32"/>
      <c r="I103" s="136">
        <f>+'SVD 4140_Pto. 01_Cert. 01'!K103</f>
        <v>0.1</v>
      </c>
      <c r="J103" s="136">
        <v>0.05</v>
      </c>
      <c r="K103" s="79">
        <f t="shared" si="42"/>
        <v>0.15000000000000002</v>
      </c>
      <c r="L103" s="201">
        <f t="shared" si="43"/>
        <v>2004830.5</v>
      </c>
      <c r="M103" s="201">
        <f t="shared" si="44"/>
        <v>1002415.25</v>
      </c>
      <c r="N103" s="201">
        <f t="shared" si="45"/>
        <v>3007245.7500000005</v>
      </c>
    </row>
    <row r="104" spans="1:14" s="57" customFormat="1" ht="13.8" outlineLevel="1" x14ac:dyDescent="0.3">
      <c r="A104" s="217">
        <v>18.04</v>
      </c>
      <c r="B104" s="218" t="s">
        <v>115</v>
      </c>
      <c r="C104" s="219" t="s">
        <v>47</v>
      </c>
      <c r="D104" s="220">
        <v>35</v>
      </c>
      <c r="E104" s="42">
        <v>64480</v>
      </c>
      <c r="F104" s="42">
        <f t="shared" si="25"/>
        <v>2256800</v>
      </c>
      <c r="G104" s="181"/>
      <c r="H104" s="32"/>
      <c r="I104" s="141">
        <f>+'SVD 4140_Pto. 01_Cert. 01'!K104</f>
        <v>0.1</v>
      </c>
      <c r="J104" s="141">
        <v>0.05</v>
      </c>
      <c r="K104" s="79">
        <f t="shared" si="42"/>
        <v>0.15000000000000002</v>
      </c>
      <c r="L104" s="201">
        <f t="shared" si="43"/>
        <v>225680</v>
      </c>
      <c r="M104" s="201">
        <f t="shared" si="44"/>
        <v>112840</v>
      </c>
      <c r="N104" s="201">
        <f t="shared" si="45"/>
        <v>338520.00000000006</v>
      </c>
    </row>
    <row r="105" spans="1:14" s="57" customFormat="1" ht="13.8" outlineLevel="1" x14ac:dyDescent="0.3">
      <c r="A105" s="217">
        <v>18.05</v>
      </c>
      <c r="B105" s="218" t="s">
        <v>116</v>
      </c>
      <c r="C105" s="219" t="s">
        <v>47</v>
      </c>
      <c r="D105" s="220">
        <v>16</v>
      </c>
      <c r="E105" s="42">
        <v>57445</v>
      </c>
      <c r="F105" s="42">
        <f t="shared" si="25"/>
        <v>919120</v>
      </c>
      <c r="G105" s="181"/>
      <c r="H105" s="32"/>
      <c r="I105" s="141">
        <f>+'SVD 4140_Pto. 01_Cert. 01'!K105</f>
        <v>0</v>
      </c>
      <c r="J105" s="141"/>
      <c r="K105" s="79">
        <f t="shared" si="42"/>
        <v>0</v>
      </c>
      <c r="L105" s="201">
        <f t="shared" si="43"/>
        <v>0</v>
      </c>
      <c r="M105" s="201">
        <f t="shared" si="44"/>
        <v>0</v>
      </c>
      <c r="N105" s="201">
        <f t="shared" si="45"/>
        <v>0</v>
      </c>
    </row>
    <row r="106" spans="1:14" s="57" customFormat="1" ht="13.8" outlineLevel="1" x14ac:dyDescent="0.3">
      <c r="A106" s="217">
        <v>18.059999999999999</v>
      </c>
      <c r="B106" s="218" t="s">
        <v>117</v>
      </c>
      <c r="C106" s="219" t="s">
        <v>47</v>
      </c>
      <c r="D106" s="220">
        <v>16</v>
      </c>
      <c r="E106" s="42">
        <v>57445</v>
      </c>
      <c r="F106" s="42">
        <f t="shared" si="25"/>
        <v>919120</v>
      </c>
      <c r="G106" s="181"/>
      <c r="H106" s="32"/>
      <c r="I106" s="141">
        <f>+'SVD 4140_Pto. 01_Cert. 01'!K106</f>
        <v>0.1</v>
      </c>
      <c r="J106" s="141">
        <v>0.05</v>
      </c>
      <c r="K106" s="79">
        <f t="shared" si="42"/>
        <v>0.15000000000000002</v>
      </c>
      <c r="L106" s="201">
        <f t="shared" si="43"/>
        <v>91912</v>
      </c>
      <c r="M106" s="201">
        <f t="shared" si="44"/>
        <v>45956</v>
      </c>
      <c r="N106" s="201">
        <f t="shared" si="45"/>
        <v>137868.00000000003</v>
      </c>
    </row>
    <row r="107" spans="1:14" s="57" customFormat="1" ht="13.8" outlineLevel="1" x14ac:dyDescent="0.3">
      <c r="A107" s="217">
        <v>18.07</v>
      </c>
      <c r="B107" s="218" t="s">
        <v>118</v>
      </c>
      <c r="C107" s="219" t="s">
        <v>47</v>
      </c>
      <c r="D107" s="220">
        <v>46</v>
      </c>
      <c r="E107" s="42">
        <v>43213</v>
      </c>
      <c r="F107" s="42">
        <f t="shared" si="25"/>
        <v>1987798</v>
      </c>
      <c r="G107" s="181"/>
      <c r="H107" s="32"/>
      <c r="I107" s="141">
        <f>+'SVD 4140_Pto. 01_Cert. 01'!K107</f>
        <v>0.1</v>
      </c>
      <c r="J107" s="141">
        <v>0.05</v>
      </c>
      <c r="K107" s="79">
        <f t="shared" si="42"/>
        <v>0.15000000000000002</v>
      </c>
      <c r="L107" s="201">
        <f t="shared" si="43"/>
        <v>198779.80000000002</v>
      </c>
      <c r="M107" s="201">
        <f t="shared" si="44"/>
        <v>99389.900000000009</v>
      </c>
      <c r="N107" s="201">
        <f t="shared" si="45"/>
        <v>298169.70000000007</v>
      </c>
    </row>
    <row r="108" spans="1:14" s="57" customFormat="1" ht="13.8" outlineLevel="1" x14ac:dyDescent="0.3">
      <c r="A108" s="217">
        <v>18.079999999999998</v>
      </c>
      <c r="B108" s="218" t="s">
        <v>119</v>
      </c>
      <c r="C108" s="219" t="s">
        <v>47</v>
      </c>
      <c r="D108" s="220">
        <v>17</v>
      </c>
      <c r="E108" s="42">
        <v>43213</v>
      </c>
      <c r="F108" s="42">
        <f t="shared" si="25"/>
        <v>734621</v>
      </c>
      <c r="G108" s="181"/>
      <c r="H108" s="32"/>
      <c r="I108" s="136">
        <f>+'SVD 4140_Pto. 01_Cert. 01'!K108</f>
        <v>0.1</v>
      </c>
      <c r="J108" s="136">
        <v>0.05</v>
      </c>
      <c r="K108" s="79">
        <f t="shared" si="42"/>
        <v>0.15000000000000002</v>
      </c>
      <c r="L108" s="201">
        <f t="shared" si="43"/>
        <v>73462.100000000006</v>
      </c>
      <c r="M108" s="201">
        <f t="shared" si="44"/>
        <v>36731.050000000003</v>
      </c>
      <c r="N108" s="201">
        <f t="shared" si="45"/>
        <v>110193.15000000002</v>
      </c>
    </row>
    <row r="109" spans="1:14" s="57" customFormat="1" ht="13.8" outlineLevel="1" x14ac:dyDescent="0.3">
      <c r="A109" s="217">
        <v>18.09</v>
      </c>
      <c r="B109" s="218" t="s">
        <v>120</v>
      </c>
      <c r="C109" s="219" t="s">
        <v>47</v>
      </c>
      <c r="D109" s="220">
        <v>11</v>
      </c>
      <c r="E109" s="42">
        <v>43213</v>
      </c>
      <c r="F109" s="42">
        <f t="shared" si="25"/>
        <v>475343</v>
      </c>
      <c r="G109" s="181"/>
      <c r="H109" s="32"/>
      <c r="I109" s="136">
        <f>+'SVD 4140_Pto. 01_Cert. 01'!K109</f>
        <v>0.6</v>
      </c>
      <c r="J109" s="141"/>
      <c r="K109" s="79">
        <f t="shared" si="42"/>
        <v>0.6</v>
      </c>
      <c r="L109" s="201">
        <f t="shared" si="43"/>
        <v>285205.8</v>
      </c>
      <c r="M109" s="201">
        <f t="shared" si="44"/>
        <v>0</v>
      </c>
      <c r="N109" s="201">
        <f t="shared" si="45"/>
        <v>285205.8</v>
      </c>
    </row>
    <row r="110" spans="1:14" s="57" customFormat="1" ht="13.8" outlineLevel="1" x14ac:dyDescent="0.3">
      <c r="A110" s="217">
        <v>18.100000000000001</v>
      </c>
      <c r="B110" s="218" t="s">
        <v>121</v>
      </c>
      <c r="C110" s="219" t="s">
        <v>47</v>
      </c>
      <c r="D110" s="220">
        <v>1</v>
      </c>
      <c r="E110" s="42">
        <v>2365100</v>
      </c>
      <c r="F110" s="42">
        <f t="shared" si="25"/>
        <v>2365100</v>
      </c>
      <c r="G110" s="181"/>
      <c r="H110" s="32"/>
      <c r="I110" s="141">
        <f>+'SVD 4140_Pto. 01_Cert. 01'!K110</f>
        <v>0</v>
      </c>
      <c r="J110" s="141"/>
      <c r="K110" s="79">
        <f t="shared" si="42"/>
        <v>0</v>
      </c>
      <c r="L110" s="201">
        <f t="shared" si="43"/>
        <v>0</v>
      </c>
      <c r="M110" s="201">
        <f t="shared" si="44"/>
        <v>0</v>
      </c>
      <c r="N110" s="201">
        <f t="shared" si="45"/>
        <v>0</v>
      </c>
    </row>
    <row r="111" spans="1:14" s="57" customFormat="1" ht="13.8" outlineLevel="1" x14ac:dyDescent="0.3">
      <c r="A111" s="217">
        <v>18.11</v>
      </c>
      <c r="B111" s="218" t="s">
        <v>122</v>
      </c>
      <c r="C111" s="219" t="s">
        <v>47</v>
      </c>
      <c r="D111" s="220">
        <v>1</v>
      </c>
      <c r="E111" s="42">
        <v>1112140</v>
      </c>
      <c r="F111" s="42">
        <f t="shared" si="25"/>
        <v>1112140</v>
      </c>
      <c r="G111" s="181"/>
      <c r="H111" s="32"/>
      <c r="I111" s="136">
        <f>+'SVD 4140_Pto. 01_Cert. 01'!K111</f>
        <v>0</v>
      </c>
      <c r="J111" s="136"/>
      <c r="K111" s="79">
        <f t="shared" si="42"/>
        <v>0</v>
      </c>
      <c r="L111" s="201">
        <f t="shared" si="43"/>
        <v>0</v>
      </c>
      <c r="M111" s="201">
        <f t="shared" si="44"/>
        <v>0</v>
      </c>
      <c r="N111" s="201">
        <f t="shared" si="45"/>
        <v>0</v>
      </c>
    </row>
    <row r="112" spans="1:14" s="57" customFormat="1" ht="13.8" outlineLevel="1" x14ac:dyDescent="0.3">
      <c r="A112" s="217">
        <v>18.12</v>
      </c>
      <c r="B112" s="218" t="s">
        <v>123</v>
      </c>
      <c r="C112" s="219" t="s">
        <v>47</v>
      </c>
      <c r="D112" s="220">
        <v>1</v>
      </c>
      <c r="E112" s="42">
        <v>669004</v>
      </c>
      <c r="F112" s="42">
        <f t="shared" si="25"/>
        <v>669004</v>
      </c>
      <c r="G112" s="181"/>
      <c r="H112" s="32"/>
      <c r="I112" s="136">
        <f>+'SVD 4140_Pto. 01_Cert. 01'!K112</f>
        <v>0</v>
      </c>
      <c r="J112" s="136"/>
      <c r="K112" s="79">
        <f t="shared" si="42"/>
        <v>0</v>
      </c>
      <c r="L112" s="201">
        <f t="shared" si="43"/>
        <v>0</v>
      </c>
      <c r="M112" s="201">
        <f t="shared" si="44"/>
        <v>0</v>
      </c>
      <c r="N112" s="201">
        <f t="shared" si="45"/>
        <v>0</v>
      </c>
    </row>
    <row r="113" spans="1:14" s="57" customFormat="1" ht="13.8" outlineLevel="1" x14ac:dyDescent="0.3">
      <c r="A113" s="217">
        <v>18.13</v>
      </c>
      <c r="B113" s="218" t="s">
        <v>124</v>
      </c>
      <c r="C113" s="219" t="s">
        <v>47</v>
      </c>
      <c r="D113" s="220">
        <v>1</v>
      </c>
      <c r="E113" s="42">
        <v>970259</v>
      </c>
      <c r="F113" s="42">
        <f t="shared" si="25"/>
        <v>970259</v>
      </c>
      <c r="G113" s="181"/>
      <c r="H113" s="32"/>
      <c r="I113" s="141">
        <f>+'SVD 4140_Pto. 01_Cert. 01'!K113</f>
        <v>0</v>
      </c>
      <c r="J113" s="141"/>
      <c r="K113" s="79">
        <f t="shared" si="42"/>
        <v>0</v>
      </c>
      <c r="L113" s="201">
        <f t="shared" si="43"/>
        <v>0</v>
      </c>
      <c r="M113" s="201">
        <f t="shared" si="44"/>
        <v>0</v>
      </c>
      <c r="N113" s="201">
        <f t="shared" si="45"/>
        <v>0</v>
      </c>
    </row>
    <row r="114" spans="1:14" s="57" customFormat="1" ht="13.8" outlineLevel="1" x14ac:dyDescent="0.3">
      <c r="A114" s="217">
        <v>18.14</v>
      </c>
      <c r="B114" s="218" t="s">
        <v>125</v>
      </c>
      <c r="C114" s="219" t="s">
        <v>47</v>
      </c>
      <c r="D114" s="220">
        <v>1</v>
      </c>
      <c r="E114" s="42">
        <v>507898</v>
      </c>
      <c r="F114" s="42">
        <f t="shared" si="25"/>
        <v>507898</v>
      </c>
      <c r="G114" s="181"/>
      <c r="H114" s="32"/>
      <c r="I114" s="136">
        <f>+'SVD 4140_Pto. 01_Cert. 01'!K114</f>
        <v>0</v>
      </c>
      <c r="J114" s="136"/>
      <c r="K114" s="79">
        <f t="shared" si="42"/>
        <v>0</v>
      </c>
      <c r="L114" s="201">
        <f t="shared" si="43"/>
        <v>0</v>
      </c>
      <c r="M114" s="201">
        <f t="shared" si="44"/>
        <v>0</v>
      </c>
      <c r="N114" s="201">
        <f t="shared" si="45"/>
        <v>0</v>
      </c>
    </row>
    <row r="115" spans="1:14" s="57" customFormat="1" ht="13.8" outlineLevel="1" x14ac:dyDescent="0.3">
      <c r="A115" s="217">
        <v>18.149999999999999</v>
      </c>
      <c r="B115" s="218" t="s">
        <v>126</v>
      </c>
      <c r="C115" s="219" t="s">
        <v>47</v>
      </c>
      <c r="D115" s="220">
        <v>7</v>
      </c>
      <c r="E115" s="42">
        <v>507898</v>
      </c>
      <c r="F115" s="42">
        <f t="shared" si="25"/>
        <v>3555286</v>
      </c>
      <c r="G115" s="181"/>
      <c r="H115" s="32"/>
      <c r="I115" s="136">
        <f>+'SVD 4140_Pto. 01_Cert. 01'!K115</f>
        <v>0</v>
      </c>
      <c r="J115" s="136"/>
      <c r="K115" s="79">
        <f t="shared" si="42"/>
        <v>0</v>
      </c>
      <c r="L115" s="201">
        <f t="shared" si="43"/>
        <v>0</v>
      </c>
      <c r="M115" s="201">
        <f t="shared" si="44"/>
        <v>0</v>
      </c>
      <c r="N115" s="201">
        <f t="shared" si="45"/>
        <v>0</v>
      </c>
    </row>
    <row r="116" spans="1:14" s="57" customFormat="1" ht="13.8" outlineLevel="1" x14ac:dyDescent="0.3">
      <c r="A116" s="217">
        <v>18.16</v>
      </c>
      <c r="B116" s="218" t="s">
        <v>127</v>
      </c>
      <c r="C116" s="219" t="s">
        <v>47</v>
      </c>
      <c r="D116" s="220">
        <v>9</v>
      </c>
      <c r="E116" s="42">
        <v>595498</v>
      </c>
      <c r="F116" s="42">
        <f t="shared" si="25"/>
        <v>5359482</v>
      </c>
      <c r="G116" s="181"/>
      <c r="H116" s="32"/>
      <c r="I116" s="141">
        <f>+'SVD 4140_Pto. 01_Cert. 01'!K116</f>
        <v>0</v>
      </c>
      <c r="J116" s="141"/>
      <c r="K116" s="79">
        <f t="shared" si="42"/>
        <v>0</v>
      </c>
      <c r="L116" s="201">
        <f t="shared" si="43"/>
        <v>0</v>
      </c>
      <c r="M116" s="201">
        <f t="shared" si="44"/>
        <v>0</v>
      </c>
      <c r="N116" s="201">
        <f t="shared" si="45"/>
        <v>0</v>
      </c>
    </row>
    <row r="117" spans="1:14" s="57" customFormat="1" ht="13.8" outlineLevel="1" x14ac:dyDescent="0.3">
      <c r="A117" s="217">
        <v>18.170000000000002</v>
      </c>
      <c r="B117" s="218" t="s">
        <v>128</v>
      </c>
      <c r="C117" s="219" t="s">
        <v>28</v>
      </c>
      <c r="D117" s="220">
        <v>1</v>
      </c>
      <c r="E117" s="42">
        <v>9502264</v>
      </c>
      <c r="F117" s="42">
        <f t="shared" si="25"/>
        <v>9502264</v>
      </c>
      <c r="G117" s="181"/>
      <c r="H117" s="32"/>
      <c r="I117" s="136">
        <f>+'SVD 4140_Pto. 01_Cert. 01'!K117</f>
        <v>0</v>
      </c>
      <c r="J117" s="136"/>
      <c r="K117" s="79">
        <f t="shared" si="42"/>
        <v>0</v>
      </c>
      <c r="L117" s="201">
        <f t="shared" si="43"/>
        <v>0</v>
      </c>
      <c r="M117" s="201">
        <f t="shared" si="44"/>
        <v>0</v>
      </c>
      <c r="N117" s="201">
        <f t="shared" si="45"/>
        <v>0</v>
      </c>
    </row>
    <row r="118" spans="1:14" s="57" customFormat="1" ht="13.8" outlineLevel="1" x14ac:dyDescent="0.3">
      <c r="A118" s="217">
        <v>18.18</v>
      </c>
      <c r="B118" s="218" t="s">
        <v>129</v>
      </c>
      <c r="C118" s="219" t="s">
        <v>28</v>
      </c>
      <c r="D118" s="220">
        <v>1</v>
      </c>
      <c r="E118" s="42">
        <v>1878534</v>
      </c>
      <c r="F118" s="42">
        <f t="shared" si="25"/>
        <v>1878534</v>
      </c>
      <c r="G118" s="181"/>
      <c r="H118" s="32"/>
      <c r="I118" s="136">
        <f>+'SVD 4140_Pto. 01_Cert. 01'!K118</f>
        <v>0</v>
      </c>
      <c r="J118" s="136"/>
      <c r="K118" s="79">
        <f t="shared" si="42"/>
        <v>0</v>
      </c>
      <c r="L118" s="201">
        <f t="shared" si="43"/>
        <v>0</v>
      </c>
      <c r="M118" s="201">
        <f t="shared" si="44"/>
        <v>0</v>
      </c>
      <c r="N118" s="201">
        <f t="shared" si="45"/>
        <v>0</v>
      </c>
    </row>
    <row r="119" spans="1:14" s="57" customFormat="1" ht="13.8" outlineLevel="1" x14ac:dyDescent="0.3">
      <c r="A119" s="217">
        <v>18.190000000000001</v>
      </c>
      <c r="B119" s="218" t="s">
        <v>130</v>
      </c>
      <c r="C119" s="219" t="s">
        <v>28</v>
      </c>
      <c r="D119" s="220">
        <v>1</v>
      </c>
      <c r="E119" s="42">
        <v>1878534</v>
      </c>
      <c r="F119" s="42">
        <f t="shared" si="25"/>
        <v>1878534</v>
      </c>
      <c r="G119" s="181"/>
      <c r="H119" s="32"/>
      <c r="I119" s="141">
        <f>+'SVD 4140_Pto. 01_Cert. 01'!K119</f>
        <v>0</v>
      </c>
      <c r="J119" s="141"/>
      <c r="K119" s="79">
        <f t="shared" si="42"/>
        <v>0</v>
      </c>
      <c r="L119" s="201">
        <f t="shared" si="43"/>
        <v>0</v>
      </c>
      <c r="M119" s="201">
        <f t="shared" si="44"/>
        <v>0</v>
      </c>
      <c r="N119" s="201">
        <f t="shared" si="45"/>
        <v>0</v>
      </c>
    </row>
    <row r="120" spans="1:14" s="57" customFormat="1" ht="13.8" outlineLevel="1" x14ac:dyDescent="0.3">
      <c r="A120" s="217">
        <v>18.2</v>
      </c>
      <c r="B120" s="218" t="s">
        <v>131</v>
      </c>
      <c r="C120" s="219" t="s">
        <v>47</v>
      </c>
      <c r="D120" s="220">
        <v>33</v>
      </c>
      <c r="E120" s="42">
        <v>14235</v>
      </c>
      <c r="F120" s="42">
        <f t="shared" si="25"/>
        <v>469755</v>
      </c>
      <c r="G120" s="181"/>
      <c r="H120" s="32"/>
      <c r="I120" s="136">
        <f>+'SVD 4140_Pto. 01_Cert. 01'!K120</f>
        <v>0</v>
      </c>
      <c r="J120" s="136"/>
      <c r="K120" s="79">
        <f t="shared" si="42"/>
        <v>0</v>
      </c>
      <c r="L120" s="201">
        <f t="shared" si="43"/>
        <v>0</v>
      </c>
      <c r="M120" s="201">
        <f t="shared" si="44"/>
        <v>0</v>
      </c>
      <c r="N120" s="201">
        <f t="shared" si="45"/>
        <v>0</v>
      </c>
    </row>
    <row r="121" spans="1:14" s="57" customFormat="1" ht="13.8" outlineLevel="1" x14ac:dyDescent="0.3">
      <c r="A121" s="217">
        <v>18.21</v>
      </c>
      <c r="B121" s="218" t="s">
        <v>132</v>
      </c>
      <c r="C121" s="219" t="s">
        <v>47</v>
      </c>
      <c r="D121" s="220">
        <v>150</v>
      </c>
      <c r="E121" s="42">
        <v>9276</v>
      </c>
      <c r="F121" s="42">
        <f t="shared" si="25"/>
        <v>1391400</v>
      </c>
      <c r="G121" s="181"/>
      <c r="H121" s="32"/>
      <c r="I121" s="136">
        <f>+'SVD 4140_Pto. 01_Cert. 01'!K121</f>
        <v>0</v>
      </c>
      <c r="J121" s="136"/>
      <c r="K121" s="79">
        <f t="shared" si="42"/>
        <v>0</v>
      </c>
      <c r="L121" s="201">
        <f t="shared" si="43"/>
        <v>0</v>
      </c>
      <c r="M121" s="201">
        <f t="shared" si="44"/>
        <v>0</v>
      </c>
      <c r="N121" s="201">
        <f t="shared" si="45"/>
        <v>0</v>
      </c>
    </row>
    <row r="122" spans="1:14" s="57" customFormat="1" ht="13.8" outlineLevel="1" x14ac:dyDescent="0.3">
      <c r="A122" s="217">
        <v>18.22</v>
      </c>
      <c r="B122" s="218" t="s">
        <v>133</v>
      </c>
      <c r="C122" s="219" t="s">
        <v>47</v>
      </c>
      <c r="D122" s="220">
        <v>16</v>
      </c>
      <c r="E122" s="42">
        <v>9276</v>
      </c>
      <c r="F122" s="42">
        <f t="shared" si="25"/>
        <v>148416</v>
      </c>
      <c r="G122" s="181"/>
      <c r="H122" s="32"/>
      <c r="I122" s="141">
        <f>+'SVD 4140_Pto. 01_Cert. 01'!K122</f>
        <v>0</v>
      </c>
      <c r="J122" s="141"/>
      <c r="K122" s="79">
        <f t="shared" si="42"/>
        <v>0</v>
      </c>
      <c r="L122" s="201">
        <f t="shared" si="43"/>
        <v>0</v>
      </c>
      <c r="M122" s="201">
        <f t="shared" si="44"/>
        <v>0</v>
      </c>
      <c r="N122" s="201">
        <f t="shared" si="45"/>
        <v>0</v>
      </c>
    </row>
    <row r="123" spans="1:14" s="57" customFormat="1" ht="13.8" outlineLevel="1" x14ac:dyDescent="0.3">
      <c r="A123" s="217">
        <v>18.23</v>
      </c>
      <c r="B123" s="218" t="s">
        <v>134</v>
      </c>
      <c r="C123" s="219" t="s">
        <v>47</v>
      </c>
      <c r="D123" s="220">
        <v>349</v>
      </c>
      <c r="E123" s="42">
        <v>9276</v>
      </c>
      <c r="F123" s="42">
        <f t="shared" si="25"/>
        <v>3237324</v>
      </c>
      <c r="G123" s="181"/>
      <c r="H123" s="32"/>
      <c r="I123" s="136">
        <f>+'SVD 4140_Pto. 01_Cert. 01'!K123</f>
        <v>0</v>
      </c>
      <c r="J123" s="136"/>
      <c r="K123" s="79">
        <f t="shared" si="42"/>
        <v>0</v>
      </c>
      <c r="L123" s="201">
        <f t="shared" si="43"/>
        <v>0</v>
      </c>
      <c r="M123" s="201">
        <f t="shared" si="44"/>
        <v>0</v>
      </c>
      <c r="N123" s="201">
        <f t="shared" si="45"/>
        <v>0</v>
      </c>
    </row>
    <row r="124" spans="1:14" s="57" customFormat="1" ht="13.8" outlineLevel="1" x14ac:dyDescent="0.3">
      <c r="A124" s="217">
        <v>18.239999999999998</v>
      </c>
      <c r="B124" s="218" t="s">
        <v>135</v>
      </c>
      <c r="C124" s="219" t="s">
        <v>47</v>
      </c>
      <c r="D124" s="220">
        <v>27</v>
      </c>
      <c r="E124" s="42">
        <v>22326</v>
      </c>
      <c r="F124" s="42">
        <f t="shared" si="25"/>
        <v>602802</v>
      </c>
      <c r="G124" s="181"/>
      <c r="H124" s="32"/>
      <c r="I124" s="136">
        <f>+'SVD 4140_Pto. 01_Cert. 01'!K124</f>
        <v>0</v>
      </c>
      <c r="J124" s="136"/>
      <c r="K124" s="79">
        <f t="shared" si="42"/>
        <v>0</v>
      </c>
      <c r="L124" s="201">
        <f t="shared" si="43"/>
        <v>0</v>
      </c>
      <c r="M124" s="201">
        <f t="shared" si="44"/>
        <v>0</v>
      </c>
      <c r="N124" s="201">
        <f t="shared" si="45"/>
        <v>0</v>
      </c>
    </row>
    <row r="125" spans="1:14" s="57" customFormat="1" ht="13.8" outlineLevel="1" x14ac:dyDescent="0.3">
      <c r="A125" s="217">
        <v>18.25</v>
      </c>
      <c r="B125" s="218" t="s">
        <v>136</v>
      </c>
      <c r="C125" s="219" t="s">
        <v>47</v>
      </c>
      <c r="D125" s="220">
        <v>16</v>
      </c>
      <c r="E125" s="42">
        <v>14235</v>
      </c>
      <c r="F125" s="42">
        <f t="shared" si="25"/>
        <v>227760</v>
      </c>
      <c r="G125" s="181"/>
      <c r="H125" s="32"/>
      <c r="I125" s="141">
        <f>+'SVD 4140_Pto. 01_Cert. 01'!K125</f>
        <v>0</v>
      </c>
      <c r="J125" s="141"/>
      <c r="K125" s="79">
        <f t="shared" si="42"/>
        <v>0</v>
      </c>
      <c r="L125" s="201">
        <f t="shared" si="43"/>
        <v>0</v>
      </c>
      <c r="M125" s="201">
        <f t="shared" si="44"/>
        <v>0</v>
      </c>
      <c r="N125" s="201">
        <f t="shared" si="45"/>
        <v>0</v>
      </c>
    </row>
    <row r="126" spans="1:14" s="57" customFormat="1" ht="27.6" outlineLevel="1" x14ac:dyDescent="0.3">
      <c r="A126" s="217">
        <v>18.260000000000002</v>
      </c>
      <c r="B126" s="218" t="s">
        <v>137</v>
      </c>
      <c r="C126" s="219" t="s">
        <v>47</v>
      </c>
      <c r="D126" s="220">
        <v>137</v>
      </c>
      <c r="E126" s="42">
        <v>14235</v>
      </c>
      <c r="F126" s="42">
        <f t="shared" si="25"/>
        <v>1950195</v>
      </c>
      <c r="G126" s="181"/>
      <c r="H126" s="32"/>
      <c r="I126" s="136">
        <f>+'SVD 4140_Pto. 01_Cert. 01'!K126</f>
        <v>0</v>
      </c>
      <c r="J126" s="136"/>
      <c r="K126" s="79">
        <f t="shared" si="42"/>
        <v>0</v>
      </c>
      <c r="L126" s="201">
        <f t="shared" si="43"/>
        <v>0</v>
      </c>
      <c r="M126" s="201">
        <f t="shared" si="44"/>
        <v>0</v>
      </c>
      <c r="N126" s="201">
        <f t="shared" si="45"/>
        <v>0</v>
      </c>
    </row>
    <row r="127" spans="1:14" s="57" customFormat="1" ht="13.8" outlineLevel="1" x14ac:dyDescent="0.3">
      <c r="A127" s="217">
        <v>18.27</v>
      </c>
      <c r="B127" s="218" t="s">
        <v>138</v>
      </c>
      <c r="C127" s="219" t="s">
        <v>47</v>
      </c>
      <c r="D127" s="220">
        <v>1</v>
      </c>
      <c r="E127" s="42">
        <v>14235</v>
      </c>
      <c r="F127" s="42">
        <f t="shared" si="25"/>
        <v>14235</v>
      </c>
      <c r="G127" s="181"/>
      <c r="H127" s="32"/>
      <c r="I127" s="136">
        <f>+'SVD 4140_Pto. 01_Cert. 01'!K127</f>
        <v>0</v>
      </c>
      <c r="J127" s="136"/>
      <c r="K127" s="79">
        <f t="shared" si="42"/>
        <v>0</v>
      </c>
      <c r="L127" s="201">
        <f t="shared" si="43"/>
        <v>0</v>
      </c>
      <c r="M127" s="201">
        <f t="shared" si="44"/>
        <v>0</v>
      </c>
      <c r="N127" s="201">
        <f t="shared" si="45"/>
        <v>0</v>
      </c>
    </row>
    <row r="128" spans="1:14" s="57" customFormat="1" ht="13.8" outlineLevel="1" x14ac:dyDescent="0.3">
      <c r="A128" s="217">
        <v>18.28</v>
      </c>
      <c r="B128" s="218" t="s">
        <v>139</v>
      </c>
      <c r="C128" s="219" t="s">
        <v>28</v>
      </c>
      <c r="D128" s="220">
        <v>1</v>
      </c>
      <c r="E128" s="42">
        <v>9332982</v>
      </c>
      <c r="F128" s="42">
        <f t="shared" si="25"/>
        <v>9332982</v>
      </c>
      <c r="G128" s="181"/>
      <c r="H128" s="32"/>
      <c r="I128" s="141">
        <f>+'SVD 4140_Pto. 01_Cert. 01'!K128</f>
        <v>0</v>
      </c>
      <c r="J128" s="141"/>
      <c r="K128" s="79">
        <f t="shared" si="42"/>
        <v>0</v>
      </c>
      <c r="L128" s="201">
        <f t="shared" si="43"/>
        <v>0</v>
      </c>
      <c r="M128" s="201">
        <f t="shared" si="44"/>
        <v>0</v>
      </c>
      <c r="N128" s="201">
        <f t="shared" si="45"/>
        <v>0</v>
      </c>
    </row>
    <row r="129" spans="1:14" s="57" customFormat="1" ht="13.8" outlineLevel="1" x14ac:dyDescent="0.3">
      <c r="A129" s="217">
        <v>18.29</v>
      </c>
      <c r="B129" s="218" t="s">
        <v>140</v>
      </c>
      <c r="C129" s="219" t="s">
        <v>28</v>
      </c>
      <c r="D129" s="220">
        <v>1</v>
      </c>
      <c r="E129" s="42">
        <v>1998778</v>
      </c>
      <c r="F129" s="42">
        <f t="shared" si="25"/>
        <v>1998778</v>
      </c>
      <c r="G129" s="181"/>
      <c r="H129" s="32"/>
      <c r="I129" s="136">
        <f>+'SVD 4140_Pto. 01_Cert. 01'!K129</f>
        <v>0</v>
      </c>
      <c r="J129" s="136"/>
      <c r="K129" s="79">
        <f t="shared" si="42"/>
        <v>0</v>
      </c>
      <c r="L129" s="201">
        <f t="shared" si="43"/>
        <v>0</v>
      </c>
      <c r="M129" s="201">
        <f t="shared" si="44"/>
        <v>0</v>
      </c>
      <c r="N129" s="201">
        <f t="shared" si="45"/>
        <v>0</v>
      </c>
    </row>
    <row r="130" spans="1:14" s="57" customFormat="1" ht="13.8" outlineLevel="1" x14ac:dyDescent="0.3">
      <c r="A130" s="221">
        <v>18.3</v>
      </c>
      <c r="B130" s="222" t="s">
        <v>141</v>
      </c>
      <c r="C130" s="223" t="s">
        <v>28</v>
      </c>
      <c r="D130" s="224">
        <v>1</v>
      </c>
      <c r="E130" s="60">
        <v>125849</v>
      </c>
      <c r="F130" s="60">
        <f t="shared" si="25"/>
        <v>125849</v>
      </c>
      <c r="G130" s="181"/>
      <c r="H130" s="32"/>
      <c r="I130" s="136">
        <f>+'SVD 4140_Pto. 01_Cert. 01'!K130</f>
        <v>0</v>
      </c>
      <c r="J130" s="136"/>
      <c r="K130" s="79">
        <f t="shared" si="42"/>
        <v>0</v>
      </c>
      <c r="L130" s="201">
        <f t="shared" si="43"/>
        <v>0</v>
      </c>
      <c r="M130" s="201">
        <f t="shared" si="44"/>
        <v>0</v>
      </c>
      <c r="N130" s="201">
        <f t="shared" si="45"/>
        <v>0</v>
      </c>
    </row>
    <row r="131" spans="1:14" s="57" customFormat="1" ht="13.8" outlineLevel="1" x14ac:dyDescent="0.3">
      <c r="A131" s="225">
        <v>19</v>
      </c>
      <c r="B131" s="226" t="s">
        <v>142</v>
      </c>
      <c r="C131" s="227"/>
      <c r="D131" s="228"/>
      <c r="E131" s="229"/>
      <c r="F131" s="230"/>
      <c r="G131" s="181"/>
      <c r="H131" s="32"/>
      <c r="I131" s="205"/>
      <c r="J131" s="206"/>
      <c r="K131" s="206"/>
      <c r="L131" s="207"/>
      <c r="M131" s="207"/>
      <c r="N131" s="208"/>
    </row>
    <row r="132" spans="1:14" s="57" customFormat="1" ht="13.8" x14ac:dyDescent="0.3">
      <c r="A132" s="27"/>
      <c r="B132" s="28" t="s">
        <v>143</v>
      </c>
      <c r="C132" s="189"/>
      <c r="D132" s="65"/>
      <c r="E132" s="65"/>
      <c r="F132" s="65"/>
      <c r="G132" s="31">
        <f>+SUM(F133:F136)</f>
        <v>21161055</v>
      </c>
      <c r="H132" s="32">
        <f>+G132/$G$185</f>
        <v>2.8764833575587834E-2</v>
      </c>
      <c r="I132" s="205"/>
      <c r="J132" s="206"/>
      <c r="K132" s="206"/>
      <c r="L132" s="207"/>
      <c r="M132" s="207"/>
      <c r="N132" s="208"/>
    </row>
    <row r="133" spans="1:14" s="57" customFormat="1" ht="13.8" outlineLevel="1" x14ac:dyDescent="0.3">
      <c r="A133" s="213">
        <v>19.010000000000002</v>
      </c>
      <c r="B133" s="214" t="s">
        <v>144</v>
      </c>
      <c r="C133" s="215" t="s">
        <v>28</v>
      </c>
      <c r="D133" s="216">
        <v>1</v>
      </c>
      <c r="E133" s="37">
        <v>7236758</v>
      </c>
      <c r="F133" s="37">
        <f t="shared" si="25"/>
        <v>7236758</v>
      </c>
      <c r="G133" s="181"/>
      <c r="H133" s="32"/>
      <c r="I133" s="134">
        <f>+'SVD 4140_Pto. 01_Cert. 01'!K133</f>
        <v>0.05</v>
      </c>
      <c r="J133" s="134"/>
      <c r="K133" s="135">
        <f t="shared" ref="K133:K136" si="46">+I133+J133</f>
        <v>0.05</v>
      </c>
      <c r="L133" s="200">
        <f t="shared" ref="L133:L136" si="47">+F133*I133</f>
        <v>361837.9</v>
      </c>
      <c r="M133" s="200">
        <f t="shared" ref="M133:M136" si="48">+F133*J133</f>
        <v>0</v>
      </c>
      <c r="N133" s="200">
        <f t="shared" ref="N133:N136" si="49">+F133*K133</f>
        <v>361837.9</v>
      </c>
    </row>
    <row r="134" spans="1:14" s="57" customFormat="1" ht="13.8" outlineLevel="1" x14ac:dyDescent="0.3">
      <c r="A134" s="217">
        <v>19.02</v>
      </c>
      <c r="B134" s="218" t="s">
        <v>145</v>
      </c>
      <c r="C134" s="219" t="s">
        <v>28</v>
      </c>
      <c r="D134" s="220">
        <v>1</v>
      </c>
      <c r="E134" s="42">
        <v>1001516</v>
      </c>
      <c r="F134" s="42">
        <f t="shared" si="25"/>
        <v>1001516</v>
      </c>
      <c r="G134" s="181"/>
      <c r="H134" s="32"/>
      <c r="I134" s="136">
        <f>+'SVD 4140_Pto. 01_Cert. 01'!K134</f>
        <v>0</v>
      </c>
      <c r="J134" s="136"/>
      <c r="K134" s="79">
        <f t="shared" si="46"/>
        <v>0</v>
      </c>
      <c r="L134" s="201">
        <f t="shared" si="47"/>
        <v>0</v>
      </c>
      <c r="M134" s="201">
        <f t="shared" si="48"/>
        <v>0</v>
      </c>
      <c r="N134" s="201">
        <f t="shared" si="49"/>
        <v>0</v>
      </c>
    </row>
    <row r="135" spans="1:14" s="57" customFormat="1" ht="13.8" outlineLevel="1" x14ac:dyDescent="0.3">
      <c r="A135" s="217">
        <v>19.03</v>
      </c>
      <c r="B135" s="218" t="s">
        <v>146</v>
      </c>
      <c r="C135" s="219" t="s">
        <v>28</v>
      </c>
      <c r="D135" s="220">
        <v>1</v>
      </c>
      <c r="E135" s="42">
        <v>8787491</v>
      </c>
      <c r="F135" s="42">
        <f t="shared" si="25"/>
        <v>8787491</v>
      </c>
      <c r="G135" s="181"/>
      <c r="H135" s="32"/>
      <c r="I135" s="136">
        <f>+'SVD 4140_Pto. 01_Cert. 01'!K135</f>
        <v>0</v>
      </c>
      <c r="J135" s="136"/>
      <c r="K135" s="79">
        <f t="shared" si="46"/>
        <v>0</v>
      </c>
      <c r="L135" s="201">
        <f t="shared" si="47"/>
        <v>0</v>
      </c>
      <c r="M135" s="201">
        <f t="shared" si="48"/>
        <v>0</v>
      </c>
      <c r="N135" s="201">
        <f t="shared" si="49"/>
        <v>0</v>
      </c>
    </row>
    <row r="136" spans="1:14" s="57" customFormat="1" ht="13.8" outlineLevel="1" x14ac:dyDescent="0.3">
      <c r="A136" s="221">
        <v>19.04</v>
      </c>
      <c r="B136" s="222" t="s">
        <v>147</v>
      </c>
      <c r="C136" s="223" t="s">
        <v>28</v>
      </c>
      <c r="D136" s="224">
        <v>1</v>
      </c>
      <c r="E136" s="60">
        <v>4135290</v>
      </c>
      <c r="F136" s="60">
        <f t="shared" si="25"/>
        <v>4135290</v>
      </c>
      <c r="G136" s="181"/>
      <c r="H136" s="32"/>
      <c r="I136" s="141">
        <f>+'SVD 4140_Pto. 01_Cert. 01'!K136</f>
        <v>0</v>
      </c>
      <c r="J136" s="141"/>
      <c r="K136" s="79">
        <f t="shared" si="46"/>
        <v>0</v>
      </c>
      <c r="L136" s="201">
        <f t="shared" si="47"/>
        <v>0</v>
      </c>
      <c r="M136" s="201">
        <f t="shared" si="48"/>
        <v>0</v>
      </c>
      <c r="N136" s="201">
        <f t="shared" si="49"/>
        <v>0</v>
      </c>
    </row>
    <row r="137" spans="1:14" s="57" customFormat="1" ht="13.8" x14ac:dyDescent="0.3">
      <c r="A137" s="27"/>
      <c r="B137" s="28" t="s">
        <v>148</v>
      </c>
      <c r="C137" s="189"/>
      <c r="D137" s="65"/>
      <c r="E137" s="65"/>
      <c r="F137" s="65"/>
      <c r="G137" s="31">
        <f>+SUM(F138:F140)</f>
        <v>6551951</v>
      </c>
      <c r="H137" s="32">
        <f>+G137/$G$185</f>
        <v>8.9062563331746124E-3</v>
      </c>
      <c r="I137" s="205"/>
      <c r="J137" s="206"/>
      <c r="K137" s="206"/>
      <c r="L137" s="206"/>
      <c r="M137" s="207"/>
      <c r="N137" s="208"/>
    </row>
    <row r="138" spans="1:14" s="57" customFormat="1" ht="13.8" outlineLevel="1" x14ac:dyDescent="0.3">
      <c r="A138" s="213">
        <v>19.05</v>
      </c>
      <c r="B138" s="214" t="s">
        <v>149</v>
      </c>
      <c r="C138" s="215" t="s">
        <v>28</v>
      </c>
      <c r="D138" s="216">
        <v>1</v>
      </c>
      <c r="E138" s="37">
        <v>2675380</v>
      </c>
      <c r="F138" s="37">
        <f t="shared" si="25"/>
        <v>2675380</v>
      </c>
      <c r="G138" s="181"/>
      <c r="H138" s="32"/>
      <c r="I138" s="134">
        <f>+'SVD 4140_Pto. 01_Cert. 01'!K138</f>
        <v>0.05</v>
      </c>
      <c r="J138" s="134"/>
      <c r="K138" s="135">
        <f t="shared" ref="K138:K140" si="50">+I138+J138</f>
        <v>0.05</v>
      </c>
      <c r="L138" s="200">
        <f t="shared" ref="L138:L140" si="51">+F138*I138</f>
        <v>133769</v>
      </c>
      <c r="M138" s="200">
        <f t="shared" ref="M138:M140" si="52">+F138*J138</f>
        <v>0</v>
      </c>
      <c r="N138" s="200">
        <f t="shared" ref="N138:N140" si="53">+F138*K138</f>
        <v>133769</v>
      </c>
    </row>
    <row r="139" spans="1:14" s="57" customFormat="1" ht="13.8" outlineLevel="1" x14ac:dyDescent="0.3">
      <c r="A139" s="217">
        <v>19.059999999999999</v>
      </c>
      <c r="B139" s="218" t="s">
        <v>150</v>
      </c>
      <c r="C139" s="219" t="s">
        <v>28</v>
      </c>
      <c r="D139" s="220">
        <v>1</v>
      </c>
      <c r="E139" s="42">
        <v>3057577</v>
      </c>
      <c r="F139" s="42">
        <f t="shared" si="25"/>
        <v>3057577</v>
      </c>
      <c r="G139" s="181"/>
      <c r="H139" s="32"/>
      <c r="I139" s="136">
        <f>+'SVD 4140_Pto. 01_Cert. 01'!K139</f>
        <v>0</v>
      </c>
      <c r="J139" s="136"/>
      <c r="K139" s="79">
        <f t="shared" si="50"/>
        <v>0</v>
      </c>
      <c r="L139" s="201">
        <f t="shared" si="51"/>
        <v>0</v>
      </c>
      <c r="M139" s="201">
        <f t="shared" si="52"/>
        <v>0</v>
      </c>
      <c r="N139" s="201">
        <f t="shared" si="53"/>
        <v>0</v>
      </c>
    </row>
    <row r="140" spans="1:14" s="57" customFormat="1" ht="13.8" outlineLevel="1" x14ac:dyDescent="0.3">
      <c r="A140" s="221">
        <v>19.07</v>
      </c>
      <c r="B140" s="222" t="s">
        <v>151</v>
      </c>
      <c r="C140" s="223" t="s">
        <v>28</v>
      </c>
      <c r="D140" s="224">
        <v>1</v>
      </c>
      <c r="E140" s="60">
        <v>818994</v>
      </c>
      <c r="F140" s="60">
        <f t="shared" ref="F140:F184" si="54">+D140*E140</f>
        <v>818994</v>
      </c>
      <c r="G140" s="181"/>
      <c r="H140" s="32"/>
      <c r="I140" s="136">
        <f>+'SVD 4140_Pto. 01_Cert. 01'!K140</f>
        <v>0</v>
      </c>
      <c r="J140" s="136"/>
      <c r="K140" s="79">
        <f t="shared" si="50"/>
        <v>0</v>
      </c>
      <c r="L140" s="201">
        <f t="shared" si="51"/>
        <v>0</v>
      </c>
      <c r="M140" s="201">
        <f t="shared" si="52"/>
        <v>0</v>
      </c>
      <c r="N140" s="201">
        <f t="shared" si="53"/>
        <v>0</v>
      </c>
    </row>
    <row r="141" spans="1:14" s="57" customFormat="1" ht="13.8" x14ac:dyDescent="0.3">
      <c r="A141" s="27"/>
      <c r="B141" s="28" t="s">
        <v>152</v>
      </c>
      <c r="C141" s="189"/>
      <c r="D141" s="65"/>
      <c r="E141" s="65"/>
      <c r="F141" s="65"/>
      <c r="G141" s="31">
        <f>+SUM(F142:F146)</f>
        <v>37004103</v>
      </c>
      <c r="H141" s="32">
        <f>+G141/$G$185</f>
        <v>5.0300746555826753E-2</v>
      </c>
      <c r="I141" s="205"/>
      <c r="J141" s="206"/>
      <c r="K141" s="206"/>
      <c r="L141" s="206"/>
      <c r="M141" s="207"/>
      <c r="N141" s="208"/>
    </row>
    <row r="142" spans="1:14" s="57" customFormat="1" ht="13.8" outlineLevel="1" x14ac:dyDescent="0.3">
      <c r="A142" s="213">
        <v>19.079999999999998</v>
      </c>
      <c r="B142" s="214" t="s">
        <v>153</v>
      </c>
      <c r="C142" s="215" t="s">
        <v>28</v>
      </c>
      <c r="D142" s="216">
        <v>1</v>
      </c>
      <c r="E142" s="37">
        <v>3750416</v>
      </c>
      <c r="F142" s="37">
        <f t="shared" si="54"/>
        <v>3750416</v>
      </c>
      <c r="G142" s="181"/>
      <c r="H142" s="32"/>
      <c r="I142" s="134">
        <f>+'SVD 4140_Pto. 01_Cert. 01'!K142</f>
        <v>0</v>
      </c>
      <c r="J142" s="134"/>
      <c r="K142" s="135">
        <f t="shared" ref="K142:K146" si="55">+I142+J142</f>
        <v>0</v>
      </c>
      <c r="L142" s="200">
        <f t="shared" ref="L142:L146" si="56">+F142*I142</f>
        <v>0</v>
      </c>
      <c r="M142" s="200">
        <f t="shared" ref="M142:M146" si="57">+F142*J142</f>
        <v>0</v>
      </c>
      <c r="N142" s="200">
        <f t="shared" ref="N142:N146" si="58">+F142*K142</f>
        <v>0</v>
      </c>
    </row>
    <row r="143" spans="1:14" s="57" customFormat="1" ht="13.8" outlineLevel="1" x14ac:dyDescent="0.3">
      <c r="A143" s="217">
        <v>19.09</v>
      </c>
      <c r="B143" s="218" t="s">
        <v>154</v>
      </c>
      <c r="C143" s="219" t="s">
        <v>28</v>
      </c>
      <c r="D143" s="220">
        <v>1</v>
      </c>
      <c r="E143" s="42">
        <v>7500832</v>
      </c>
      <c r="F143" s="42">
        <f t="shared" si="54"/>
        <v>7500832</v>
      </c>
      <c r="G143" s="181"/>
      <c r="H143" s="32"/>
      <c r="I143" s="136">
        <f>+'SVD 4140_Pto. 01_Cert. 01'!K143</f>
        <v>0</v>
      </c>
      <c r="J143" s="136"/>
      <c r="K143" s="79">
        <f t="shared" si="55"/>
        <v>0</v>
      </c>
      <c r="L143" s="201">
        <f t="shared" si="56"/>
        <v>0</v>
      </c>
      <c r="M143" s="201">
        <f t="shared" si="57"/>
        <v>0</v>
      </c>
      <c r="N143" s="201">
        <f t="shared" si="58"/>
        <v>0</v>
      </c>
    </row>
    <row r="144" spans="1:14" s="57" customFormat="1" ht="13.8" outlineLevel="1" x14ac:dyDescent="0.3">
      <c r="A144" s="217">
        <v>19.100000000000001</v>
      </c>
      <c r="B144" s="218" t="s">
        <v>155</v>
      </c>
      <c r="C144" s="219" t="s">
        <v>28</v>
      </c>
      <c r="D144" s="220">
        <v>1</v>
      </c>
      <c r="E144" s="42">
        <v>1750194</v>
      </c>
      <c r="F144" s="42">
        <f t="shared" si="54"/>
        <v>1750194</v>
      </c>
      <c r="G144" s="181"/>
      <c r="H144" s="32"/>
      <c r="I144" s="136">
        <f>+'SVD 4140_Pto. 01_Cert. 01'!K144</f>
        <v>0</v>
      </c>
      <c r="J144" s="136"/>
      <c r="K144" s="79">
        <f t="shared" si="55"/>
        <v>0</v>
      </c>
      <c r="L144" s="201">
        <f t="shared" si="56"/>
        <v>0</v>
      </c>
      <c r="M144" s="201">
        <f t="shared" si="57"/>
        <v>0</v>
      </c>
      <c r="N144" s="201">
        <f t="shared" si="58"/>
        <v>0</v>
      </c>
    </row>
    <row r="145" spans="1:14" s="57" customFormat="1" ht="13.8" outlineLevel="1" x14ac:dyDescent="0.3">
      <c r="A145" s="217">
        <v>19.11</v>
      </c>
      <c r="B145" s="218" t="s">
        <v>156</v>
      </c>
      <c r="C145" s="219" t="s">
        <v>28</v>
      </c>
      <c r="D145" s="220">
        <v>1</v>
      </c>
      <c r="E145" s="42">
        <v>14001552</v>
      </c>
      <c r="F145" s="42">
        <f t="shared" si="54"/>
        <v>14001552</v>
      </c>
      <c r="G145" s="181"/>
      <c r="H145" s="32"/>
      <c r="I145" s="136">
        <f>+'SVD 4140_Pto. 01_Cert. 01'!K145</f>
        <v>0</v>
      </c>
      <c r="J145" s="136"/>
      <c r="K145" s="79">
        <f t="shared" si="55"/>
        <v>0</v>
      </c>
      <c r="L145" s="201">
        <f t="shared" si="56"/>
        <v>0</v>
      </c>
      <c r="M145" s="201">
        <f t="shared" si="57"/>
        <v>0</v>
      </c>
      <c r="N145" s="201">
        <f t="shared" si="58"/>
        <v>0</v>
      </c>
    </row>
    <row r="146" spans="1:14" s="57" customFormat="1" ht="13.8" outlineLevel="1" x14ac:dyDescent="0.3">
      <c r="A146" s="221">
        <v>19.12</v>
      </c>
      <c r="B146" s="222" t="s">
        <v>157</v>
      </c>
      <c r="C146" s="223" t="s">
        <v>28</v>
      </c>
      <c r="D146" s="224">
        <v>1</v>
      </c>
      <c r="E146" s="60">
        <v>10001109</v>
      </c>
      <c r="F146" s="60">
        <f t="shared" si="54"/>
        <v>10001109</v>
      </c>
      <c r="G146" s="181"/>
      <c r="H146" s="32"/>
      <c r="I146" s="141">
        <f>+'SVD 4140_Pto. 01_Cert. 01'!K146</f>
        <v>0</v>
      </c>
      <c r="J146" s="141"/>
      <c r="K146" s="79">
        <f t="shared" si="55"/>
        <v>0</v>
      </c>
      <c r="L146" s="201">
        <f t="shared" si="56"/>
        <v>0</v>
      </c>
      <c r="M146" s="201">
        <f t="shared" si="57"/>
        <v>0</v>
      </c>
      <c r="N146" s="201">
        <f t="shared" si="58"/>
        <v>0</v>
      </c>
    </row>
    <row r="147" spans="1:14" s="57" customFormat="1" ht="13.8" x14ac:dyDescent="0.3">
      <c r="A147" s="27"/>
      <c r="B147" s="28" t="s">
        <v>158</v>
      </c>
      <c r="C147" s="189"/>
      <c r="D147" s="65"/>
      <c r="E147" s="65"/>
      <c r="F147" s="65"/>
      <c r="G147" s="31">
        <f>+SUM(F148)</f>
        <v>2047485</v>
      </c>
      <c r="H147" s="32">
        <f>+G147/$G$185</f>
        <v>2.7832055289073467E-3</v>
      </c>
      <c r="I147" s="205"/>
      <c r="J147" s="206"/>
      <c r="K147" s="206"/>
      <c r="L147" s="206"/>
      <c r="M147" s="207"/>
      <c r="N147" s="208"/>
    </row>
    <row r="148" spans="1:14" s="57" customFormat="1" ht="13.8" outlineLevel="1" x14ac:dyDescent="0.3">
      <c r="A148" s="231">
        <v>19.13</v>
      </c>
      <c r="B148" s="232" t="s">
        <v>159</v>
      </c>
      <c r="C148" s="233" t="s">
        <v>28</v>
      </c>
      <c r="D148" s="234">
        <v>1</v>
      </c>
      <c r="E148" s="235">
        <v>2047485</v>
      </c>
      <c r="F148" s="235">
        <f t="shared" si="54"/>
        <v>2047485</v>
      </c>
      <c r="G148" s="181"/>
      <c r="H148" s="32"/>
      <c r="I148" s="134">
        <f>+'SVD 4140_Pto. 01_Cert. 01'!K148</f>
        <v>0</v>
      </c>
      <c r="J148" s="134"/>
      <c r="K148" s="135">
        <f t="shared" ref="K148" si="59">+I148+J148</f>
        <v>0</v>
      </c>
      <c r="L148" s="200">
        <f t="shared" ref="L148" si="60">+F148*I148</f>
        <v>0</v>
      </c>
      <c r="M148" s="200">
        <f t="shared" ref="M148" si="61">+F148*J148</f>
        <v>0</v>
      </c>
      <c r="N148" s="200">
        <f t="shared" ref="N148" si="62">+F148*K148</f>
        <v>0</v>
      </c>
    </row>
    <row r="149" spans="1:14" s="57" customFormat="1" ht="13.8" x14ac:dyDescent="0.3">
      <c r="A149" s="27"/>
      <c r="B149" s="28" t="s">
        <v>160</v>
      </c>
      <c r="C149" s="189"/>
      <c r="D149" s="65"/>
      <c r="E149" s="65"/>
      <c r="F149" s="65"/>
      <c r="G149" s="31">
        <f>+SUM(F150:F153)</f>
        <v>32512648</v>
      </c>
      <c r="H149" s="32">
        <f>+G149/$G$185</f>
        <v>4.4195381979852545E-2</v>
      </c>
      <c r="I149" s="205"/>
      <c r="J149" s="206"/>
      <c r="K149" s="206"/>
      <c r="L149" s="206"/>
      <c r="M149" s="207"/>
      <c r="N149" s="208"/>
    </row>
    <row r="150" spans="1:14" s="57" customFormat="1" ht="13.8" outlineLevel="1" x14ac:dyDescent="0.3">
      <c r="A150" s="213">
        <v>19.14</v>
      </c>
      <c r="B150" s="214" t="s">
        <v>161</v>
      </c>
      <c r="C150" s="215" t="s">
        <v>28</v>
      </c>
      <c r="D150" s="216">
        <v>1</v>
      </c>
      <c r="E150" s="37">
        <v>15888634</v>
      </c>
      <c r="F150" s="37">
        <f t="shared" si="54"/>
        <v>15888634</v>
      </c>
      <c r="G150" s="181"/>
      <c r="H150" s="32"/>
      <c r="I150" s="134">
        <f>+'SVD 4140_Pto. 01_Cert. 01'!K150</f>
        <v>0</v>
      </c>
      <c r="J150" s="134"/>
      <c r="K150" s="135">
        <f t="shared" ref="K150:K153" si="63">+I150+J150</f>
        <v>0</v>
      </c>
      <c r="L150" s="200">
        <f t="shared" ref="L150:L153" si="64">+F150*I150</f>
        <v>0</v>
      </c>
      <c r="M150" s="200">
        <f t="shared" ref="M150:M153" si="65">+F150*J150</f>
        <v>0</v>
      </c>
      <c r="N150" s="200">
        <f t="shared" ref="N150:N153" si="66">+F150*K150</f>
        <v>0</v>
      </c>
    </row>
    <row r="151" spans="1:14" s="57" customFormat="1" ht="13.8" outlineLevel="1" x14ac:dyDescent="0.3">
      <c r="A151" s="217">
        <v>19.149999999999999</v>
      </c>
      <c r="B151" s="218" t="s">
        <v>162</v>
      </c>
      <c r="C151" s="219" t="s">
        <v>28</v>
      </c>
      <c r="D151" s="220">
        <v>1</v>
      </c>
      <c r="E151" s="42">
        <v>6190377</v>
      </c>
      <c r="F151" s="42">
        <f t="shared" si="54"/>
        <v>6190377</v>
      </c>
      <c r="G151" s="181"/>
      <c r="H151" s="32"/>
      <c r="I151" s="136">
        <f>+'SVD 4140_Pto. 01_Cert. 01'!K151</f>
        <v>0</v>
      </c>
      <c r="J151" s="136"/>
      <c r="K151" s="79">
        <f t="shared" si="63"/>
        <v>0</v>
      </c>
      <c r="L151" s="201">
        <f t="shared" si="64"/>
        <v>0</v>
      </c>
      <c r="M151" s="201">
        <f t="shared" si="65"/>
        <v>0</v>
      </c>
      <c r="N151" s="201">
        <f t="shared" si="66"/>
        <v>0</v>
      </c>
    </row>
    <row r="152" spans="1:14" s="57" customFormat="1" ht="13.8" outlineLevel="1" x14ac:dyDescent="0.3">
      <c r="A152" s="217">
        <v>19.16</v>
      </c>
      <c r="B152" s="218" t="s">
        <v>163</v>
      </c>
      <c r="C152" s="219" t="s">
        <v>28</v>
      </c>
      <c r="D152" s="220">
        <v>1</v>
      </c>
      <c r="E152" s="42">
        <v>4952302</v>
      </c>
      <c r="F152" s="42">
        <f t="shared" si="54"/>
        <v>4952302</v>
      </c>
      <c r="G152" s="181"/>
      <c r="H152" s="32"/>
      <c r="I152" s="136">
        <f>+'SVD 4140_Pto. 01_Cert. 01'!K152</f>
        <v>0</v>
      </c>
      <c r="J152" s="136"/>
      <c r="K152" s="79">
        <f t="shared" si="63"/>
        <v>0</v>
      </c>
      <c r="L152" s="201">
        <f t="shared" si="64"/>
        <v>0</v>
      </c>
      <c r="M152" s="201">
        <f t="shared" si="65"/>
        <v>0</v>
      </c>
      <c r="N152" s="201">
        <f t="shared" si="66"/>
        <v>0</v>
      </c>
    </row>
    <row r="153" spans="1:14" s="57" customFormat="1" ht="13.8" outlineLevel="1" x14ac:dyDescent="0.3">
      <c r="A153" s="221">
        <v>19.170000000000002</v>
      </c>
      <c r="B153" s="222" t="s">
        <v>164</v>
      </c>
      <c r="C153" s="223" t="s">
        <v>28</v>
      </c>
      <c r="D153" s="224">
        <v>1</v>
      </c>
      <c r="E153" s="60">
        <v>5481335</v>
      </c>
      <c r="F153" s="60">
        <f t="shared" si="54"/>
        <v>5481335</v>
      </c>
      <c r="G153" s="181"/>
      <c r="H153" s="32"/>
      <c r="I153" s="141">
        <f>+'SVD 4140_Pto. 01_Cert. 01'!K153</f>
        <v>0</v>
      </c>
      <c r="J153" s="141"/>
      <c r="K153" s="79">
        <f t="shared" si="63"/>
        <v>0</v>
      </c>
      <c r="L153" s="201">
        <f t="shared" si="64"/>
        <v>0</v>
      </c>
      <c r="M153" s="201">
        <f t="shared" si="65"/>
        <v>0</v>
      </c>
      <c r="N153" s="201">
        <f t="shared" si="66"/>
        <v>0</v>
      </c>
    </row>
    <row r="154" spans="1:14" s="57" customFormat="1" ht="13.8" x14ac:dyDescent="0.3">
      <c r="A154" s="27"/>
      <c r="B154" s="28" t="s">
        <v>165</v>
      </c>
      <c r="C154" s="189"/>
      <c r="D154" s="65"/>
      <c r="E154" s="65"/>
      <c r="F154" s="65"/>
      <c r="G154" s="31">
        <f>+SUM(F155)</f>
        <v>5206701</v>
      </c>
      <c r="H154" s="32">
        <f>+G154/$G$185</f>
        <v>7.0776191330180257E-3</v>
      </c>
      <c r="I154" s="205"/>
      <c r="J154" s="206"/>
      <c r="K154" s="206"/>
      <c r="L154" s="206"/>
      <c r="M154" s="207"/>
      <c r="N154" s="208"/>
    </row>
    <row r="155" spans="1:14" s="57" customFormat="1" ht="13.8" outlineLevel="1" x14ac:dyDescent="0.3">
      <c r="A155" s="231">
        <v>19.170000000000002</v>
      </c>
      <c r="B155" s="232" t="s">
        <v>166</v>
      </c>
      <c r="C155" s="233" t="s">
        <v>28</v>
      </c>
      <c r="D155" s="234">
        <v>1</v>
      </c>
      <c r="E155" s="235">
        <v>5206701</v>
      </c>
      <c r="F155" s="235">
        <f t="shared" si="54"/>
        <v>5206701</v>
      </c>
      <c r="G155" s="181"/>
      <c r="H155" s="32"/>
      <c r="I155" s="134">
        <f>+'SVD 4140_Pto. 01_Cert. 01'!K155</f>
        <v>0</v>
      </c>
      <c r="J155" s="134"/>
      <c r="K155" s="135">
        <f t="shared" ref="K155" si="67">+I155+J155</f>
        <v>0</v>
      </c>
      <c r="L155" s="200">
        <f t="shared" ref="L155" si="68">+F155*I155</f>
        <v>0</v>
      </c>
      <c r="M155" s="200">
        <f t="shared" ref="M155" si="69">+F155*J155</f>
        <v>0</v>
      </c>
      <c r="N155" s="200">
        <f t="shared" ref="N155" si="70">+F155*K155</f>
        <v>0</v>
      </c>
    </row>
    <row r="156" spans="1:14" s="57" customFormat="1" ht="13.8" x14ac:dyDescent="0.3">
      <c r="A156" s="27"/>
      <c r="B156" s="28" t="s">
        <v>167</v>
      </c>
      <c r="C156" s="189"/>
      <c r="D156" s="65"/>
      <c r="E156" s="65"/>
      <c r="F156" s="65"/>
      <c r="G156" s="31">
        <f>+SUM(F157:F158)</f>
        <v>20260948</v>
      </c>
      <c r="H156" s="32">
        <f>+G156/$G$185</f>
        <v>2.7541292119114061E-2</v>
      </c>
      <c r="I156" s="205"/>
      <c r="J156" s="206"/>
      <c r="K156" s="206"/>
      <c r="L156" s="206"/>
      <c r="M156" s="207"/>
      <c r="N156" s="208"/>
    </row>
    <row r="157" spans="1:14" s="57" customFormat="1" ht="13.8" outlineLevel="1" x14ac:dyDescent="0.3">
      <c r="A157" s="213">
        <v>19.18</v>
      </c>
      <c r="B157" s="214" t="s">
        <v>168</v>
      </c>
      <c r="C157" s="215" t="s">
        <v>28</v>
      </c>
      <c r="D157" s="216">
        <v>1</v>
      </c>
      <c r="E157" s="37">
        <v>16584566</v>
      </c>
      <c r="F157" s="37">
        <f t="shared" si="54"/>
        <v>16584566</v>
      </c>
      <c r="G157" s="181"/>
      <c r="H157" s="32"/>
      <c r="I157" s="134">
        <f>+'SVD 4140_Pto. 01_Cert. 01'!K157</f>
        <v>0</v>
      </c>
      <c r="J157" s="134"/>
      <c r="K157" s="135">
        <f t="shared" ref="K157:K158" si="71">+I157+J157</f>
        <v>0</v>
      </c>
      <c r="L157" s="200">
        <f t="shared" ref="L157:L158" si="72">+F157*I157</f>
        <v>0</v>
      </c>
      <c r="M157" s="200">
        <f t="shared" ref="M157:M158" si="73">+F157*J157</f>
        <v>0</v>
      </c>
      <c r="N157" s="200">
        <f t="shared" ref="N157:N158" si="74">+F157*K157</f>
        <v>0</v>
      </c>
    </row>
    <row r="158" spans="1:14" s="57" customFormat="1" ht="13.8" outlineLevel="1" x14ac:dyDescent="0.3">
      <c r="A158" s="221">
        <v>19.190000000000001</v>
      </c>
      <c r="B158" s="222" t="s">
        <v>169</v>
      </c>
      <c r="C158" s="223" t="s">
        <v>28</v>
      </c>
      <c r="D158" s="224">
        <v>1</v>
      </c>
      <c r="E158" s="60">
        <v>3676382</v>
      </c>
      <c r="F158" s="60">
        <f t="shared" si="54"/>
        <v>3676382</v>
      </c>
      <c r="G158" s="181"/>
      <c r="H158" s="32"/>
      <c r="I158" s="141">
        <f>+'SVD 4140_Pto. 01_Cert. 01'!K158</f>
        <v>0</v>
      </c>
      <c r="J158" s="141"/>
      <c r="K158" s="79">
        <f t="shared" si="71"/>
        <v>0</v>
      </c>
      <c r="L158" s="201">
        <f t="shared" si="72"/>
        <v>0</v>
      </c>
      <c r="M158" s="201">
        <f t="shared" si="73"/>
        <v>0</v>
      </c>
      <c r="N158" s="201">
        <f t="shared" si="74"/>
        <v>0</v>
      </c>
    </row>
    <row r="159" spans="1:14" s="57" customFormat="1" ht="13.8" x14ac:dyDescent="0.3">
      <c r="A159" s="27">
        <v>20</v>
      </c>
      <c r="B159" s="28" t="s">
        <v>170</v>
      </c>
      <c r="C159" s="189"/>
      <c r="D159" s="65"/>
      <c r="E159" s="65"/>
      <c r="F159" s="65"/>
      <c r="G159" s="31">
        <f>+SUM(F160:F161)</f>
        <v>35197776</v>
      </c>
      <c r="H159" s="32">
        <f>+G159/$G$185</f>
        <v>4.7845354065325175E-2</v>
      </c>
      <c r="I159" s="205"/>
      <c r="J159" s="206"/>
      <c r="K159" s="206"/>
      <c r="L159" s="206"/>
      <c r="M159" s="207"/>
      <c r="N159" s="208"/>
    </row>
    <row r="160" spans="1:14" s="57" customFormat="1" ht="13.8" outlineLevel="1" x14ac:dyDescent="0.3">
      <c r="A160" s="213">
        <v>20.010000000000002</v>
      </c>
      <c r="B160" s="214" t="s">
        <v>171</v>
      </c>
      <c r="C160" s="215" t="s">
        <v>47</v>
      </c>
      <c r="D160" s="216">
        <v>36</v>
      </c>
      <c r="E160" s="37">
        <v>740165</v>
      </c>
      <c r="F160" s="37">
        <f t="shared" si="54"/>
        <v>26645940</v>
      </c>
      <c r="G160" s="181"/>
      <c r="H160" s="32"/>
      <c r="I160" s="134">
        <f>+'SVD 4140_Pto. 01_Cert. 01'!K160</f>
        <v>0</v>
      </c>
      <c r="J160" s="134"/>
      <c r="K160" s="135">
        <f t="shared" ref="K160:K161" si="75">+I160+J160</f>
        <v>0</v>
      </c>
      <c r="L160" s="200">
        <f t="shared" ref="L160:L161" si="76">+F160*I160</f>
        <v>0</v>
      </c>
      <c r="M160" s="200">
        <f t="shared" ref="M160:M161" si="77">+F160*J160</f>
        <v>0</v>
      </c>
      <c r="N160" s="200">
        <f t="shared" ref="N160:N161" si="78">+F160*K160</f>
        <v>0</v>
      </c>
    </row>
    <row r="161" spans="1:14" s="57" customFormat="1" ht="13.8" outlineLevel="1" x14ac:dyDescent="0.3">
      <c r="A161" s="221">
        <v>20.02</v>
      </c>
      <c r="B161" s="222" t="s">
        <v>172</v>
      </c>
      <c r="C161" s="223" t="s">
        <v>47</v>
      </c>
      <c r="D161" s="224">
        <v>36</v>
      </c>
      <c r="E161" s="60">
        <v>237551</v>
      </c>
      <c r="F161" s="60">
        <f t="shared" si="54"/>
        <v>8551836</v>
      </c>
      <c r="G161" s="181"/>
      <c r="H161" s="32"/>
      <c r="I161" s="141">
        <f>+'SVD 4140_Pto. 01_Cert. 01'!K161</f>
        <v>0</v>
      </c>
      <c r="J161" s="141"/>
      <c r="K161" s="79">
        <f t="shared" si="75"/>
        <v>0</v>
      </c>
      <c r="L161" s="201">
        <f t="shared" si="76"/>
        <v>0</v>
      </c>
      <c r="M161" s="201">
        <f t="shared" si="77"/>
        <v>0</v>
      </c>
      <c r="N161" s="201">
        <f t="shared" si="78"/>
        <v>0</v>
      </c>
    </row>
    <row r="162" spans="1:14" s="57" customFormat="1" ht="13.8" x14ac:dyDescent="0.3">
      <c r="A162" s="27">
        <v>21</v>
      </c>
      <c r="B162" s="28" t="s">
        <v>173</v>
      </c>
      <c r="C162" s="189"/>
      <c r="D162" s="65"/>
      <c r="E162" s="65"/>
      <c r="F162" s="65"/>
      <c r="G162" s="31">
        <f>+SUM(F163)</f>
        <v>0</v>
      </c>
      <c r="H162" s="32">
        <f>+G162/$G$185</f>
        <v>0</v>
      </c>
      <c r="I162" s="205"/>
      <c r="J162" s="206"/>
      <c r="K162" s="206"/>
      <c r="L162" s="206"/>
      <c r="M162" s="207"/>
      <c r="N162" s="208"/>
    </row>
    <row r="163" spans="1:14" s="57" customFormat="1" ht="13.8" outlineLevel="1" x14ac:dyDescent="0.3">
      <c r="A163" s="231">
        <v>21.01</v>
      </c>
      <c r="B163" s="232" t="s">
        <v>174</v>
      </c>
      <c r="C163" s="233" t="s">
        <v>28</v>
      </c>
      <c r="D163" s="234">
        <v>0</v>
      </c>
      <c r="E163" s="235">
        <v>0</v>
      </c>
      <c r="F163" s="235">
        <f t="shared" si="54"/>
        <v>0</v>
      </c>
      <c r="G163" s="181"/>
      <c r="H163" s="32"/>
      <c r="I163" s="134">
        <f>+'SVD 4140_Pto. 01_Cert. 01'!K163</f>
        <v>0</v>
      </c>
      <c r="J163" s="134"/>
      <c r="K163" s="135">
        <f t="shared" ref="K163" si="79">+I163+J163</f>
        <v>0</v>
      </c>
      <c r="L163" s="200">
        <f t="shared" ref="L163" si="80">+F163*I163</f>
        <v>0</v>
      </c>
      <c r="M163" s="200">
        <f t="shared" ref="M163" si="81">+F163*J163</f>
        <v>0</v>
      </c>
      <c r="N163" s="200">
        <f t="shared" ref="N163" si="82">+F163*K163</f>
        <v>0</v>
      </c>
    </row>
    <row r="164" spans="1:14" s="57" customFormat="1" ht="13.8" x14ac:dyDescent="0.3">
      <c r="A164" s="27">
        <v>22</v>
      </c>
      <c r="B164" s="28" t="s">
        <v>175</v>
      </c>
      <c r="C164" s="189"/>
      <c r="D164" s="65"/>
      <c r="E164" s="65"/>
      <c r="F164" s="65"/>
      <c r="G164" s="31">
        <f>+SUM(F165:F166)</f>
        <v>2671152</v>
      </c>
      <c r="H164" s="32">
        <f>+G164/$G$185</f>
        <v>3.630974104792913E-3</v>
      </c>
      <c r="I164" s="205"/>
      <c r="J164" s="206"/>
      <c r="K164" s="206"/>
      <c r="L164" s="206"/>
      <c r="M164" s="207"/>
      <c r="N164" s="208"/>
    </row>
    <row r="165" spans="1:14" s="57" customFormat="1" ht="13.8" outlineLevel="1" x14ac:dyDescent="0.3">
      <c r="A165" s="213">
        <v>22.01</v>
      </c>
      <c r="B165" s="214" t="s">
        <v>176</v>
      </c>
      <c r="C165" s="215" t="s">
        <v>47</v>
      </c>
      <c r="D165" s="216">
        <v>16</v>
      </c>
      <c r="E165" s="37">
        <v>80944</v>
      </c>
      <c r="F165" s="37">
        <f t="shared" si="54"/>
        <v>1295104</v>
      </c>
      <c r="G165" s="181"/>
      <c r="H165" s="32"/>
      <c r="I165" s="141">
        <f>+'SVD 4140_Pto. 01_Cert. 01'!K165</f>
        <v>0</v>
      </c>
      <c r="J165" s="141"/>
      <c r="K165" s="79">
        <f t="shared" ref="K165:K166" si="83">+I165+J165</f>
        <v>0</v>
      </c>
      <c r="L165" s="201">
        <f t="shared" ref="L165:L166" si="84">+F165*I165</f>
        <v>0</v>
      </c>
      <c r="M165" s="201">
        <f t="shared" ref="M165:M166" si="85">+F165*J165</f>
        <v>0</v>
      </c>
      <c r="N165" s="201">
        <f t="shared" ref="N165:N166" si="86">+F165*K165</f>
        <v>0</v>
      </c>
    </row>
    <row r="166" spans="1:14" s="57" customFormat="1" ht="13.8" outlineLevel="1" x14ac:dyDescent="0.3">
      <c r="A166" s="221">
        <v>22.02</v>
      </c>
      <c r="B166" s="222" t="s">
        <v>177</v>
      </c>
      <c r="C166" s="223" t="s">
        <v>47</v>
      </c>
      <c r="D166" s="224">
        <v>17</v>
      </c>
      <c r="E166" s="60">
        <v>80944</v>
      </c>
      <c r="F166" s="60">
        <f t="shared" si="54"/>
        <v>1376048</v>
      </c>
      <c r="G166" s="181"/>
      <c r="H166" s="32"/>
      <c r="I166" s="141">
        <f>+'SVD 4140_Pto. 01_Cert. 01'!K166</f>
        <v>0</v>
      </c>
      <c r="J166" s="141"/>
      <c r="K166" s="79">
        <f t="shared" si="83"/>
        <v>0</v>
      </c>
      <c r="L166" s="201">
        <f t="shared" si="84"/>
        <v>0</v>
      </c>
      <c r="M166" s="201">
        <f t="shared" si="85"/>
        <v>0</v>
      </c>
      <c r="N166" s="201">
        <f t="shared" si="86"/>
        <v>0</v>
      </c>
    </row>
    <row r="167" spans="1:14" s="57" customFormat="1" ht="13.8" x14ac:dyDescent="0.3">
      <c r="A167" s="27">
        <v>23</v>
      </c>
      <c r="B167" s="28" t="s">
        <v>178</v>
      </c>
      <c r="C167" s="189"/>
      <c r="D167" s="65"/>
      <c r="E167" s="65"/>
      <c r="F167" s="65"/>
      <c r="G167" s="31">
        <f>+SUM(F168:F170)</f>
        <v>4668180</v>
      </c>
      <c r="H167" s="32">
        <f>+G167/$G$185</f>
        <v>6.3455919754892946E-3</v>
      </c>
      <c r="I167" s="205"/>
      <c r="J167" s="206"/>
      <c r="K167" s="206"/>
      <c r="L167" s="206"/>
      <c r="M167" s="207"/>
      <c r="N167" s="208"/>
    </row>
    <row r="168" spans="1:14" s="57" customFormat="1" ht="13.8" outlineLevel="1" x14ac:dyDescent="0.3">
      <c r="A168" s="213">
        <v>23.01</v>
      </c>
      <c r="B168" s="214" t="s">
        <v>179</v>
      </c>
      <c r="C168" s="215" t="s">
        <v>28</v>
      </c>
      <c r="D168" s="216">
        <v>7</v>
      </c>
      <c r="E168" s="37">
        <v>446402</v>
      </c>
      <c r="F168" s="37">
        <f t="shared" si="54"/>
        <v>3124814</v>
      </c>
      <c r="G168" s="181"/>
      <c r="H168" s="32"/>
      <c r="I168" s="134">
        <f>+'SVD 4140_Pto. 01_Cert. 01'!K168</f>
        <v>0</v>
      </c>
      <c r="J168" s="134"/>
      <c r="K168" s="135">
        <f t="shared" ref="K168:K170" si="87">+I168+J168</f>
        <v>0</v>
      </c>
      <c r="L168" s="200">
        <f t="shared" ref="L168:L170" si="88">+F168*I168</f>
        <v>0</v>
      </c>
      <c r="M168" s="200">
        <f t="shared" ref="M168:M170" si="89">+F168*J168</f>
        <v>0</v>
      </c>
      <c r="N168" s="200">
        <f t="shared" ref="N168:N170" si="90">+F168*K168</f>
        <v>0</v>
      </c>
    </row>
    <row r="169" spans="1:14" s="57" customFormat="1" ht="13.8" outlineLevel="1" x14ac:dyDescent="0.3">
      <c r="A169" s="217">
        <v>23.02</v>
      </c>
      <c r="B169" s="218" t="s">
        <v>180</v>
      </c>
      <c r="C169" s="219" t="s">
        <v>28</v>
      </c>
      <c r="D169" s="220">
        <v>1</v>
      </c>
      <c r="E169" s="42">
        <v>672060</v>
      </c>
      <c r="F169" s="42">
        <f t="shared" si="54"/>
        <v>672060</v>
      </c>
      <c r="G169" s="181"/>
      <c r="H169" s="32"/>
      <c r="I169" s="141">
        <f>+'SVD 4140_Pto. 01_Cert. 01'!K169</f>
        <v>0</v>
      </c>
      <c r="J169" s="141"/>
      <c r="K169" s="79">
        <f t="shared" si="87"/>
        <v>0</v>
      </c>
      <c r="L169" s="201">
        <f t="shared" si="88"/>
        <v>0</v>
      </c>
      <c r="M169" s="201">
        <f t="shared" si="89"/>
        <v>0</v>
      </c>
      <c r="N169" s="201">
        <f t="shared" si="90"/>
        <v>0</v>
      </c>
    </row>
    <row r="170" spans="1:14" s="57" customFormat="1" ht="13.8" outlineLevel="1" x14ac:dyDescent="0.3">
      <c r="A170" s="221">
        <v>23.03</v>
      </c>
      <c r="B170" s="222" t="s">
        <v>181</v>
      </c>
      <c r="C170" s="223" t="s">
        <v>28</v>
      </c>
      <c r="D170" s="224">
        <v>1</v>
      </c>
      <c r="E170" s="60">
        <v>871306</v>
      </c>
      <c r="F170" s="60">
        <f t="shared" si="54"/>
        <v>871306</v>
      </c>
      <c r="G170" s="181"/>
      <c r="H170" s="32"/>
      <c r="I170" s="141">
        <f>+'SVD 4140_Pto. 01_Cert. 01'!K170</f>
        <v>0</v>
      </c>
      <c r="J170" s="141"/>
      <c r="K170" s="79">
        <f t="shared" si="87"/>
        <v>0</v>
      </c>
      <c r="L170" s="201">
        <f t="shared" si="88"/>
        <v>0</v>
      </c>
      <c r="M170" s="201">
        <f t="shared" si="89"/>
        <v>0</v>
      </c>
      <c r="N170" s="201">
        <f t="shared" si="90"/>
        <v>0</v>
      </c>
    </row>
    <row r="171" spans="1:14" s="57" customFormat="1" ht="13.8" x14ac:dyDescent="0.3">
      <c r="A171" s="27">
        <v>24</v>
      </c>
      <c r="B171" s="28" t="s">
        <v>182</v>
      </c>
      <c r="C171" s="189"/>
      <c r="D171" s="65"/>
      <c r="E171" s="65"/>
      <c r="F171" s="65"/>
      <c r="G171" s="31">
        <f>+SUM(F172:F181)</f>
        <v>16311090</v>
      </c>
      <c r="H171" s="32">
        <f>+G171/$G$185</f>
        <v>2.2172135996359112E-2</v>
      </c>
      <c r="I171" s="205"/>
      <c r="J171" s="206"/>
      <c r="K171" s="206"/>
      <c r="L171" s="206"/>
      <c r="M171" s="207"/>
      <c r="N171" s="208"/>
    </row>
    <row r="172" spans="1:14" s="57" customFormat="1" ht="13.8" outlineLevel="1" x14ac:dyDescent="0.3">
      <c r="A172" s="213">
        <v>24.01</v>
      </c>
      <c r="B172" s="214" t="s">
        <v>183</v>
      </c>
      <c r="C172" s="215" t="s">
        <v>184</v>
      </c>
      <c r="D172" s="216">
        <v>6</v>
      </c>
      <c r="E172" s="37">
        <v>753138</v>
      </c>
      <c r="F172" s="37">
        <f t="shared" si="54"/>
        <v>4518828</v>
      </c>
      <c r="G172" s="181"/>
      <c r="H172" s="32"/>
      <c r="I172" s="134">
        <f>+'SVD 4140_Pto. 01_Cert. 01'!K172</f>
        <v>0</v>
      </c>
      <c r="J172" s="134"/>
      <c r="K172" s="135">
        <f t="shared" ref="K172:K181" si="91">+I172+J172</f>
        <v>0</v>
      </c>
      <c r="L172" s="200">
        <f t="shared" ref="L172:L181" si="92">+F172*I172</f>
        <v>0</v>
      </c>
      <c r="M172" s="200">
        <f t="shared" ref="M172:M181" si="93">+F172*J172</f>
        <v>0</v>
      </c>
      <c r="N172" s="200">
        <f t="shared" ref="N172:N181" si="94">+F172*K172</f>
        <v>0</v>
      </c>
    </row>
    <row r="173" spans="1:14" s="57" customFormat="1" ht="13.8" outlineLevel="1" x14ac:dyDescent="0.3">
      <c r="A173" s="217">
        <v>24.02</v>
      </c>
      <c r="B173" s="218" t="s">
        <v>185</v>
      </c>
      <c r="C173" s="219" t="s">
        <v>184</v>
      </c>
      <c r="D173" s="220"/>
      <c r="E173" s="42">
        <v>1944871</v>
      </c>
      <c r="F173" s="42">
        <f t="shared" si="54"/>
        <v>0</v>
      </c>
      <c r="G173" s="181"/>
      <c r="H173" s="32"/>
      <c r="I173" s="141">
        <f>+'SVD 4140_Pto. 01_Cert. 01'!K173</f>
        <v>0</v>
      </c>
      <c r="J173" s="141"/>
      <c r="K173" s="79">
        <f t="shared" si="91"/>
        <v>0</v>
      </c>
      <c r="L173" s="201">
        <f t="shared" si="92"/>
        <v>0</v>
      </c>
      <c r="M173" s="201">
        <f t="shared" si="93"/>
        <v>0</v>
      </c>
      <c r="N173" s="201">
        <f t="shared" si="94"/>
        <v>0</v>
      </c>
    </row>
    <row r="174" spans="1:14" s="57" customFormat="1" ht="13.8" outlineLevel="1" x14ac:dyDescent="0.3">
      <c r="A174" s="217">
        <v>24.03</v>
      </c>
      <c r="B174" s="218" t="s">
        <v>186</v>
      </c>
      <c r="C174" s="219" t="s">
        <v>184</v>
      </c>
      <c r="D174" s="220">
        <v>6</v>
      </c>
      <c r="E174" s="42">
        <v>188533</v>
      </c>
      <c r="F174" s="42">
        <f t="shared" si="54"/>
        <v>1131198</v>
      </c>
      <c r="G174" s="181"/>
      <c r="H174" s="32"/>
      <c r="I174" s="141">
        <f>+'SVD 4140_Pto. 01_Cert. 01'!K174</f>
        <v>0</v>
      </c>
      <c r="J174" s="141"/>
      <c r="K174" s="79">
        <f t="shared" si="91"/>
        <v>0</v>
      </c>
      <c r="L174" s="201">
        <f t="shared" si="92"/>
        <v>0</v>
      </c>
      <c r="M174" s="201">
        <f t="shared" si="93"/>
        <v>0</v>
      </c>
      <c r="N174" s="201">
        <f t="shared" si="94"/>
        <v>0</v>
      </c>
    </row>
    <row r="175" spans="1:14" s="57" customFormat="1" ht="13.8" outlineLevel="1" x14ac:dyDescent="0.3">
      <c r="A175" s="217">
        <v>24.04</v>
      </c>
      <c r="B175" s="218" t="s">
        <v>187</v>
      </c>
      <c r="C175" s="219" t="s">
        <v>28</v>
      </c>
      <c r="D175" s="220"/>
      <c r="E175" s="42">
        <v>4606562</v>
      </c>
      <c r="F175" s="42">
        <f t="shared" si="54"/>
        <v>0</v>
      </c>
      <c r="G175" s="181"/>
      <c r="H175" s="32"/>
      <c r="I175" s="141">
        <f>+'SVD 4140_Pto. 01_Cert. 01'!K175</f>
        <v>0</v>
      </c>
      <c r="J175" s="141"/>
      <c r="K175" s="79">
        <f t="shared" si="91"/>
        <v>0</v>
      </c>
      <c r="L175" s="201">
        <f t="shared" si="92"/>
        <v>0</v>
      </c>
      <c r="M175" s="201">
        <f t="shared" si="93"/>
        <v>0</v>
      </c>
      <c r="N175" s="201">
        <f t="shared" si="94"/>
        <v>0</v>
      </c>
    </row>
    <row r="176" spans="1:14" s="57" customFormat="1" ht="13.8" outlineLevel="1" x14ac:dyDescent="0.3">
      <c r="A176" s="217">
        <v>24.05</v>
      </c>
      <c r="B176" s="218" t="s">
        <v>188</v>
      </c>
      <c r="C176" s="219" t="s">
        <v>184</v>
      </c>
      <c r="D176" s="220">
        <v>6</v>
      </c>
      <c r="E176" s="42">
        <v>696152</v>
      </c>
      <c r="F176" s="42">
        <f t="shared" si="54"/>
        <v>4176912</v>
      </c>
      <c r="G176" s="181"/>
      <c r="H176" s="32"/>
      <c r="I176" s="141">
        <f>+'SVD 4140_Pto. 01_Cert. 01'!K176</f>
        <v>0</v>
      </c>
      <c r="J176" s="141"/>
      <c r="K176" s="79">
        <f t="shared" si="91"/>
        <v>0</v>
      </c>
      <c r="L176" s="201">
        <f t="shared" si="92"/>
        <v>0</v>
      </c>
      <c r="M176" s="201">
        <f t="shared" si="93"/>
        <v>0</v>
      </c>
      <c r="N176" s="201">
        <f t="shared" si="94"/>
        <v>0</v>
      </c>
    </row>
    <row r="177" spans="1:17" s="57" customFormat="1" ht="13.8" outlineLevel="1" x14ac:dyDescent="0.3">
      <c r="A177" s="217">
        <v>24.06</v>
      </c>
      <c r="B177" s="218" t="s">
        <v>189</v>
      </c>
      <c r="C177" s="219" t="s">
        <v>184</v>
      </c>
      <c r="D177" s="220">
        <v>6</v>
      </c>
      <c r="E177" s="42">
        <v>452333</v>
      </c>
      <c r="F177" s="42">
        <f t="shared" si="54"/>
        <v>2713998</v>
      </c>
      <c r="G177" s="181"/>
      <c r="H177" s="32"/>
      <c r="I177" s="141">
        <f>+'SVD 4140_Pto. 01_Cert. 01'!K177</f>
        <v>0</v>
      </c>
      <c r="J177" s="141"/>
      <c r="K177" s="79">
        <f t="shared" si="91"/>
        <v>0</v>
      </c>
      <c r="L177" s="201">
        <f t="shared" si="92"/>
        <v>0</v>
      </c>
      <c r="M177" s="201">
        <f t="shared" si="93"/>
        <v>0</v>
      </c>
      <c r="N177" s="201">
        <f t="shared" si="94"/>
        <v>0</v>
      </c>
    </row>
    <row r="178" spans="1:17" s="57" customFormat="1" ht="13.8" outlineLevel="1" x14ac:dyDescent="0.3">
      <c r="A178" s="217">
        <v>24.07</v>
      </c>
      <c r="B178" s="218" t="s">
        <v>190</v>
      </c>
      <c r="C178" s="219" t="s">
        <v>28</v>
      </c>
      <c r="D178" s="220">
        <v>0</v>
      </c>
      <c r="E178" s="42">
        <v>0</v>
      </c>
      <c r="F178" s="42">
        <f t="shared" si="54"/>
        <v>0</v>
      </c>
      <c r="G178" s="181"/>
      <c r="H178" s="32"/>
      <c r="I178" s="141">
        <f>+'SVD 4140_Pto. 01_Cert. 01'!K178</f>
        <v>0</v>
      </c>
      <c r="J178" s="141"/>
      <c r="K178" s="79">
        <f t="shared" si="91"/>
        <v>0</v>
      </c>
      <c r="L178" s="201">
        <f t="shared" si="92"/>
        <v>0</v>
      </c>
      <c r="M178" s="201">
        <f t="shared" si="93"/>
        <v>0</v>
      </c>
      <c r="N178" s="201">
        <f t="shared" si="94"/>
        <v>0</v>
      </c>
    </row>
    <row r="179" spans="1:17" s="57" customFormat="1" ht="13.8" outlineLevel="1" x14ac:dyDescent="0.3">
      <c r="A179" s="217">
        <v>24.08</v>
      </c>
      <c r="B179" s="218" t="s">
        <v>191</v>
      </c>
      <c r="C179" s="219" t="s">
        <v>184</v>
      </c>
      <c r="D179" s="220">
        <v>6</v>
      </c>
      <c r="E179" s="42">
        <v>314221</v>
      </c>
      <c r="F179" s="42">
        <f t="shared" si="54"/>
        <v>1885326</v>
      </c>
      <c r="G179" s="181"/>
      <c r="H179" s="32"/>
      <c r="I179" s="141">
        <f>+'SVD 4140_Pto. 01_Cert. 01'!K179</f>
        <v>0</v>
      </c>
      <c r="J179" s="141"/>
      <c r="K179" s="79">
        <f t="shared" si="91"/>
        <v>0</v>
      </c>
      <c r="L179" s="201">
        <f t="shared" si="92"/>
        <v>0</v>
      </c>
      <c r="M179" s="201">
        <f t="shared" si="93"/>
        <v>0</v>
      </c>
      <c r="N179" s="201">
        <f t="shared" si="94"/>
        <v>0</v>
      </c>
    </row>
    <row r="180" spans="1:17" s="57" customFormat="1" ht="13.8" outlineLevel="1" x14ac:dyDescent="0.3">
      <c r="A180" s="217">
        <v>24.09</v>
      </c>
      <c r="B180" s="218" t="s">
        <v>192</v>
      </c>
      <c r="C180" s="219" t="s">
        <v>184</v>
      </c>
      <c r="D180" s="220">
        <v>4</v>
      </c>
      <c r="E180" s="42">
        <v>0</v>
      </c>
      <c r="F180" s="42">
        <f t="shared" si="54"/>
        <v>0</v>
      </c>
      <c r="G180" s="181"/>
      <c r="H180" s="32"/>
      <c r="I180" s="141">
        <f>+'SVD 4140_Pto. 01_Cert. 01'!K180</f>
        <v>0</v>
      </c>
      <c r="J180" s="141"/>
      <c r="K180" s="79">
        <f t="shared" si="91"/>
        <v>0</v>
      </c>
      <c r="L180" s="201">
        <f t="shared" si="92"/>
        <v>0</v>
      </c>
      <c r="M180" s="201">
        <f t="shared" si="93"/>
        <v>0</v>
      </c>
      <c r="N180" s="201">
        <f t="shared" si="94"/>
        <v>0</v>
      </c>
    </row>
    <row r="181" spans="1:17" s="57" customFormat="1" ht="13.8" outlineLevel="1" x14ac:dyDescent="0.3">
      <c r="A181" s="221">
        <v>24.1</v>
      </c>
      <c r="B181" s="222" t="s">
        <v>193</v>
      </c>
      <c r="C181" s="223" t="s">
        <v>184</v>
      </c>
      <c r="D181" s="224">
        <v>6</v>
      </c>
      <c r="E181" s="60">
        <v>314138</v>
      </c>
      <c r="F181" s="60">
        <f t="shared" si="54"/>
        <v>1884828</v>
      </c>
      <c r="G181" s="181"/>
      <c r="H181" s="32"/>
      <c r="I181" s="141">
        <f>+'SVD 4140_Pto. 01_Cert. 01'!K181</f>
        <v>0</v>
      </c>
      <c r="J181" s="141"/>
      <c r="K181" s="79">
        <f t="shared" si="91"/>
        <v>0</v>
      </c>
      <c r="L181" s="201">
        <f t="shared" si="92"/>
        <v>0</v>
      </c>
      <c r="M181" s="201">
        <f t="shared" si="93"/>
        <v>0</v>
      </c>
      <c r="N181" s="201">
        <f t="shared" si="94"/>
        <v>0</v>
      </c>
    </row>
    <row r="182" spans="1:17" s="57" customFormat="1" ht="13.8" x14ac:dyDescent="0.3">
      <c r="A182" s="27">
        <v>25</v>
      </c>
      <c r="B182" s="28" t="s">
        <v>194</v>
      </c>
      <c r="C182" s="189"/>
      <c r="D182" s="65"/>
      <c r="E182" s="65"/>
      <c r="F182" s="65"/>
      <c r="G182" s="31">
        <f>+SUM(F183:F184)</f>
        <v>32415288</v>
      </c>
      <c r="H182" s="32">
        <f>+G182/$G$185</f>
        <v>4.4063037718334433E-2</v>
      </c>
      <c r="I182" s="205"/>
      <c r="J182" s="206"/>
      <c r="K182" s="206"/>
      <c r="L182" s="206"/>
      <c r="M182" s="207"/>
      <c r="N182" s="208"/>
    </row>
    <row r="183" spans="1:17" s="57" customFormat="1" ht="13.8" outlineLevel="1" x14ac:dyDescent="0.3">
      <c r="A183" s="213">
        <v>25.01</v>
      </c>
      <c r="B183" s="214" t="s">
        <v>195</v>
      </c>
      <c r="C183" s="215" t="s">
        <v>184</v>
      </c>
      <c r="D183" s="216">
        <v>6</v>
      </c>
      <c r="E183" s="37">
        <v>4774106</v>
      </c>
      <c r="F183" s="37">
        <f t="shared" si="54"/>
        <v>28644636</v>
      </c>
      <c r="G183" s="181"/>
      <c r="H183" s="32"/>
      <c r="I183" s="141">
        <f>+'SVD 4140_Pto. 01_Cert. 01'!K183</f>
        <v>0</v>
      </c>
      <c r="J183" s="141"/>
      <c r="K183" s="79">
        <f t="shared" ref="K183:K184" si="95">+I183+J183</f>
        <v>0</v>
      </c>
      <c r="L183" s="201">
        <f t="shared" ref="L183:L184" si="96">+F183*I183</f>
        <v>0</v>
      </c>
      <c r="M183" s="201">
        <f t="shared" ref="M183:M184" si="97">+F183*J183</f>
        <v>0</v>
      </c>
      <c r="N183" s="201">
        <f t="shared" ref="N183:N184" si="98">+F183*K183</f>
        <v>0</v>
      </c>
    </row>
    <row r="184" spans="1:17" s="57" customFormat="1" ht="13.8" outlineLevel="1" x14ac:dyDescent="0.3">
      <c r="A184" s="221">
        <v>25.02</v>
      </c>
      <c r="B184" s="222" t="s">
        <v>196</v>
      </c>
      <c r="C184" s="223" t="s">
        <v>184</v>
      </c>
      <c r="D184" s="224">
        <v>6</v>
      </c>
      <c r="E184" s="60">
        <v>628442</v>
      </c>
      <c r="F184" s="60">
        <f t="shared" si="54"/>
        <v>3770652</v>
      </c>
      <c r="G184" s="181"/>
      <c r="H184" s="32"/>
      <c r="I184" s="141">
        <f>+'SVD 4140_Pto. 01_Cert. 01'!K184</f>
        <v>0</v>
      </c>
      <c r="J184" s="141"/>
      <c r="K184" s="79">
        <f t="shared" si="95"/>
        <v>0</v>
      </c>
      <c r="L184" s="201">
        <f t="shared" si="96"/>
        <v>0</v>
      </c>
      <c r="M184" s="201">
        <f t="shared" si="97"/>
        <v>0</v>
      </c>
      <c r="N184" s="201">
        <f t="shared" si="98"/>
        <v>0</v>
      </c>
    </row>
    <row r="185" spans="1:17" s="57" customFormat="1" ht="13.8" x14ac:dyDescent="0.3">
      <c r="A185" s="27"/>
      <c r="B185" s="28" t="s">
        <v>197</v>
      </c>
      <c r="C185" s="189"/>
      <c r="D185" s="65"/>
      <c r="E185" s="65"/>
      <c r="F185" s="65">
        <f>+SUM(F9:F184)</f>
        <v>735657133.01950002</v>
      </c>
      <c r="G185" s="31">
        <f>+SUM(G9:G184)</f>
        <v>735657133.01950002</v>
      </c>
      <c r="H185" s="32">
        <f>+SUM(H9:H184)</f>
        <v>1</v>
      </c>
      <c r="I185" s="205"/>
      <c r="J185" s="206"/>
      <c r="K185" s="206"/>
      <c r="L185" s="237">
        <f>+SUM(L10:L184)</f>
        <v>26817056.5</v>
      </c>
      <c r="M185" s="237">
        <f>+SUM(M10:M184)</f>
        <v>10370146.550000001</v>
      </c>
      <c r="N185" s="238">
        <f>+SUM(N10:N184)</f>
        <v>37187203.049999997</v>
      </c>
    </row>
    <row r="186" spans="1:17" s="57" customFormat="1" ht="13.8" x14ac:dyDescent="0.3">
      <c r="A186" s="178"/>
      <c r="B186" s="145" t="s">
        <v>198</v>
      </c>
      <c r="C186" s="179"/>
      <c r="D186" s="180"/>
      <c r="E186" s="181"/>
      <c r="F186" s="181"/>
      <c r="G186" s="181"/>
      <c r="H186" s="32"/>
      <c r="L186" s="7"/>
      <c r="M186" s="170">
        <f>+M185/G185</f>
        <v>1.4096439882851133E-2</v>
      </c>
      <c r="N186" s="170">
        <f>+N185/G185</f>
        <v>5.0549639745033612E-2</v>
      </c>
    </row>
    <row r="187" spans="1:17" ht="12.75" customHeight="1" x14ac:dyDescent="0.3">
      <c r="M187" s="57"/>
      <c r="N187" s="57"/>
    </row>
    <row r="188" spans="1:17" ht="12.75" customHeight="1" x14ac:dyDescent="0.3">
      <c r="A188" s="81"/>
      <c r="B188" s="68" t="s">
        <v>199</v>
      </c>
      <c r="C188" s="82"/>
      <c r="D188" s="83"/>
      <c r="E188" s="84"/>
      <c r="F188" s="85"/>
      <c r="G188" s="86"/>
      <c r="H188" s="86"/>
      <c r="I188" s="87"/>
      <c r="J188" s="88"/>
      <c r="K188" s="89" t="s">
        <v>200</v>
      </c>
      <c r="L188" s="90">
        <f>+J5</f>
        <v>2</v>
      </c>
      <c r="M188" s="91"/>
      <c r="N188" s="92">
        <f>+N5</f>
        <v>45988</v>
      </c>
    </row>
    <row r="189" spans="1:17" ht="12.75" customHeight="1" x14ac:dyDescent="0.3">
      <c r="A189" s="93"/>
      <c r="B189" s="68" t="s">
        <v>6</v>
      </c>
      <c r="C189" s="91"/>
      <c r="D189" s="94"/>
      <c r="E189" s="95"/>
      <c r="F189" s="86"/>
      <c r="G189" s="86"/>
      <c r="H189" s="86"/>
      <c r="I189" s="96"/>
      <c r="J189" s="97"/>
      <c r="K189" s="96"/>
      <c r="L189" s="68"/>
      <c r="M189" s="91" t="s">
        <v>201</v>
      </c>
      <c r="N189" s="98" t="s">
        <v>202</v>
      </c>
    </row>
    <row r="190" spans="1:17" ht="12.75" customHeight="1" x14ac:dyDescent="0.3">
      <c r="A190" s="146" t="s">
        <v>203</v>
      </c>
      <c r="B190" s="99" t="s">
        <v>204</v>
      </c>
      <c r="C190" s="100"/>
      <c r="D190" s="101"/>
      <c r="E190" s="102"/>
      <c r="F190" s="103"/>
      <c r="G190" s="104"/>
      <c r="H190" s="104"/>
      <c r="I190" s="105"/>
      <c r="J190" s="106"/>
      <c r="K190" s="105"/>
      <c r="L190" s="107"/>
      <c r="M190" s="107"/>
      <c r="N190" s="108">
        <f>+G185</f>
        <v>735657133.01950002</v>
      </c>
      <c r="P190" s="171"/>
      <c r="Q190" s="172"/>
    </row>
    <row r="191" spans="1:17" ht="12.75" customHeight="1" x14ac:dyDescent="0.3">
      <c r="A191" s="109" t="s">
        <v>205</v>
      </c>
      <c r="B191" s="110" t="s">
        <v>206</v>
      </c>
      <c r="C191" s="111"/>
      <c r="D191" s="112"/>
      <c r="E191" s="113"/>
      <c r="F191" s="114"/>
      <c r="G191" s="115"/>
      <c r="H191" s="115"/>
      <c r="I191" s="114"/>
      <c r="J191" s="116"/>
      <c r="K191" s="117"/>
      <c r="L191" s="118"/>
      <c r="M191" s="240">
        <v>0.4</v>
      </c>
      <c r="N191" s="119">
        <f>+M191*N190</f>
        <v>294262853.20780003</v>
      </c>
      <c r="P191" s="173"/>
      <c r="Q191" s="172"/>
    </row>
    <row r="192" spans="1:17" ht="12.75" customHeight="1" x14ac:dyDescent="0.3">
      <c r="A192" s="147" t="s">
        <v>207</v>
      </c>
      <c r="B192" s="120" t="s">
        <v>208</v>
      </c>
      <c r="C192" s="121"/>
      <c r="D192" s="122"/>
      <c r="E192" s="123"/>
      <c r="F192" s="124"/>
      <c r="G192" s="125"/>
      <c r="H192" s="125"/>
      <c r="I192" s="126"/>
      <c r="J192" s="127"/>
      <c r="K192" s="126"/>
      <c r="L192" s="128"/>
      <c r="M192" s="128"/>
      <c r="N192" s="129">
        <f>+M185</f>
        <v>10370146.550000001</v>
      </c>
      <c r="P192" s="171"/>
      <c r="Q192" s="174"/>
    </row>
    <row r="193" spans="1:17" ht="12.75" customHeight="1" x14ac:dyDescent="0.3">
      <c r="A193" s="148" t="s">
        <v>209</v>
      </c>
      <c r="B193" s="149" t="s">
        <v>210</v>
      </c>
      <c r="C193" s="150"/>
      <c r="D193" s="151"/>
      <c r="E193" s="152"/>
      <c r="F193" s="153"/>
      <c r="G193" s="154"/>
      <c r="H193" s="154"/>
      <c r="I193" s="155"/>
      <c r="J193" s="156"/>
      <c r="K193" s="155"/>
      <c r="L193" s="157"/>
      <c r="M193" s="158">
        <f>-M191</f>
        <v>-0.4</v>
      </c>
      <c r="N193" s="159">
        <f>+M193*N192</f>
        <v>-4148058.6200000006</v>
      </c>
      <c r="P193" s="173"/>
      <c r="Q193" s="175"/>
    </row>
    <row r="194" spans="1:17" ht="12.75" customHeight="1" x14ac:dyDescent="0.3">
      <c r="A194" s="160" t="s">
        <v>211</v>
      </c>
      <c r="B194" s="161" t="s">
        <v>212</v>
      </c>
      <c r="C194" s="162"/>
      <c r="D194" s="163"/>
      <c r="E194" s="164"/>
      <c r="F194" s="165"/>
      <c r="G194" s="165"/>
      <c r="H194" s="165"/>
      <c r="I194" s="165"/>
      <c r="J194" s="166"/>
      <c r="K194" s="167"/>
      <c r="L194" s="168"/>
      <c r="M194" s="168"/>
      <c r="N194" s="169">
        <f>+N192+N193</f>
        <v>6222087.9299999997</v>
      </c>
      <c r="P194" s="171"/>
      <c r="Q194" s="176"/>
    </row>
    <row r="195" spans="1:17" ht="12.75" customHeight="1" x14ac:dyDescent="0.3">
      <c r="A195" s="177"/>
      <c r="B195" s="2" t="s">
        <v>213</v>
      </c>
      <c r="C195" s="150"/>
      <c r="D195" s="151"/>
      <c r="E195" s="152"/>
      <c r="F195" s="153"/>
      <c r="G195" s="154"/>
      <c r="H195" s="154"/>
      <c r="I195" s="155"/>
      <c r="J195" s="156"/>
      <c r="K195" s="155"/>
      <c r="L195" s="157"/>
    </row>
  </sheetData>
  <mergeCells count="2">
    <mergeCell ref="I7:K7"/>
    <mergeCell ref="L7:N7"/>
  </mergeCells>
  <conditionalFormatting sqref="C3:C12">
    <cfRule type="cellIs" dxfId="185" priority="27" operator="equal">
      <formula>"x"</formula>
    </cfRule>
  </conditionalFormatting>
  <conditionalFormatting sqref="C18">
    <cfRule type="cellIs" dxfId="184" priority="25" operator="equal">
      <formula>"x"</formula>
    </cfRule>
  </conditionalFormatting>
  <conditionalFormatting sqref="C20:C29">
    <cfRule type="cellIs" dxfId="183" priority="24" operator="equal">
      <formula>"x"</formula>
    </cfRule>
  </conditionalFormatting>
  <conditionalFormatting sqref="C37">
    <cfRule type="cellIs" dxfId="182" priority="23" operator="equal">
      <formula>"x"</formula>
    </cfRule>
  </conditionalFormatting>
  <conditionalFormatting sqref="C42:C53">
    <cfRule type="cellIs" dxfId="181" priority="22" operator="equal">
      <formula>"x"</formula>
    </cfRule>
  </conditionalFormatting>
  <conditionalFormatting sqref="C56:C186">
    <cfRule type="cellIs" dxfId="180" priority="21" operator="equal">
      <formula>"x"</formula>
    </cfRule>
  </conditionalFormatting>
  <conditionalFormatting sqref="K10:K17 K19:K25 K27 K29:K36 K38:K45 K47:K50 K52:K55">
    <cfRule type="cellIs" dxfId="179" priority="26" operator="lessThan">
      <formula>1</formula>
    </cfRule>
  </conditionalFormatting>
  <conditionalFormatting sqref="K57:K63">
    <cfRule type="cellIs" dxfId="178" priority="19" operator="lessThan">
      <formula>1</formula>
    </cfRule>
  </conditionalFormatting>
  <conditionalFormatting sqref="K65:K69">
    <cfRule type="cellIs" dxfId="177" priority="18" operator="lessThan">
      <formula>1</formula>
    </cfRule>
  </conditionalFormatting>
  <conditionalFormatting sqref="K71:K74">
    <cfRule type="cellIs" dxfId="176" priority="17" operator="lessThan">
      <formula>1</formula>
    </cfRule>
  </conditionalFormatting>
  <conditionalFormatting sqref="K76:K82">
    <cfRule type="cellIs" dxfId="175" priority="16" operator="lessThan">
      <formula>1</formula>
    </cfRule>
  </conditionalFormatting>
  <conditionalFormatting sqref="K84:K92">
    <cfRule type="cellIs" dxfId="174" priority="15" operator="lessThan">
      <formula>1</formula>
    </cfRule>
  </conditionalFormatting>
  <conditionalFormatting sqref="K94">
    <cfRule type="cellIs" dxfId="173" priority="14" operator="lessThan">
      <formula>1</formula>
    </cfRule>
  </conditionalFormatting>
  <conditionalFormatting sqref="K96:K99">
    <cfRule type="cellIs" dxfId="172" priority="13" operator="lessThan">
      <formula>1</formula>
    </cfRule>
  </conditionalFormatting>
  <conditionalFormatting sqref="K101:K130">
    <cfRule type="cellIs" dxfId="171" priority="20" operator="lessThan">
      <formula>1</formula>
    </cfRule>
  </conditionalFormatting>
  <conditionalFormatting sqref="K133:K136">
    <cfRule type="cellIs" dxfId="170" priority="12" operator="lessThan">
      <formula>1</formula>
    </cfRule>
  </conditionalFormatting>
  <conditionalFormatting sqref="K138:K140 K142:K146">
    <cfRule type="cellIs" dxfId="169" priority="11" operator="lessThan">
      <formula>1</formula>
    </cfRule>
  </conditionalFormatting>
  <conditionalFormatting sqref="K148">
    <cfRule type="cellIs" dxfId="168" priority="10" operator="lessThan">
      <formula>1</formula>
    </cfRule>
  </conditionalFormatting>
  <conditionalFormatting sqref="K150:K153">
    <cfRule type="cellIs" dxfId="167" priority="9" operator="lessThan">
      <formula>1</formula>
    </cfRule>
  </conditionalFormatting>
  <conditionalFormatting sqref="K155">
    <cfRule type="cellIs" dxfId="166" priority="8" operator="lessThan">
      <formula>1</formula>
    </cfRule>
  </conditionalFormatting>
  <conditionalFormatting sqref="K157:K158">
    <cfRule type="cellIs" dxfId="165" priority="7" operator="lessThan">
      <formula>1</formula>
    </cfRule>
  </conditionalFormatting>
  <conditionalFormatting sqref="K160:K161">
    <cfRule type="cellIs" dxfId="164" priority="6" operator="lessThan">
      <formula>1</formula>
    </cfRule>
  </conditionalFormatting>
  <conditionalFormatting sqref="K163">
    <cfRule type="cellIs" dxfId="163" priority="5" operator="lessThan">
      <formula>1</formula>
    </cfRule>
  </conditionalFormatting>
  <conditionalFormatting sqref="K165:K166">
    <cfRule type="cellIs" dxfId="162" priority="4" operator="lessThan">
      <formula>1</formula>
    </cfRule>
  </conditionalFormatting>
  <conditionalFormatting sqref="K168:K170">
    <cfRule type="cellIs" dxfId="161" priority="3" operator="lessThan">
      <formula>1</formula>
    </cfRule>
  </conditionalFormatting>
  <conditionalFormatting sqref="K172:K181">
    <cfRule type="cellIs" dxfId="160" priority="2" operator="lessThan">
      <formula>1</formula>
    </cfRule>
  </conditionalFormatting>
  <conditionalFormatting sqref="K183:K184">
    <cfRule type="cellIs" dxfId="159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B949-1F30-4318-B3E9-4FF04EC3DD08}">
  <dimension ref="A1:R195"/>
  <sheetViews>
    <sheetView workbookViewId="0">
      <pane xSplit="4" ySplit="8" topLeftCell="E97" activePane="bottomRight" state="frozen"/>
      <selection pane="topRight" activeCell="E1" sqref="E1"/>
      <selection pane="bottomLeft" activeCell="A9" sqref="A9"/>
      <selection pane="bottomRight" activeCell="N6" sqref="N6"/>
    </sheetView>
  </sheetViews>
  <sheetFormatPr baseColWidth="10" defaultColWidth="11.5546875" defaultRowHeight="12.75" customHeight="1" outlineLevelRow="1" x14ac:dyDescent="0.3"/>
  <cols>
    <col min="1" max="1" width="6.5546875" style="1" bestFit="1" customWidth="1"/>
    <col min="2" max="2" width="82.6640625" style="2" bestFit="1" customWidth="1"/>
    <col min="3" max="3" width="5.33203125" style="3" bestFit="1" customWidth="1"/>
    <col min="4" max="4" width="6.5546875" style="4" bestFit="1" customWidth="1"/>
    <col min="5" max="5" width="11" style="5" bestFit="1" customWidth="1"/>
    <col min="6" max="6" width="11.6640625" style="5" bestFit="1" customWidth="1"/>
    <col min="7" max="7" width="12" style="26" bestFit="1" customWidth="1"/>
    <col min="8" max="8" width="5.33203125" style="7" bestFit="1" customWidth="1"/>
    <col min="9" max="14" width="13.33203125" style="7" customWidth="1"/>
    <col min="15" max="16" width="9.109375" style="7"/>
    <col min="17" max="17" width="14.44140625" style="7" bestFit="1" customWidth="1"/>
    <col min="18" max="18" width="12.44140625" style="7" bestFit="1" customWidth="1"/>
    <col min="19" max="16384" width="11.5546875" style="7"/>
  </cols>
  <sheetData>
    <row r="1" spans="1:17" ht="12.75" customHeight="1" x14ac:dyDescent="0.3">
      <c r="F1" s="6" t="s">
        <v>0</v>
      </c>
      <c r="G1" s="6" t="s">
        <v>1</v>
      </c>
    </row>
    <row r="2" spans="1:17" ht="13.8" x14ac:dyDescent="0.3">
      <c r="E2" s="69"/>
      <c r="F2" s="9">
        <v>1005</v>
      </c>
      <c r="G2" s="9">
        <v>1170</v>
      </c>
    </row>
    <row r="3" spans="1:17" s="15" customFormat="1" ht="13.8" x14ac:dyDescent="0.25">
      <c r="A3" s="10"/>
      <c r="B3" s="11"/>
      <c r="C3" s="12"/>
      <c r="D3" s="13"/>
      <c r="E3" s="13"/>
      <c r="F3" s="13"/>
      <c r="G3" s="14"/>
    </row>
    <row r="4" spans="1:17" s="15" customFormat="1" ht="13.8" x14ac:dyDescent="0.25">
      <c r="A4" s="10"/>
      <c r="B4" s="11"/>
      <c r="C4" s="12"/>
      <c r="D4" s="13"/>
      <c r="E4" s="13"/>
      <c r="F4" s="16">
        <v>45628</v>
      </c>
      <c r="G4" s="14"/>
    </row>
    <row r="5" spans="1:17" s="15" customFormat="1" ht="13.8" x14ac:dyDescent="0.3">
      <c r="A5" s="10"/>
      <c r="B5" s="8" t="s">
        <v>2</v>
      </c>
      <c r="C5" s="12"/>
      <c r="D5" s="13"/>
      <c r="E5" s="17"/>
      <c r="F5" s="17"/>
      <c r="G5" s="14"/>
      <c r="I5" s="70" t="s">
        <v>3</v>
      </c>
      <c r="J5" s="242">
        <v>3</v>
      </c>
      <c r="K5" s="71"/>
      <c r="L5" s="72"/>
      <c r="M5" s="73"/>
      <c r="N5" s="241">
        <v>46020</v>
      </c>
    </row>
    <row r="6" spans="1:17" s="15" customFormat="1" ht="13.8" x14ac:dyDescent="0.25">
      <c r="A6" s="10"/>
      <c r="B6" s="8" t="s">
        <v>4</v>
      </c>
      <c r="C6" s="18"/>
      <c r="D6" s="19"/>
      <c r="E6" s="20"/>
      <c r="F6" s="20"/>
      <c r="G6" s="14"/>
      <c r="I6" s="74"/>
      <c r="J6" s="75"/>
      <c r="K6" s="74"/>
      <c r="L6" s="76"/>
      <c r="M6" s="76"/>
      <c r="N6" s="76"/>
    </row>
    <row r="7" spans="1:17" ht="13.8" x14ac:dyDescent="0.3">
      <c r="A7" s="21" t="s">
        <v>5</v>
      </c>
      <c r="B7" s="22" t="s">
        <v>6</v>
      </c>
      <c r="C7" s="23" t="s">
        <v>7</v>
      </c>
      <c r="D7" s="24" t="s">
        <v>8</v>
      </c>
      <c r="E7" s="25" t="s">
        <v>9</v>
      </c>
      <c r="F7" s="25" t="s">
        <v>10</v>
      </c>
      <c r="I7" s="297" t="s">
        <v>11</v>
      </c>
      <c r="J7" s="297"/>
      <c r="K7" s="297"/>
      <c r="L7" s="298" t="s">
        <v>12</v>
      </c>
      <c r="M7" s="298"/>
      <c r="N7" s="298"/>
    </row>
    <row r="8" spans="1:17" ht="13.8" x14ac:dyDescent="0.3">
      <c r="A8" s="182"/>
      <c r="B8" s="183" t="s">
        <v>13</v>
      </c>
      <c r="C8" s="29"/>
      <c r="D8" s="30"/>
      <c r="E8" s="30"/>
      <c r="F8" s="30"/>
      <c r="G8" s="184"/>
      <c r="H8" s="32"/>
      <c r="I8" s="77" t="s">
        <v>14</v>
      </c>
      <c r="J8" s="77" t="s">
        <v>15</v>
      </c>
      <c r="K8" s="77" t="s">
        <v>16</v>
      </c>
      <c r="L8" s="78" t="s">
        <v>14</v>
      </c>
      <c r="M8" s="78" t="s">
        <v>15</v>
      </c>
      <c r="N8" s="78" t="s">
        <v>16</v>
      </c>
    </row>
    <row r="9" spans="1:17" ht="13.8" x14ac:dyDescent="0.3">
      <c r="A9" s="27">
        <v>4</v>
      </c>
      <c r="B9" s="28" t="s">
        <v>17</v>
      </c>
      <c r="C9" s="189"/>
      <c r="D9" s="65"/>
      <c r="E9" s="65"/>
      <c r="F9" s="65"/>
      <c r="G9" s="31">
        <f>+SUM(F10:F17)</f>
        <v>54302889.68</v>
      </c>
      <c r="H9" s="32">
        <f>+G9/$G$185</f>
        <v>7.3815487191858167E-2</v>
      </c>
      <c r="I9" s="139"/>
      <c r="J9" s="140"/>
      <c r="K9" s="130"/>
      <c r="L9" s="130"/>
      <c r="M9" s="130"/>
      <c r="N9" s="66"/>
    </row>
    <row r="10" spans="1:17" ht="13.8" outlineLevel="1" x14ac:dyDescent="0.3">
      <c r="A10" s="33">
        <v>4.01</v>
      </c>
      <c r="B10" s="34" t="s">
        <v>18</v>
      </c>
      <c r="C10" s="35" t="s">
        <v>19</v>
      </c>
      <c r="D10" s="36">
        <v>819</v>
      </c>
      <c r="E10" s="37">
        <v>18993</v>
      </c>
      <c r="F10" s="37">
        <f>+D10*E10</f>
        <v>15555267</v>
      </c>
      <c r="G10" s="5"/>
      <c r="H10" s="32"/>
      <c r="I10" s="244">
        <f>+'SVD 4140_Pto. 01_Cert. 02'!K10</f>
        <v>0.15</v>
      </c>
      <c r="J10" s="249">
        <v>0.2</v>
      </c>
      <c r="K10" s="135">
        <f t="shared" ref="K10:K55" si="0">+I10+J10</f>
        <v>0.35</v>
      </c>
      <c r="L10" s="80">
        <f t="shared" ref="L10:L55" si="1">+F10*I10</f>
        <v>2333290.0499999998</v>
      </c>
      <c r="M10" s="80">
        <f t="shared" ref="M10:M55" si="2">+F10*J10</f>
        <v>3111053.4000000004</v>
      </c>
      <c r="N10" s="80">
        <f t="shared" ref="N10:N55" si="3">+F10*K10</f>
        <v>5444343.4499999993</v>
      </c>
    </row>
    <row r="11" spans="1:17" ht="16.5" customHeight="1" outlineLevel="1" x14ac:dyDescent="0.3">
      <c r="A11" s="38">
        <v>4.0199999999999996</v>
      </c>
      <c r="B11" s="39" t="s">
        <v>20</v>
      </c>
      <c r="C11" s="40" t="s">
        <v>19</v>
      </c>
      <c r="D11" s="41">
        <v>612</v>
      </c>
      <c r="E11" s="42">
        <v>25172</v>
      </c>
      <c r="F11" s="42">
        <f t="shared" ref="F11:F74" si="4">+D11*E11</f>
        <v>15405264</v>
      </c>
      <c r="G11" s="5"/>
      <c r="H11" s="32"/>
      <c r="I11" s="245">
        <f>+'SVD 4140_Pto. 01_Cert. 02'!K11</f>
        <v>0.05</v>
      </c>
      <c r="J11" s="141">
        <v>0.2</v>
      </c>
      <c r="K11" s="79">
        <f t="shared" si="0"/>
        <v>0.25</v>
      </c>
      <c r="L11" s="80">
        <f t="shared" si="1"/>
        <v>770263.20000000007</v>
      </c>
      <c r="M11" s="80">
        <f t="shared" si="2"/>
        <v>3081052.8000000003</v>
      </c>
      <c r="N11" s="80">
        <f t="shared" si="3"/>
        <v>3851316</v>
      </c>
    </row>
    <row r="12" spans="1:17" ht="13.8" outlineLevel="1" x14ac:dyDescent="0.3">
      <c r="A12" s="38">
        <v>4.03</v>
      </c>
      <c r="B12" s="39" t="s">
        <v>21</v>
      </c>
      <c r="C12" s="43" t="s">
        <v>19</v>
      </c>
      <c r="D12" s="44">
        <v>636</v>
      </c>
      <c r="E12" s="42">
        <v>21109</v>
      </c>
      <c r="F12" s="42">
        <f t="shared" si="4"/>
        <v>13425324</v>
      </c>
      <c r="G12" s="5"/>
      <c r="H12" s="32"/>
      <c r="I12" s="245">
        <f>+'SVD 4140_Pto. 01_Cert. 02'!K12</f>
        <v>0.1</v>
      </c>
      <c r="J12" s="141">
        <v>0.25</v>
      </c>
      <c r="K12" s="79">
        <f t="shared" si="0"/>
        <v>0.35</v>
      </c>
      <c r="L12" s="80">
        <f t="shared" si="1"/>
        <v>1342532.4000000001</v>
      </c>
      <c r="M12" s="80">
        <f t="shared" si="2"/>
        <v>3356331</v>
      </c>
      <c r="N12" s="80">
        <f t="shared" si="3"/>
        <v>4698863.3999999994</v>
      </c>
      <c r="Q12" s="243"/>
    </row>
    <row r="13" spans="1:17" ht="27.6" outlineLevel="1" x14ac:dyDescent="0.3">
      <c r="A13" s="38">
        <v>4.04</v>
      </c>
      <c r="B13" s="39" t="s">
        <v>22</v>
      </c>
      <c r="C13" s="40" t="s">
        <v>19</v>
      </c>
      <c r="D13" s="41">
        <v>195</v>
      </c>
      <c r="E13" s="42">
        <v>15092</v>
      </c>
      <c r="F13" s="42">
        <f t="shared" si="4"/>
        <v>2942940</v>
      </c>
      <c r="G13" s="5"/>
      <c r="H13" s="32"/>
      <c r="I13" s="245">
        <f>+'SVD 4140_Pto. 01_Cert. 02'!K13</f>
        <v>0</v>
      </c>
      <c r="J13" s="141">
        <v>0.15</v>
      </c>
      <c r="K13" s="79">
        <f t="shared" si="0"/>
        <v>0.15</v>
      </c>
      <c r="L13" s="80">
        <f t="shared" si="1"/>
        <v>0</v>
      </c>
      <c r="M13" s="80">
        <f t="shared" si="2"/>
        <v>441441</v>
      </c>
      <c r="N13" s="80">
        <f t="shared" si="3"/>
        <v>441441</v>
      </c>
    </row>
    <row r="14" spans="1:17" ht="13.8" outlineLevel="1" x14ac:dyDescent="0.3">
      <c r="A14" s="38">
        <v>4.05</v>
      </c>
      <c r="B14" s="39" t="s">
        <v>23</v>
      </c>
      <c r="C14" s="40" t="s">
        <v>19</v>
      </c>
      <c r="D14" s="41">
        <v>30.053999999999998</v>
      </c>
      <c r="E14" s="42">
        <v>67420</v>
      </c>
      <c r="F14" s="42">
        <f t="shared" si="4"/>
        <v>2026240.68</v>
      </c>
      <c r="G14" s="5"/>
      <c r="H14" s="32"/>
      <c r="I14" s="245">
        <f>+'SVD 4140_Pto. 01_Cert. 02'!K14</f>
        <v>0</v>
      </c>
      <c r="J14" s="136"/>
      <c r="K14" s="79">
        <f t="shared" si="0"/>
        <v>0</v>
      </c>
      <c r="L14" s="80">
        <f t="shared" si="1"/>
        <v>0</v>
      </c>
      <c r="M14" s="80">
        <f t="shared" si="2"/>
        <v>0</v>
      </c>
      <c r="N14" s="80">
        <f t="shared" si="3"/>
        <v>0</v>
      </c>
    </row>
    <row r="15" spans="1:17" ht="13.8" outlineLevel="1" x14ac:dyDescent="0.3">
      <c r="A15" s="38">
        <v>4.0599999999999996</v>
      </c>
      <c r="B15" s="39" t="s">
        <v>24</v>
      </c>
      <c r="C15" s="40" t="s">
        <v>19</v>
      </c>
      <c r="D15" s="41">
        <v>24</v>
      </c>
      <c r="E15" s="42">
        <v>54908</v>
      </c>
      <c r="F15" s="42">
        <f t="shared" si="4"/>
        <v>1317792</v>
      </c>
      <c r="G15" s="5"/>
      <c r="H15" s="32"/>
      <c r="I15" s="245">
        <f>+'SVD 4140_Pto. 01_Cert. 02'!K15</f>
        <v>0</v>
      </c>
      <c r="J15" s="136"/>
      <c r="K15" s="79">
        <f t="shared" si="0"/>
        <v>0</v>
      </c>
      <c r="L15" s="80">
        <f t="shared" si="1"/>
        <v>0</v>
      </c>
      <c r="M15" s="80">
        <f t="shared" si="2"/>
        <v>0</v>
      </c>
      <c r="N15" s="80">
        <f t="shared" si="3"/>
        <v>0</v>
      </c>
    </row>
    <row r="16" spans="1:17" ht="13.8" outlineLevel="1" x14ac:dyDescent="0.3">
      <c r="A16" s="38">
        <v>4.07</v>
      </c>
      <c r="B16" s="39" t="s">
        <v>25</v>
      </c>
      <c r="C16" s="40" t="s">
        <v>26</v>
      </c>
      <c r="D16" s="41">
        <v>81</v>
      </c>
      <c r="E16" s="42">
        <v>30989</v>
      </c>
      <c r="F16" s="42">
        <f t="shared" si="4"/>
        <v>2510109</v>
      </c>
      <c r="G16" s="5"/>
      <c r="H16" s="32"/>
      <c r="I16" s="245">
        <f>+'SVD 4140_Pto. 01_Cert. 02'!K16</f>
        <v>0</v>
      </c>
      <c r="J16" s="136"/>
      <c r="K16" s="79">
        <f t="shared" si="0"/>
        <v>0</v>
      </c>
      <c r="L16" s="80">
        <f t="shared" si="1"/>
        <v>0</v>
      </c>
      <c r="M16" s="80">
        <f t="shared" si="2"/>
        <v>0</v>
      </c>
      <c r="N16" s="80">
        <f t="shared" si="3"/>
        <v>0</v>
      </c>
    </row>
    <row r="17" spans="1:18" ht="13.8" outlineLevel="1" x14ac:dyDescent="0.3">
      <c r="A17" s="38">
        <v>4.08</v>
      </c>
      <c r="B17" s="39" t="s">
        <v>27</v>
      </c>
      <c r="C17" s="40" t="s">
        <v>28</v>
      </c>
      <c r="D17" s="41">
        <v>1</v>
      </c>
      <c r="E17" s="42">
        <v>1119953</v>
      </c>
      <c r="F17" s="42">
        <f t="shared" si="4"/>
        <v>1119953</v>
      </c>
      <c r="G17" s="5"/>
      <c r="H17" s="32"/>
      <c r="I17" s="245">
        <f>+'SVD 4140_Pto. 01_Cert. 02'!K17</f>
        <v>0.5</v>
      </c>
      <c r="J17" s="136"/>
      <c r="K17" s="79">
        <f t="shared" si="0"/>
        <v>0.5</v>
      </c>
      <c r="L17" s="80">
        <f t="shared" si="1"/>
        <v>559976.5</v>
      </c>
      <c r="M17" s="80">
        <f t="shared" si="2"/>
        <v>0</v>
      </c>
      <c r="N17" s="80">
        <f t="shared" si="3"/>
        <v>559976.5</v>
      </c>
    </row>
    <row r="18" spans="1:18" ht="13.8" x14ac:dyDescent="0.3">
      <c r="A18" s="27">
        <v>5</v>
      </c>
      <c r="B18" s="28" t="s">
        <v>29</v>
      </c>
      <c r="C18" s="189"/>
      <c r="D18" s="65"/>
      <c r="E18" s="65"/>
      <c r="F18" s="65"/>
      <c r="G18" s="31">
        <f>+SUM(F19:F25)</f>
        <v>35966419</v>
      </c>
      <c r="H18" s="32">
        <f>+G18/$G$185</f>
        <v>4.8890192707540352E-2</v>
      </c>
      <c r="I18" s="246"/>
      <c r="J18" s="140"/>
      <c r="K18" s="130"/>
      <c r="L18" s="130"/>
      <c r="M18" s="130"/>
      <c r="N18" s="66"/>
    </row>
    <row r="19" spans="1:18" ht="13.8" outlineLevel="1" x14ac:dyDescent="0.3">
      <c r="A19" s="33">
        <v>5.01</v>
      </c>
      <c r="B19" s="34" t="s">
        <v>30</v>
      </c>
      <c r="C19" s="35" t="s">
        <v>19</v>
      </c>
      <c r="D19" s="36">
        <v>139.05000000000001</v>
      </c>
      <c r="E19" s="37">
        <v>21800</v>
      </c>
      <c r="F19" s="37">
        <f t="shared" si="4"/>
        <v>3031290.0000000005</v>
      </c>
      <c r="G19" s="195"/>
      <c r="H19" s="32"/>
      <c r="I19" s="245">
        <f>+'SVD 4140_Pto. 01_Cert. 02'!K19</f>
        <v>0</v>
      </c>
      <c r="J19" s="134"/>
      <c r="K19" s="135">
        <f t="shared" ref="K19:K20" si="5">+I19+J19</f>
        <v>0</v>
      </c>
      <c r="L19" s="200">
        <f t="shared" ref="L19:L20" si="6">+F19*I19</f>
        <v>0</v>
      </c>
      <c r="M19" s="200">
        <f t="shared" ref="M19:M20" si="7">+F19*J19</f>
        <v>0</v>
      </c>
      <c r="N19" s="200">
        <f t="shared" ref="N19:N20" si="8">+F19*K19</f>
        <v>0</v>
      </c>
    </row>
    <row r="20" spans="1:18" ht="13.8" outlineLevel="1" x14ac:dyDescent="0.3">
      <c r="A20" s="190">
        <v>5.0199999999999996</v>
      </c>
      <c r="B20" s="191" t="s">
        <v>31</v>
      </c>
      <c r="C20" s="43" t="s">
        <v>19</v>
      </c>
      <c r="D20" s="44">
        <v>300</v>
      </c>
      <c r="E20" s="44">
        <v>5376</v>
      </c>
      <c r="F20" s="44">
        <f t="shared" si="4"/>
        <v>1612800</v>
      </c>
      <c r="G20" s="186"/>
      <c r="H20" s="32"/>
      <c r="I20" s="245">
        <f>+'SVD 4140_Pto. 01_Cert. 02'!K20</f>
        <v>0</v>
      </c>
      <c r="J20" s="136"/>
      <c r="K20" s="79">
        <f t="shared" si="5"/>
        <v>0</v>
      </c>
      <c r="L20" s="201">
        <f t="shared" si="6"/>
        <v>0</v>
      </c>
      <c r="M20" s="201">
        <f t="shared" si="7"/>
        <v>0</v>
      </c>
      <c r="N20" s="201">
        <f t="shared" si="8"/>
        <v>0</v>
      </c>
    </row>
    <row r="21" spans="1:18" ht="13.8" outlineLevel="1" x14ac:dyDescent="0.3">
      <c r="A21" s="38">
        <v>5.03</v>
      </c>
      <c r="B21" s="52" t="s">
        <v>32</v>
      </c>
      <c r="C21" s="49" t="s">
        <v>19</v>
      </c>
      <c r="D21" s="50">
        <v>48</v>
      </c>
      <c r="E21" s="42">
        <v>5376</v>
      </c>
      <c r="F21" s="42">
        <f t="shared" si="4"/>
        <v>258048</v>
      </c>
      <c r="G21" s="196"/>
      <c r="H21" s="32"/>
      <c r="I21" s="245">
        <f>+'SVD 4140_Pto. 01_Cert. 02'!K21</f>
        <v>0</v>
      </c>
      <c r="J21" s="136"/>
      <c r="K21" s="79">
        <f t="shared" si="0"/>
        <v>0</v>
      </c>
      <c r="L21" s="201">
        <f t="shared" si="1"/>
        <v>0</v>
      </c>
      <c r="M21" s="201">
        <f t="shared" si="2"/>
        <v>0</v>
      </c>
      <c r="N21" s="201">
        <f t="shared" si="3"/>
        <v>0</v>
      </c>
      <c r="R21" s="144"/>
    </row>
    <row r="22" spans="1:18" ht="13.8" outlineLevel="1" x14ac:dyDescent="0.3">
      <c r="A22" s="38">
        <v>5.04</v>
      </c>
      <c r="B22" s="39" t="s">
        <v>33</v>
      </c>
      <c r="C22" s="40" t="s">
        <v>19</v>
      </c>
      <c r="D22" s="50">
        <v>262</v>
      </c>
      <c r="E22" s="42">
        <v>4403</v>
      </c>
      <c r="F22" s="42">
        <f t="shared" si="4"/>
        <v>1153586</v>
      </c>
      <c r="G22" s="196"/>
      <c r="H22" s="32"/>
      <c r="I22" s="245">
        <f>+'SVD 4140_Pto. 01_Cert. 02'!K22</f>
        <v>0</v>
      </c>
      <c r="J22" s="136"/>
      <c r="K22" s="79">
        <f t="shared" si="0"/>
        <v>0</v>
      </c>
      <c r="L22" s="201">
        <f t="shared" si="1"/>
        <v>0</v>
      </c>
      <c r="M22" s="201">
        <f t="shared" si="2"/>
        <v>0</v>
      </c>
      <c r="N22" s="201">
        <f t="shared" si="3"/>
        <v>0</v>
      </c>
    </row>
    <row r="23" spans="1:18" ht="13.8" outlineLevel="1" x14ac:dyDescent="0.3">
      <c r="A23" s="38">
        <v>5.05</v>
      </c>
      <c r="B23" s="52" t="s">
        <v>34</v>
      </c>
      <c r="C23" s="49" t="s">
        <v>19</v>
      </c>
      <c r="D23" s="50">
        <v>510</v>
      </c>
      <c r="E23" s="42">
        <v>3578</v>
      </c>
      <c r="F23" s="42">
        <f t="shared" si="4"/>
        <v>1824780</v>
      </c>
      <c r="G23" s="196"/>
      <c r="H23" s="32"/>
      <c r="I23" s="245">
        <f>+'SVD 4140_Pto. 01_Cert. 02'!K23</f>
        <v>0</v>
      </c>
      <c r="J23" s="136"/>
      <c r="K23" s="79">
        <f t="shared" si="0"/>
        <v>0</v>
      </c>
      <c r="L23" s="201">
        <f t="shared" si="1"/>
        <v>0</v>
      </c>
      <c r="M23" s="201">
        <f t="shared" si="2"/>
        <v>0</v>
      </c>
      <c r="N23" s="201">
        <f t="shared" si="3"/>
        <v>0</v>
      </c>
    </row>
    <row r="24" spans="1:18" ht="13.8" outlineLevel="1" x14ac:dyDescent="0.3">
      <c r="A24" s="190">
        <v>5.0599999999999996</v>
      </c>
      <c r="B24" s="191" t="s">
        <v>35</v>
      </c>
      <c r="C24" s="43" t="s">
        <v>19</v>
      </c>
      <c r="D24" s="44">
        <v>510</v>
      </c>
      <c r="E24" s="44">
        <v>21800</v>
      </c>
      <c r="F24" s="44">
        <f t="shared" si="4"/>
        <v>11118000</v>
      </c>
      <c r="G24" s="186"/>
      <c r="H24" s="32"/>
      <c r="I24" s="245">
        <f>+'SVD 4140_Pto. 01_Cert. 02'!K24</f>
        <v>0</v>
      </c>
      <c r="J24" s="136"/>
      <c r="K24" s="79">
        <f t="shared" si="0"/>
        <v>0</v>
      </c>
      <c r="L24" s="201">
        <f t="shared" si="1"/>
        <v>0</v>
      </c>
      <c r="M24" s="201">
        <f t="shared" si="2"/>
        <v>0</v>
      </c>
      <c r="N24" s="201">
        <f t="shared" si="3"/>
        <v>0</v>
      </c>
    </row>
    <row r="25" spans="1:18" ht="13.8" outlineLevel="1" x14ac:dyDescent="0.3">
      <c r="A25" s="45">
        <v>5.07</v>
      </c>
      <c r="B25" s="192" t="s">
        <v>36</v>
      </c>
      <c r="C25" s="193" t="s">
        <v>28</v>
      </c>
      <c r="D25" s="194">
        <v>1</v>
      </c>
      <c r="E25" s="60">
        <v>16967915</v>
      </c>
      <c r="F25" s="60">
        <f t="shared" si="4"/>
        <v>16967915</v>
      </c>
      <c r="G25" s="197"/>
      <c r="H25" s="32"/>
      <c r="I25" s="245">
        <f>+'SVD 4140_Pto. 01_Cert. 02'!K25</f>
        <v>1</v>
      </c>
      <c r="J25" s="137"/>
      <c r="K25" s="138">
        <f t="shared" si="0"/>
        <v>1</v>
      </c>
      <c r="L25" s="202">
        <f t="shared" si="1"/>
        <v>16967915</v>
      </c>
      <c r="M25" s="202">
        <f t="shared" si="2"/>
        <v>0</v>
      </c>
      <c r="N25" s="202">
        <f t="shared" si="3"/>
        <v>16967915</v>
      </c>
    </row>
    <row r="26" spans="1:18" ht="13.8" x14ac:dyDescent="0.3">
      <c r="A26" s="27">
        <v>6</v>
      </c>
      <c r="B26" s="28" t="s">
        <v>37</v>
      </c>
      <c r="C26" s="189"/>
      <c r="D26" s="65"/>
      <c r="E26" s="65"/>
      <c r="F26" s="65"/>
      <c r="G26" s="31">
        <f>+SUM(F27)</f>
        <v>2433900</v>
      </c>
      <c r="H26" s="32">
        <f>+G26/$G$185</f>
        <v>3.3084706050630856E-3</v>
      </c>
      <c r="I26" s="246"/>
      <c r="J26" s="140"/>
      <c r="K26" s="130"/>
      <c r="L26" s="130"/>
      <c r="M26" s="130"/>
      <c r="N26" s="66"/>
    </row>
    <row r="27" spans="1:18" ht="13.8" outlineLevel="1" x14ac:dyDescent="0.3">
      <c r="A27" s="38">
        <v>6.02</v>
      </c>
      <c r="B27" s="51" t="s">
        <v>38</v>
      </c>
      <c r="C27" s="43" t="s">
        <v>26</v>
      </c>
      <c r="D27" s="44">
        <v>60</v>
      </c>
      <c r="E27" s="42">
        <v>40565</v>
      </c>
      <c r="F27" s="42">
        <f t="shared" si="4"/>
        <v>2433900</v>
      </c>
      <c r="G27" s="5"/>
      <c r="H27" s="32"/>
      <c r="I27" s="245">
        <f>+'SVD 4140_Pto. 01_Cert. 02'!K27</f>
        <v>0</v>
      </c>
      <c r="J27" s="136"/>
      <c r="K27" s="79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</row>
    <row r="28" spans="1:18" ht="13.8" x14ac:dyDescent="0.3">
      <c r="A28" s="27">
        <v>7</v>
      </c>
      <c r="B28" s="28" t="s">
        <v>39</v>
      </c>
      <c r="C28" s="189"/>
      <c r="D28" s="65"/>
      <c r="E28" s="65"/>
      <c r="F28" s="65"/>
      <c r="G28" s="31">
        <f>+SUM(F29:F36)</f>
        <v>136390555.29860002</v>
      </c>
      <c r="H28" s="32">
        <f>+G28/$G$185</f>
        <v>0.18539962324403197</v>
      </c>
      <c r="I28" s="246"/>
      <c r="J28" s="140"/>
      <c r="K28" s="130"/>
      <c r="L28" s="130"/>
      <c r="M28" s="130"/>
      <c r="N28" s="66"/>
    </row>
    <row r="29" spans="1:18" ht="13.8" outlineLevel="1" x14ac:dyDescent="0.3">
      <c r="A29" s="38">
        <v>7.01</v>
      </c>
      <c r="B29" s="51" t="s">
        <v>40</v>
      </c>
      <c r="C29" s="43" t="s">
        <v>19</v>
      </c>
      <c r="D29" s="44">
        <v>678.25199999999995</v>
      </c>
      <c r="E29" s="42">
        <v>16571</v>
      </c>
      <c r="F29" s="42">
        <f t="shared" si="4"/>
        <v>11239313.891999999</v>
      </c>
      <c r="G29" s="5"/>
      <c r="H29" s="32"/>
      <c r="I29" s="245">
        <f>+'SVD 4140_Pto. 01_Cert. 02'!K29</f>
        <v>0</v>
      </c>
      <c r="J29" s="136"/>
      <c r="K29" s="79">
        <f t="shared" si="0"/>
        <v>0</v>
      </c>
      <c r="L29" s="80">
        <f t="shared" si="1"/>
        <v>0</v>
      </c>
      <c r="M29" s="80">
        <f t="shared" si="2"/>
        <v>0</v>
      </c>
      <c r="N29" s="80">
        <f t="shared" si="3"/>
        <v>0</v>
      </c>
    </row>
    <row r="30" spans="1:18" ht="13.8" outlineLevel="1" x14ac:dyDescent="0.3">
      <c r="A30" s="38">
        <v>7.02</v>
      </c>
      <c r="B30" s="39" t="s">
        <v>41</v>
      </c>
      <c r="C30" s="49" t="s">
        <v>19</v>
      </c>
      <c r="D30" s="41">
        <v>876.08119999999985</v>
      </c>
      <c r="E30" s="42">
        <v>22183</v>
      </c>
      <c r="F30" s="42">
        <f t="shared" si="4"/>
        <v>19434109.259599999</v>
      </c>
      <c r="G30" s="5"/>
      <c r="H30" s="32"/>
      <c r="I30" s="245">
        <f>+'SVD 4140_Pto. 01_Cert. 02'!K30</f>
        <v>0</v>
      </c>
      <c r="J30" s="136"/>
      <c r="K30" s="79">
        <f t="shared" si="0"/>
        <v>0</v>
      </c>
      <c r="L30" s="80">
        <f t="shared" si="1"/>
        <v>0</v>
      </c>
      <c r="M30" s="80">
        <f t="shared" si="2"/>
        <v>0</v>
      </c>
      <c r="N30" s="80">
        <f t="shared" si="3"/>
        <v>0</v>
      </c>
    </row>
    <row r="31" spans="1:18" ht="13.8" outlineLevel="1" x14ac:dyDescent="0.3">
      <c r="A31" s="38">
        <v>7.03</v>
      </c>
      <c r="B31" s="39" t="s">
        <v>42</v>
      </c>
      <c r="C31" s="49" t="s">
        <v>26</v>
      </c>
      <c r="D31" s="41">
        <v>182</v>
      </c>
      <c r="E31" s="42">
        <v>10806</v>
      </c>
      <c r="F31" s="42">
        <f t="shared" si="4"/>
        <v>1966692</v>
      </c>
      <c r="G31" s="5"/>
      <c r="H31" s="32"/>
      <c r="I31" s="245">
        <f>+'SVD 4140_Pto. 01_Cert. 02'!K31</f>
        <v>0</v>
      </c>
      <c r="J31" s="136"/>
      <c r="K31" s="79">
        <f t="shared" si="0"/>
        <v>0</v>
      </c>
      <c r="L31" s="80">
        <f t="shared" si="1"/>
        <v>0</v>
      </c>
      <c r="M31" s="80">
        <f t="shared" si="2"/>
        <v>0</v>
      </c>
      <c r="N31" s="80">
        <f t="shared" si="3"/>
        <v>0</v>
      </c>
    </row>
    <row r="32" spans="1:18" ht="13.8" outlineLevel="1" x14ac:dyDescent="0.3">
      <c r="A32" s="38">
        <v>7.04</v>
      </c>
      <c r="B32" s="39" t="s">
        <v>43</v>
      </c>
      <c r="C32" s="49" t="s">
        <v>19</v>
      </c>
      <c r="D32" s="41">
        <v>995.85109999999997</v>
      </c>
      <c r="E32" s="42">
        <v>26530</v>
      </c>
      <c r="F32" s="42">
        <f t="shared" si="4"/>
        <v>26419929.682999998</v>
      </c>
      <c r="G32" s="5"/>
      <c r="H32" s="32"/>
      <c r="I32" s="245">
        <f>+'SVD 4140_Pto. 01_Cert. 02'!K32</f>
        <v>0</v>
      </c>
      <c r="J32" s="136"/>
      <c r="K32" s="79">
        <f t="shared" si="0"/>
        <v>0</v>
      </c>
      <c r="L32" s="80">
        <f t="shared" si="1"/>
        <v>0</v>
      </c>
      <c r="M32" s="80">
        <f t="shared" si="2"/>
        <v>0</v>
      </c>
      <c r="N32" s="80">
        <f t="shared" si="3"/>
        <v>0</v>
      </c>
    </row>
    <row r="33" spans="1:16" ht="13.8" outlineLevel="1" x14ac:dyDescent="0.3">
      <c r="A33" s="38">
        <v>7.05</v>
      </c>
      <c r="B33" s="39" t="s">
        <v>44</v>
      </c>
      <c r="C33" s="49" t="s">
        <v>19</v>
      </c>
      <c r="D33" s="41">
        <v>2514.8970000000013</v>
      </c>
      <c r="E33" s="42">
        <v>22566</v>
      </c>
      <c r="F33" s="42">
        <f t="shared" si="4"/>
        <v>56751165.702000029</v>
      </c>
      <c r="G33" s="5"/>
      <c r="H33" s="32"/>
      <c r="I33" s="245">
        <f>+'SVD 4140_Pto. 01_Cert. 02'!K33</f>
        <v>0</v>
      </c>
      <c r="J33" s="136"/>
      <c r="K33" s="79">
        <f t="shared" si="0"/>
        <v>0</v>
      </c>
      <c r="L33" s="80">
        <f t="shared" si="1"/>
        <v>0</v>
      </c>
      <c r="M33" s="80">
        <f t="shared" si="2"/>
        <v>0</v>
      </c>
      <c r="N33" s="80">
        <f t="shared" si="3"/>
        <v>0</v>
      </c>
    </row>
    <row r="34" spans="1:16" ht="13.8" outlineLevel="1" x14ac:dyDescent="0.3">
      <c r="A34" s="38">
        <v>7.06</v>
      </c>
      <c r="B34" s="39" t="s">
        <v>45</v>
      </c>
      <c r="C34" s="49" t="s">
        <v>26</v>
      </c>
      <c r="D34" s="41">
        <v>509.9</v>
      </c>
      <c r="E34" s="42">
        <v>12771</v>
      </c>
      <c r="F34" s="42">
        <f t="shared" si="4"/>
        <v>6511932.8999999994</v>
      </c>
      <c r="G34" s="5"/>
      <c r="H34" s="32"/>
      <c r="I34" s="245">
        <f>+'SVD 4140_Pto. 01_Cert. 02'!K34</f>
        <v>0</v>
      </c>
      <c r="J34" s="136"/>
      <c r="K34" s="79">
        <f t="shared" si="0"/>
        <v>0</v>
      </c>
      <c r="L34" s="80">
        <f t="shared" si="1"/>
        <v>0</v>
      </c>
      <c r="M34" s="80">
        <f t="shared" si="2"/>
        <v>0</v>
      </c>
      <c r="N34" s="80">
        <f t="shared" si="3"/>
        <v>0</v>
      </c>
    </row>
    <row r="35" spans="1:16" ht="13.8" outlineLevel="1" x14ac:dyDescent="0.3">
      <c r="A35" s="38">
        <v>7.07</v>
      </c>
      <c r="B35" s="39" t="s">
        <v>46</v>
      </c>
      <c r="C35" s="49" t="s">
        <v>47</v>
      </c>
      <c r="D35" s="41">
        <v>198</v>
      </c>
      <c r="E35" s="42">
        <v>14947</v>
      </c>
      <c r="F35" s="42">
        <f t="shared" si="4"/>
        <v>2959506</v>
      </c>
      <c r="G35" s="5"/>
      <c r="H35" s="32"/>
      <c r="I35" s="245">
        <f>+'SVD 4140_Pto. 01_Cert. 02'!K35</f>
        <v>0</v>
      </c>
      <c r="J35" s="136"/>
      <c r="K35" s="79">
        <f t="shared" si="0"/>
        <v>0</v>
      </c>
      <c r="L35" s="80">
        <f t="shared" si="1"/>
        <v>0</v>
      </c>
      <c r="M35" s="80">
        <f t="shared" si="2"/>
        <v>0</v>
      </c>
      <c r="N35" s="80">
        <f t="shared" si="3"/>
        <v>0</v>
      </c>
    </row>
    <row r="36" spans="1:16" ht="13.8" outlineLevel="1" x14ac:dyDescent="0.3">
      <c r="A36" s="38">
        <v>7.08</v>
      </c>
      <c r="B36" s="39" t="s">
        <v>48</v>
      </c>
      <c r="C36" s="49" t="s">
        <v>19</v>
      </c>
      <c r="D36" s="41">
        <v>670.322</v>
      </c>
      <c r="E36" s="42">
        <v>16571</v>
      </c>
      <c r="F36" s="42">
        <f t="shared" si="4"/>
        <v>11107905.862</v>
      </c>
      <c r="G36" s="5"/>
      <c r="H36" s="32"/>
      <c r="I36" s="245">
        <f>+'SVD 4140_Pto. 01_Cert. 02'!K36</f>
        <v>0</v>
      </c>
      <c r="J36" s="136"/>
      <c r="K36" s="79">
        <f t="shared" si="0"/>
        <v>0</v>
      </c>
      <c r="L36" s="80">
        <f t="shared" si="1"/>
        <v>0</v>
      </c>
      <c r="M36" s="80">
        <f t="shared" si="2"/>
        <v>0</v>
      </c>
      <c r="N36" s="80">
        <f t="shared" si="3"/>
        <v>0</v>
      </c>
    </row>
    <row r="37" spans="1:16" ht="13.8" x14ac:dyDescent="0.3">
      <c r="A37" s="27">
        <v>8</v>
      </c>
      <c r="B37" s="28" t="s">
        <v>49</v>
      </c>
      <c r="C37" s="189"/>
      <c r="D37" s="65"/>
      <c r="E37" s="65"/>
      <c r="F37" s="65"/>
      <c r="G37" s="31">
        <f>+SUM(F38:F45)</f>
        <v>44788107</v>
      </c>
      <c r="H37" s="32">
        <f>+G37/$G$185</f>
        <v>6.0881768135880775E-2</v>
      </c>
      <c r="I37" s="246"/>
      <c r="J37" s="140"/>
      <c r="K37" s="130"/>
      <c r="L37" s="130"/>
      <c r="M37" s="130"/>
      <c r="N37" s="66"/>
    </row>
    <row r="38" spans="1:16" ht="13.8" outlineLevel="1" x14ac:dyDescent="0.3">
      <c r="A38" s="33">
        <v>8.01</v>
      </c>
      <c r="B38" s="198" t="s">
        <v>50</v>
      </c>
      <c r="C38" s="61" t="s">
        <v>19</v>
      </c>
      <c r="D38" s="62">
        <v>104</v>
      </c>
      <c r="E38" s="37">
        <v>31920</v>
      </c>
      <c r="F38" s="37">
        <f t="shared" si="4"/>
        <v>3319680</v>
      </c>
      <c r="G38" s="5"/>
      <c r="H38" s="32"/>
      <c r="I38" s="245">
        <f>+'SVD 4140_Pto. 01_Cert. 02'!K38</f>
        <v>1</v>
      </c>
      <c r="J38" s="134"/>
      <c r="K38" s="135">
        <f t="shared" si="0"/>
        <v>1</v>
      </c>
      <c r="L38" s="200">
        <f t="shared" si="1"/>
        <v>3319680</v>
      </c>
      <c r="M38" s="200">
        <f t="shared" si="2"/>
        <v>0</v>
      </c>
      <c r="N38" s="200">
        <f t="shared" si="3"/>
        <v>3319680</v>
      </c>
    </row>
    <row r="39" spans="1:16" ht="13.8" outlineLevel="1" x14ac:dyDescent="0.3">
      <c r="A39" s="38">
        <v>8.02</v>
      </c>
      <c r="B39" s="52" t="s">
        <v>51</v>
      </c>
      <c r="C39" s="49" t="s">
        <v>19</v>
      </c>
      <c r="D39" s="50">
        <v>48</v>
      </c>
      <c r="E39" s="42">
        <v>37268</v>
      </c>
      <c r="F39" s="42">
        <f t="shared" si="4"/>
        <v>1788864</v>
      </c>
      <c r="G39" s="5"/>
      <c r="H39" s="32"/>
      <c r="I39" s="245">
        <f>+'SVD 4140_Pto. 01_Cert. 02'!K39</f>
        <v>0</v>
      </c>
      <c r="J39" s="136"/>
      <c r="K39" s="79">
        <f t="shared" si="0"/>
        <v>0</v>
      </c>
      <c r="L39" s="201">
        <f t="shared" si="1"/>
        <v>0</v>
      </c>
      <c r="M39" s="201">
        <f t="shared" si="2"/>
        <v>0</v>
      </c>
      <c r="N39" s="201">
        <f t="shared" si="3"/>
        <v>0</v>
      </c>
    </row>
    <row r="40" spans="1:16" ht="13.8" outlineLevel="1" x14ac:dyDescent="0.3">
      <c r="A40" s="38">
        <v>8.0299999999999994</v>
      </c>
      <c r="B40" s="52" t="s">
        <v>52</v>
      </c>
      <c r="C40" s="49" t="s">
        <v>19</v>
      </c>
      <c r="D40" s="50">
        <v>235</v>
      </c>
      <c r="E40" s="42">
        <v>32410</v>
      </c>
      <c r="F40" s="42">
        <f t="shared" si="4"/>
        <v>7616350</v>
      </c>
      <c r="G40" s="5"/>
      <c r="H40" s="32"/>
      <c r="I40" s="245">
        <f>+'SVD 4140_Pto. 01_Cert. 02'!K40</f>
        <v>0</v>
      </c>
      <c r="J40" s="136"/>
      <c r="K40" s="79">
        <f t="shared" si="0"/>
        <v>0</v>
      </c>
      <c r="L40" s="201">
        <f t="shared" si="1"/>
        <v>0</v>
      </c>
      <c r="M40" s="201">
        <f t="shared" si="2"/>
        <v>0</v>
      </c>
      <c r="N40" s="201">
        <f t="shared" si="3"/>
        <v>0</v>
      </c>
    </row>
    <row r="41" spans="1:16" ht="13.8" outlineLevel="1" x14ac:dyDescent="0.3">
      <c r="A41" s="38">
        <v>8.0399999999999991</v>
      </c>
      <c r="B41" s="39" t="s">
        <v>53</v>
      </c>
      <c r="C41" s="40" t="s">
        <v>19</v>
      </c>
      <c r="D41" s="50">
        <v>878</v>
      </c>
      <c r="E41" s="42">
        <v>19006</v>
      </c>
      <c r="F41" s="42">
        <f t="shared" si="4"/>
        <v>16687268</v>
      </c>
      <c r="G41" s="5"/>
      <c r="H41" s="32"/>
      <c r="I41" s="245">
        <f>+'SVD 4140_Pto. 01_Cert. 02'!K41</f>
        <v>0</v>
      </c>
      <c r="J41" s="136"/>
      <c r="K41" s="79">
        <f t="shared" si="0"/>
        <v>0</v>
      </c>
      <c r="L41" s="201">
        <f t="shared" si="1"/>
        <v>0</v>
      </c>
      <c r="M41" s="201">
        <f t="shared" si="2"/>
        <v>0</v>
      </c>
      <c r="N41" s="201">
        <f t="shared" si="3"/>
        <v>0</v>
      </c>
    </row>
    <row r="42" spans="1:16" ht="13.8" outlineLevel="1" x14ac:dyDescent="0.3">
      <c r="A42" s="190">
        <v>8.0500000000000007</v>
      </c>
      <c r="B42" s="191" t="s">
        <v>54</v>
      </c>
      <c r="C42" s="43" t="s">
        <v>19</v>
      </c>
      <c r="D42" s="44">
        <v>564</v>
      </c>
      <c r="E42" s="44">
        <v>12439</v>
      </c>
      <c r="F42" s="44">
        <f t="shared" si="4"/>
        <v>7015596</v>
      </c>
      <c r="G42" s="5"/>
      <c r="H42" s="32"/>
      <c r="I42" s="245">
        <f>+'SVD 4140_Pto. 01_Cert. 02'!K42</f>
        <v>0</v>
      </c>
      <c r="J42" s="239"/>
      <c r="K42" s="79">
        <f t="shared" si="0"/>
        <v>0</v>
      </c>
      <c r="L42" s="201">
        <f t="shared" si="1"/>
        <v>0</v>
      </c>
      <c r="M42" s="201">
        <f t="shared" si="2"/>
        <v>0</v>
      </c>
      <c r="N42" s="201">
        <f t="shared" si="3"/>
        <v>0</v>
      </c>
    </row>
    <row r="43" spans="1:16" ht="13.8" outlineLevel="1" x14ac:dyDescent="0.3">
      <c r="A43" s="38">
        <v>8.06</v>
      </c>
      <c r="B43" s="199" t="s">
        <v>55</v>
      </c>
      <c r="C43" s="40" t="s">
        <v>19</v>
      </c>
      <c r="D43" s="41">
        <v>438</v>
      </c>
      <c r="E43" s="42">
        <v>12439</v>
      </c>
      <c r="F43" s="42">
        <f t="shared" si="4"/>
        <v>5448282</v>
      </c>
      <c r="G43" s="5"/>
      <c r="I43" s="245">
        <f>+'SVD 4140_Pto. 01_Cert. 02'!K43</f>
        <v>0</v>
      </c>
      <c r="J43" s="136"/>
      <c r="K43" s="79">
        <f t="shared" si="0"/>
        <v>0</v>
      </c>
      <c r="L43" s="201">
        <f t="shared" si="1"/>
        <v>0</v>
      </c>
      <c r="M43" s="201">
        <f t="shared" si="2"/>
        <v>0</v>
      </c>
      <c r="N43" s="201">
        <f t="shared" si="3"/>
        <v>0</v>
      </c>
      <c r="P43" s="144"/>
    </row>
    <row r="44" spans="1:16" ht="13.8" outlineLevel="1" x14ac:dyDescent="0.3">
      <c r="A44" s="38">
        <v>8.07</v>
      </c>
      <c r="B44" s="199" t="s">
        <v>56</v>
      </c>
      <c r="C44" s="40" t="s">
        <v>28</v>
      </c>
      <c r="D44" s="41">
        <v>1</v>
      </c>
      <c r="E44" s="42">
        <v>2426924</v>
      </c>
      <c r="F44" s="42">
        <f t="shared" si="4"/>
        <v>2426924</v>
      </c>
      <c r="G44" s="5"/>
      <c r="I44" s="245">
        <f>+'SVD 4140_Pto. 01_Cert. 02'!K44</f>
        <v>0</v>
      </c>
      <c r="J44" s="136"/>
      <c r="K44" s="79">
        <f t="shared" si="0"/>
        <v>0</v>
      </c>
      <c r="L44" s="201">
        <f t="shared" si="1"/>
        <v>0</v>
      </c>
      <c r="M44" s="201">
        <f t="shared" si="2"/>
        <v>0</v>
      </c>
      <c r="N44" s="201">
        <f t="shared" si="3"/>
        <v>0</v>
      </c>
    </row>
    <row r="45" spans="1:16" ht="13.8" outlineLevel="1" x14ac:dyDescent="0.3">
      <c r="A45" s="45">
        <v>8.08</v>
      </c>
      <c r="B45" s="59" t="s">
        <v>57</v>
      </c>
      <c r="C45" s="47" t="s">
        <v>28</v>
      </c>
      <c r="D45" s="48">
        <v>1</v>
      </c>
      <c r="E45" s="60">
        <v>485143</v>
      </c>
      <c r="F45" s="60">
        <f t="shared" si="4"/>
        <v>485143</v>
      </c>
      <c r="G45" s="5"/>
      <c r="I45" s="245">
        <f>+'SVD 4140_Pto. 01_Cert. 02'!K45</f>
        <v>0</v>
      </c>
      <c r="J45" s="137"/>
      <c r="K45" s="138">
        <f t="shared" si="0"/>
        <v>0</v>
      </c>
      <c r="L45" s="202">
        <f t="shared" si="1"/>
        <v>0</v>
      </c>
      <c r="M45" s="202">
        <f t="shared" si="2"/>
        <v>0</v>
      </c>
      <c r="N45" s="202">
        <f t="shared" si="3"/>
        <v>0</v>
      </c>
    </row>
    <row r="46" spans="1:16" ht="13.8" x14ac:dyDescent="0.3">
      <c r="A46" s="27">
        <v>9</v>
      </c>
      <c r="B46" s="28" t="s">
        <v>58</v>
      </c>
      <c r="C46" s="189"/>
      <c r="D46" s="65"/>
      <c r="E46" s="65"/>
      <c r="F46" s="65"/>
      <c r="G46" s="31">
        <f>+SUM(F47:F50)</f>
        <v>5769056.5999999996</v>
      </c>
      <c r="H46" s="32">
        <f>+G46/$G$185</f>
        <v>7.8420453511011904E-3</v>
      </c>
      <c r="I46" s="246"/>
      <c r="J46" s="140"/>
      <c r="K46" s="130"/>
      <c r="L46" s="130"/>
      <c r="M46" s="130"/>
      <c r="N46" s="66"/>
    </row>
    <row r="47" spans="1:16" s="57" customFormat="1" ht="13.8" outlineLevel="1" x14ac:dyDescent="0.3">
      <c r="A47" s="38">
        <v>9.01</v>
      </c>
      <c r="B47" s="55" t="s">
        <v>59</v>
      </c>
      <c r="C47" s="56" t="s">
        <v>28</v>
      </c>
      <c r="D47" s="41">
        <v>1</v>
      </c>
      <c r="E47" s="42">
        <v>2024643</v>
      </c>
      <c r="F47" s="42">
        <f t="shared" si="4"/>
        <v>2024643</v>
      </c>
      <c r="G47" s="185"/>
      <c r="H47" s="32"/>
      <c r="I47" s="245">
        <f>+'SVD 4140_Pto. 01_Cert. 02'!K47</f>
        <v>0</v>
      </c>
      <c r="J47" s="141"/>
      <c r="K47" s="79">
        <f t="shared" si="0"/>
        <v>0</v>
      </c>
      <c r="L47" s="80">
        <f t="shared" si="1"/>
        <v>0</v>
      </c>
      <c r="M47" s="80">
        <f t="shared" si="2"/>
        <v>0</v>
      </c>
      <c r="N47" s="80">
        <f t="shared" si="3"/>
        <v>0</v>
      </c>
    </row>
    <row r="48" spans="1:16" s="57" customFormat="1" ht="13.8" outlineLevel="1" x14ac:dyDescent="0.3">
      <c r="A48" s="54">
        <v>9.02</v>
      </c>
      <c r="B48" s="55" t="s">
        <v>60</v>
      </c>
      <c r="C48" s="56" t="s">
        <v>26</v>
      </c>
      <c r="D48" s="41">
        <v>122</v>
      </c>
      <c r="E48" s="42">
        <v>18814</v>
      </c>
      <c r="F48" s="42">
        <f t="shared" si="4"/>
        <v>2295308</v>
      </c>
      <c r="G48" s="185"/>
      <c r="H48" s="32"/>
      <c r="I48" s="245">
        <f>+'SVD 4140_Pto. 01_Cert. 02'!K48</f>
        <v>0</v>
      </c>
      <c r="J48" s="141"/>
      <c r="K48" s="79">
        <f t="shared" si="0"/>
        <v>0</v>
      </c>
      <c r="L48" s="80">
        <f t="shared" si="1"/>
        <v>0</v>
      </c>
      <c r="M48" s="80">
        <f t="shared" si="2"/>
        <v>0</v>
      </c>
      <c r="N48" s="80">
        <f t="shared" si="3"/>
        <v>0</v>
      </c>
    </row>
    <row r="49" spans="1:14" s="57" customFormat="1" ht="13.8" outlineLevel="1" x14ac:dyDescent="0.3">
      <c r="A49" s="38">
        <v>9.0299999999999994</v>
      </c>
      <c r="B49" s="55" t="s">
        <v>61</v>
      </c>
      <c r="C49" s="56" t="s">
        <v>26</v>
      </c>
      <c r="D49" s="41">
        <v>155</v>
      </c>
      <c r="E49" s="42">
        <v>5376</v>
      </c>
      <c r="F49" s="42">
        <f t="shared" si="4"/>
        <v>833280</v>
      </c>
      <c r="G49" s="185"/>
      <c r="H49" s="32"/>
      <c r="I49" s="245">
        <f>+'SVD 4140_Pto. 01_Cert. 02'!K49</f>
        <v>0</v>
      </c>
      <c r="J49" s="141"/>
      <c r="K49" s="79">
        <f t="shared" si="0"/>
        <v>0</v>
      </c>
      <c r="L49" s="80">
        <f t="shared" si="1"/>
        <v>0</v>
      </c>
      <c r="M49" s="80">
        <f t="shared" si="2"/>
        <v>0</v>
      </c>
      <c r="N49" s="80">
        <f t="shared" si="3"/>
        <v>0</v>
      </c>
    </row>
    <row r="50" spans="1:14" s="57" customFormat="1" ht="13.8" outlineLevel="1" x14ac:dyDescent="0.3">
      <c r="A50" s="54">
        <v>9.0399999999999991</v>
      </c>
      <c r="B50" s="55" t="s">
        <v>62</v>
      </c>
      <c r="C50" s="56" t="s">
        <v>26</v>
      </c>
      <c r="D50" s="41">
        <v>31.200000000000003</v>
      </c>
      <c r="E50" s="42">
        <v>19738</v>
      </c>
      <c r="F50" s="42">
        <f t="shared" si="4"/>
        <v>615825.60000000009</v>
      </c>
      <c r="G50" s="185"/>
      <c r="H50" s="32"/>
      <c r="I50" s="245">
        <f>+'SVD 4140_Pto. 01_Cert. 02'!K50</f>
        <v>0</v>
      </c>
      <c r="J50" s="141"/>
      <c r="K50" s="79">
        <f t="shared" si="0"/>
        <v>0</v>
      </c>
      <c r="L50" s="80">
        <f t="shared" si="1"/>
        <v>0</v>
      </c>
      <c r="M50" s="80">
        <f t="shared" si="2"/>
        <v>0</v>
      </c>
      <c r="N50" s="80">
        <f t="shared" si="3"/>
        <v>0</v>
      </c>
    </row>
    <row r="51" spans="1:14" s="58" customFormat="1" ht="13.8" x14ac:dyDescent="0.3">
      <c r="A51" s="27">
        <v>10</v>
      </c>
      <c r="B51" s="28" t="s">
        <v>63</v>
      </c>
      <c r="C51" s="189"/>
      <c r="D51" s="65"/>
      <c r="E51" s="65"/>
      <c r="F51" s="65"/>
      <c r="G51" s="31">
        <f>+SUM(F52:F55)</f>
        <v>4669278</v>
      </c>
      <c r="H51" s="32">
        <f>+G51/$G$185</f>
        <v>6.3470845186193985E-3</v>
      </c>
      <c r="I51" s="246"/>
      <c r="J51" s="140"/>
      <c r="K51" s="130"/>
      <c r="L51" s="130"/>
      <c r="M51" s="130"/>
      <c r="N51" s="66"/>
    </row>
    <row r="52" spans="1:14" s="58" customFormat="1" ht="13.8" outlineLevel="1" x14ac:dyDescent="0.3">
      <c r="A52" s="33">
        <v>10.01</v>
      </c>
      <c r="B52" s="209" t="s">
        <v>64</v>
      </c>
      <c r="C52" s="210" t="s">
        <v>28</v>
      </c>
      <c r="D52" s="36">
        <v>0</v>
      </c>
      <c r="E52" s="37">
        <v>0</v>
      </c>
      <c r="F52" s="37">
        <f t="shared" si="4"/>
        <v>0</v>
      </c>
      <c r="G52" s="211"/>
      <c r="H52" s="32"/>
      <c r="I52" s="245">
        <f>+'SVD 4140_Pto. 01_Cert. 02'!K52</f>
        <v>0</v>
      </c>
      <c r="J52" s="142"/>
      <c r="K52" s="135">
        <f t="shared" ref="K52:K53" si="9">+I52+J52</f>
        <v>0</v>
      </c>
      <c r="L52" s="200">
        <f t="shared" ref="L52:L53" si="10">+F52*I52</f>
        <v>0</v>
      </c>
      <c r="M52" s="200">
        <f t="shared" ref="M52:M53" si="11">+F52*J52</f>
        <v>0</v>
      </c>
      <c r="N52" s="200">
        <f t="shared" ref="N52:N53" si="12">+F52*K52</f>
        <v>0</v>
      </c>
    </row>
    <row r="53" spans="1:14" ht="13.8" outlineLevel="1" x14ac:dyDescent="0.3">
      <c r="A53" s="190">
        <v>10.02</v>
      </c>
      <c r="B53" s="191" t="s">
        <v>65</v>
      </c>
      <c r="C53" s="43" t="s">
        <v>28</v>
      </c>
      <c r="D53" s="44">
        <v>1</v>
      </c>
      <c r="E53" s="44">
        <v>2199545</v>
      </c>
      <c r="F53" s="44">
        <f t="shared" si="4"/>
        <v>2199545</v>
      </c>
      <c r="G53" s="186"/>
      <c r="H53" s="32"/>
      <c r="I53" s="245">
        <f>+'SVD 4140_Pto. 01_Cert. 02'!K53</f>
        <v>0</v>
      </c>
      <c r="J53" s="236"/>
      <c r="K53" s="79">
        <f t="shared" si="9"/>
        <v>0</v>
      </c>
      <c r="L53" s="201">
        <f t="shared" si="10"/>
        <v>0</v>
      </c>
      <c r="M53" s="201">
        <f t="shared" si="11"/>
        <v>0</v>
      </c>
      <c r="N53" s="201">
        <f t="shared" si="12"/>
        <v>0</v>
      </c>
    </row>
    <row r="54" spans="1:14" s="63" customFormat="1" ht="13.8" outlineLevel="1" x14ac:dyDescent="0.3">
      <c r="A54" s="38">
        <v>10.029999999999999</v>
      </c>
      <c r="B54" s="39" t="s">
        <v>66</v>
      </c>
      <c r="C54" s="49" t="s">
        <v>67</v>
      </c>
      <c r="D54" s="50">
        <v>0</v>
      </c>
      <c r="E54" s="42">
        <v>0</v>
      </c>
      <c r="F54" s="42">
        <f t="shared" si="4"/>
        <v>0</v>
      </c>
      <c r="G54" s="186"/>
      <c r="I54" s="245">
        <f>+'SVD 4140_Pto. 01_Cert. 02'!K54</f>
        <v>0</v>
      </c>
      <c r="J54" s="236"/>
      <c r="K54" s="79">
        <f t="shared" si="0"/>
        <v>0</v>
      </c>
      <c r="L54" s="201">
        <f t="shared" si="1"/>
        <v>0</v>
      </c>
      <c r="M54" s="201">
        <f t="shared" si="2"/>
        <v>0</v>
      </c>
      <c r="N54" s="201">
        <f t="shared" si="3"/>
        <v>0</v>
      </c>
    </row>
    <row r="55" spans="1:14" s="63" customFormat="1" ht="13.8" outlineLevel="1" x14ac:dyDescent="0.3">
      <c r="A55" s="45">
        <v>10.039999999999999</v>
      </c>
      <c r="B55" s="46" t="s">
        <v>68</v>
      </c>
      <c r="C55" s="64" t="s">
        <v>47</v>
      </c>
      <c r="D55" s="53">
        <v>7</v>
      </c>
      <c r="E55" s="60">
        <v>352819</v>
      </c>
      <c r="F55" s="60">
        <f t="shared" si="4"/>
        <v>2469733</v>
      </c>
      <c r="G55" s="212"/>
      <c r="I55" s="245">
        <f>+'SVD 4140_Pto. 01_Cert. 02'!K55</f>
        <v>0</v>
      </c>
      <c r="J55" s="143"/>
      <c r="K55" s="138">
        <f t="shared" si="0"/>
        <v>0</v>
      </c>
      <c r="L55" s="202">
        <f t="shared" si="1"/>
        <v>0</v>
      </c>
      <c r="M55" s="202">
        <f t="shared" si="2"/>
        <v>0</v>
      </c>
      <c r="N55" s="202">
        <f t="shared" si="3"/>
        <v>0</v>
      </c>
    </row>
    <row r="56" spans="1:14" s="63" customFormat="1" ht="13.8" x14ac:dyDescent="0.3">
      <c r="A56" s="27">
        <v>11</v>
      </c>
      <c r="B56" s="28" t="s">
        <v>69</v>
      </c>
      <c r="C56" s="189"/>
      <c r="D56" s="65"/>
      <c r="E56" s="65"/>
      <c r="F56" s="65"/>
      <c r="G56" s="31">
        <f>+SUM(F57:F63)</f>
        <v>48040802</v>
      </c>
      <c r="H56" s="32">
        <f>+G56/$G$185</f>
        <v>6.5303250446056074E-2</v>
      </c>
      <c r="I56" s="247"/>
      <c r="J56" s="132"/>
      <c r="K56" s="132"/>
      <c r="L56" s="132"/>
      <c r="M56" s="132"/>
      <c r="N56" s="133"/>
    </row>
    <row r="57" spans="1:14" s="57" customFormat="1" ht="13.8" outlineLevel="1" x14ac:dyDescent="0.3">
      <c r="A57" s="213">
        <v>11.01</v>
      </c>
      <c r="B57" s="214" t="s">
        <v>70</v>
      </c>
      <c r="C57" s="215" t="s">
        <v>19</v>
      </c>
      <c r="D57" s="216">
        <v>30</v>
      </c>
      <c r="E57" s="37">
        <v>21948</v>
      </c>
      <c r="F57" s="37">
        <f t="shared" si="4"/>
        <v>658440</v>
      </c>
      <c r="G57" s="67"/>
      <c r="H57" s="32"/>
      <c r="I57" s="245">
        <f>+'SVD 4140_Pto. 01_Cert. 02'!K57</f>
        <v>0</v>
      </c>
      <c r="J57" s="142"/>
      <c r="K57" s="135">
        <f>+I57+J57</f>
        <v>0</v>
      </c>
      <c r="L57" s="200">
        <f t="shared" ref="L57:L63" si="13">+F57*I57</f>
        <v>0</v>
      </c>
      <c r="M57" s="200">
        <f>+F57*J57</f>
        <v>0</v>
      </c>
      <c r="N57" s="200">
        <f t="shared" ref="N57:N63" si="14">+F57*K57</f>
        <v>0</v>
      </c>
    </row>
    <row r="58" spans="1:14" s="57" customFormat="1" ht="13.8" outlineLevel="1" x14ac:dyDescent="0.3">
      <c r="A58" s="217">
        <v>11.02</v>
      </c>
      <c r="B58" s="218" t="s">
        <v>71</v>
      </c>
      <c r="C58" s="219" t="s">
        <v>19</v>
      </c>
      <c r="D58" s="220">
        <v>185</v>
      </c>
      <c r="E58" s="42">
        <v>21948</v>
      </c>
      <c r="F58" s="42">
        <f t="shared" si="4"/>
        <v>4060380</v>
      </c>
      <c r="G58" s="181"/>
      <c r="H58" s="32"/>
      <c r="I58" s="245">
        <f>+'SVD 4140_Pto. 01_Cert. 02'!K58</f>
        <v>0</v>
      </c>
      <c r="J58" s="236"/>
      <c r="K58" s="79">
        <f t="shared" ref="K58:K63" si="15">+I58+J58</f>
        <v>0</v>
      </c>
      <c r="L58" s="201">
        <f t="shared" si="13"/>
        <v>0</v>
      </c>
      <c r="M58" s="201">
        <f t="shared" ref="M58:M63" si="16">+F58*J58</f>
        <v>0</v>
      </c>
      <c r="N58" s="201">
        <f t="shared" si="14"/>
        <v>0</v>
      </c>
    </row>
    <row r="59" spans="1:14" s="57" customFormat="1" ht="13.8" outlineLevel="1" x14ac:dyDescent="0.3">
      <c r="A59" s="217">
        <v>11.03</v>
      </c>
      <c r="B59" s="218" t="s">
        <v>72</v>
      </c>
      <c r="C59" s="219" t="s">
        <v>19</v>
      </c>
      <c r="D59" s="220">
        <v>942</v>
      </c>
      <c r="E59" s="42">
        <v>21948</v>
      </c>
      <c r="F59" s="42">
        <f t="shared" si="4"/>
        <v>20675016</v>
      </c>
      <c r="G59" s="181"/>
      <c r="H59" s="32"/>
      <c r="I59" s="245">
        <f>+'SVD 4140_Pto. 01_Cert. 02'!K59</f>
        <v>0</v>
      </c>
      <c r="J59" s="236"/>
      <c r="K59" s="79">
        <f t="shared" si="15"/>
        <v>0</v>
      </c>
      <c r="L59" s="201">
        <f t="shared" si="13"/>
        <v>0</v>
      </c>
      <c r="M59" s="201">
        <f t="shared" si="16"/>
        <v>0</v>
      </c>
      <c r="N59" s="201">
        <f t="shared" si="14"/>
        <v>0</v>
      </c>
    </row>
    <row r="60" spans="1:14" s="57" customFormat="1" ht="13.8" outlineLevel="1" x14ac:dyDescent="0.3">
      <c r="A60" s="217">
        <v>11.04</v>
      </c>
      <c r="B60" s="218" t="s">
        <v>73</v>
      </c>
      <c r="C60" s="219" t="s">
        <v>19</v>
      </c>
      <c r="D60" s="220">
        <v>110</v>
      </c>
      <c r="E60" s="42">
        <v>25799</v>
      </c>
      <c r="F60" s="42">
        <f t="shared" si="4"/>
        <v>2837890</v>
      </c>
      <c r="G60" s="181"/>
      <c r="H60" s="32"/>
      <c r="I60" s="245">
        <f>+'SVD 4140_Pto. 01_Cert. 02'!K60</f>
        <v>0</v>
      </c>
      <c r="J60" s="236"/>
      <c r="K60" s="79">
        <f t="shared" si="15"/>
        <v>0</v>
      </c>
      <c r="L60" s="201">
        <f t="shared" si="13"/>
        <v>0</v>
      </c>
      <c r="M60" s="201">
        <f t="shared" si="16"/>
        <v>0</v>
      </c>
      <c r="N60" s="201">
        <f t="shared" si="14"/>
        <v>0</v>
      </c>
    </row>
    <row r="61" spans="1:14" s="57" customFormat="1" ht="13.8" outlineLevel="1" x14ac:dyDescent="0.3">
      <c r="A61" s="217">
        <v>11.05</v>
      </c>
      <c r="B61" s="218" t="s">
        <v>74</v>
      </c>
      <c r="C61" s="219" t="s">
        <v>19</v>
      </c>
      <c r="D61" s="220">
        <v>128</v>
      </c>
      <c r="E61" s="42">
        <v>16080</v>
      </c>
      <c r="F61" s="42">
        <f t="shared" si="4"/>
        <v>2058240</v>
      </c>
      <c r="G61" s="181"/>
      <c r="H61" s="32"/>
      <c r="I61" s="245">
        <f>+'SVD 4140_Pto. 01_Cert. 02'!K61</f>
        <v>0</v>
      </c>
      <c r="J61" s="236"/>
      <c r="K61" s="79">
        <f t="shared" si="15"/>
        <v>0</v>
      </c>
      <c r="L61" s="201">
        <f t="shared" si="13"/>
        <v>0</v>
      </c>
      <c r="M61" s="201">
        <f t="shared" si="16"/>
        <v>0</v>
      </c>
      <c r="N61" s="201">
        <f t="shared" si="14"/>
        <v>0</v>
      </c>
    </row>
    <row r="62" spans="1:14" s="57" customFormat="1" ht="13.8" outlineLevel="1" x14ac:dyDescent="0.3">
      <c r="A62" s="217">
        <v>11.06</v>
      </c>
      <c r="B62" s="218" t="s">
        <v>75</v>
      </c>
      <c r="C62" s="219" t="s">
        <v>19</v>
      </c>
      <c r="D62" s="220">
        <v>48</v>
      </c>
      <c r="E62" s="42">
        <v>21948</v>
      </c>
      <c r="F62" s="42">
        <f t="shared" si="4"/>
        <v>1053504</v>
      </c>
      <c r="G62" s="181"/>
      <c r="H62" s="32"/>
      <c r="I62" s="245">
        <f>+'SVD 4140_Pto. 01_Cert. 02'!K62</f>
        <v>0</v>
      </c>
      <c r="J62" s="236"/>
      <c r="K62" s="79">
        <f t="shared" si="15"/>
        <v>0</v>
      </c>
      <c r="L62" s="201">
        <f t="shared" si="13"/>
        <v>0</v>
      </c>
      <c r="M62" s="201">
        <f t="shared" si="16"/>
        <v>0</v>
      </c>
      <c r="N62" s="201">
        <f t="shared" si="14"/>
        <v>0</v>
      </c>
    </row>
    <row r="63" spans="1:14" s="57" customFormat="1" ht="13.8" outlineLevel="1" x14ac:dyDescent="0.3">
      <c r="A63" s="221">
        <v>11.07</v>
      </c>
      <c r="B63" s="222" t="s">
        <v>76</v>
      </c>
      <c r="C63" s="223" t="s">
        <v>19</v>
      </c>
      <c r="D63" s="224">
        <v>226</v>
      </c>
      <c r="E63" s="60">
        <v>73882</v>
      </c>
      <c r="F63" s="60">
        <f t="shared" si="4"/>
        <v>16697332</v>
      </c>
      <c r="G63" s="181"/>
      <c r="H63" s="32"/>
      <c r="I63" s="245">
        <f>+'SVD 4140_Pto. 01_Cert. 02'!K63</f>
        <v>0</v>
      </c>
      <c r="J63" s="143"/>
      <c r="K63" s="138">
        <f t="shared" si="15"/>
        <v>0</v>
      </c>
      <c r="L63" s="202">
        <f t="shared" si="13"/>
        <v>0</v>
      </c>
      <c r="M63" s="202">
        <f t="shared" si="16"/>
        <v>0</v>
      </c>
      <c r="N63" s="202">
        <f t="shared" si="14"/>
        <v>0</v>
      </c>
    </row>
    <row r="64" spans="1:14" s="57" customFormat="1" ht="13.8" x14ac:dyDescent="0.3">
      <c r="A64" s="27">
        <v>12</v>
      </c>
      <c r="B64" s="28" t="s">
        <v>77</v>
      </c>
      <c r="C64" s="189"/>
      <c r="D64" s="65"/>
      <c r="E64" s="65"/>
      <c r="F64" s="65"/>
      <c r="G64" s="31">
        <f>+SUM(F65:F69)</f>
        <v>11022518</v>
      </c>
      <c r="H64" s="32">
        <f>+G64/$G$185</f>
        <v>1.4983227247125499E-2</v>
      </c>
      <c r="I64" s="247"/>
      <c r="J64" s="132"/>
      <c r="K64" s="132"/>
      <c r="L64" s="132"/>
      <c r="M64" s="132"/>
      <c r="N64" s="133"/>
    </row>
    <row r="65" spans="1:14" s="57" customFormat="1" ht="13.8" outlineLevel="1" x14ac:dyDescent="0.3">
      <c r="A65" s="213">
        <v>12.01</v>
      </c>
      <c r="B65" s="214" t="s">
        <v>78</v>
      </c>
      <c r="C65" s="215" t="s">
        <v>26</v>
      </c>
      <c r="D65" s="216">
        <v>779</v>
      </c>
      <c r="E65" s="37">
        <v>7422</v>
      </c>
      <c r="F65" s="37">
        <f t="shared" si="4"/>
        <v>5781738</v>
      </c>
      <c r="G65" s="181"/>
      <c r="H65" s="32"/>
      <c r="I65" s="245">
        <f>+'SVD 4140_Pto. 01_Cert. 02'!K65</f>
        <v>0</v>
      </c>
      <c r="J65" s="142"/>
      <c r="K65" s="135">
        <f t="shared" ref="K65:K69" si="17">+I65+J65</f>
        <v>0</v>
      </c>
      <c r="L65" s="200">
        <f t="shared" ref="L65:L69" si="18">+F65*I65</f>
        <v>0</v>
      </c>
      <c r="M65" s="200">
        <f t="shared" ref="M65:M69" si="19">+F65*J65</f>
        <v>0</v>
      </c>
      <c r="N65" s="200">
        <f t="shared" ref="N65:N69" si="20">+F65*K65</f>
        <v>0</v>
      </c>
    </row>
    <row r="66" spans="1:14" s="57" customFormat="1" ht="13.8" outlineLevel="1" x14ac:dyDescent="0.3">
      <c r="A66" s="217">
        <v>12.02</v>
      </c>
      <c r="B66" s="218" t="s">
        <v>61</v>
      </c>
      <c r="C66" s="219" t="s">
        <v>26</v>
      </c>
      <c r="D66" s="220">
        <v>155</v>
      </c>
      <c r="E66" s="42">
        <v>5376</v>
      </c>
      <c r="F66" s="42">
        <f t="shared" si="4"/>
        <v>833280</v>
      </c>
      <c r="G66" s="181"/>
      <c r="H66" s="32"/>
      <c r="I66" s="245">
        <f>+'SVD 4140_Pto. 01_Cert. 02'!K66</f>
        <v>0</v>
      </c>
      <c r="J66" s="236"/>
      <c r="K66" s="79">
        <f t="shared" si="17"/>
        <v>0</v>
      </c>
      <c r="L66" s="201">
        <f t="shared" si="18"/>
        <v>0</v>
      </c>
      <c r="M66" s="201">
        <f t="shared" si="19"/>
        <v>0</v>
      </c>
      <c r="N66" s="201">
        <f t="shared" si="20"/>
        <v>0</v>
      </c>
    </row>
    <row r="67" spans="1:14" s="57" customFormat="1" ht="13.8" outlineLevel="1" x14ac:dyDescent="0.3">
      <c r="A67" s="217">
        <v>12.03</v>
      </c>
      <c r="B67" s="218" t="s">
        <v>79</v>
      </c>
      <c r="C67" s="219" t="s">
        <v>26</v>
      </c>
      <c r="D67" s="220">
        <v>37</v>
      </c>
      <c r="E67" s="42">
        <v>7052</v>
      </c>
      <c r="F67" s="42">
        <f t="shared" si="4"/>
        <v>260924</v>
      </c>
      <c r="G67" s="181"/>
      <c r="H67" s="32"/>
      <c r="I67" s="245">
        <f>+'SVD 4140_Pto. 01_Cert. 02'!K67</f>
        <v>0</v>
      </c>
      <c r="J67" s="236"/>
      <c r="K67" s="79">
        <f t="shared" si="17"/>
        <v>0</v>
      </c>
      <c r="L67" s="201">
        <f t="shared" si="18"/>
        <v>0</v>
      </c>
      <c r="M67" s="201">
        <f t="shared" si="19"/>
        <v>0</v>
      </c>
      <c r="N67" s="201">
        <f t="shared" si="20"/>
        <v>0</v>
      </c>
    </row>
    <row r="68" spans="1:14" s="57" customFormat="1" ht="13.8" outlineLevel="1" x14ac:dyDescent="0.3">
      <c r="A68" s="217">
        <v>12.04</v>
      </c>
      <c r="B68" s="218" t="s">
        <v>80</v>
      </c>
      <c r="C68" s="219" t="s">
        <v>26</v>
      </c>
      <c r="D68" s="220">
        <v>433</v>
      </c>
      <c r="E68" s="42">
        <v>7052</v>
      </c>
      <c r="F68" s="42">
        <f t="shared" si="4"/>
        <v>3053516</v>
      </c>
      <c r="G68" s="181"/>
      <c r="H68" s="32"/>
      <c r="I68" s="245">
        <f>+'SVD 4140_Pto. 01_Cert. 02'!K68</f>
        <v>0</v>
      </c>
      <c r="J68" s="236"/>
      <c r="K68" s="79">
        <f t="shared" si="17"/>
        <v>0</v>
      </c>
      <c r="L68" s="201">
        <f t="shared" si="18"/>
        <v>0</v>
      </c>
      <c r="M68" s="201">
        <f t="shared" si="19"/>
        <v>0</v>
      </c>
      <c r="N68" s="201">
        <f t="shared" si="20"/>
        <v>0</v>
      </c>
    </row>
    <row r="69" spans="1:14" s="57" customFormat="1" ht="13.8" outlineLevel="1" x14ac:dyDescent="0.3">
      <c r="A69" s="221">
        <v>12.05</v>
      </c>
      <c r="B69" s="222" t="s">
        <v>81</v>
      </c>
      <c r="C69" s="223" t="s">
        <v>26</v>
      </c>
      <c r="D69" s="224">
        <v>155</v>
      </c>
      <c r="E69" s="60">
        <v>7052</v>
      </c>
      <c r="F69" s="60">
        <f t="shared" si="4"/>
        <v>1093060</v>
      </c>
      <c r="G69" s="181"/>
      <c r="H69" s="32"/>
      <c r="I69" s="245">
        <f>+'SVD 4140_Pto. 01_Cert. 02'!K69</f>
        <v>0</v>
      </c>
      <c r="J69" s="143"/>
      <c r="K69" s="138">
        <f t="shared" si="17"/>
        <v>0</v>
      </c>
      <c r="L69" s="202">
        <f t="shared" si="18"/>
        <v>0</v>
      </c>
      <c r="M69" s="202">
        <f t="shared" si="19"/>
        <v>0</v>
      </c>
      <c r="N69" s="202">
        <f t="shared" si="20"/>
        <v>0</v>
      </c>
    </row>
    <row r="70" spans="1:14" s="57" customFormat="1" ht="13.8" x14ac:dyDescent="0.3">
      <c r="A70" s="27">
        <v>13</v>
      </c>
      <c r="B70" s="28" t="s">
        <v>82</v>
      </c>
      <c r="C70" s="189"/>
      <c r="D70" s="65"/>
      <c r="E70" s="65"/>
      <c r="F70" s="65"/>
      <c r="G70" s="31">
        <f>+SUM(F71:F74)</f>
        <v>19433086.480999999</v>
      </c>
      <c r="H70" s="32">
        <f>+G70/$G$185</f>
        <v>2.641595603272005E-2</v>
      </c>
      <c r="I70" s="247"/>
      <c r="J70" s="132"/>
      <c r="K70" s="132"/>
      <c r="L70" s="132"/>
      <c r="M70" s="132"/>
      <c r="N70" s="133"/>
    </row>
    <row r="71" spans="1:14" s="57" customFormat="1" ht="13.8" outlineLevel="1" x14ac:dyDescent="0.3">
      <c r="A71" s="213">
        <v>13.01</v>
      </c>
      <c r="B71" s="214" t="s">
        <v>83</v>
      </c>
      <c r="C71" s="215" t="s">
        <v>19</v>
      </c>
      <c r="D71" s="216">
        <v>511</v>
      </c>
      <c r="E71" s="37">
        <v>25799</v>
      </c>
      <c r="F71" s="37">
        <f t="shared" si="4"/>
        <v>13183289</v>
      </c>
      <c r="G71" s="181"/>
      <c r="H71" s="32"/>
      <c r="I71" s="245">
        <f>+'SVD 4140_Pto. 01_Cert. 02'!K71</f>
        <v>0</v>
      </c>
      <c r="J71" s="142"/>
      <c r="K71" s="135">
        <f t="shared" ref="K71:K74" si="21">+I71+J71</f>
        <v>0</v>
      </c>
      <c r="L71" s="200">
        <f t="shared" ref="L71:L74" si="22">+F71*I71</f>
        <v>0</v>
      </c>
      <c r="M71" s="200">
        <f t="shared" ref="M71:M74" si="23">+F71*J71</f>
        <v>0</v>
      </c>
      <c r="N71" s="200">
        <f t="shared" ref="N71:N74" si="24">+F71*K71</f>
        <v>0</v>
      </c>
    </row>
    <row r="72" spans="1:14" s="57" customFormat="1" ht="13.8" outlineLevel="1" x14ac:dyDescent="0.3">
      <c r="A72" s="217">
        <v>13.02</v>
      </c>
      <c r="B72" s="218" t="s">
        <v>84</v>
      </c>
      <c r="C72" s="219" t="s">
        <v>19</v>
      </c>
      <c r="D72" s="220">
        <v>40</v>
      </c>
      <c r="E72" s="42">
        <v>25799</v>
      </c>
      <c r="F72" s="42">
        <f t="shared" si="4"/>
        <v>1031960</v>
      </c>
      <c r="G72" s="181"/>
      <c r="H72" s="32"/>
      <c r="I72" s="245">
        <f>+'SVD 4140_Pto. 01_Cert. 02'!K72</f>
        <v>0</v>
      </c>
      <c r="J72" s="236"/>
      <c r="K72" s="79">
        <f t="shared" si="21"/>
        <v>0</v>
      </c>
      <c r="L72" s="201">
        <f t="shared" si="22"/>
        <v>0</v>
      </c>
      <c r="M72" s="201">
        <f t="shared" si="23"/>
        <v>0</v>
      </c>
      <c r="N72" s="201">
        <f t="shared" si="24"/>
        <v>0</v>
      </c>
    </row>
    <row r="73" spans="1:14" s="57" customFormat="1" ht="13.8" outlineLevel="1" x14ac:dyDescent="0.3">
      <c r="A73" s="217">
        <v>13.03</v>
      </c>
      <c r="B73" s="218" t="s">
        <v>85</v>
      </c>
      <c r="C73" s="219" t="s">
        <v>19</v>
      </c>
      <c r="D73" s="220">
        <v>147.60100000000003</v>
      </c>
      <c r="E73" s="42">
        <v>29881</v>
      </c>
      <c r="F73" s="42">
        <f t="shared" si="4"/>
        <v>4410465.4810000006</v>
      </c>
      <c r="G73" s="181"/>
      <c r="H73" s="32"/>
      <c r="I73" s="245">
        <f>+'SVD 4140_Pto. 01_Cert. 02'!K73</f>
        <v>0</v>
      </c>
      <c r="J73" s="236"/>
      <c r="K73" s="79">
        <f t="shared" si="21"/>
        <v>0</v>
      </c>
      <c r="L73" s="201">
        <f t="shared" si="22"/>
        <v>0</v>
      </c>
      <c r="M73" s="201">
        <f t="shared" si="23"/>
        <v>0</v>
      </c>
      <c r="N73" s="201">
        <f t="shared" si="24"/>
        <v>0</v>
      </c>
    </row>
    <row r="74" spans="1:14" s="57" customFormat="1" ht="13.8" outlineLevel="1" x14ac:dyDescent="0.3">
      <c r="A74" s="221">
        <v>13.04</v>
      </c>
      <c r="B74" s="222" t="s">
        <v>86</v>
      </c>
      <c r="C74" s="223" t="s">
        <v>47</v>
      </c>
      <c r="D74" s="224">
        <v>41</v>
      </c>
      <c r="E74" s="60">
        <v>19692</v>
      </c>
      <c r="F74" s="60">
        <f t="shared" si="4"/>
        <v>807372</v>
      </c>
      <c r="G74" s="181"/>
      <c r="H74" s="32"/>
      <c r="I74" s="245">
        <f>+'SVD 4140_Pto. 01_Cert. 02'!K74</f>
        <v>0</v>
      </c>
      <c r="J74" s="143"/>
      <c r="K74" s="138">
        <f t="shared" si="21"/>
        <v>0</v>
      </c>
      <c r="L74" s="202">
        <f t="shared" si="22"/>
        <v>0</v>
      </c>
      <c r="M74" s="202">
        <f t="shared" si="23"/>
        <v>0</v>
      </c>
      <c r="N74" s="202">
        <f t="shared" si="24"/>
        <v>0</v>
      </c>
    </row>
    <row r="75" spans="1:14" s="57" customFormat="1" ht="13.8" x14ac:dyDescent="0.3">
      <c r="A75" s="27">
        <v>14</v>
      </c>
      <c r="B75" s="28" t="s">
        <v>87</v>
      </c>
      <c r="C75" s="189"/>
      <c r="D75" s="65"/>
      <c r="E75" s="65"/>
      <c r="F75" s="65"/>
      <c r="G75" s="31">
        <f>+SUM(F76:F82)</f>
        <v>50296168.959899999</v>
      </c>
      <c r="H75" s="32">
        <f>+G75/$G$185</f>
        <v>6.8369035930447242E-2</v>
      </c>
      <c r="I75" s="247"/>
      <c r="J75" s="132"/>
      <c r="K75" s="132"/>
      <c r="L75" s="132"/>
      <c r="M75" s="132"/>
      <c r="N75" s="133"/>
    </row>
    <row r="76" spans="1:14" s="57" customFormat="1" ht="13.8" outlineLevel="1" x14ac:dyDescent="0.3">
      <c r="A76" s="213">
        <v>14.01</v>
      </c>
      <c r="B76" s="214" t="s">
        <v>88</v>
      </c>
      <c r="C76" s="215" t="s">
        <v>19</v>
      </c>
      <c r="D76" s="216">
        <v>334.91519999999997</v>
      </c>
      <c r="E76" s="37">
        <v>29270</v>
      </c>
      <c r="F76" s="37">
        <f t="shared" ref="F76:F139" si="25">+D76*E76</f>
        <v>9802967.9039999992</v>
      </c>
      <c r="G76" s="181"/>
      <c r="H76" s="32"/>
      <c r="I76" s="245">
        <f>+'SVD 4140_Pto. 01_Cert. 02'!K76</f>
        <v>0</v>
      </c>
      <c r="J76" s="142"/>
      <c r="K76" s="135">
        <f t="shared" ref="K76:K82" si="26">+I76+J76</f>
        <v>0</v>
      </c>
      <c r="L76" s="200">
        <f t="shared" ref="L76:L82" si="27">+F76*I76</f>
        <v>0</v>
      </c>
      <c r="M76" s="200">
        <f t="shared" ref="M76:M82" si="28">+F76*J76</f>
        <v>0</v>
      </c>
      <c r="N76" s="200">
        <f t="shared" ref="N76:N82" si="29">+F76*K76</f>
        <v>0</v>
      </c>
    </row>
    <row r="77" spans="1:14" s="57" customFormat="1" ht="13.8" outlineLevel="1" x14ac:dyDescent="0.3">
      <c r="A77" s="217">
        <v>14.02</v>
      </c>
      <c r="B77" s="218" t="s">
        <v>89</v>
      </c>
      <c r="C77" s="219" t="s">
        <v>19</v>
      </c>
      <c r="D77" s="220">
        <v>280.3913</v>
      </c>
      <c r="E77" s="42">
        <v>33967</v>
      </c>
      <c r="F77" s="42">
        <f t="shared" si="25"/>
        <v>9524051.2871000003</v>
      </c>
      <c r="G77" s="181"/>
      <c r="H77" s="32"/>
      <c r="I77" s="245">
        <f>+'SVD 4140_Pto. 01_Cert. 02'!K77</f>
        <v>0</v>
      </c>
      <c r="J77" s="236"/>
      <c r="K77" s="79">
        <f t="shared" si="26"/>
        <v>0</v>
      </c>
      <c r="L77" s="201">
        <f t="shared" si="27"/>
        <v>0</v>
      </c>
      <c r="M77" s="201">
        <f t="shared" si="28"/>
        <v>0</v>
      </c>
      <c r="N77" s="201">
        <f t="shared" si="29"/>
        <v>0</v>
      </c>
    </row>
    <row r="78" spans="1:14" s="57" customFormat="1" ht="13.8" outlineLevel="1" x14ac:dyDescent="0.3">
      <c r="A78" s="217">
        <v>14.03</v>
      </c>
      <c r="B78" s="218" t="s">
        <v>90</v>
      </c>
      <c r="C78" s="219" t="s">
        <v>26</v>
      </c>
      <c r="D78" s="220">
        <v>60.8</v>
      </c>
      <c r="E78" s="42">
        <v>29270</v>
      </c>
      <c r="F78" s="42">
        <f t="shared" si="25"/>
        <v>1779616</v>
      </c>
      <c r="G78" s="181"/>
      <c r="H78" s="32"/>
      <c r="I78" s="245">
        <f>+'SVD 4140_Pto. 01_Cert. 02'!K78</f>
        <v>0</v>
      </c>
      <c r="J78" s="236"/>
      <c r="K78" s="79">
        <f t="shared" si="26"/>
        <v>0</v>
      </c>
      <c r="L78" s="201">
        <f t="shared" si="27"/>
        <v>0</v>
      </c>
      <c r="M78" s="201">
        <f t="shared" si="28"/>
        <v>0</v>
      </c>
      <c r="N78" s="201">
        <f t="shared" si="29"/>
        <v>0</v>
      </c>
    </row>
    <row r="79" spans="1:14" s="57" customFormat="1" ht="13.8" outlineLevel="1" x14ac:dyDescent="0.3">
      <c r="A79" s="217">
        <v>14.04</v>
      </c>
      <c r="B79" s="218" t="s">
        <v>91</v>
      </c>
      <c r="C79" s="219" t="s">
        <v>26</v>
      </c>
      <c r="D79" s="220">
        <v>1058.3799999999997</v>
      </c>
      <c r="E79" s="42">
        <v>7873</v>
      </c>
      <c r="F79" s="42">
        <f t="shared" si="25"/>
        <v>8332625.7399999974</v>
      </c>
      <c r="G79" s="181"/>
      <c r="H79" s="32"/>
      <c r="I79" s="245">
        <f>+'SVD 4140_Pto. 01_Cert. 02'!K79</f>
        <v>0</v>
      </c>
      <c r="J79" s="236"/>
      <c r="K79" s="79">
        <f t="shared" si="26"/>
        <v>0</v>
      </c>
      <c r="L79" s="201">
        <f t="shared" si="27"/>
        <v>0</v>
      </c>
      <c r="M79" s="201">
        <f t="shared" si="28"/>
        <v>0</v>
      </c>
      <c r="N79" s="201">
        <f t="shared" si="29"/>
        <v>0</v>
      </c>
    </row>
    <row r="80" spans="1:14" s="57" customFormat="1" ht="13.8" outlineLevel="1" x14ac:dyDescent="0.3">
      <c r="A80" s="217">
        <v>14.05</v>
      </c>
      <c r="B80" s="218" t="s">
        <v>92</v>
      </c>
      <c r="C80" s="219" t="s">
        <v>19</v>
      </c>
      <c r="D80" s="220">
        <v>504.12220000000002</v>
      </c>
      <c r="E80" s="42">
        <v>23364</v>
      </c>
      <c r="F80" s="42">
        <f t="shared" si="25"/>
        <v>11778311.080800001</v>
      </c>
      <c r="G80" s="181"/>
      <c r="H80" s="32"/>
      <c r="I80" s="245">
        <f>+'SVD 4140_Pto. 01_Cert. 02'!K80</f>
        <v>0</v>
      </c>
      <c r="J80" s="236"/>
      <c r="K80" s="79">
        <f t="shared" si="26"/>
        <v>0</v>
      </c>
      <c r="L80" s="201">
        <f t="shared" si="27"/>
        <v>0</v>
      </c>
      <c r="M80" s="201">
        <f t="shared" si="28"/>
        <v>0</v>
      </c>
      <c r="N80" s="201">
        <f t="shared" si="29"/>
        <v>0</v>
      </c>
    </row>
    <row r="81" spans="1:14" s="57" customFormat="1" ht="13.8" outlineLevel="1" x14ac:dyDescent="0.3">
      <c r="A81" s="217">
        <v>14.06</v>
      </c>
      <c r="B81" s="218" t="s">
        <v>93</v>
      </c>
      <c r="C81" s="219" t="s">
        <v>26</v>
      </c>
      <c r="D81" s="220">
        <v>555.99</v>
      </c>
      <c r="E81" s="42">
        <v>12771</v>
      </c>
      <c r="F81" s="42">
        <f t="shared" si="25"/>
        <v>7100548.29</v>
      </c>
      <c r="G81" s="181"/>
      <c r="H81" s="32"/>
      <c r="I81" s="245">
        <f>+'SVD 4140_Pto. 01_Cert. 02'!K81</f>
        <v>0</v>
      </c>
      <c r="J81" s="236"/>
      <c r="K81" s="79">
        <f t="shared" si="26"/>
        <v>0</v>
      </c>
      <c r="L81" s="201">
        <f t="shared" si="27"/>
        <v>0</v>
      </c>
      <c r="M81" s="201">
        <f t="shared" si="28"/>
        <v>0</v>
      </c>
      <c r="N81" s="201">
        <f t="shared" si="29"/>
        <v>0</v>
      </c>
    </row>
    <row r="82" spans="1:14" s="57" customFormat="1" ht="13.8" outlineLevel="1" x14ac:dyDescent="0.3">
      <c r="A82" s="221">
        <v>14.07</v>
      </c>
      <c r="B82" s="222" t="s">
        <v>94</v>
      </c>
      <c r="C82" s="223" t="s">
        <v>19</v>
      </c>
      <c r="D82" s="224">
        <v>429.07780000000002</v>
      </c>
      <c r="E82" s="60">
        <v>4610</v>
      </c>
      <c r="F82" s="60">
        <f t="shared" si="25"/>
        <v>1978048.6580000001</v>
      </c>
      <c r="G82" s="181"/>
      <c r="H82" s="32"/>
      <c r="I82" s="245">
        <f>+'SVD 4140_Pto. 01_Cert. 02'!K82</f>
        <v>0</v>
      </c>
      <c r="J82" s="236"/>
      <c r="K82" s="79">
        <f t="shared" si="26"/>
        <v>0</v>
      </c>
      <c r="L82" s="201">
        <f t="shared" si="27"/>
        <v>0</v>
      </c>
      <c r="M82" s="201">
        <f t="shared" si="28"/>
        <v>0</v>
      </c>
      <c r="N82" s="201">
        <f t="shared" si="29"/>
        <v>0</v>
      </c>
    </row>
    <row r="83" spans="1:14" s="57" customFormat="1" ht="13.8" x14ac:dyDescent="0.3">
      <c r="A83" s="27">
        <v>15</v>
      </c>
      <c r="B83" s="28" t="s">
        <v>95</v>
      </c>
      <c r="C83" s="189"/>
      <c r="D83" s="65"/>
      <c r="E83" s="65"/>
      <c r="F83" s="65"/>
      <c r="G83" s="31">
        <f>+SUM(F84:F92)</f>
        <v>0</v>
      </c>
      <c r="H83" s="32">
        <f>+G83/$G$185</f>
        <v>0</v>
      </c>
      <c r="I83" s="247"/>
      <c r="J83" s="132"/>
      <c r="K83" s="132"/>
      <c r="L83" s="132"/>
      <c r="M83" s="132"/>
      <c r="N83" s="133"/>
    </row>
    <row r="84" spans="1:14" s="57" customFormat="1" ht="13.8" outlineLevel="1" x14ac:dyDescent="0.3">
      <c r="A84" s="213">
        <v>15.01</v>
      </c>
      <c r="B84" s="214" t="s">
        <v>96</v>
      </c>
      <c r="C84" s="215" t="s">
        <v>19</v>
      </c>
      <c r="D84" s="216">
        <v>2670</v>
      </c>
      <c r="E84" s="37">
        <v>0</v>
      </c>
      <c r="F84" s="37">
        <f t="shared" si="25"/>
        <v>0</v>
      </c>
      <c r="G84" s="181"/>
      <c r="H84" s="32"/>
      <c r="I84" s="245">
        <f>+'SVD 4140_Pto. 01_Cert. 02'!K84</f>
        <v>0</v>
      </c>
      <c r="J84" s="142"/>
      <c r="K84" s="135">
        <f t="shared" ref="K84:K92" si="30">+I84+J84</f>
        <v>0</v>
      </c>
      <c r="L84" s="200">
        <f t="shared" ref="L84:L92" si="31">+F84*I84</f>
        <v>0</v>
      </c>
      <c r="M84" s="200">
        <f t="shared" ref="M84:M92" si="32">+F84*J84</f>
        <v>0</v>
      </c>
      <c r="N84" s="200">
        <f t="shared" ref="N84:N92" si="33">+F84*K84</f>
        <v>0</v>
      </c>
    </row>
    <row r="85" spans="1:14" s="57" customFormat="1" ht="13.8" outlineLevel="1" x14ac:dyDescent="0.3">
      <c r="A85" s="217">
        <v>15.02</v>
      </c>
      <c r="B85" s="218" t="s">
        <v>97</v>
      </c>
      <c r="C85" s="219" t="s">
        <v>19</v>
      </c>
      <c r="D85" s="220">
        <v>961</v>
      </c>
      <c r="E85" s="42">
        <v>0</v>
      </c>
      <c r="F85" s="42">
        <f t="shared" si="25"/>
        <v>0</v>
      </c>
      <c r="G85" s="181"/>
      <c r="H85" s="32"/>
      <c r="I85" s="245">
        <f>+'SVD 4140_Pto. 01_Cert. 02'!K85</f>
        <v>0</v>
      </c>
      <c r="J85" s="236"/>
      <c r="K85" s="79">
        <f t="shared" si="30"/>
        <v>0</v>
      </c>
      <c r="L85" s="201">
        <f t="shared" si="31"/>
        <v>0</v>
      </c>
      <c r="M85" s="201">
        <f t="shared" si="32"/>
        <v>0</v>
      </c>
      <c r="N85" s="201">
        <f t="shared" si="33"/>
        <v>0</v>
      </c>
    </row>
    <row r="86" spans="1:14" s="57" customFormat="1" ht="13.8" outlineLevel="1" x14ac:dyDescent="0.3">
      <c r="A86" s="217">
        <v>15.03</v>
      </c>
      <c r="B86" s="218" t="s">
        <v>98</v>
      </c>
      <c r="C86" s="219" t="s">
        <v>19</v>
      </c>
      <c r="D86" s="220">
        <v>518</v>
      </c>
      <c r="E86" s="42">
        <v>0</v>
      </c>
      <c r="F86" s="42">
        <f t="shared" si="25"/>
        <v>0</v>
      </c>
      <c r="G86" s="181"/>
      <c r="H86" s="32"/>
      <c r="I86" s="245">
        <f>+'SVD 4140_Pto. 01_Cert. 02'!K86</f>
        <v>0</v>
      </c>
      <c r="J86" s="236"/>
      <c r="K86" s="79">
        <f t="shared" si="30"/>
        <v>0</v>
      </c>
      <c r="L86" s="201">
        <f t="shared" si="31"/>
        <v>0</v>
      </c>
      <c r="M86" s="201">
        <f t="shared" si="32"/>
        <v>0</v>
      </c>
      <c r="N86" s="201">
        <f t="shared" si="33"/>
        <v>0</v>
      </c>
    </row>
    <row r="87" spans="1:14" s="57" customFormat="1" ht="13.8" outlineLevel="1" x14ac:dyDescent="0.3">
      <c r="A87" s="217">
        <v>15.04</v>
      </c>
      <c r="B87" s="218" t="s">
        <v>99</v>
      </c>
      <c r="C87" s="219" t="s">
        <v>19</v>
      </c>
      <c r="D87" s="220">
        <v>612</v>
      </c>
      <c r="E87" s="42">
        <v>0</v>
      </c>
      <c r="F87" s="42">
        <f t="shared" si="25"/>
        <v>0</v>
      </c>
      <c r="G87" s="181"/>
      <c r="H87" s="32"/>
      <c r="I87" s="245">
        <f>+'SVD 4140_Pto. 01_Cert. 02'!K87</f>
        <v>0</v>
      </c>
      <c r="J87" s="236"/>
      <c r="K87" s="79">
        <f t="shared" si="30"/>
        <v>0</v>
      </c>
      <c r="L87" s="201">
        <f t="shared" si="31"/>
        <v>0</v>
      </c>
      <c r="M87" s="201">
        <f t="shared" si="32"/>
        <v>0</v>
      </c>
      <c r="N87" s="201">
        <f t="shared" si="33"/>
        <v>0</v>
      </c>
    </row>
    <row r="88" spans="1:14" s="57" customFormat="1" ht="13.8" outlineLevel="1" x14ac:dyDescent="0.3">
      <c r="A88" s="217">
        <v>15.05</v>
      </c>
      <c r="B88" s="218" t="s">
        <v>100</v>
      </c>
      <c r="C88" s="219" t="s">
        <v>19</v>
      </c>
      <c r="D88" s="220">
        <v>422</v>
      </c>
      <c r="E88" s="42">
        <v>0</v>
      </c>
      <c r="F88" s="42">
        <f t="shared" si="25"/>
        <v>0</v>
      </c>
      <c r="G88" s="181"/>
      <c r="H88" s="32"/>
      <c r="I88" s="245">
        <f>+'SVD 4140_Pto. 01_Cert. 02'!K88</f>
        <v>0</v>
      </c>
      <c r="J88" s="236"/>
      <c r="K88" s="79">
        <f t="shared" si="30"/>
        <v>0</v>
      </c>
      <c r="L88" s="201">
        <f t="shared" si="31"/>
        <v>0</v>
      </c>
      <c r="M88" s="201">
        <f t="shared" si="32"/>
        <v>0</v>
      </c>
      <c r="N88" s="201">
        <f t="shared" si="33"/>
        <v>0</v>
      </c>
    </row>
    <row r="89" spans="1:14" s="57" customFormat="1" ht="13.8" outlineLevel="1" x14ac:dyDescent="0.3">
      <c r="A89" s="217">
        <v>15.07</v>
      </c>
      <c r="B89" s="218" t="s">
        <v>101</v>
      </c>
      <c r="C89" s="219" t="s">
        <v>19</v>
      </c>
      <c r="D89" s="220">
        <v>678.25199999999995</v>
      </c>
      <c r="E89" s="42">
        <v>0</v>
      </c>
      <c r="F89" s="42">
        <f t="shared" si="25"/>
        <v>0</v>
      </c>
      <c r="G89" s="181"/>
      <c r="H89" s="32"/>
      <c r="I89" s="245">
        <f>+'SVD 4140_Pto. 01_Cert. 02'!K89</f>
        <v>0</v>
      </c>
      <c r="J89" s="236"/>
      <c r="K89" s="79">
        <f t="shared" si="30"/>
        <v>0</v>
      </c>
      <c r="L89" s="201">
        <f t="shared" si="31"/>
        <v>0</v>
      </c>
      <c r="M89" s="201">
        <f t="shared" si="32"/>
        <v>0</v>
      </c>
      <c r="N89" s="201">
        <f t="shared" si="33"/>
        <v>0</v>
      </c>
    </row>
    <row r="90" spans="1:14" s="57" customFormat="1" ht="13.8" outlineLevel="1" x14ac:dyDescent="0.3">
      <c r="A90" s="217">
        <v>15.08</v>
      </c>
      <c r="B90" s="218" t="s">
        <v>102</v>
      </c>
      <c r="C90" s="219" t="s">
        <v>19</v>
      </c>
      <c r="D90" s="220">
        <v>728.48019999999985</v>
      </c>
      <c r="E90" s="42">
        <v>0</v>
      </c>
      <c r="F90" s="42">
        <f t="shared" si="25"/>
        <v>0</v>
      </c>
      <c r="G90" s="181"/>
      <c r="H90" s="32"/>
      <c r="I90" s="245">
        <f>+'SVD 4140_Pto. 01_Cert. 02'!K90</f>
        <v>0</v>
      </c>
      <c r="J90" s="236"/>
      <c r="K90" s="79">
        <f t="shared" si="30"/>
        <v>0</v>
      </c>
      <c r="L90" s="201">
        <f t="shared" si="31"/>
        <v>0</v>
      </c>
      <c r="M90" s="201">
        <f t="shared" si="32"/>
        <v>0</v>
      </c>
      <c r="N90" s="201">
        <f t="shared" si="33"/>
        <v>0</v>
      </c>
    </row>
    <row r="91" spans="1:14" s="57" customFormat="1" ht="13.8" outlineLevel="1" x14ac:dyDescent="0.3">
      <c r="A91" s="217">
        <v>15.09</v>
      </c>
      <c r="B91" s="218" t="s">
        <v>103</v>
      </c>
      <c r="C91" s="219" t="s">
        <v>67</v>
      </c>
      <c r="D91" s="220">
        <v>76</v>
      </c>
      <c r="E91" s="42">
        <v>0</v>
      </c>
      <c r="F91" s="42">
        <f t="shared" si="25"/>
        <v>0</v>
      </c>
      <c r="G91" s="181"/>
      <c r="H91" s="32"/>
      <c r="I91" s="245">
        <f>+'SVD 4140_Pto. 01_Cert. 02'!K91</f>
        <v>0</v>
      </c>
      <c r="J91" s="236"/>
      <c r="K91" s="79">
        <f t="shared" si="30"/>
        <v>0</v>
      </c>
      <c r="L91" s="201">
        <f t="shared" si="31"/>
        <v>0</v>
      </c>
      <c r="M91" s="201">
        <f t="shared" si="32"/>
        <v>0</v>
      </c>
      <c r="N91" s="201">
        <f t="shared" si="33"/>
        <v>0</v>
      </c>
    </row>
    <row r="92" spans="1:14" s="57" customFormat="1" ht="13.8" outlineLevel="1" x14ac:dyDescent="0.3">
      <c r="A92" s="221">
        <v>15.1</v>
      </c>
      <c r="B92" s="222" t="s">
        <v>104</v>
      </c>
      <c r="C92" s="223" t="s">
        <v>28</v>
      </c>
      <c r="D92" s="224">
        <v>1</v>
      </c>
      <c r="E92" s="60">
        <v>0</v>
      </c>
      <c r="F92" s="60">
        <f t="shared" si="25"/>
        <v>0</v>
      </c>
      <c r="G92" s="181"/>
      <c r="H92" s="32"/>
      <c r="I92" s="245">
        <f>+'SVD 4140_Pto. 01_Cert. 02'!K92</f>
        <v>0</v>
      </c>
      <c r="J92" s="236"/>
      <c r="K92" s="79">
        <f t="shared" si="30"/>
        <v>0</v>
      </c>
      <c r="L92" s="201">
        <f t="shared" si="31"/>
        <v>0</v>
      </c>
      <c r="M92" s="201">
        <f t="shared" si="32"/>
        <v>0</v>
      </c>
      <c r="N92" s="201">
        <f t="shared" si="33"/>
        <v>0</v>
      </c>
    </row>
    <row r="93" spans="1:14" s="57" customFormat="1" ht="13.8" x14ac:dyDescent="0.3">
      <c r="A93" s="27">
        <v>16</v>
      </c>
      <c r="B93" s="28" t="s">
        <v>105</v>
      </c>
      <c r="C93" s="189"/>
      <c r="D93" s="65"/>
      <c r="E93" s="65"/>
      <c r="F93" s="65"/>
      <c r="G93" s="31">
        <f>+SUM(F94)</f>
        <v>0</v>
      </c>
      <c r="H93" s="32">
        <f>+G93/$G$185</f>
        <v>0</v>
      </c>
      <c r="I93" s="248"/>
      <c r="J93" s="206"/>
      <c r="K93" s="206"/>
      <c r="L93" s="207"/>
      <c r="M93" s="207"/>
      <c r="N93" s="208"/>
    </row>
    <row r="94" spans="1:14" s="57" customFormat="1" ht="13.8" outlineLevel="1" x14ac:dyDescent="0.3">
      <c r="A94" s="188"/>
      <c r="B94" s="187"/>
      <c r="C94" s="179"/>
      <c r="D94" s="180"/>
      <c r="E94" s="181">
        <v>0</v>
      </c>
      <c r="F94" s="181">
        <f t="shared" si="25"/>
        <v>0</v>
      </c>
      <c r="G94" s="181"/>
      <c r="H94" s="32"/>
      <c r="I94" s="245">
        <f>+'SVD 4140_Pto. 01_Cert. 02'!K94</f>
        <v>0</v>
      </c>
      <c r="J94" s="203"/>
      <c r="K94" s="204">
        <f t="shared" ref="K94" si="34">+I94+J94</f>
        <v>0</v>
      </c>
      <c r="L94" s="80">
        <f t="shared" ref="L94" si="35">+F94*I94</f>
        <v>0</v>
      </c>
      <c r="M94" s="80">
        <f t="shared" ref="M94" si="36">+F94*J94</f>
        <v>0</v>
      </c>
      <c r="N94" s="80">
        <f t="shared" ref="N94" si="37">+F94*K94</f>
        <v>0</v>
      </c>
    </row>
    <row r="95" spans="1:14" s="57" customFormat="1" ht="13.8" x14ac:dyDescent="0.3">
      <c r="A95" s="27">
        <v>17</v>
      </c>
      <c r="B95" s="28" t="s">
        <v>106</v>
      </c>
      <c r="C95" s="189"/>
      <c r="D95" s="65"/>
      <c r="E95" s="65"/>
      <c r="F95" s="65"/>
      <c r="G95" s="31">
        <f>+SUM(F96:F99)</f>
        <v>7258243</v>
      </c>
      <c r="H95" s="32">
        <f>+G95/$G$185</f>
        <v>9.8663394592649264E-3</v>
      </c>
      <c r="I95" s="248"/>
      <c r="J95" s="206"/>
      <c r="K95" s="206"/>
      <c r="L95" s="207"/>
      <c r="M95" s="207"/>
      <c r="N95" s="208"/>
    </row>
    <row r="96" spans="1:14" s="57" customFormat="1" ht="13.8" outlineLevel="1" x14ac:dyDescent="0.3">
      <c r="A96" s="213">
        <v>17.010000000000002</v>
      </c>
      <c r="B96" s="214" t="s">
        <v>107</v>
      </c>
      <c r="C96" s="215" t="s">
        <v>47</v>
      </c>
      <c r="D96" s="216">
        <v>47</v>
      </c>
      <c r="E96" s="37">
        <v>64232</v>
      </c>
      <c r="F96" s="37">
        <f t="shared" si="25"/>
        <v>3018904</v>
      </c>
      <c r="G96" s="181"/>
      <c r="H96" s="32"/>
      <c r="I96" s="245">
        <f>+'SVD 4140_Pto. 01_Cert. 02'!K96</f>
        <v>0</v>
      </c>
      <c r="J96" s="203"/>
      <c r="K96" s="204">
        <f t="shared" ref="K96:K99" si="38">+I96+J96</f>
        <v>0</v>
      </c>
      <c r="L96" s="80">
        <f t="shared" ref="L96:L99" si="39">+F96*I96</f>
        <v>0</v>
      </c>
      <c r="M96" s="80">
        <f t="shared" ref="M96:M99" si="40">+F96*J96</f>
        <v>0</v>
      </c>
      <c r="N96" s="80">
        <f t="shared" ref="N96:N99" si="41">+F96*K96</f>
        <v>0</v>
      </c>
    </row>
    <row r="97" spans="1:14" s="57" customFormat="1" ht="13.8" outlineLevel="1" x14ac:dyDescent="0.3">
      <c r="A97" s="217">
        <v>17.02</v>
      </c>
      <c r="B97" s="218" t="s">
        <v>108</v>
      </c>
      <c r="C97" s="219" t="s">
        <v>47</v>
      </c>
      <c r="D97" s="220">
        <v>23</v>
      </c>
      <c r="E97" s="42">
        <v>64232</v>
      </c>
      <c r="F97" s="42">
        <f t="shared" si="25"/>
        <v>1477336</v>
      </c>
      <c r="G97" s="181"/>
      <c r="H97" s="32"/>
      <c r="I97" s="245">
        <f>+'SVD 4140_Pto. 01_Cert. 02'!K97</f>
        <v>0</v>
      </c>
      <c r="J97" s="136">
        <v>0.08</v>
      </c>
      <c r="K97" s="79">
        <f t="shared" si="38"/>
        <v>0.08</v>
      </c>
      <c r="L97" s="80">
        <f t="shared" si="39"/>
        <v>0</v>
      </c>
      <c r="M97" s="80">
        <f t="shared" si="40"/>
        <v>118186.88</v>
      </c>
      <c r="N97" s="80">
        <f t="shared" si="41"/>
        <v>118186.88</v>
      </c>
    </row>
    <row r="98" spans="1:14" s="57" customFormat="1" ht="13.8" outlineLevel="1" x14ac:dyDescent="0.3">
      <c r="A98" s="217">
        <v>17.03</v>
      </c>
      <c r="B98" s="218" t="s">
        <v>109</v>
      </c>
      <c r="C98" s="219" t="s">
        <v>47</v>
      </c>
      <c r="D98" s="220">
        <v>51</v>
      </c>
      <c r="E98" s="42">
        <v>41296</v>
      </c>
      <c r="F98" s="42">
        <f t="shared" si="25"/>
        <v>2106096</v>
      </c>
      <c r="G98" s="181"/>
      <c r="H98" s="32"/>
      <c r="I98" s="245">
        <f>+'SVD 4140_Pto. 01_Cert. 02'!K98</f>
        <v>0</v>
      </c>
      <c r="J98" s="136"/>
      <c r="K98" s="79">
        <f t="shared" si="38"/>
        <v>0</v>
      </c>
      <c r="L98" s="80">
        <f t="shared" si="39"/>
        <v>0</v>
      </c>
      <c r="M98" s="80">
        <f t="shared" si="40"/>
        <v>0</v>
      </c>
      <c r="N98" s="80">
        <f t="shared" si="41"/>
        <v>0</v>
      </c>
    </row>
    <row r="99" spans="1:14" s="57" customFormat="1" ht="13.8" outlineLevel="1" x14ac:dyDescent="0.3">
      <c r="A99" s="221">
        <v>17.04</v>
      </c>
      <c r="B99" s="222" t="s">
        <v>110</v>
      </c>
      <c r="C99" s="223" t="s">
        <v>47</v>
      </c>
      <c r="D99" s="224">
        <v>7</v>
      </c>
      <c r="E99" s="60">
        <v>93701</v>
      </c>
      <c r="F99" s="60">
        <f t="shared" si="25"/>
        <v>655907</v>
      </c>
      <c r="G99" s="181"/>
      <c r="H99" s="32"/>
      <c r="I99" s="245">
        <f>+'SVD 4140_Pto. 01_Cert. 02'!K99</f>
        <v>0</v>
      </c>
      <c r="J99" s="136"/>
      <c r="K99" s="79">
        <f t="shared" si="38"/>
        <v>0</v>
      </c>
      <c r="L99" s="80">
        <f t="shared" si="39"/>
        <v>0</v>
      </c>
      <c r="M99" s="80">
        <f t="shared" si="40"/>
        <v>0</v>
      </c>
      <c r="N99" s="80">
        <f t="shared" si="41"/>
        <v>0</v>
      </c>
    </row>
    <row r="100" spans="1:14" s="57" customFormat="1" ht="13.8" x14ac:dyDescent="0.3">
      <c r="A100" s="27">
        <v>18</v>
      </c>
      <c r="B100" s="28" t="s">
        <v>111</v>
      </c>
      <c r="C100" s="189"/>
      <c r="D100" s="65"/>
      <c r="E100" s="65"/>
      <c r="F100" s="65"/>
      <c r="G100" s="31">
        <f>+SUM(F101:F130)</f>
        <v>99277732</v>
      </c>
      <c r="H100" s="32">
        <f>+G100/$G$185</f>
        <v>0.13495109004450917</v>
      </c>
      <c r="I100" s="248"/>
      <c r="J100" s="206"/>
      <c r="K100" s="206"/>
      <c r="L100" s="207"/>
      <c r="M100" s="207"/>
      <c r="N100" s="208"/>
    </row>
    <row r="101" spans="1:14" s="57" customFormat="1" ht="13.8" outlineLevel="1" x14ac:dyDescent="0.3">
      <c r="A101" s="213">
        <v>18.010000000000002</v>
      </c>
      <c r="B101" s="214" t="s">
        <v>112</v>
      </c>
      <c r="C101" s="215" t="s">
        <v>47</v>
      </c>
      <c r="D101" s="216">
        <v>392</v>
      </c>
      <c r="E101" s="37">
        <v>59948</v>
      </c>
      <c r="F101" s="37">
        <f t="shared" si="25"/>
        <v>23499616</v>
      </c>
      <c r="G101" s="181"/>
      <c r="H101" s="32"/>
      <c r="I101" s="245">
        <f>+'SVD 4140_Pto. 01_Cert. 02'!K101</f>
        <v>0.30000000000000004</v>
      </c>
      <c r="J101" s="134">
        <v>0.1</v>
      </c>
      <c r="K101" s="135">
        <f t="shared" ref="K101:K130" si="42">+I101+J101</f>
        <v>0.4</v>
      </c>
      <c r="L101" s="200">
        <f t="shared" ref="L101:L130" si="43">+F101*I101</f>
        <v>7049884.8000000007</v>
      </c>
      <c r="M101" s="200">
        <f t="shared" ref="M101:M130" si="44">+F101*J101</f>
        <v>2349961.6</v>
      </c>
      <c r="N101" s="200">
        <f t="shared" ref="N101:N130" si="45">+F101*K101</f>
        <v>9399846.4000000004</v>
      </c>
    </row>
    <row r="102" spans="1:14" s="57" customFormat="1" ht="13.8" outlineLevel="1" x14ac:dyDescent="0.3">
      <c r="A102" s="217">
        <v>18.02</v>
      </c>
      <c r="B102" s="218" t="s">
        <v>113</v>
      </c>
      <c r="C102" s="219" t="s">
        <v>47</v>
      </c>
      <c r="D102" s="220">
        <v>19</v>
      </c>
      <c r="E102" s="42">
        <v>59948</v>
      </c>
      <c r="F102" s="42">
        <f t="shared" si="25"/>
        <v>1139012</v>
      </c>
      <c r="G102" s="181"/>
      <c r="H102" s="32"/>
      <c r="I102" s="245">
        <f>+'SVD 4140_Pto. 01_Cert. 02'!K102</f>
        <v>0.15000000000000002</v>
      </c>
      <c r="J102" s="136">
        <v>0.05</v>
      </c>
      <c r="K102" s="79">
        <f t="shared" si="42"/>
        <v>0.2</v>
      </c>
      <c r="L102" s="201">
        <f t="shared" si="43"/>
        <v>170851.80000000002</v>
      </c>
      <c r="M102" s="201">
        <f t="shared" si="44"/>
        <v>56950.600000000006</v>
      </c>
      <c r="N102" s="201">
        <f t="shared" si="45"/>
        <v>227802.40000000002</v>
      </c>
    </row>
    <row r="103" spans="1:14" s="57" customFormat="1" ht="13.8" outlineLevel="1" x14ac:dyDescent="0.3">
      <c r="A103" s="217">
        <v>18.03</v>
      </c>
      <c r="B103" s="218" t="s">
        <v>114</v>
      </c>
      <c r="C103" s="219" t="s">
        <v>47</v>
      </c>
      <c r="D103" s="220">
        <v>349</v>
      </c>
      <c r="E103" s="42">
        <v>57445</v>
      </c>
      <c r="F103" s="42">
        <f t="shared" si="25"/>
        <v>20048305</v>
      </c>
      <c r="G103" s="181"/>
      <c r="H103" s="32"/>
      <c r="I103" s="245">
        <f>+'SVD 4140_Pto. 01_Cert. 02'!K103</f>
        <v>0.15000000000000002</v>
      </c>
      <c r="J103" s="136">
        <v>0.05</v>
      </c>
      <c r="K103" s="79">
        <f t="shared" si="42"/>
        <v>0.2</v>
      </c>
      <c r="L103" s="201">
        <f t="shared" si="43"/>
        <v>3007245.7500000005</v>
      </c>
      <c r="M103" s="201">
        <f t="shared" si="44"/>
        <v>1002415.25</v>
      </c>
      <c r="N103" s="201">
        <f t="shared" si="45"/>
        <v>4009661</v>
      </c>
    </row>
    <row r="104" spans="1:14" s="57" customFormat="1" ht="13.8" outlineLevel="1" x14ac:dyDescent="0.3">
      <c r="A104" s="217">
        <v>18.04</v>
      </c>
      <c r="B104" s="218" t="s">
        <v>115</v>
      </c>
      <c r="C104" s="219" t="s">
        <v>47</v>
      </c>
      <c r="D104" s="220">
        <v>35</v>
      </c>
      <c r="E104" s="42">
        <v>64480</v>
      </c>
      <c r="F104" s="42">
        <f t="shared" si="25"/>
        <v>2256800</v>
      </c>
      <c r="G104" s="181"/>
      <c r="H104" s="32"/>
      <c r="I104" s="245">
        <f>+'SVD 4140_Pto. 01_Cert. 02'!K104</f>
        <v>0.15000000000000002</v>
      </c>
      <c r="J104" s="141">
        <v>0.05</v>
      </c>
      <c r="K104" s="79">
        <f t="shared" si="42"/>
        <v>0.2</v>
      </c>
      <c r="L104" s="201">
        <f t="shared" si="43"/>
        <v>338520.00000000006</v>
      </c>
      <c r="M104" s="201">
        <f t="shared" si="44"/>
        <v>112840</v>
      </c>
      <c r="N104" s="201">
        <f t="shared" si="45"/>
        <v>451360</v>
      </c>
    </row>
    <row r="105" spans="1:14" s="57" customFormat="1" ht="13.8" outlineLevel="1" x14ac:dyDescent="0.3">
      <c r="A105" s="217">
        <v>18.05</v>
      </c>
      <c r="B105" s="218" t="s">
        <v>116</v>
      </c>
      <c r="C105" s="219" t="s">
        <v>47</v>
      </c>
      <c r="D105" s="220">
        <v>16</v>
      </c>
      <c r="E105" s="42">
        <v>57445</v>
      </c>
      <c r="F105" s="42">
        <f t="shared" si="25"/>
        <v>919120</v>
      </c>
      <c r="G105" s="181"/>
      <c r="H105" s="32"/>
      <c r="I105" s="245">
        <f>+'SVD 4140_Pto. 01_Cert. 02'!K105</f>
        <v>0</v>
      </c>
      <c r="J105" s="141"/>
      <c r="K105" s="79">
        <f t="shared" si="42"/>
        <v>0</v>
      </c>
      <c r="L105" s="201">
        <f t="shared" si="43"/>
        <v>0</v>
      </c>
      <c r="M105" s="201">
        <f t="shared" si="44"/>
        <v>0</v>
      </c>
      <c r="N105" s="201">
        <f t="shared" si="45"/>
        <v>0</v>
      </c>
    </row>
    <row r="106" spans="1:14" s="57" customFormat="1" ht="13.8" outlineLevel="1" x14ac:dyDescent="0.3">
      <c r="A106" s="217">
        <v>18.059999999999999</v>
      </c>
      <c r="B106" s="218" t="s">
        <v>117</v>
      </c>
      <c r="C106" s="219" t="s">
        <v>47</v>
      </c>
      <c r="D106" s="220">
        <v>16</v>
      </c>
      <c r="E106" s="42">
        <v>57445</v>
      </c>
      <c r="F106" s="42">
        <f t="shared" si="25"/>
        <v>919120</v>
      </c>
      <c r="G106" s="181"/>
      <c r="H106" s="32"/>
      <c r="I106" s="245">
        <f>+'SVD 4140_Pto. 01_Cert. 02'!K106</f>
        <v>0.15000000000000002</v>
      </c>
      <c r="J106" s="141">
        <v>0.05</v>
      </c>
      <c r="K106" s="79">
        <f t="shared" si="42"/>
        <v>0.2</v>
      </c>
      <c r="L106" s="201">
        <f t="shared" si="43"/>
        <v>137868.00000000003</v>
      </c>
      <c r="M106" s="201">
        <f t="shared" si="44"/>
        <v>45956</v>
      </c>
      <c r="N106" s="201">
        <f t="shared" si="45"/>
        <v>183824</v>
      </c>
    </row>
    <row r="107" spans="1:14" s="57" customFormat="1" ht="13.8" outlineLevel="1" x14ac:dyDescent="0.3">
      <c r="A107" s="217">
        <v>18.07</v>
      </c>
      <c r="B107" s="218" t="s">
        <v>118</v>
      </c>
      <c r="C107" s="219" t="s">
        <v>47</v>
      </c>
      <c r="D107" s="220">
        <v>46</v>
      </c>
      <c r="E107" s="42">
        <v>43213</v>
      </c>
      <c r="F107" s="42">
        <f t="shared" si="25"/>
        <v>1987798</v>
      </c>
      <c r="G107" s="181"/>
      <c r="H107" s="32"/>
      <c r="I107" s="245">
        <f>+'SVD 4140_Pto. 01_Cert. 02'!K107</f>
        <v>0.15000000000000002</v>
      </c>
      <c r="J107" s="141">
        <v>0.05</v>
      </c>
      <c r="K107" s="79">
        <f t="shared" si="42"/>
        <v>0.2</v>
      </c>
      <c r="L107" s="201">
        <f t="shared" si="43"/>
        <v>298169.70000000007</v>
      </c>
      <c r="M107" s="201">
        <f t="shared" si="44"/>
        <v>99389.900000000009</v>
      </c>
      <c r="N107" s="201">
        <f t="shared" si="45"/>
        <v>397559.60000000003</v>
      </c>
    </row>
    <row r="108" spans="1:14" s="57" customFormat="1" ht="13.8" outlineLevel="1" x14ac:dyDescent="0.3">
      <c r="A108" s="217">
        <v>18.079999999999998</v>
      </c>
      <c r="B108" s="218" t="s">
        <v>119</v>
      </c>
      <c r="C108" s="219" t="s">
        <v>47</v>
      </c>
      <c r="D108" s="220">
        <v>17</v>
      </c>
      <c r="E108" s="42">
        <v>43213</v>
      </c>
      <c r="F108" s="42">
        <f t="shared" si="25"/>
        <v>734621</v>
      </c>
      <c r="G108" s="181"/>
      <c r="H108" s="32"/>
      <c r="I108" s="245">
        <f>+'SVD 4140_Pto. 01_Cert. 02'!K108</f>
        <v>0.15000000000000002</v>
      </c>
      <c r="J108" s="136">
        <v>0.05</v>
      </c>
      <c r="K108" s="79">
        <f t="shared" si="42"/>
        <v>0.2</v>
      </c>
      <c r="L108" s="201">
        <f t="shared" si="43"/>
        <v>110193.15000000002</v>
      </c>
      <c r="M108" s="201">
        <f t="shared" si="44"/>
        <v>36731.050000000003</v>
      </c>
      <c r="N108" s="201">
        <f t="shared" si="45"/>
        <v>146924.20000000001</v>
      </c>
    </row>
    <row r="109" spans="1:14" s="57" customFormat="1" ht="13.8" outlineLevel="1" x14ac:dyDescent="0.3">
      <c r="A109" s="217">
        <v>18.09</v>
      </c>
      <c r="B109" s="218" t="s">
        <v>120</v>
      </c>
      <c r="C109" s="219" t="s">
        <v>47</v>
      </c>
      <c r="D109" s="220">
        <v>11</v>
      </c>
      <c r="E109" s="42">
        <v>43213</v>
      </c>
      <c r="F109" s="42">
        <f t="shared" si="25"/>
        <v>475343</v>
      </c>
      <c r="G109" s="181"/>
      <c r="H109" s="32"/>
      <c r="I109" s="245">
        <f>+'SVD 4140_Pto. 01_Cert. 02'!K109</f>
        <v>0.6</v>
      </c>
      <c r="J109" s="141"/>
      <c r="K109" s="79">
        <f t="shared" si="42"/>
        <v>0.6</v>
      </c>
      <c r="L109" s="201">
        <f t="shared" si="43"/>
        <v>285205.8</v>
      </c>
      <c r="M109" s="201">
        <f t="shared" si="44"/>
        <v>0</v>
      </c>
      <c r="N109" s="201">
        <f t="shared" si="45"/>
        <v>285205.8</v>
      </c>
    </row>
    <row r="110" spans="1:14" s="57" customFormat="1" ht="13.8" outlineLevel="1" x14ac:dyDescent="0.3">
      <c r="A110" s="217">
        <v>18.100000000000001</v>
      </c>
      <c r="B110" s="218" t="s">
        <v>121</v>
      </c>
      <c r="C110" s="219" t="s">
        <v>47</v>
      </c>
      <c r="D110" s="220">
        <v>1</v>
      </c>
      <c r="E110" s="42">
        <v>2365100</v>
      </c>
      <c r="F110" s="42">
        <f t="shared" si="25"/>
        <v>2365100</v>
      </c>
      <c r="G110" s="181"/>
      <c r="H110" s="32"/>
      <c r="I110" s="245">
        <f>+'SVD 4140_Pto. 01_Cert. 02'!K110</f>
        <v>0</v>
      </c>
      <c r="J110" s="141"/>
      <c r="K110" s="79">
        <f t="shared" si="42"/>
        <v>0</v>
      </c>
      <c r="L110" s="201">
        <f t="shared" si="43"/>
        <v>0</v>
      </c>
      <c r="M110" s="201">
        <f t="shared" si="44"/>
        <v>0</v>
      </c>
      <c r="N110" s="201">
        <f t="shared" si="45"/>
        <v>0</v>
      </c>
    </row>
    <row r="111" spans="1:14" s="57" customFormat="1" ht="13.8" outlineLevel="1" x14ac:dyDescent="0.3">
      <c r="A111" s="217">
        <v>18.11</v>
      </c>
      <c r="B111" s="218" t="s">
        <v>122</v>
      </c>
      <c r="C111" s="219" t="s">
        <v>47</v>
      </c>
      <c r="D111" s="220">
        <v>1</v>
      </c>
      <c r="E111" s="42">
        <v>1112140</v>
      </c>
      <c r="F111" s="42">
        <f t="shared" si="25"/>
        <v>1112140</v>
      </c>
      <c r="G111" s="181"/>
      <c r="H111" s="32"/>
      <c r="I111" s="245">
        <f>+'SVD 4140_Pto. 01_Cert. 02'!K111</f>
        <v>0</v>
      </c>
      <c r="J111" s="136"/>
      <c r="K111" s="79">
        <f t="shared" si="42"/>
        <v>0</v>
      </c>
      <c r="L111" s="201">
        <f t="shared" si="43"/>
        <v>0</v>
      </c>
      <c r="M111" s="201">
        <f t="shared" si="44"/>
        <v>0</v>
      </c>
      <c r="N111" s="201">
        <f t="shared" si="45"/>
        <v>0</v>
      </c>
    </row>
    <row r="112" spans="1:14" s="57" customFormat="1" ht="13.8" outlineLevel="1" x14ac:dyDescent="0.3">
      <c r="A112" s="217">
        <v>18.12</v>
      </c>
      <c r="B112" s="218" t="s">
        <v>123</v>
      </c>
      <c r="C112" s="219" t="s">
        <v>47</v>
      </c>
      <c r="D112" s="220">
        <v>1</v>
      </c>
      <c r="E112" s="42">
        <v>669004</v>
      </c>
      <c r="F112" s="42">
        <f t="shared" si="25"/>
        <v>669004</v>
      </c>
      <c r="G112" s="181"/>
      <c r="H112" s="32"/>
      <c r="I112" s="245">
        <f>+'SVD 4140_Pto. 01_Cert. 02'!K112</f>
        <v>0</v>
      </c>
      <c r="J112" s="136"/>
      <c r="K112" s="79">
        <f t="shared" si="42"/>
        <v>0</v>
      </c>
      <c r="L112" s="201">
        <f t="shared" si="43"/>
        <v>0</v>
      </c>
      <c r="M112" s="201">
        <f t="shared" si="44"/>
        <v>0</v>
      </c>
      <c r="N112" s="201">
        <f t="shared" si="45"/>
        <v>0</v>
      </c>
    </row>
    <row r="113" spans="1:14" s="57" customFormat="1" ht="13.8" outlineLevel="1" x14ac:dyDescent="0.3">
      <c r="A113" s="217">
        <v>18.13</v>
      </c>
      <c r="B113" s="218" t="s">
        <v>124</v>
      </c>
      <c r="C113" s="219" t="s">
        <v>47</v>
      </c>
      <c r="D113" s="220">
        <v>1</v>
      </c>
      <c r="E113" s="42">
        <v>970259</v>
      </c>
      <c r="F113" s="42">
        <f t="shared" si="25"/>
        <v>970259</v>
      </c>
      <c r="G113" s="181"/>
      <c r="H113" s="32"/>
      <c r="I113" s="245">
        <f>+'SVD 4140_Pto. 01_Cert. 02'!K113</f>
        <v>0</v>
      </c>
      <c r="J113" s="141"/>
      <c r="K113" s="79">
        <f t="shared" si="42"/>
        <v>0</v>
      </c>
      <c r="L113" s="201">
        <f t="shared" si="43"/>
        <v>0</v>
      </c>
      <c r="M113" s="201">
        <f t="shared" si="44"/>
        <v>0</v>
      </c>
      <c r="N113" s="201">
        <f t="shared" si="45"/>
        <v>0</v>
      </c>
    </row>
    <row r="114" spans="1:14" s="57" customFormat="1" ht="13.8" outlineLevel="1" x14ac:dyDescent="0.3">
      <c r="A114" s="217">
        <v>18.14</v>
      </c>
      <c r="B114" s="218" t="s">
        <v>125</v>
      </c>
      <c r="C114" s="219" t="s">
        <v>47</v>
      </c>
      <c r="D114" s="220">
        <v>1</v>
      </c>
      <c r="E114" s="42">
        <v>507898</v>
      </c>
      <c r="F114" s="42">
        <f t="shared" si="25"/>
        <v>507898</v>
      </c>
      <c r="G114" s="181"/>
      <c r="H114" s="32"/>
      <c r="I114" s="245">
        <f>+'SVD 4140_Pto. 01_Cert. 02'!K114</f>
        <v>0</v>
      </c>
      <c r="J114" s="136"/>
      <c r="K114" s="79">
        <f t="shared" si="42"/>
        <v>0</v>
      </c>
      <c r="L114" s="201">
        <f t="shared" si="43"/>
        <v>0</v>
      </c>
      <c r="M114" s="201">
        <f t="shared" si="44"/>
        <v>0</v>
      </c>
      <c r="N114" s="201">
        <f t="shared" si="45"/>
        <v>0</v>
      </c>
    </row>
    <row r="115" spans="1:14" s="57" customFormat="1" ht="13.8" outlineLevel="1" x14ac:dyDescent="0.3">
      <c r="A115" s="217">
        <v>18.149999999999999</v>
      </c>
      <c r="B115" s="218" t="s">
        <v>126</v>
      </c>
      <c r="C115" s="219" t="s">
        <v>47</v>
      </c>
      <c r="D115" s="220">
        <v>7</v>
      </c>
      <c r="E115" s="42">
        <v>507898</v>
      </c>
      <c r="F115" s="42">
        <f t="shared" si="25"/>
        <v>3555286</v>
      </c>
      <c r="G115" s="181"/>
      <c r="H115" s="32"/>
      <c r="I115" s="245">
        <f>+'SVD 4140_Pto. 01_Cert. 02'!K115</f>
        <v>0</v>
      </c>
      <c r="J115" s="136"/>
      <c r="K115" s="79">
        <f t="shared" si="42"/>
        <v>0</v>
      </c>
      <c r="L115" s="201">
        <f t="shared" si="43"/>
        <v>0</v>
      </c>
      <c r="M115" s="201">
        <f t="shared" si="44"/>
        <v>0</v>
      </c>
      <c r="N115" s="201">
        <f t="shared" si="45"/>
        <v>0</v>
      </c>
    </row>
    <row r="116" spans="1:14" s="57" customFormat="1" ht="13.8" outlineLevel="1" x14ac:dyDescent="0.3">
      <c r="A116" s="217">
        <v>18.16</v>
      </c>
      <c r="B116" s="218" t="s">
        <v>127</v>
      </c>
      <c r="C116" s="219" t="s">
        <v>47</v>
      </c>
      <c r="D116" s="220">
        <v>9</v>
      </c>
      <c r="E116" s="42">
        <v>595498</v>
      </c>
      <c r="F116" s="42">
        <f t="shared" si="25"/>
        <v>5359482</v>
      </c>
      <c r="G116" s="181"/>
      <c r="H116" s="32"/>
      <c r="I116" s="245">
        <f>+'SVD 4140_Pto. 01_Cert. 02'!K116</f>
        <v>0</v>
      </c>
      <c r="J116" s="141"/>
      <c r="K116" s="79">
        <f t="shared" si="42"/>
        <v>0</v>
      </c>
      <c r="L116" s="201">
        <f t="shared" si="43"/>
        <v>0</v>
      </c>
      <c r="M116" s="201">
        <f t="shared" si="44"/>
        <v>0</v>
      </c>
      <c r="N116" s="201">
        <f t="shared" si="45"/>
        <v>0</v>
      </c>
    </row>
    <row r="117" spans="1:14" s="57" customFormat="1" ht="13.8" outlineLevel="1" x14ac:dyDescent="0.3">
      <c r="A117" s="217">
        <v>18.170000000000002</v>
      </c>
      <c r="B117" s="218" t="s">
        <v>128</v>
      </c>
      <c r="C117" s="219" t="s">
        <v>28</v>
      </c>
      <c r="D117" s="220">
        <v>1</v>
      </c>
      <c r="E117" s="42">
        <v>9502264</v>
      </c>
      <c r="F117" s="42">
        <f t="shared" si="25"/>
        <v>9502264</v>
      </c>
      <c r="G117" s="181"/>
      <c r="H117" s="32"/>
      <c r="I117" s="245">
        <f>+'SVD 4140_Pto. 01_Cert. 02'!K117</f>
        <v>0</v>
      </c>
      <c r="J117" s="136"/>
      <c r="K117" s="79">
        <f t="shared" si="42"/>
        <v>0</v>
      </c>
      <c r="L117" s="201">
        <f t="shared" si="43"/>
        <v>0</v>
      </c>
      <c r="M117" s="201">
        <f t="shared" si="44"/>
        <v>0</v>
      </c>
      <c r="N117" s="201">
        <f t="shared" si="45"/>
        <v>0</v>
      </c>
    </row>
    <row r="118" spans="1:14" s="57" customFormat="1" ht="13.8" outlineLevel="1" x14ac:dyDescent="0.3">
      <c r="A118" s="217">
        <v>18.18</v>
      </c>
      <c r="B118" s="218" t="s">
        <v>129</v>
      </c>
      <c r="C118" s="219" t="s">
        <v>28</v>
      </c>
      <c r="D118" s="220">
        <v>1</v>
      </c>
      <c r="E118" s="42">
        <v>1878534</v>
      </c>
      <c r="F118" s="42">
        <f t="shared" si="25"/>
        <v>1878534</v>
      </c>
      <c r="G118" s="181"/>
      <c r="H118" s="32"/>
      <c r="I118" s="245">
        <f>+'SVD 4140_Pto. 01_Cert. 02'!K118</f>
        <v>0</v>
      </c>
      <c r="J118" s="136"/>
      <c r="K118" s="79">
        <f t="shared" si="42"/>
        <v>0</v>
      </c>
      <c r="L118" s="201">
        <f t="shared" si="43"/>
        <v>0</v>
      </c>
      <c r="M118" s="201">
        <f t="shared" si="44"/>
        <v>0</v>
      </c>
      <c r="N118" s="201">
        <f t="shared" si="45"/>
        <v>0</v>
      </c>
    </row>
    <row r="119" spans="1:14" s="57" customFormat="1" ht="13.8" outlineLevel="1" x14ac:dyDescent="0.3">
      <c r="A119" s="217">
        <v>18.190000000000001</v>
      </c>
      <c r="B119" s="218" t="s">
        <v>130</v>
      </c>
      <c r="C119" s="219" t="s">
        <v>28</v>
      </c>
      <c r="D119" s="220">
        <v>1</v>
      </c>
      <c r="E119" s="42">
        <v>1878534</v>
      </c>
      <c r="F119" s="42">
        <f t="shared" si="25"/>
        <v>1878534</v>
      </c>
      <c r="G119" s="181"/>
      <c r="H119" s="32"/>
      <c r="I119" s="245">
        <f>+'SVD 4140_Pto. 01_Cert. 02'!K119</f>
        <v>0</v>
      </c>
      <c r="J119" s="141"/>
      <c r="K119" s="79">
        <f t="shared" si="42"/>
        <v>0</v>
      </c>
      <c r="L119" s="201">
        <f t="shared" si="43"/>
        <v>0</v>
      </c>
      <c r="M119" s="201">
        <f t="shared" si="44"/>
        <v>0</v>
      </c>
      <c r="N119" s="201">
        <f t="shared" si="45"/>
        <v>0</v>
      </c>
    </row>
    <row r="120" spans="1:14" s="57" customFormat="1" ht="13.8" outlineLevel="1" x14ac:dyDescent="0.3">
      <c r="A120" s="217">
        <v>18.2</v>
      </c>
      <c r="B120" s="218" t="s">
        <v>131</v>
      </c>
      <c r="C120" s="219" t="s">
        <v>47</v>
      </c>
      <c r="D120" s="220">
        <v>33</v>
      </c>
      <c r="E120" s="42">
        <v>14235</v>
      </c>
      <c r="F120" s="42">
        <f t="shared" si="25"/>
        <v>469755</v>
      </c>
      <c r="G120" s="181"/>
      <c r="H120" s="32"/>
      <c r="I120" s="245">
        <f>+'SVD 4140_Pto. 01_Cert. 02'!K120</f>
        <v>0</v>
      </c>
      <c r="J120" s="136"/>
      <c r="K120" s="79">
        <f t="shared" si="42"/>
        <v>0</v>
      </c>
      <c r="L120" s="201">
        <f t="shared" si="43"/>
        <v>0</v>
      </c>
      <c r="M120" s="201">
        <f t="shared" si="44"/>
        <v>0</v>
      </c>
      <c r="N120" s="201">
        <f t="shared" si="45"/>
        <v>0</v>
      </c>
    </row>
    <row r="121" spans="1:14" s="57" customFormat="1" ht="13.8" outlineLevel="1" x14ac:dyDescent="0.3">
      <c r="A121" s="217">
        <v>18.21</v>
      </c>
      <c r="B121" s="218" t="s">
        <v>132</v>
      </c>
      <c r="C121" s="219" t="s">
        <v>47</v>
      </c>
      <c r="D121" s="220">
        <v>150</v>
      </c>
      <c r="E121" s="42">
        <v>9276</v>
      </c>
      <c r="F121" s="42">
        <f t="shared" si="25"/>
        <v>1391400</v>
      </c>
      <c r="G121" s="181"/>
      <c r="H121" s="32"/>
      <c r="I121" s="245">
        <f>+'SVD 4140_Pto. 01_Cert. 02'!K121</f>
        <v>0</v>
      </c>
      <c r="J121" s="136"/>
      <c r="K121" s="79">
        <f t="shared" si="42"/>
        <v>0</v>
      </c>
      <c r="L121" s="201">
        <f t="shared" si="43"/>
        <v>0</v>
      </c>
      <c r="M121" s="201">
        <f t="shared" si="44"/>
        <v>0</v>
      </c>
      <c r="N121" s="201">
        <f t="shared" si="45"/>
        <v>0</v>
      </c>
    </row>
    <row r="122" spans="1:14" s="57" customFormat="1" ht="13.8" outlineLevel="1" x14ac:dyDescent="0.3">
      <c r="A122" s="217">
        <v>18.22</v>
      </c>
      <c r="B122" s="218" t="s">
        <v>133</v>
      </c>
      <c r="C122" s="219" t="s">
        <v>47</v>
      </c>
      <c r="D122" s="220">
        <v>16</v>
      </c>
      <c r="E122" s="42">
        <v>9276</v>
      </c>
      <c r="F122" s="42">
        <f t="shared" si="25"/>
        <v>148416</v>
      </c>
      <c r="G122" s="181"/>
      <c r="H122" s="32"/>
      <c r="I122" s="245">
        <f>+'SVD 4140_Pto. 01_Cert. 02'!K122</f>
        <v>0</v>
      </c>
      <c r="J122" s="141"/>
      <c r="K122" s="79">
        <f t="shared" si="42"/>
        <v>0</v>
      </c>
      <c r="L122" s="201">
        <f t="shared" si="43"/>
        <v>0</v>
      </c>
      <c r="M122" s="201">
        <f t="shared" si="44"/>
        <v>0</v>
      </c>
      <c r="N122" s="201">
        <f t="shared" si="45"/>
        <v>0</v>
      </c>
    </row>
    <row r="123" spans="1:14" s="57" customFormat="1" ht="13.8" outlineLevel="1" x14ac:dyDescent="0.3">
      <c r="A123" s="217">
        <v>18.23</v>
      </c>
      <c r="B123" s="218" t="s">
        <v>134</v>
      </c>
      <c r="C123" s="219" t="s">
        <v>47</v>
      </c>
      <c r="D123" s="220">
        <v>349</v>
      </c>
      <c r="E123" s="42">
        <v>9276</v>
      </c>
      <c r="F123" s="42">
        <f t="shared" si="25"/>
        <v>3237324</v>
      </c>
      <c r="G123" s="181"/>
      <c r="H123" s="32"/>
      <c r="I123" s="245">
        <f>+'SVD 4140_Pto. 01_Cert. 02'!K123</f>
        <v>0</v>
      </c>
      <c r="J123" s="136"/>
      <c r="K123" s="79">
        <f t="shared" si="42"/>
        <v>0</v>
      </c>
      <c r="L123" s="201">
        <f t="shared" si="43"/>
        <v>0</v>
      </c>
      <c r="M123" s="201">
        <f t="shared" si="44"/>
        <v>0</v>
      </c>
      <c r="N123" s="201">
        <f t="shared" si="45"/>
        <v>0</v>
      </c>
    </row>
    <row r="124" spans="1:14" s="57" customFormat="1" ht="13.8" outlineLevel="1" x14ac:dyDescent="0.3">
      <c r="A124" s="217">
        <v>18.239999999999998</v>
      </c>
      <c r="B124" s="218" t="s">
        <v>135</v>
      </c>
      <c r="C124" s="219" t="s">
        <v>47</v>
      </c>
      <c r="D124" s="220">
        <v>27</v>
      </c>
      <c r="E124" s="42">
        <v>22326</v>
      </c>
      <c r="F124" s="42">
        <f t="shared" si="25"/>
        <v>602802</v>
      </c>
      <c r="G124" s="181"/>
      <c r="H124" s="32"/>
      <c r="I124" s="245">
        <f>+'SVD 4140_Pto. 01_Cert. 02'!K124</f>
        <v>0</v>
      </c>
      <c r="J124" s="136"/>
      <c r="K124" s="79">
        <f t="shared" si="42"/>
        <v>0</v>
      </c>
      <c r="L124" s="201">
        <f t="shared" si="43"/>
        <v>0</v>
      </c>
      <c r="M124" s="201">
        <f t="shared" si="44"/>
        <v>0</v>
      </c>
      <c r="N124" s="201">
        <f t="shared" si="45"/>
        <v>0</v>
      </c>
    </row>
    <row r="125" spans="1:14" s="57" customFormat="1" ht="13.8" outlineLevel="1" x14ac:dyDescent="0.3">
      <c r="A125" s="217">
        <v>18.25</v>
      </c>
      <c r="B125" s="218" t="s">
        <v>136</v>
      </c>
      <c r="C125" s="219" t="s">
        <v>47</v>
      </c>
      <c r="D125" s="220">
        <v>16</v>
      </c>
      <c r="E125" s="42">
        <v>14235</v>
      </c>
      <c r="F125" s="42">
        <f t="shared" si="25"/>
        <v>227760</v>
      </c>
      <c r="G125" s="181"/>
      <c r="H125" s="32"/>
      <c r="I125" s="245">
        <f>+'SVD 4140_Pto. 01_Cert. 02'!K125</f>
        <v>0</v>
      </c>
      <c r="J125" s="141"/>
      <c r="K125" s="79">
        <f t="shared" si="42"/>
        <v>0</v>
      </c>
      <c r="L125" s="201">
        <f t="shared" si="43"/>
        <v>0</v>
      </c>
      <c r="M125" s="201">
        <f t="shared" si="44"/>
        <v>0</v>
      </c>
      <c r="N125" s="201">
        <f t="shared" si="45"/>
        <v>0</v>
      </c>
    </row>
    <row r="126" spans="1:14" s="57" customFormat="1" ht="27.6" outlineLevel="1" x14ac:dyDescent="0.3">
      <c r="A126" s="217">
        <v>18.260000000000002</v>
      </c>
      <c r="B126" s="218" t="s">
        <v>137</v>
      </c>
      <c r="C126" s="219" t="s">
        <v>47</v>
      </c>
      <c r="D126" s="220">
        <v>137</v>
      </c>
      <c r="E126" s="42">
        <v>14235</v>
      </c>
      <c r="F126" s="42">
        <f t="shared" si="25"/>
        <v>1950195</v>
      </c>
      <c r="G126" s="181"/>
      <c r="H126" s="32"/>
      <c r="I126" s="245">
        <f>+'SVD 4140_Pto. 01_Cert. 02'!K126</f>
        <v>0</v>
      </c>
      <c r="J126" s="136"/>
      <c r="K126" s="79">
        <f t="shared" si="42"/>
        <v>0</v>
      </c>
      <c r="L126" s="201">
        <f t="shared" si="43"/>
        <v>0</v>
      </c>
      <c r="M126" s="201">
        <f t="shared" si="44"/>
        <v>0</v>
      </c>
      <c r="N126" s="201">
        <f t="shared" si="45"/>
        <v>0</v>
      </c>
    </row>
    <row r="127" spans="1:14" s="57" customFormat="1" ht="13.8" outlineLevel="1" x14ac:dyDescent="0.3">
      <c r="A127" s="217">
        <v>18.27</v>
      </c>
      <c r="B127" s="218" t="s">
        <v>138</v>
      </c>
      <c r="C127" s="219" t="s">
        <v>47</v>
      </c>
      <c r="D127" s="220">
        <v>1</v>
      </c>
      <c r="E127" s="42">
        <v>14235</v>
      </c>
      <c r="F127" s="42">
        <f t="shared" si="25"/>
        <v>14235</v>
      </c>
      <c r="G127" s="181"/>
      <c r="H127" s="32"/>
      <c r="I127" s="245">
        <f>+'SVD 4140_Pto. 01_Cert. 02'!K127</f>
        <v>0</v>
      </c>
      <c r="J127" s="136"/>
      <c r="K127" s="79">
        <f t="shared" si="42"/>
        <v>0</v>
      </c>
      <c r="L127" s="201">
        <f t="shared" si="43"/>
        <v>0</v>
      </c>
      <c r="M127" s="201">
        <f t="shared" si="44"/>
        <v>0</v>
      </c>
      <c r="N127" s="201">
        <f t="shared" si="45"/>
        <v>0</v>
      </c>
    </row>
    <row r="128" spans="1:14" s="57" customFormat="1" ht="13.8" outlineLevel="1" x14ac:dyDescent="0.3">
      <c r="A128" s="217">
        <v>18.28</v>
      </c>
      <c r="B128" s="218" t="s">
        <v>139</v>
      </c>
      <c r="C128" s="219" t="s">
        <v>28</v>
      </c>
      <c r="D128" s="220">
        <v>1</v>
      </c>
      <c r="E128" s="42">
        <v>9332982</v>
      </c>
      <c r="F128" s="42">
        <f t="shared" si="25"/>
        <v>9332982</v>
      </c>
      <c r="G128" s="181"/>
      <c r="H128" s="32"/>
      <c r="I128" s="245">
        <f>+'SVD 4140_Pto. 01_Cert. 02'!K128</f>
        <v>0</v>
      </c>
      <c r="J128" s="141"/>
      <c r="K128" s="79">
        <f t="shared" si="42"/>
        <v>0</v>
      </c>
      <c r="L128" s="201">
        <f t="shared" si="43"/>
        <v>0</v>
      </c>
      <c r="M128" s="201">
        <f t="shared" si="44"/>
        <v>0</v>
      </c>
      <c r="N128" s="201">
        <f t="shared" si="45"/>
        <v>0</v>
      </c>
    </row>
    <row r="129" spans="1:14" s="57" customFormat="1" ht="13.8" outlineLevel="1" x14ac:dyDescent="0.3">
      <c r="A129" s="217">
        <v>18.29</v>
      </c>
      <c r="B129" s="218" t="s">
        <v>140</v>
      </c>
      <c r="C129" s="219" t="s">
        <v>28</v>
      </c>
      <c r="D129" s="220">
        <v>1</v>
      </c>
      <c r="E129" s="42">
        <v>1998778</v>
      </c>
      <c r="F129" s="42">
        <f t="shared" si="25"/>
        <v>1998778</v>
      </c>
      <c r="G129" s="181"/>
      <c r="H129" s="32"/>
      <c r="I129" s="245">
        <f>+'SVD 4140_Pto. 01_Cert. 02'!K129</f>
        <v>0</v>
      </c>
      <c r="J129" s="136"/>
      <c r="K129" s="79">
        <f t="shared" si="42"/>
        <v>0</v>
      </c>
      <c r="L129" s="201">
        <f t="shared" si="43"/>
        <v>0</v>
      </c>
      <c r="M129" s="201">
        <f t="shared" si="44"/>
        <v>0</v>
      </c>
      <c r="N129" s="201">
        <f t="shared" si="45"/>
        <v>0</v>
      </c>
    </row>
    <row r="130" spans="1:14" s="57" customFormat="1" ht="13.8" outlineLevel="1" x14ac:dyDescent="0.3">
      <c r="A130" s="221">
        <v>18.3</v>
      </c>
      <c r="B130" s="222" t="s">
        <v>141</v>
      </c>
      <c r="C130" s="223" t="s">
        <v>28</v>
      </c>
      <c r="D130" s="224">
        <v>1</v>
      </c>
      <c r="E130" s="60">
        <v>125849</v>
      </c>
      <c r="F130" s="60">
        <f t="shared" si="25"/>
        <v>125849</v>
      </c>
      <c r="G130" s="181"/>
      <c r="H130" s="32"/>
      <c r="I130" s="245">
        <f>+'SVD 4140_Pto. 01_Cert. 02'!K130</f>
        <v>0</v>
      </c>
      <c r="J130" s="136"/>
      <c r="K130" s="79">
        <f t="shared" si="42"/>
        <v>0</v>
      </c>
      <c r="L130" s="201">
        <f t="shared" si="43"/>
        <v>0</v>
      </c>
      <c r="M130" s="201">
        <f t="shared" si="44"/>
        <v>0</v>
      </c>
      <c r="N130" s="201">
        <f t="shared" si="45"/>
        <v>0</v>
      </c>
    </row>
    <row r="131" spans="1:14" s="57" customFormat="1" ht="13.8" outlineLevel="1" x14ac:dyDescent="0.3">
      <c r="A131" s="225">
        <v>19</v>
      </c>
      <c r="B131" s="226" t="s">
        <v>142</v>
      </c>
      <c r="C131" s="227"/>
      <c r="D131" s="228"/>
      <c r="E131" s="229"/>
      <c r="F131" s="230"/>
      <c r="G131" s="181"/>
      <c r="H131" s="32"/>
      <c r="I131" s="248"/>
      <c r="J131" s="206"/>
      <c r="K131" s="206"/>
      <c r="L131" s="207"/>
      <c r="M131" s="207"/>
      <c r="N131" s="208"/>
    </row>
    <row r="132" spans="1:14" s="57" customFormat="1" ht="13.8" x14ac:dyDescent="0.3">
      <c r="A132" s="27"/>
      <c r="B132" s="28" t="s">
        <v>143</v>
      </c>
      <c r="C132" s="189"/>
      <c r="D132" s="65"/>
      <c r="E132" s="65"/>
      <c r="F132" s="65"/>
      <c r="G132" s="31">
        <f>+SUM(F133:F136)</f>
        <v>21161055</v>
      </c>
      <c r="H132" s="32">
        <f>+G132/$G$185</f>
        <v>2.8764833575587834E-2</v>
      </c>
      <c r="I132" s="248"/>
      <c r="J132" s="206"/>
      <c r="K132" s="206"/>
      <c r="L132" s="207"/>
      <c r="M132" s="207"/>
      <c r="N132" s="208"/>
    </row>
    <row r="133" spans="1:14" s="57" customFormat="1" ht="13.8" outlineLevel="1" x14ac:dyDescent="0.3">
      <c r="A133" s="213">
        <v>19.010000000000002</v>
      </c>
      <c r="B133" s="214" t="s">
        <v>144</v>
      </c>
      <c r="C133" s="215" t="s">
        <v>28</v>
      </c>
      <c r="D133" s="216">
        <v>1</v>
      </c>
      <c r="E133" s="37">
        <v>7236758</v>
      </c>
      <c r="F133" s="37">
        <f t="shared" si="25"/>
        <v>7236758</v>
      </c>
      <c r="G133" s="181"/>
      <c r="H133" s="32"/>
      <c r="I133" s="245">
        <f>+'SVD 4140_Pto. 01_Cert. 02'!K133</f>
        <v>0.05</v>
      </c>
      <c r="J133" s="134"/>
      <c r="K133" s="135">
        <f t="shared" ref="K133:K136" si="46">+I133+J133</f>
        <v>0.05</v>
      </c>
      <c r="L133" s="200">
        <f t="shared" ref="L133:L136" si="47">+F133*I133</f>
        <v>361837.9</v>
      </c>
      <c r="M133" s="200">
        <f t="shared" ref="M133:M136" si="48">+F133*J133</f>
        <v>0</v>
      </c>
      <c r="N133" s="200">
        <f t="shared" ref="N133:N136" si="49">+F133*K133</f>
        <v>361837.9</v>
      </c>
    </row>
    <row r="134" spans="1:14" s="57" customFormat="1" ht="13.8" outlineLevel="1" x14ac:dyDescent="0.3">
      <c r="A134" s="217">
        <v>19.02</v>
      </c>
      <c r="B134" s="218" t="s">
        <v>145</v>
      </c>
      <c r="C134" s="219" t="s">
        <v>28</v>
      </c>
      <c r="D134" s="220">
        <v>1</v>
      </c>
      <c r="E134" s="42">
        <v>1001516</v>
      </c>
      <c r="F134" s="42">
        <f t="shared" si="25"/>
        <v>1001516</v>
      </c>
      <c r="G134" s="181"/>
      <c r="H134" s="32"/>
      <c r="I134" s="245">
        <f>+'SVD 4140_Pto. 01_Cert. 02'!K134</f>
        <v>0</v>
      </c>
      <c r="J134" s="136"/>
      <c r="K134" s="79">
        <f t="shared" si="46"/>
        <v>0</v>
      </c>
      <c r="L134" s="201">
        <f t="shared" si="47"/>
        <v>0</v>
      </c>
      <c r="M134" s="201">
        <f t="shared" si="48"/>
        <v>0</v>
      </c>
      <c r="N134" s="201">
        <f t="shared" si="49"/>
        <v>0</v>
      </c>
    </row>
    <row r="135" spans="1:14" s="57" customFormat="1" ht="13.8" outlineLevel="1" x14ac:dyDescent="0.3">
      <c r="A135" s="217">
        <v>19.03</v>
      </c>
      <c r="B135" s="218" t="s">
        <v>146</v>
      </c>
      <c r="C135" s="219" t="s">
        <v>28</v>
      </c>
      <c r="D135" s="220">
        <v>1</v>
      </c>
      <c r="E135" s="42">
        <v>8787491</v>
      </c>
      <c r="F135" s="42">
        <f t="shared" si="25"/>
        <v>8787491</v>
      </c>
      <c r="G135" s="181"/>
      <c r="H135" s="32"/>
      <c r="I135" s="245">
        <f>+'SVD 4140_Pto. 01_Cert. 02'!K135</f>
        <v>0</v>
      </c>
      <c r="J135" s="136"/>
      <c r="K135" s="79">
        <f t="shared" si="46"/>
        <v>0</v>
      </c>
      <c r="L135" s="201">
        <f t="shared" si="47"/>
        <v>0</v>
      </c>
      <c r="M135" s="201">
        <f t="shared" si="48"/>
        <v>0</v>
      </c>
      <c r="N135" s="201">
        <f t="shared" si="49"/>
        <v>0</v>
      </c>
    </row>
    <row r="136" spans="1:14" s="57" customFormat="1" ht="13.8" outlineLevel="1" x14ac:dyDescent="0.3">
      <c r="A136" s="221">
        <v>19.04</v>
      </c>
      <c r="B136" s="222" t="s">
        <v>147</v>
      </c>
      <c r="C136" s="223" t="s">
        <v>28</v>
      </c>
      <c r="D136" s="224">
        <v>1</v>
      </c>
      <c r="E136" s="60">
        <v>4135290</v>
      </c>
      <c r="F136" s="60">
        <f t="shared" si="25"/>
        <v>4135290</v>
      </c>
      <c r="G136" s="181"/>
      <c r="H136" s="32"/>
      <c r="I136" s="245">
        <f>+'SVD 4140_Pto. 01_Cert. 02'!K136</f>
        <v>0</v>
      </c>
      <c r="J136" s="141"/>
      <c r="K136" s="79">
        <f t="shared" si="46"/>
        <v>0</v>
      </c>
      <c r="L136" s="201">
        <f t="shared" si="47"/>
        <v>0</v>
      </c>
      <c r="M136" s="201">
        <f t="shared" si="48"/>
        <v>0</v>
      </c>
      <c r="N136" s="201">
        <f t="shared" si="49"/>
        <v>0</v>
      </c>
    </row>
    <row r="137" spans="1:14" s="57" customFormat="1" ht="13.8" x14ac:dyDescent="0.3">
      <c r="A137" s="27"/>
      <c r="B137" s="28" t="s">
        <v>148</v>
      </c>
      <c r="C137" s="189"/>
      <c r="D137" s="65"/>
      <c r="E137" s="65"/>
      <c r="F137" s="65"/>
      <c r="G137" s="31">
        <f>+SUM(F138:F140)</f>
        <v>6551951</v>
      </c>
      <c r="H137" s="32">
        <f>+G137/$G$185</f>
        <v>8.9062563331746124E-3</v>
      </c>
      <c r="I137" s="248"/>
      <c r="J137" s="206"/>
      <c r="K137" s="206"/>
      <c r="L137" s="206"/>
      <c r="M137" s="207"/>
      <c r="N137" s="208"/>
    </row>
    <row r="138" spans="1:14" s="57" customFormat="1" ht="13.8" outlineLevel="1" x14ac:dyDescent="0.3">
      <c r="A138" s="213">
        <v>19.05</v>
      </c>
      <c r="B138" s="214" t="s">
        <v>149</v>
      </c>
      <c r="C138" s="215" t="s">
        <v>28</v>
      </c>
      <c r="D138" s="216">
        <v>1</v>
      </c>
      <c r="E138" s="37">
        <v>2675380</v>
      </c>
      <c r="F138" s="37">
        <f t="shared" si="25"/>
        <v>2675380</v>
      </c>
      <c r="G138" s="181"/>
      <c r="H138" s="32"/>
      <c r="I138" s="245">
        <f>+'SVD 4140_Pto. 01_Cert. 02'!K138</f>
        <v>0.05</v>
      </c>
      <c r="J138" s="134"/>
      <c r="K138" s="135">
        <f t="shared" ref="K138:K140" si="50">+I138+J138</f>
        <v>0.05</v>
      </c>
      <c r="L138" s="200">
        <f t="shared" ref="L138:L140" si="51">+F138*I138</f>
        <v>133769</v>
      </c>
      <c r="M138" s="200">
        <f t="shared" ref="M138:M140" si="52">+F138*J138</f>
        <v>0</v>
      </c>
      <c r="N138" s="200">
        <f t="shared" ref="N138:N140" si="53">+F138*K138</f>
        <v>133769</v>
      </c>
    </row>
    <row r="139" spans="1:14" s="57" customFormat="1" ht="13.8" outlineLevel="1" x14ac:dyDescent="0.3">
      <c r="A139" s="217">
        <v>19.059999999999999</v>
      </c>
      <c r="B139" s="218" t="s">
        <v>150</v>
      </c>
      <c r="C139" s="219" t="s">
        <v>28</v>
      </c>
      <c r="D139" s="220">
        <v>1</v>
      </c>
      <c r="E139" s="42">
        <v>3057577</v>
      </c>
      <c r="F139" s="42">
        <f t="shared" si="25"/>
        <v>3057577</v>
      </c>
      <c r="G139" s="181"/>
      <c r="H139" s="32"/>
      <c r="I139" s="245">
        <f>+'SVD 4140_Pto. 01_Cert. 02'!K139</f>
        <v>0</v>
      </c>
      <c r="J139" s="136"/>
      <c r="K139" s="79">
        <f t="shared" si="50"/>
        <v>0</v>
      </c>
      <c r="L139" s="201">
        <f t="shared" si="51"/>
        <v>0</v>
      </c>
      <c r="M139" s="201">
        <f t="shared" si="52"/>
        <v>0</v>
      </c>
      <c r="N139" s="201">
        <f t="shared" si="53"/>
        <v>0</v>
      </c>
    </row>
    <row r="140" spans="1:14" s="57" customFormat="1" ht="13.8" outlineLevel="1" x14ac:dyDescent="0.3">
      <c r="A140" s="221">
        <v>19.07</v>
      </c>
      <c r="B140" s="222" t="s">
        <v>151</v>
      </c>
      <c r="C140" s="223" t="s">
        <v>28</v>
      </c>
      <c r="D140" s="224">
        <v>1</v>
      </c>
      <c r="E140" s="60">
        <v>818994</v>
      </c>
      <c r="F140" s="60">
        <f t="shared" ref="F140:F184" si="54">+D140*E140</f>
        <v>818994</v>
      </c>
      <c r="G140" s="181"/>
      <c r="H140" s="32"/>
      <c r="I140" s="245">
        <f>+'SVD 4140_Pto. 01_Cert. 02'!K140</f>
        <v>0</v>
      </c>
      <c r="J140" s="136"/>
      <c r="K140" s="79">
        <f t="shared" si="50"/>
        <v>0</v>
      </c>
      <c r="L140" s="201">
        <f t="shared" si="51"/>
        <v>0</v>
      </c>
      <c r="M140" s="201">
        <f t="shared" si="52"/>
        <v>0</v>
      </c>
      <c r="N140" s="201">
        <f t="shared" si="53"/>
        <v>0</v>
      </c>
    </row>
    <row r="141" spans="1:14" s="57" customFormat="1" ht="13.8" x14ac:dyDescent="0.3">
      <c r="A141" s="27"/>
      <c r="B141" s="28" t="s">
        <v>152</v>
      </c>
      <c r="C141" s="189"/>
      <c r="D141" s="65"/>
      <c r="E141" s="65"/>
      <c r="F141" s="65"/>
      <c r="G141" s="31">
        <f>+SUM(F142:F146)</f>
        <v>37004103</v>
      </c>
      <c r="H141" s="32">
        <f>+G141/$G$185</f>
        <v>5.0300746555826753E-2</v>
      </c>
      <c r="I141" s="248"/>
      <c r="J141" s="206"/>
      <c r="K141" s="206"/>
      <c r="L141" s="206"/>
      <c r="M141" s="207"/>
      <c r="N141" s="208"/>
    </row>
    <row r="142" spans="1:14" s="57" customFormat="1" ht="13.8" outlineLevel="1" x14ac:dyDescent="0.3">
      <c r="A142" s="213">
        <v>19.079999999999998</v>
      </c>
      <c r="B142" s="214" t="s">
        <v>153</v>
      </c>
      <c r="C142" s="215" t="s">
        <v>28</v>
      </c>
      <c r="D142" s="216">
        <v>1</v>
      </c>
      <c r="E142" s="37">
        <v>3750416</v>
      </c>
      <c r="F142" s="37">
        <f t="shared" si="54"/>
        <v>3750416</v>
      </c>
      <c r="G142" s="181"/>
      <c r="H142" s="32"/>
      <c r="I142" s="245">
        <f>+'SVD 4140_Pto. 01_Cert. 02'!K142</f>
        <v>0</v>
      </c>
      <c r="J142" s="134"/>
      <c r="K142" s="135">
        <f t="shared" ref="K142:K146" si="55">+I142+J142</f>
        <v>0</v>
      </c>
      <c r="L142" s="200">
        <f t="shared" ref="L142:L146" si="56">+F142*I142</f>
        <v>0</v>
      </c>
      <c r="M142" s="200">
        <f t="shared" ref="M142:M146" si="57">+F142*J142</f>
        <v>0</v>
      </c>
      <c r="N142" s="200">
        <f t="shared" ref="N142:N146" si="58">+F142*K142</f>
        <v>0</v>
      </c>
    </row>
    <row r="143" spans="1:14" s="57" customFormat="1" ht="13.8" outlineLevel="1" x14ac:dyDescent="0.3">
      <c r="A143" s="217">
        <v>19.09</v>
      </c>
      <c r="B143" s="218" t="s">
        <v>154</v>
      </c>
      <c r="C143" s="219" t="s">
        <v>28</v>
      </c>
      <c r="D143" s="220">
        <v>1</v>
      </c>
      <c r="E143" s="42">
        <v>7500832</v>
      </c>
      <c r="F143" s="42">
        <f t="shared" si="54"/>
        <v>7500832</v>
      </c>
      <c r="G143" s="181"/>
      <c r="H143" s="32"/>
      <c r="I143" s="245">
        <f>+'SVD 4140_Pto. 01_Cert. 02'!K143</f>
        <v>0</v>
      </c>
      <c r="J143" s="136"/>
      <c r="K143" s="79">
        <f t="shared" si="55"/>
        <v>0</v>
      </c>
      <c r="L143" s="201">
        <f t="shared" si="56"/>
        <v>0</v>
      </c>
      <c r="M143" s="201">
        <f t="shared" si="57"/>
        <v>0</v>
      </c>
      <c r="N143" s="201">
        <f t="shared" si="58"/>
        <v>0</v>
      </c>
    </row>
    <row r="144" spans="1:14" s="57" customFormat="1" ht="13.8" outlineLevel="1" x14ac:dyDescent="0.3">
      <c r="A144" s="217">
        <v>19.100000000000001</v>
      </c>
      <c r="B144" s="218" t="s">
        <v>155</v>
      </c>
      <c r="C144" s="219" t="s">
        <v>28</v>
      </c>
      <c r="D144" s="220">
        <v>1</v>
      </c>
      <c r="E144" s="42">
        <v>1750194</v>
      </c>
      <c r="F144" s="42">
        <f t="shared" si="54"/>
        <v>1750194</v>
      </c>
      <c r="G144" s="181"/>
      <c r="H144" s="32"/>
      <c r="I144" s="245">
        <f>+'SVD 4140_Pto. 01_Cert. 02'!K144</f>
        <v>0</v>
      </c>
      <c r="J144" s="136"/>
      <c r="K144" s="79">
        <f t="shared" si="55"/>
        <v>0</v>
      </c>
      <c r="L144" s="201">
        <f t="shared" si="56"/>
        <v>0</v>
      </c>
      <c r="M144" s="201">
        <f t="shared" si="57"/>
        <v>0</v>
      </c>
      <c r="N144" s="201">
        <f t="shared" si="58"/>
        <v>0</v>
      </c>
    </row>
    <row r="145" spans="1:14" s="57" customFormat="1" ht="13.8" outlineLevel="1" x14ac:dyDescent="0.3">
      <c r="A145" s="217">
        <v>19.11</v>
      </c>
      <c r="B145" s="218" t="s">
        <v>156</v>
      </c>
      <c r="C145" s="219" t="s">
        <v>28</v>
      </c>
      <c r="D145" s="220">
        <v>1</v>
      </c>
      <c r="E145" s="42">
        <v>14001552</v>
      </c>
      <c r="F145" s="42">
        <f t="shared" si="54"/>
        <v>14001552</v>
      </c>
      <c r="G145" s="181"/>
      <c r="H145" s="32"/>
      <c r="I145" s="245">
        <f>+'SVD 4140_Pto. 01_Cert. 02'!K145</f>
        <v>0</v>
      </c>
      <c r="J145" s="136"/>
      <c r="K145" s="79">
        <f t="shared" si="55"/>
        <v>0</v>
      </c>
      <c r="L145" s="201">
        <f t="shared" si="56"/>
        <v>0</v>
      </c>
      <c r="M145" s="201">
        <f t="shared" si="57"/>
        <v>0</v>
      </c>
      <c r="N145" s="201">
        <f t="shared" si="58"/>
        <v>0</v>
      </c>
    </row>
    <row r="146" spans="1:14" s="57" customFormat="1" ht="13.8" outlineLevel="1" x14ac:dyDescent="0.3">
      <c r="A146" s="221">
        <v>19.12</v>
      </c>
      <c r="B146" s="222" t="s">
        <v>157</v>
      </c>
      <c r="C146" s="223" t="s">
        <v>28</v>
      </c>
      <c r="D146" s="224">
        <v>1</v>
      </c>
      <c r="E146" s="60">
        <v>10001109</v>
      </c>
      <c r="F146" s="60">
        <f t="shared" si="54"/>
        <v>10001109</v>
      </c>
      <c r="G146" s="181"/>
      <c r="H146" s="32"/>
      <c r="I146" s="245">
        <f>+'SVD 4140_Pto. 01_Cert. 02'!K146</f>
        <v>0</v>
      </c>
      <c r="J146" s="141"/>
      <c r="K146" s="79">
        <f t="shared" si="55"/>
        <v>0</v>
      </c>
      <c r="L146" s="201">
        <f t="shared" si="56"/>
        <v>0</v>
      </c>
      <c r="M146" s="201">
        <f t="shared" si="57"/>
        <v>0</v>
      </c>
      <c r="N146" s="201">
        <f t="shared" si="58"/>
        <v>0</v>
      </c>
    </row>
    <row r="147" spans="1:14" s="57" customFormat="1" ht="13.8" x14ac:dyDescent="0.3">
      <c r="A147" s="27"/>
      <c r="B147" s="28" t="s">
        <v>158</v>
      </c>
      <c r="C147" s="189"/>
      <c r="D147" s="65"/>
      <c r="E147" s="65"/>
      <c r="F147" s="65"/>
      <c r="G147" s="31">
        <f>+SUM(F148)</f>
        <v>2047485</v>
      </c>
      <c r="H147" s="32">
        <f>+G147/$G$185</f>
        <v>2.7832055289073467E-3</v>
      </c>
      <c r="I147" s="248"/>
      <c r="J147" s="206"/>
      <c r="K147" s="206"/>
      <c r="L147" s="206"/>
      <c r="M147" s="207"/>
      <c r="N147" s="208"/>
    </row>
    <row r="148" spans="1:14" s="57" customFormat="1" ht="13.8" outlineLevel="1" x14ac:dyDescent="0.3">
      <c r="A148" s="231">
        <v>19.13</v>
      </c>
      <c r="B148" s="232" t="s">
        <v>159</v>
      </c>
      <c r="C148" s="233" t="s">
        <v>28</v>
      </c>
      <c r="D148" s="234">
        <v>1</v>
      </c>
      <c r="E148" s="235">
        <v>2047485</v>
      </c>
      <c r="F148" s="235">
        <f t="shared" si="54"/>
        <v>2047485</v>
      </c>
      <c r="G148" s="181"/>
      <c r="H148" s="32"/>
      <c r="I148" s="245">
        <f>+'SVD 4140_Pto. 01_Cert. 02'!K148</f>
        <v>0</v>
      </c>
      <c r="J148" s="134"/>
      <c r="K148" s="135">
        <f t="shared" ref="K148" si="59">+I148+J148</f>
        <v>0</v>
      </c>
      <c r="L148" s="200">
        <f t="shared" ref="L148" si="60">+F148*I148</f>
        <v>0</v>
      </c>
      <c r="M148" s="200">
        <f t="shared" ref="M148" si="61">+F148*J148</f>
        <v>0</v>
      </c>
      <c r="N148" s="200">
        <f t="shared" ref="N148" si="62">+F148*K148</f>
        <v>0</v>
      </c>
    </row>
    <row r="149" spans="1:14" s="57" customFormat="1" ht="13.8" x14ac:dyDescent="0.3">
      <c r="A149" s="27"/>
      <c r="B149" s="28" t="s">
        <v>160</v>
      </c>
      <c r="C149" s="189"/>
      <c r="D149" s="65"/>
      <c r="E149" s="65"/>
      <c r="F149" s="65"/>
      <c r="G149" s="31">
        <f>+SUM(F150:F153)</f>
        <v>32512648</v>
      </c>
      <c r="H149" s="32">
        <f>+G149/$G$185</f>
        <v>4.4195381979852545E-2</v>
      </c>
      <c r="I149" s="248"/>
      <c r="J149" s="206"/>
      <c r="K149" s="206"/>
      <c r="L149" s="206"/>
      <c r="M149" s="207"/>
      <c r="N149" s="208"/>
    </row>
    <row r="150" spans="1:14" s="57" customFormat="1" ht="13.8" outlineLevel="1" x14ac:dyDescent="0.3">
      <c r="A150" s="213">
        <v>19.14</v>
      </c>
      <c r="B150" s="214" t="s">
        <v>161</v>
      </c>
      <c r="C150" s="215" t="s">
        <v>28</v>
      </c>
      <c r="D150" s="216">
        <v>1</v>
      </c>
      <c r="E150" s="37">
        <v>15888634</v>
      </c>
      <c r="F150" s="37">
        <f t="shared" si="54"/>
        <v>15888634</v>
      </c>
      <c r="G150" s="181"/>
      <c r="H150" s="32"/>
      <c r="I150" s="245">
        <f>+'SVD 4140_Pto. 01_Cert. 02'!K150</f>
        <v>0</v>
      </c>
      <c r="J150" s="134"/>
      <c r="K150" s="135">
        <f t="shared" ref="K150:K153" si="63">+I150+J150</f>
        <v>0</v>
      </c>
      <c r="L150" s="200">
        <f t="shared" ref="L150:L153" si="64">+F150*I150</f>
        <v>0</v>
      </c>
      <c r="M150" s="200">
        <f t="shared" ref="M150:M153" si="65">+F150*J150</f>
        <v>0</v>
      </c>
      <c r="N150" s="200">
        <f t="shared" ref="N150:N153" si="66">+F150*K150</f>
        <v>0</v>
      </c>
    </row>
    <row r="151" spans="1:14" s="57" customFormat="1" ht="13.8" outlineLevel="1" x14ac:dyDescent="0.3">
      <c r="A151" s="217">
        <v>19.149999999999999</v>
      </c>
      <c r="B151" s="218" t="s">
        <v>162</v>
      </c>
      <c r="C151" s="219" t="s">
        <v>28</v>
      </c>
      <c r="D151" s="220">
        <v>1</v>
      </c>
      <c r="E151" s="42">
        <v>6190377</v>
      </c>
      <c r="F151" s="42">
        <f t="shared" si="54"/>
        <v>6190377</v>
      </c>
      <c r="G151" s="181"/>
      <c r="H151" s="32"/>
      <c r="I151" s="245">
        <f>+'SVD 4140_Pto. 01_Cert. 02'!K151</f>
        <v>0</v>
      </c>
      <c r="J151" s="136"/>
      <c r="K151" s="79">
        <f t="shared" si="63"/>
        <v>0</v>
      </c>
      <c r="L151" s="201">
        <f t="shared" si="64"/>
        <v>0</v>
      </c>
      <c r="M151" s="201">
        <f t="shared" si="65"/>
        <v>0</v>
      </c>
      <c r="N151" s="201">
        <f t="shared" si="66"/>
        <v>0</v>
      </c>
    </row>
    <row r="152" spans="1:14" s="57" customFormat="1" ht="13.8" outlineLevel="1" x14ac:dyDescent="0.3">
      <c r="A152" s="217">
        <v>19.16</v>
      </c>
      <c r="B152" s="218" t="s">
        <v>163</v>
      </c>
      <c r="C152" s="219" t="s">
        <v>28</v>
      </c>
      <c r="D152" s="220">
        <v>1</v>
      </c>
      <c r="E152" s="42">
        <v>4952302</v>
      </c>
      <c r="F152" s="42">
        <f t="shared" si="54"/>
        <v>4952302</v>
      </c>
      <c r="G152" s="181"/>
      <c r="H152" s="32"/>
      <c r="I152" s="245">
        <f>+'SVD 4140_Pto. 01_Cert. 02'!K152</f>
        <v>0</v>
      </c>
      <c r="J152" s="136"/>
      <c r="K152" s="79">
        <f t="shared" si="63"/>
        <v>0</v>
      </c>
      <c r="L152" s="201">
        <f t="shared" si="64"/>
        <v>0</v>
      </c>
      <c r="M152" s="201">
        <f t="shared" si="65"/>
        <v>0</v>
      </c>
      <c r="N152" s="201">
        <f t="shared" si="66"/>
        <v>0</v>
      </c>
    </row>
    <row r="153" spans="1:14" s="57" customFormat="1" ht="13.8" outlineLevel="1" x14ac:dyDescent="0.3">
      <c r="A153" s="221">
        <v>19.170000000000002</v>
      </c>
      <c r="B153" s="222" t="s">
        <v>164</v>
      </c>
      <c r="C153" s="223" t="s">
        <v>28</v>
      </c>
      <c r="D153" s="224">
        <v>1</v>
      </c>
      <c r="E153" s="60">
        <v>5481335</v>
      </c>
      <c r="F153" s="60">
        <f t="shared" si="54"/>
        <v>5481335</v>
      </c>
      <c r="G153" s="181"/>
      <c r="H153" s="32"/>
      <c r="I153" s="245">
        <f>+'SVD 4140_Pto. 01_Cert. 02'!K153</f>
        <v>0</v>
      </c>
      <c r="J153" s="141"/>
      <c r="K153" s="79">
        <f t="shared" si="63"/>
        <v>0</v>
      </c>
      <c r="L153" s="201">
        <f t="shared" si="64"/>
        <v>0</v>
      </c>
      <c r="M153" s="201">
        <f t="shared" si="65"/>
        <v>0</v>
      </c>
      <c r="N153" s="201">
        <f t="shared" si="66"/>
        <v>0</v>
      </c>
    </row>
    <row r="154" spans="1:14" s="57" customFormat="1" ht="13.8" x14ac:dyDescent="0.3">
      <c r="A154" s="27"/>
      <c r="B154" s="28" t="s">
        <v>165</v>
      </c>
      <c r="C154" s="189"/>
      <c r="D154" s="65"/>
      <c r="E154" s="65"/>
      <c r="F154" s="65"/>
      <c r="G154" s="31">
        <f>+SUM(F155)</f>
        <v>5206701</v>
      </c>
      <c r="H154" s="32">
        <f>+G154/$G$185</f>
        <v>7.0776191330180257E-3</v>
      </c>
      <c r="I154" s="248"/>
      <c r="J154" s="206"/>
      <c r="K154" s="206"/>
      <c r="L154" s="206"/>
      <c r="M154" s="207"/>
      <c r="N154" s="208"/>
    </row>
    <row r="155" spans="1:14" s="57" customFormat="1" ht="13.8" outlineLevel="1" x14ac:dyDescent="0.3">
      <c r="A155" s="231">
        <v>19.170000000000002</v>
      </c>
      <c r="B155" s="232" t="s">
        <v>166</v>
      </c>
      <c r="C155" s="233" t="s">
        <v>28</v>
      </c>
      <c r="D155" s="234">
        <v>1</v>
      </c>
      <c r="E155" s="235">
        <v>5206701</v>
      </c>
      <c r="F155" s="235">
        <f t="shared" si="54"/>
        <v>5206701</v>
      </c>
      <c r="G155" s="181"/>
      <c r="H155" s="32"/>
      <c r="I155" s="245">
        <f>+'SVD 4140_Pto. 01_Cert. 02'!K155</f>
        <v>0</v>
      </c>
      <c r="J155" s="134"/>
      <c r="K155" s="135">
        <f t="shared" ref="K155" si="67">+I155+J155</f>
        <v>0</v>
      </c>
      <c r="L155" s="200">
        <f t="shared" ref="L155" si="68">+F155*I155</f>
        <v>0</v>
      </c>
      <c r="M155" s="200">
        <f t="shared" ref="M155" si="69">+F155*J155</f>
        <v>0</v>
      </c>
      <c r="N155" s="200">
        <f t="shared" ref="N155" si="70">+F155*K155</f>
        <v>0</v>
      </c>
    </row>
    <row r="156" spans="1:14" s="57" customFormat="1" ht="13.8" x14ac:dyDescent="0.3">
      <c r="A156" s="27"/>
      <c r="B156" s="28" t="s">
        <v>167</v>
      </c>
      <c r="C156" s="189"/>
      <c r="D156" s="65"/>
      <c r="E156" s="65"/>
      <c r="F156" s="65"/>
      <c r="G156" s="31">
        <f>+SUM(F157:F158)</f>
        <v>20260948</v>
      </c>
      <c r="H156" s="32">
        <f>+G156/$G$185</f>
        <v>2.7541292119114061E-2</v>
      </c>
      <c r="I156" s="248"/>
      <c r="J156" s="206"/>
      <c r="K156" s="206"/>
      <c r="L156" s="206"/>
      <c r="M156" s="207"/>
      <c r="N156" s="208"/>
    </row>
    <row r="157" spans="1:14" s="57" customFormat="1" ht="13.8" outlineLevel="1" x14ac:dyDescent="0.3">
      <c r="A157" s="213">
        <v>19.18</v>
      </c>
      <c r="B157" s="214" t="s">
        <v>168</v>
      </c>
      <c r="C157" s="215" t="s">
        <v>28</v>
      </c>
      <c r="D157" s="216">
        <v>1</v>
      </c>
      <c r="E157" s="37">
        <v>16584566</v>
      </c>
      <c r="F157" s="37">
        <f t="shared" si="54"/>
        <v>16584566</v>
      </c>
      <c r="G157" s="181"/>
      <c r="H157" s="32"/>
      <c r="I157" s="245">
        <f>+'SVD 4140_Pto. 01_Cert. 02'!K157</f>
        <v>0</v>
      </c>
      <c r="J157" s="134"/>
      <c r="K157" s="135">
        <f t="shared" ref="K157:K158" si="71">+I157+J157</f>
        <v>0</v>
      </c>
      <c r="L157" s="200">
        <f t="shared" ref="L157:L158" si="72">+F157*I157</f>
        <v>0</v>
      </c>
      <c r="M157" s="200">
        <f t="shared" ref="M157:M158" si="73">+F157*J157</f>
        <v>0</v>
      </c>
      <c r="N157" s="200">
        <f t="shared" ref="N157:N158" si="74">+F157*K157</f>
        <v>0</v>
      </c>
    </row>
    <row r="158" spans="1:14" s="57" customFormat="1" ht="13.8" outlineLevel="1" x14ac:dyDescent="0.3">
      <c r="A158" s="221">
        <v>19.190000000000001</v>
      </c>
      <c r="B158" s="222" t="s">
        <v>169</v>
      </c>
      <c r="C158" s="223" t="s">
        <v>28</v>
      </c>
      <c r="D158" s="224">
        <v>1</v>
      </c>
      <c r="E158" s="60">
        <v>3676382</v>
      </c>
      <c r="F158" s="60">
        <f t="shared" si="54"/>
        <v>3676382</v>
      </c>
      <c r="G158" s="181"/>
      <c r="H158" s="32"/>
      <c r="I158" s="245">
        <f>+'SVD 4140_Pto. 01_Cert. 02'!K158</f>
        <v>0</v>
      </c>
      <c r="J158" s="141"/>
      <c r="K158" s="79">
        <f t="shared" si="71"/>
        <v>0</v>
      </c>
      <c r="L158" s="201">
        <f t="shared" si="72"/>
        <v>0</v>
      </c>
      <c r="M158" s="201">
        <f t="shared" si="73"/>
        <v>0</v>
      </c>
      <c r="N158" s="201">
        <f t="shared" si="74"/>
        <v>0</v>
      </c>
    </row>
    <row r="159" spans="1:14" s="57" customFormat="1" ht="13.8" x14ac:dyDescent="0.3">
      <c r="A159" s="27">
        <v>20</v>
      </c>
      <c r="B159" s="28" t="s">
        <v>170</v>
      </c>
      <c r="C159" s="189"/>
      <c r="D159" s="65"/>
      <c r="E159" s="65"/>
      <c r="F159" s="65"/>
      <c r="G159" s="31">
        <f>+SUM(F160:F161)</f>
        <v>35197776</v>
      </c>
      <c r="H159" s="32">
        <f>+G159/$G$185</f>
        <v>4.7845354065325175E-2</v>
      </c>
      <c r="I159" s="248"/>
      <c r="J159" s="206"/>
      <c r="K159" s="206"/>
      <c r="L159" s="206"/>
      <c r="M159" s="207"/>
      <c r="N159" s="208"/>
    </row>
    <row r="160" spans="1:14" s="57" customFormat="1" ht="13.8" outlineLevel="1" x14ac:dyDescent="0.3">
      <c r="A160" s="213">
        <v>20.010000000000002</v>
      </c>
      <c r="B160" s="214" t="s">
        <v>171</v>
      </c>
      <c r="C160" s="215" t="s">
        <v>47</v>
      </c>
      <c r="D160" s="216">
        <v>36</v>
      </c>
      <c r="E160" s="37">
        <v>740165</v>
      </c>
      <c r="F160" s="37">
        <f t="shared" si="54"/>
        <v>26645940</v>
      </c>
      <c r="G160" s="181"/>
      <c r="H160" s="32"/>
      <c r="I160" s="245">
        <f>+'SVD 4140_Pto. 01_Cert. 02'!K160</f>
        <v>0</v>
      </c>
      <c r="J160" s="134"/>
      <c r="K160" s="135">
        <f t="shared" ref="K160:K161" si="75">+I160+J160</f>
        <v>0</v>
      </c>
      <c r="L160" s="200">
        <f t="shared" ref="L160:L161" si="76">+F160*I160</f>
        <v>0</v>
      </c>
      <c r="M160" s="200">
        <f t="shared" ref="M160:M161" si="77">+F160*J160</f>
        <v>0</v>
      </c>
      <c r="N160" s="200">
        <f t="shared" ref="N160:N161" si="78">+F160*K160</f>
        <v>0</v>
      </c>
    </row>
    <row r="161" spans="1:14" s="57" customFormat="1" ht="13.8" outlineLevel="1" x14ac:dyDescent="0.3">
      <c r="A161" s="221">
        <v>20.02</v>
      </c>
      <c r="B161" s="222" t="s">
        <v>172</v>
      </c>
      <c r="C161" s="223" t="s">
        <v>47</v>
      </c>
      <c r="D161" s="224">
        <v>36</v>
      </c>
      <c r="E161" s="60">
        <v>237551</v>
      </c>
      <c r="F161" s="60">
        <f t="shared" si="54"/>
        <v>8551836</v>
      </c>
      <c r="G161" s="181"/>
      <c r="H161" s="32"/>
      <c r="I161" s="245">
        <f>+'SVD 4140_Pto. 01_Cert. 02'!K161</f>
        <v>0</v>
      </c>
      <c r="J161" s="141"/>
      <c r="K161" s="79">
        <f t="shared" si="75"/>
        <v>0</v>
      </c>
      <c r="L161" s="201">
        <f t="shared" si="76"/>
        <v>0</v>
      </c>
      <c r="M161" s="201">
        <f t="shared" si="77"/>
        <v>0</v>
      </c>
      <c r="N161" s="201">
        <f t="shared" si="78"/>
        <v>0</v>
      </c>
    </row>
    <row r="162" spans="1:14" s="57" customFormat="1" ht="13.8" x14ac:dyDescent="0.3">
      <c r="A162" s="27">
        <v>21</v>
      </c>
      <c r="B162" s="28" t="s">
        <v>173</v>
      </c>
      <c r="C162" s="189"/>
      <c r="D162" s="65"/>
      <c r="E162" s="65"/>
      <c r="F162" s="65"/>
      <c r="G162" s="31">
        <f>+SUM(F163)</f>
        <v>0</v>
      </c>
      <c r="H162" s="32">
        <f>+G162/$G$185</f>
        <v>0</v>
      </c>
      <c r="I162" s="248"/>
      <c r="J162" s="206"/>
      <c r="K162" s="206"/>
      <c r="L162" s="206"/>
      <c r="M162" s="207"/>
      <c r="N162" s="208"/>
    </row>
    <row r="163" spans="1:14" s="57" customFormat="1" ht="13.8" outlineLevel="1" x14ac:dyDescent="0.3">
      <c r="A163" s="231">
        <v>21.01</v>
      </c>
      <c r="B163" s="232" t="s">
        <v>174</v>
      </c>
      <c r="C163" s="233" t="s">
        <v>28</v>
      </c>
      <c r="D163" s="234">
        <v>0</v>
      </c>
      <c r="E163" s="235">
        <v>0</v>
      </c>
      <c r="F163" s="235">
        <f t="shared" si="54"/>
        <v>0</v>
      </c>
      <c r="G163" s="181"/>
      <c r="H163" s="32"/>
      <c r="I163" s="245">
        <f>+'SVD 4140_Pto. 01_Cert. 02'!K163</f>
        <v>0</v>
      </c>
      <c r="J163" s="134"/>
      <c r="K163" s="135">
        <f t="shared" ref="K163" si="79">+I163+J163</f>
        <v>0</v>
      </c>
      <c r="L163" s="200">
        <f t="shared" ref="L163" si="80">+F163*I163</f>
        <v>0</v>
      </c>
      <c r="M163" s="200">
        <f t="shared" ref="M163" si="81">+F163*J163</f>
        <v>0</v>
      </c>
      <c r="N163" s="200">
        <f t="shared" ref="N163" si="82">+F163*K163</f>
        <v>0</v>
      </c>
    </row>
    <row r="164" spans="1:14" s="57" customFormat="1" ht="13.8" x14ac:dyDescent="0.3">
      <c r="A164" s="27">
        <v>22</v>
      </c>
      <c r="B164" s="28" t="s">
        <v>175</v>
      </c>
      <c r="C164" s="189"/>
      <c r="D164" s="65"/>
      <c r="E164" s="65"/>
      <c r="F164" s="65"/>
      <c r="G164" s="31">
        <f>+SUM(F165:F166)</f>
        <v>2671152</v>
      </c>
      <c r="H164" s="32">
        <f>+G164/$G$185</f>
        <v>3.630974104792913E-3</v>
      </c>
      <c r="I164" s="248"/>
      <c r="J164" s="206"/>
      <c r="K164" s="206"/>
      <c r="L164" s="206"/>
      <c r="M164" s="207"/>
      <c r="N164" s="208"/>
    </row>
    <row r="165" spans="1:14" s="57" customFormat="1" ht="13.8" outlineLevel="1" x14ac:dyDescent="0.3">
      <c r="A165" s="213">
        <v>22.01</v>
      </c>
      <c r="B165" s="214" t="s">
        <v>176</v>
      </c>
      <c r="C165" s="215" t="s">
        <v>47</v>
      </c>
      <c r="D165" s="216">
        <v>16</v>
      </c>
      <c r="E165" s="37">
        <v>80944</v>
      </c>
      <c r="F165" s="37">
        <f t="shared" si="54"/>
        <v>1295104</v>
      </c>
      <c r="G165" s="181"/>
      <c r="H165" s="32"/>
      <c r="I165" s="245">
        <f>+'SVD 4140_Pto. 01_Cert. 02'!K165</f>
        <v>0</v>
      </c>
      <c r="J165" s="141"/>
      <c r="K165" s="79">
        <f t="shared" ref="K165:K166" si="83">+I165+J165</f>
        <v>0</v>
      </c>
      <c r="L165" s="201">
        <f t="shared" ref="L165:L166" si="84">+F165*I165</f>
        <v>0</v>
      </c>
      <c r="M165" s="201">
        <f t="shared" ref="M165:M166" si="85">+F165*J165</f>
        <v>0</v>
      </c>
      <c r="N165" s="201">
        <f t="shared" ref="N165:N166" si="86">+F165*K165</f>
        <v>0</v>
      </c>
    </row>
    <row r="166" spans="1:14" s="57" customFormat="1" ht="13.8" outlineLevel="1" x14ac:dyDescent="0.3">
      <c r="A166" s="221">
        <v>22.02</v>
      </c>
      <c r="B166" s="222" t="s">
        <v>177</v>
      </c>
      <c r="C166" s="223" t="s">
        <v>47</v>
      </c>
      <c r="D166" s="224">
        <v>17</v>
      </c>
      <c r="E166" s="60">
        <v>80944</v>
      </c>
      <c r="F166" s="60">
        <f t="shared" si="54"/>
        <v>1376048</v>
      </c>
      <c r="G166" s="181"/>
      <c r="H166" s="32"/>
      <c r="I166" s="245">
        <f>+'SVD 4140_Pto. 01_Cert. 02'!K166</f>
        <v>0</v>
      </c>
      <c r="J166" s="141"/>
      <c r="K166" s="79">
        <f t="shared" si="83"/>
        <v>0</v>
      </c>
      <c r="L166" s="201">
        <f t="shared" si="84"/>
        <v>0</v>
      </c>
      <c r="M166" s="201">
        <f t="shared" si="85"/>
        <v>0</v>
      </c>
      <c r="N166" s="201">
        <f t="shared" si="86"/>
        <v>0</v>
      </c>
    </row>
    <row r="167" spans="1:14" s="57" customFormat="1" ht="13.8" x14ac:dyDescent="0.3">
      <c r="A167" s="27">
        <v>23</v>
      </c>
      <c r="B167" s="28" t="s">
        <v>178</v>
      </c>
      <c r="C167" s="189"/>
      <c r="D167" s="65"/>
      <c r="E167" s="65"/>
      <c r="F167" s="65"/>
      <c r="G167" s="31">
        <f>+SUM(F168:F170)</f>
        <v>4668180</v>
      </c>
      <c r="H167" s="32">
        <f>+G167/$G$185</f>
        <v>6.3455919754892946E-3</v>
      </c>
      <c r="I167" s="248"/>
      <c r="J167" s="206"/>
      <c r="K167" s="206"/>
      <c r="L167" s="206"/>
      <c r="M167" s="207"/>
      <c r="N167" s="208"/>
    </row>
    <row r="168" spans="1:14" s="57" customFormat="1" ht="13.8" outlineLevel="1" x14ac:dyDescent="0.3">
      <c r="A168" s="213">
        <v>23.01</v>
      </c>
      <c r="B168" s="214" t="s">
        <v>179</v>
      </c>
      <c r="C168" s="215" t="s">
        <v>28</v>
      </c>
      <c r="D168" s="216">
        <v>7</v>
      </c>
      <c r="E168" s="37">
        <v>446402</v>
      </c>
      <c r="F168" s="37">
        <f t="shared" si="54"/>
        <v>3124814</v>
      </c>
      <c r="G168" s="181"/>
      <c r="H168" s="32"/>
      <c r="I168" s="245">
        <f>+'SVD 4140_Pto. 01_Cert. 02'!K168</f>
        <v>0</v>
      </c>
      <c r="J168" s="134"/>
      <c r="K168" s="135">
        <f t="shared" ref="K168:K170" si="87">+I168+J168</f>
        <v>0</v>
      </c>
      <c r="L168" s="200">
        <f t="shared" ref="L168:L170" si="88">+F168*I168</f>
        <v>0</v>
      </c>
      <c r="M168" s="200">
        <f t="shared" ref="M168:M170" si="89">+F168*J168</f>
        <v>0</v>
      </c>
      <c r="N168" s="200">
        <f t="shared" ref="N168:N170" si="90">+F168*K168</f>
        <v>0</v>
      </c>
    </row>
    <row r="169" spans="1:14" s="57" customFormat="1" ht="13.8" outlineLevel="1" x14ac:dyDescent="0.3">
      <c r="A169" s="217">
        <v>23.02</v>
      </c>
      <c r="B169" s="218" t="s">
        <v>180</v>
      </c>
      <c r="C169" s="219" t="s">
        <v>28</v>
      </c>
      <c r="D169" s="220">
        <v>1</v>
      </c>
      <c r="E169" s="42">
        <v>672060</v>
      </c>
      <c r="F169" s="42">
        <f t="shared" si="54"/>
        <v>672060</v>
      </c>
      <c r="G169" s="181"/>
      <c r="H169" s="32"/>
      <c r="I169" s="245">
        <f>+'SVD 4140_Pto. 01_Cert. 02'!K169</f>
        <v>0</v>
      </c>
      <c r="J169" s="141"/>
      <c r="K169" s="79">
        <f t="shared" si="87"/>
        <v>0</v>
      </c>
      <c r="L169" s="201">
        <f t="shared" si="88"/>
        <v>0</v>
      </c>
      <c r="M169" s="201">
        <f t="shared" si="89"/>
        <v>0</v>
      </c>
      <c r="N169" s="201">
        <f t="shared" si="90"/>
        <v>0</v>
      </c>
    </row>
    <row r="170" spans="1:14" s="57" customFormat="1" ht="13.8" outlineLevel="1" x14ac:dyDescent="0.3">
      <c r="A170" s="221">
        <v>23.03</v>
      </c>
      <c r="B170" s="222" t="s">
        <v>181</v>
      </c>
      <c r="C170" s="223" t="s">
        <v>28</v>
      </c>
      <c r="D170" s="224">
        <v>1</v>
      </c>
      <c r="E170" s="60">
        <v>871306</v>
      </c>
      <c r="F170" s="60">
        <f t="shared" si="54"/>
        <v>871306</v>
      </c>
      <c r="G170" s="181"/>
      <c r="H170" s="32"/>
      <c r="I170" s="245">
        <f>+'SVD 4140_Pto. 01_Cert. 02'!K170</f>
        <v>0</v>
      </c>
      <c r="J170" s="141"/>
      <c r="K170" s="79">
        <f t="shared" si="87"/>
        <v>0</v>
      </c>
      <c r="L170" s="201">
        <f t="shared" si="88"/>
        <v>0</v>
      </c>
      <c r="M170" s="201">
        <f t="shared" si="89"/>
        <v>0</v>
      </c>
      <c r="N170" s="201">
        <f t="shared" si="90"/>
        <v>0</v>
      </c>
    </row>
    <row r="171" spans="1:14" s="57" customFormat="1" ht="13.8" x14ac:dyDescent="0.3">
      <c r="A171" s="27">
        <v>24</v>
      </c>
      <c r="B171" s="28" t="s">
        <v>182</v>
      </c>
      <c r="C171" s="189"/>
      <c r="D171" s="65"/>
      <c r="E171" s="65"/>
      <c r="F171" s="65"/>
      <c r="G171" s="31">
        <f>+SUM(F172:F181)</f>
        <v>16311090</v>
      </c>
      <c r="H171" s="32">
        <f>+G171/$G$185</f>
        <v>2.2172135996359112E-2</v>
      </c>
      <c r="I171" s="248"/>
      <c r="J171" s="206"/>
      <c r="K171" s="206"/>
      <c r="L171" s="206"/>
      <c r="M171" s="207"/>
      <c r="N171" s="208"/>
    </row>
    <row r="172" spans="1:14" s="57" customFormat="1" ht="13.8" outlineLevel="1" x14ac:dyDescent="0.3">
      <c r="A172" s="213">
        <v>24.01</v>
      </c>
      <c r="B172" s="214" t="s">
        <v>183</v>
      </c>
      <c r="C172" s="215" t="s">
        <v>184</v>
      </c>
      <c r="D172" s="216">
        <v>6</v>
      </c>
      <c r="E172" s="37">
        <v>753138</v>
      </c>
      <c r="F172" s="37">
        <f t="shared" si="54"/>
        <v>4518828</v>
      </c>
      <c r="G172" s="181"/>
      <c r="H172" s="32"/>
      <c r="I172" s="245">
        <f>+'SVD 4140_Pto. 01_Cert. 02'!K172</f>
        <v>0</v>
      </c>
      <c r="J172" s="134"/>
      <c r="K172" s="135">
        <f t="shared" ref="K172:K181" si="91">+I172+J172</f>
        <v>0</v>
      </c>
      <c r="L172" s="200">
        <f t="shared" ref="L172:L181" si="92">+F172*I172</f>
        <v>0</v>
      </c>
      <c r="M172" s="200">
        <f t="shared" ref="M172:M181" si="93">+F172*J172</f>
        <v>0</v>
      </c>
      <c r="N172" s="200">
        <f t="shared" ref="N172:N181" si="94">+F172*K172</f>
        <v>0</v>
      </c>
    </row>
    <row r="173" spans="1:14" s="57" customFormat="1" ht="13.8" outlineLevel="1" x14ac:dyDescent="0.3">
      <c r="A173" s="217">
        <v>24.02</v>
      </c>
      <c r="B173" s="218" t="s">
        <v>185</v>
      </c>
      <c r="C173" s="219" t="s">
        <v>184</v>
      </c>
      <c r="D173" s="220"/>
      <c r="E173" s="42">
        <v>1944871</v>
      </c>
      <c r="F173" s="42">
        <f t="shared" si="54"/>
        <v>0</v>
      </c>
      <c r="G173" s="181"/>
      <c r="H173" s="32"/>
      <c r="I173" s="245">
        <f>+'SVD 4140_Pto. 01_Cert. 02'!K173</f>
        <v>0</v>
      </c>
      <c r="J173" s="141"/>
      <c r="K173" s="79">
        <f t="shared" si="91"/>
        <v>0</v>
      </c>
      <c r="L173" s="201">
        <f t="shared" si="92"/>
        <v>0</v>
      </c>
      <c r="M173" s="201">
        <f t="shared" si="93"/>
        <v>0</v>
      </c>
      <c r="N173" s="201">
        <f t="shared" si="94"/>
        <v>0</v>
      </c>
    </row>
    <row r="174" spans="1:14" s="57" customFormat="1" ht="13.8" outlineLevel="1" x14ac:dyDescent="0.3">
      <c r="A174" s="217">
        <v>24.03</v>
      </c>
      <c r="B174" s="218" t="s">
        <v>186</v>
      </c>
      <c r="C174" s="219" t="s">
        <v>184</v>
      </c>
      <c r="D174" s="220">
        <v>6</v>
      </c>
      <c r="E174" s="42">
        <v>188533</v>
      </c>
      <c r="F174" s="42">
        <f t="shared" si="54"/>
        <v>1131198</v>
      </c>
      <c r="G174" s="181"/>
      <c r="H174" s="32"/>
      <c r="I174" s="245">
        <f>+'SVD 4140_Pto. 01_Cert. 02'!K174</f>
        <v>0</v>
      </c>
      <c r="J174" s="141"/>
      <c r="K174" s="79">
        <f t="shared" si="91"/>
        <v>0</v>
      </c>
      <c r="L174" s="201">
        <f t="shared" si="92"/>
        <v>0</v>
      </c>
      <c r="M174" s="201">
        <f t="shared" si="93"/>
        <v>0</v>
      </c>
      <c r="N174" s="201">
        <f t="shared" si="94"/>
        <v>0</v>
      </c>
    </row>
    <row r="175" spans="1:14" s="57" customFormat="1" ht="13.8" outlineLevel="1" x14ac:dyDescent="0.3">
      <c r="A175" s="217">
        <v>24.04</v>
      </c>
      <c r="B175" s="218" t="s">
        <v>187</v>
      </c>
      <c r="C175" s="219" t="s">
        <v>28</v>
      </c>
      <c r="D175" s="220"/>
      <c r="E175" s="42">
        <v>4606562</v>
      </c>
      <c r="F175" s="42">
        <f t="shared" si="54"/>
        <v>0</v>
      </c>
      <c r="G175" s="181"/>
      <c r="H175" s="32"/>
      <c r="I175" s="245">
        <f>+'SVD 4140_Pto. 01_Cert. 02'!K175</f>
        <v>0</v>
      </c>
      <c r="J175" s="141"/>
      <c r="K175" s="79">
        <f t="shared" si="91"/>
        <v>0</v>
      </c>
      <c r="L175" s="201">
        <f t="shared" si="92"/>
        <v>0</v>
      </c>
      <c r="M175" s="201">
        <f t="shared" si="93"/>
        <v>0</v>
      </c>
      <c r="N175" s="201">
        <f t="shared" si="94"/>
        <v>0</v>
      </c>
    </row>
    <row r="176" spans="1:14" s="57" customFormat="1" ht="13.8" outlineLevel="1" x14ac:dyDescent="0.3">
      <c r="A176" s="217">
        <v>24.05</v>
      </c>
      <c r="B176" s="218" t="s">
        <v>188</v>
      </c>
      <c r="C176" s="219" t="s">
        <v>184</v>
      </c>
      <c r="D176" s="220">
        <v>6</v>
      </c>
      <c r="E176" s="42">
        <v>696152</v>
      </c>
      <c r="F176" s="42">
        <f t="shared" si="54"/>
        <v>4176912</v>
      </c>
      <c r="G176" s="181"/>
      <c r="H176" s="32"/>
      <c r="I176" s="245">
        <f>+'SVD 4140_Pto. 01_Cert. 02'!K176</f>
        <v>0</v>
      </c>
      <c r="J176" s="141"/>
      <c r="K176" s="79">
        <f t="shared" si="91"/>
        <v>0</v>
      </c>
      <c r="L176" s="201">
        <f t="shared" si="92"/>
        <v>0</v>
      </c>
      <c r="M176" s="201">
        <f t="shared" si="93"/>
        <v>0</v>
      </c>
      <c r="N176" s="201">
        <f t="shared" si="94"/>
        <v>0</v>
      </c>
    </row>
    <row r="177" spans="1:17" s="57" customFormat="1" ht="13.8" outlineLevel="1" x14ac:dyDescent="0.3">
      <c r="A177" s="217">
        <v>24.06</v>
      </c>
      <c r="B177" s="218" t="s">
        <v>189</v>
      </c>
      <c r="C177" s="219" t="s">
        <v>184</v>
      </c>
      <c r="D177" s="220">
        <v>6</v>
      </c>
      <c r="E177" s="42">
        <v>452333</v>
      </c>
      <c r="F177" s="42">
        <f t="shared" si="54"/>
        <v>2713998</v>
      </c>
      <c r="G177" s="181"/>
      <c r="H177" s="32"/>
      <c r="I177" s="245">
        <f>+'SVD 4140_Pto. 01_Cert. 02'!K177</f>
        <v>0</v>
      </c>
      <c r="J177" s="141"/>
      <c r="K177" s="79">
        <f t="shared" si="91"/>
        <v>0</v>
      </c>
      <c r="L177" s="201">
        <f t="shared" si="92"/>
        <v>0</v>
      </c>
      <c r="M177" s="201">
        <f t="shared" si="93"/>
        <v>0</v>
      </c>
      <c r="N177" s="201">
        <f t="shared" si="94"/>
        <v>0</v>
      </c>
    </row>
    <row r="178" spans="1:17" s="57" customFormat="1" ht="13.8" outlineLevel="1" x14ac:dyDescent="0.3">
      <c r="A178" s="217">
        <v>24.07</v>
      </c>
      <c r="B178" s="218" t="s">
        <v>190</v>
      </c>
      <c r="C178" s="219" t="s">
        <v>28</v>
      </c>
      <c r="D178" s="220">
        <v>0</v>
      </c>
      <c r="E178" s="42">
        <v>0</v>
      </c>
      <c r="F178" s="42">
        <f t="shared" si="54"/>
        <v>0</v>
      </c>
      <c r="G178" s="181"/>
      <c r="H178" s="32"/>
      <c r="I178" s="245">
        <f>+'SVD 4140_Pto. 01_Cert. 02'!K178</f>
        <v>0</v>
      </c>
      <c r="J178" s="141"/>
      <c r="K178" s="79">
        <f t="shared" si="91"/>
        <v>0</v>
      </c>
      <c r="L178" s="201">
        <f t="shared" si="92"/>
        <v>0</v>
      </c>
      <c r="M178" s="201">
        <f t="shared" si="93"/>
        <v>0</v>
      </c>
      <c r="N178" s="201">
        <f t="shared" si="94"/>
        <v>0</v>
      </c>
    </row>
    <row r="179" spans="1:17" s="57" customFormat="1" ht="13.8" outlineLevel="1" x14ac:dyDescent="0.3">
      <c r="A179" s="217">
        <v>24.08</v>
      </c>
      <c r="B179" s="218" t="s">
        <v>191</v>
      </c>
      <c r="C179" s="219" t="s">
        <v>184</v>
      </c>
      <c r="D179" s="220">
        <v>6</v>
      </c>
      <c r="E179" s="42">
        <v>314221</v>
      </c>
      <c r="F179" s="42">
        <f t="shared" si="54"/>
        <v>1885326</v>
      </c>
      <c r="G179" s="181"/>
      <c r="H179" s="32"/>
      <c r="I179" s="245">
        <f>+'SVD 4140_Pto. 01_Cert. 02'!K179</f>
        <v>0</v>
      </c>
      <c r="J179" s="141"/>
      <c r="K179" s="79">
        <f t="shared" si="91"/>
        <v>0</v>
      </c>
      <c r="L179" s="201">
        <f t="shared" si="92"/>
        <v>0</v>
      </c>
      <c r="M179" s="201">
        <f t="shared" si="93"/>
        <v>0</v>
      </c>
      <c r="N179" s="201">
        <f t="shared" si="94"/>
        <v>0</v>
      </c>
    </row>
    <row r="180" spans="1:17" s="57" customFormat="1" ht="13.8" outlineLevel="1" x14ac:dyDescent="0.3">
      <c r="A180" s="217">
        <v>24.09</v>
      </c>
      <c r="B180" s="218" t="s">
        <v>192</v>
      </c>
      <c r="C180" s="219" t="s">
        <v>184</v>
      </c>
      <c r="D180" s="220">
        <v>4</v>
      </c>
      <c r="E180" s="42">
        <v>0</v>
      </c>
      <c r="F180" s="42">
        <f t="shared" si="54"/>
        <v>0</v>
      </c>
      <c r="G180" s="181"/>
      <c r="H180" s="32"/>
      <c r="I180" s="245">
        <f>+'SVD 4140_Pto. 01_Cert. 02'!K180</f>
        <v>0</v>
      </c>
      <c r="J180" s="141"/>
      <c r="K180" s="79">
        <f t="shared" si="91"/>
        <v>0</v>
      </c>
      <c r="L180" s="201">
        <f t="shared" si="92"/>
        <v>0</v>
      </c>
      <c r="M180" s="201">
        <f t="shared" si="93"/>
        <v>0</v>
      </c>
      <c r="N180" s="201">
        <f t="shared" si="94"/>
        <v>0</v>
      </c>
    </row>
    <row r="181" spans="1:17" s="57" customFormat="1" ht="13.8" outlineLevel="1" x14ac:dyDescent="0.3">
      <c r="A181" s="221">
        <v>24.1</v>
      </c>
      <c r="B181" s="222" t="s">
        <v>193</v>
      </c>
      <c r="C181" s="223" t="s">
        <v>184</v>
      </c>
      <c r="D181" s="224">
        <v>6</v>
      </c>
      <c r="E181" s="60">
        <v>314138</v>
      </c>
      <c r="F181" s="60">
        <f t="shared" si="54"/>
        <v>1884828</v>
      </c>
      <c r="G181" s="181"/>
      <c r="H181" s="32"/>
      <c r="I181" s="245">
        <f>+'SVD 4140_Pto. 01_Cert. 02'!K181</f>
        <v>0</v>
      </c>
      <c r="J181" s="141"/>
      <c r="K181" s="79">
        <f t="shared" si="91"/>
        <v>0</v>
      </c>
      <c r="L181" s="201">
        <f t="shared" si="92"/>
        <v>0</v>
      </c>
      <c r="M181" s="201">
        <f t="shared" si="93"/>
        <v>0</v>
      </c>
      <c r="N181" s="201">
        <f t="shared" si="94"/>
        <v>0</v>
      </c>
    </row>
    <row r="182" spans="1:17" s="57" customFormat="1" ht="13.8" x14ac:dyDescent="0.3">
      <c r="A182" s="27">
        <v>25</v>
      </c>
      <c r="B182" s="28" t="s">
        <v>194</v>
      </c>
      <c r="C182" s="189"/>
      <c r="D182" s="65"/>
      <c r="E182" s="65"/>
      <c r="F182" s="65"/>
      <c r="G182" s="31">
        <f>+SUM(F183:F184)</f>
        <v>32415288</v>
      </c>
      <c r="H182" s="32">
        <f>+G182/$G$185</f>
        <v>4.4063037718334433E-2</v>
      </c>
      <c r="I182" s="248"/>
      <c r="J182" s="206"/>
      <c r="K182" s="206"/>
      <c r="L182" s="206"/>
      <c r="M182" s="207"/>
      <c r="N182" s="208"/>
    </row>
    <row r="183" spans="1:17" s="57" customFormat="1" ht="13.8" outlineLevel="1" x14ac:dyDescent="0.3">
      <c r="A183" s="213">
        <v>25.01</v>
      </c>
      <c r="B183" s="214" t="s">
        <v>195</v>
      </c>
      <c r="C183" s="215" t="s">
        <v>184</v>
      </c>
      <c r="D183" s="216">
        <v>6</v>
      </c>
      <c r="E183" s="37">
        <v>4774106</v>
      </c>
      <c r="F183" s="37">
        <f t="shared" si="54"/>
        <v>28644636</v>
      </c>
      <c r="G183" s="181"/>
      <c r="H183" s="32"/>
      <c r="I183" s="245">
        <f>+'SVD 4140_Pto. 01_Cert. 02'!K183</f>
        <v>0</v>
      </c>
      <c r="J183" s="141"/>
      <c r="K183" s="79">
        <f t="shared" ref="K183:K184" si="95">+I183+J183</f>
        <v>0</v>
      </c>
      <c r="L183" s="201">
        <f t="shared" ref="L183:L184" si="96">+F183*I183</f>
        <v>0</v>
      </c>
      <c r="M183" s="201">
        <f t="shared" ref="M183:M184" si="97">+F183*J183</f>
        <v>0</v>
      </c>
      <c r="N183" s="201">
        <f t="shared" ref="N183:N184" si="98">+F183*K183</f>
        <v>0</v>
      </c>
    </row>
    <row r="184" spans="1:17" s="57" customFormat="1" ht="13.8" outlineLevel="1" x14ac:dyDescent="0.3">
      <c r="A184" s="221">
        <v>25.02</v>
      </c>
      <c r="B184" s="222" t="s">
        <v>196</v>
      </c>
      <c r="C184" s="223" t="s">
        <v>184</v>
      </c>
      <c r="D184" s="224">
        <v>6</v>
      </c>
      <c r="E184" s="60">
        <v>628442</v>
      </c>
      <c r="F184" s="60">
        <f t="shared" si="54"/>
        <v>3770652</v>
      </c>
      <c r="G184" s="181"/>
      <c r="H184" s="32"/>
      <c r="I184" s="245">
        <f>+'SVD 4140_Pto. 01_Cert. 02'!K184</f>
        <v>0</v>
      </c>
      <c r="J184" s="141"/>
      <c r="K184" s="79">
        <f t="shared" si="95"/>
        <v>0</v>
      </c>
      <c r="L184" s="201">
        <f t="shared" si="96"/>
        <v>0</v>
      </c>
      <c r="M184" s="201">
        <f t="shared" si="97"/>
        <v>0</v>
      </c>
      <c r="N184" s="201">
        <f t="shared" si="98"/>
        <v>0</v>
      </c>
    </row>
    <row r="185" spans="1:17" s="57" customFormat="1" ht="13.8" x14ac:dyDescent="0.3">
      <c r="A185" s="27"/>
      <c r="B185" s="28" t="s">
        <v>197</v>
      </c>
      <c r="C185" s="189"/>
      <c r="D185" s="65"/>
      <c r="E185" s="65"/>
      <c r="F185" s="65">
        <f>+SUM(F9:F184)</f>
        <v>735657133.01950002</v>
      </c>
      <c r="G185" s="31">
        <f>+SUM(G9:G184)</f>
        <v>735657133.01950002</v>
      </c>
      <c r="H185" s="32">
        <f>+SUM(H9:H184)</f>
        <v>1</v>
      </c>
      <c r="I185" s="205"/>
      <c r="J185" s="206"/>
      <c r="K185" s="206"/>
      <c r="L185" s="237">
        <f>+SUM(L10:L184)</f>
        <v>37187203.049999997</v>
      </c>
      <c r="M185" s="237">
        <f>+SUM(M10:M184)</f>
        <v>13812309.480000002</v>
      </c>
      <c r="N185" s="238">
        <f>+SUM(N10:N184)</f>
        <v>50999512.529999994</v>
      </c>
    </row>
    <row r="186" spans="1:17" s="57" customFormat="1" ht="13.8" x14ac:dyDescent="0.3">
      <c r="A186" s="178"/>
      <c r="B186" s="145" t="s">
        <v>198</v>
      </c>
      <c r="C186" s="179"/>
      <c r="D186" s="180"/>
      <c r="E186" s="181"/>
      <c r="F186" s="181"/>
      <c r="G186" s="181"/>
      <c r="H186" s="32"/>
      <c r="L186" s="7"/>
      <c r="M186" s="170">
        <f>+M185/G185</f>
        <v>1.8775471425536875E-2</v>
      </c>
      <c r="N186" s="170">
        <f>+N185/G185</f>
        <v>6.9325111170570483E-2</v>
      </c>
    </row>
    <row r="187" spans="1:17" ht="12.75" customHeight="1" x14ac:dyDescent="0.3">
      <c r="M187" s="57"/>
      <c r="N187" s="57"/>
    </row>
    <row r="188" spans="1:17" ht="12.75" customHeight="1" x14ac:dyDescent="0.3">
      <c r="A188" s="81"/>
      <c r="B188" s="68" t="s">
        <v>199</v>
      </c>
      <c r="C188" s="82"/>
      <c r="D188" s="83"/>
      <c r="E188" s="84"/>
      <c r="F188" s="85"/>
      <c r="G188" s="86"/>
      <c r="H188" s="86"/>
      <c r="I188" s="87"/>
      <c r="J188" s="88"/>
      <c r="K188" s="89" t="s">
        <v>200</v>
      </c>
      <c r="L188" s="90">
        <f>+J5</f>
        <v>3</v>
      </c>
      <c r="M188" s="91"/>
      <c r="N188" s="92">
        <f>+N5</f>
        <v>46020</v>
      </c>
    </row>
    <row r="189" spans="1:17" ht="12.75" customHeight="1" x14ac:dyDescent="0.3">
      <c r="A189" s="93"/>
      <c r="B189" s="68" t="s">
        <v>6</v>
      </c>
      <c r="C189" s="91"/>
      <c r="D189" s="94"/>
      <c r="E189" s="95"/>
      <c r="F189" s="86"/>
      <c r="G189" s="86"/>
      <c r="H189" s="86"/>
      <c r="I189" s="96"/>
      <c r="J189" s="97"/>
      <c r="K189" s="96"/>
      <c r="L189" s="68"/>
      <c r="M189" s="91" t="s">
        <v>201</v>
      </c>
      <c r="N189" s="98" t="s">
        <v>202</v>
      </c>
    </row>
    <row r="190" spans="1:17" ht="12.75" customHeight="1" x14ac:dyDescent="0.3">
      <c r="A190" s="146" t="s">
        <v>203</v>
      </c>
      <c r="B190" s="99" t="s">
        <v>204</v>
      </c>
      <c r="C190" s="100"/>
      <c r="D190" s="101"/>
      <c r="E190" s="102"/>
      <c r="F190" s="103"/>
      <c r="G190" s="104"/>
      <c r="H190" s="104"/>
      <c r="I190" s="105"/>
      <c r="J190" s="106"/>
      <c r="K190" s="105"/>
      <c r="L190" s="107"/>
      <c r="M190" s="107"/>
      <c r="N190" s="108">
        <f>+G185</f>
        <v>735657133.01950002</v>
      </c>
      <c r="P190" s="171"/>
      <c r="Q190" s="172"/>
    </row>
    <row r="191" spans="1:17" ht="12.75" customHeight="1" x14ac:dyDescent="0.3">
      <c r="A191" s="109" t="s">
        <v>205</v>
      </c>
      <c r="B191" s="110" t="s">
        <v>206</v>
      </c>
      <c r="C191" s="111"/>
      <c r="D191" s="112"/>
      <c r="E191" s="113"/>
      <c r="F191" s="114"/>
      <c r="G191" s="115"/>
      <c r="H191" s="115"/>
      <c r="I191" s="114"/>
      <c r="J191" s="116"/>
      <c r="K191" s="117"/>
      <c r="L191" s="118"/>
      <c r="M191" s="240">
        <v>0.4</v>
      </c>
      <c r="N191" s="119">
        <f>+M191*N190</f>
        <v>294262853.20780003</v>
      </c>
      <c r="P191" s="173"/>
      <c r="Q191" s="172"/>
    </row>
    <row r="192" spans="1:17" ht="12.75" customHeight="1" x14ac:dyDescent="0.3">
      <c r="A192" s="147" t="s">
        <v>207</v>
      </c>
      <c r="B192" s="120" t="s">
        <v>208</v>
      </c>
      <c r="C192" s="121"/>
      <c r="D192" s="122"/>
      <c r="E192" s="123"/>
      <c r="F192" s="124"/>
      <c r="G192" s="125"/>
      <c r="H192" s="125"/>
      <c r="I192" s="126"/>
      <c r="J192" s="127"/>
      <c r="K192" s="126"/>
      <c r="L192" s="128"/>
      <c r="M192" s="128"/>
      <c r="N192" s="129">
        <f>+M185</f>
        <v>13812309.480000002</v>
      </c>
      <c r="P192" s="171"/>
      <c r="Q192" s="174"/>
    </row>
    <row r="193" spans="1:17" ht="12.75" customHeight="1" x14ac:dyDescent="0.3">
      <c r="A193" s="148" t="s">
        <v>209</v>
      </c>
      <c r="B193" s="149" t="s">
        <v>210</v>
      </c>
      <c r="C193" s="150"/>
      <c r="D193" s="151"/>
      <c r="E193" s="152"/>
      <c r="F193" s="153"/>
      <c r="G193" s="154"/>
      <c r="H193" s="154"/>
      <c r="I193" s="155"/>
      <c r="J193" s="156"/>
      <c r="K193" s="155"/>
      <c r="L193" s="157"/>
      <c r="M193" s="158">
        <f>-M191</f>
        <v>-0.4</v>
      </c>
      <c r="N193" s="159">
        <f>+M193*N192</f>
        <v>-5524923.7920000013</v>
      </c>
      <c r="P193" s="173"/>
      <c r="Q193" s="175"/>
    </row>
    <row r="194" spans="1:17" ht="12.75" customHeight="1" x14ac:dyDescent="0.3">
      <c r="A194" s="160" t="s">
        <v>211</v>
      </c>
      <c r="B194" s="161" t="s">
        <v>212</v>
      </c>
      <c r="C194" s="162"/>
      <c r="D194" s="163"/>
      <c r="E194" s="164"/>
      <c r="F194" s="165"/>
      <c r="G194" s="165"/>
      <c r="H194" s="165"/>
      <c r="I194" s="165"/>
      <c r="J194" s="166"/>
      <c r="K194" s="167"/>
      <c r="L194" s="168"/>
      <c r="M194" s="168"/>
      <c r="N194" s="169">
        <f>+N192+N193</f>
        <v>8287385.688000001</v>
      </c>
      <c r="P194" s="171"/>
      <c r="Q194" s="176"/>
    </row>
    <row r="195" spans="1:17" ht="12.75" customHeight="1" x14ac:dyDescent="0.3">
      <c r="A195" s="177"/>
      <c r="B195" s="2" t="s">
        <v>213</v>
      </c>
      <c r="C195" s="150"/>
      <c r="D195" s="151"/>
      <c r="E195" s="152"/>
      <c r="F195" s="153"/>
      <c r="G195" s="154"/>
      <c r="H195" s="154"/>
      <c r="I195" s="155"/>
      <c r="J195" s="156"/>
      <c r="K195" s="155"/>
      <c r="L195" s="157"/>
    </row>
  </sheetData>
  <mergeCells count="2">
    <mergeCell ref="I7:K7"/>
    <mergeCell ref="L7:N7"/>
  </mergeCells>
  <conditionalFormatting sqref="C3:C12">
    <cfRule type="cellIs" dxfId="158" priority="27" operator="equal">
      <formula>"x"</formula>
    </cfRule>
  </conditionalFormatting>
  <conditionalFormatting sqref="C18">
    <cfRule type="cellIs" dxfId="157" priority="25" operator="equal">
      <formula>"x"</formula>
    </cfRule>
  </conditionalFormatting>
  <conditionalFormatting sqref="C20:C29">
    <cfRule type="cellIs" dxfId="156" priority="24" operator="equal">
      <formula>"x"</formula>
    </cfRule>
  </conditionalFormatting>
  <conditionalFormatting sqref="C37">
    <cfRule type="cellIs" dxfId="155" priority="23" operator="equal">
      <formula>"x"</formula>
    </cfRule>
  </conditionalFormatting>
  <conditionalFormatting sqref="C42:C53">
    <cfRule type="cellIs" dxfId="154" priority="22" operator="equal">
      <formula>"x"</formula>
    </cfRule>
  </conditionalFormatting>
  <conditionalFormatting sqref="C56:C186">
    <cfRule type="cellIs" dxfId="153" priority="21" operator="equal">
      <formula>"x"</formula>
    </cfRule>
  </conditionalFormatting>
  <conditionalFormatting sqref="K10:K17 K19:K25 K27 K29:K36 K38:K45 K47:K50 K52:K55">
    <cfRule type="cellIs" dxfId="152" priority="26" operator="lessThan">
      <formula>1</formula>
    </cfRule>
  </conditionalFormatting>
  <conditionalFormatting sqref="K57:K63">
    <cfRule type="cellIs" dxfId="151" priority="19" operator="lessThan">
      <formula>1</formula>
    </cfRule>
  </conditionalFormatting>
  <conditionalFormatting sqref="K65:K69">
    <cfRule type="cellIs" dxfId="150" priority="18" operator="lessThan">
      <formula>1</formula>
    </cfRule>
  </conditionalFormatting>
  <conditionalFormatting sqref="K71:K74">
    <cfRule type="cellIs" dxfId="149" priority="17" operator="lessThan">
      <formula>1</formula>
    </cfRule>
  </conditionalFormatting>
  <conditionalFormatting sqref="K76:K82">
    <cfRule type="cellIs" dxfId="148" priority="16" operator="lessThan">
      <formula>1</formula>
    </cfRule>
  </conditionalFormatting>
  <conditionalFormatting sqref="K84:K92">
    <cfRule type="cellIs" dxfId="147" priority="15" operator="lessThan">
      <formula>1</formula>
    </cfRule>
  </conditionalFormatting>
  <conditionalFormatting sqref="K94">
    <cfRule type="cellIs" dxfId="146" priority="14" operator="lessThan">
      <formula>1</formula>
    </cfRule>
  </conditionalFormatting>
  <conditionalFormatting sqref="K96:K99">
    <cfRule type="cellIs" dxfId="145" priority="13" operator="lessThan">
      <formula>1</formula>
    </cfRule>
  </conditionalFormatting>
  <conditionalFormatting sqref="K101:K130">
    <cfRule type="cellIs" dxfId="144" priority="20" operator="lessThan">
      <formula>1</formula>
    </cfRule>
  </conditionalFormatting>
  <conditionalFormatting sqref="K133:K136">
    <cfRule type="cellIs" dxfId="143" priority="12" operator="lessThan">
      <formula>1</formula>
    </cfRule>
  </conditionalFormatting>
  <conditionalFormatting sqref="K138:K140 K142:K146">
    <cfRule type="cellIs" dxfId="142" priority="11" operator="lessThan">
      <formula>1</formula>
    </cfRule>
  </conditionalFormatting>
  <conditionalFormatting sqref="K148">
    <cfRule type="cellIs" dxfId="141" priority="10" operator="lessThan">
      <formula>1</formula>
    </cfRule>
  </conditionalFormatting>
  <conditionalFormatting sqref="K150:K153">
    <cfRule type="cellIs" dxfId="140" priority="9" operator="lessThan">
      <formula>1</formula>
    </cfRule>
  </conditionalFormatting>
  <conditionalFormatting sqref="K155">
    <cfRule type="cellIs" dxfId="139" priority="8" operator="lessThan">
      <formula>1</formula>
    </cfRule>
  </conditionalFormatting>
  <conditionalFormatting sqref="K157:K158">
    <cfRule type="cellIs" dxfId="138" priority="7" operator="lessThan">
      <formula>1</formula>
    </cfRule>
  </conditionalFormatting>
  <conditionalFormatting sqref="K160:K161">
    <cfRule type="cellIs" dxfId="137" priority="6" operator="lessThan">
      <formula>1</formula>
    </cfRule>
  </conditionalFormatting>
  <conditionalFormatting sqref="K163">
    <cfRule type="cellIs" dxfId="136" priority="5" operator="lessThan">
      <formula>1</formula>
    </cfRule>
  </conditionalFormatting>
  <conditionalFormatting sqref="K165:K166">
    <cfRule type="cellIs" dxfId="135" priority="4" operator="lessThan">
      <formula>1</formula>
    </cfRule>
  </conditionalFormatting>
  <conditionalFormatting sqref="K168:K170">
    <cfRule type="cellIs" dxfId="134" priority="3" operator="lessThan">
      <formula>1</formula>
    </cfRule>
  </conditionalFormatting>
  <conditionalFormatting sqref="K172:K181">
    <cfRule type="cellIs" dxfId="133" priority="2" operator="lessThan">
      <formula>1</formula>
    </cfRule>
  </conditionalFormatting>
  <conditionalFormatting sqref="K183:K184">
    <cfRule type="cellIs" dxfId="132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/>
  <headerFooter>
    <oddFooter>&amp;C&amp;P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17DF-81F6-414B-ABF3-8E28236EBA71}">
  <dimension ref="A1:S204"/>
  <sheetViews>
    <sheetView workbookViewId="0">
      <pane xSplit="4" ySplit="8" topLeftCell="E175" activePane="bottomRight" state="frozen"/>
      <selection pane="topRight" activeCell="E1" sqref="E1"/>
      <selection pane="bottomLeft" activeCell="A9" sqref="A9"/>
      <selection pane="bottomRight" activeCell="C189" sqref="C189:D193"/>
    </sheetView>
  </sheetViews>
  <sheetFormatPr baseColWidth="10" defaultColWidth="11.5546875" defaultRowHeight="12.75" customHeight="1" outlineLevelRow="1" x14ac:dyDescent="0.3"/>
  <cols>
    <col min="1" max="1" width="6.5546875" style="1" bestFit="1" customWidth="1"/>
    <col min="2" max="2" width="82.6640625" style="2" bestFit="1" customWidth="1"/>
    <col min="3" max="3" width="5.33203125" style="3" bestFit="1" customWidth="1"/>
    <col min="4" max="4" width="8.109375" style="4" bestFit="1" customWidth="1"/>
    <col min="5" max="5" width="11" style="5" bestFit="1" customWidth="1"/>
    <col min="6" max="6" width="11.6640625" style="5" bestFit="1" customWidth="1"/>
    <col min="7" max="7" width="12" style="26" bestFit="1" customWidth="1"/>
    <col min="8" max="8" width="6.33203125" style="7" bestFit="1" customWidth="1"/>
    <col min="9" max="14" width="13.33203125" style="7" customWidth="1"/>
    <col min="15" max="16" width="11.5546875" style="7"/>
    <col min="17" max="17" width="14.44140625" style="7" bestFit="1" customWidth="1"/>
    <col min="18" max="18" width="12.44140625" style="7" bestFit="1" customWidth="1"/>
    <col min="19" max="16384" width="11.5546875" style="7"/>
  </cols>
  <sheetData>
    <row r="1" spans="1:19" ht="12.75" customHeight="1" x14ac:dyDescent="0.3">
      <c r="F1" s="6" t="s">
        <v>0</v>
      </c>
      <c r="G1" s="6" t="s">
        <v>1</v>
      </c>
    </row>
    <row r="2" spans="1:19" ht="13.8" x14ac:dyDescent="0.3">
      <c r="E2" s="69"/>
      <c r="F2" s="9">
        <v>1005</v>
      </c>
      <c r="G2" s="9">
        <v>1170</v>
      </c>
    </row>
    <row r="3" spans="1:19" s="15" customFormat="1" ht="13.8" x14ac:dyDescent="0.25">
      <c r="A3" s="10"/>
      <c r="B3" s="11"/>
      <c r="C3" s="12"/>
      <c r="D3" s="13"/>
      <c r="E3" s="13"/>
      <c r="F3" s="13"/>
      <c r="G3" s="14"/>
    </row>
    <row r="4" spans="1:19" s="15" customFormat="1" ht="13.8" x14ac:dyDescent="0.25">
      <c r="A4" s="10"/>
      <c r="B4" s="11"/>
      <c r="C4" s="12"/>
      <c r="D4" s="13"/>
      <c r="E4" s="13"/>
      <c r="F4" s="16">
        <v>45628</v>
      </c>
      <c r="G4" s="14"/>
    </row>
    <row r="5" spans="1:19" s="15" customFormat="1" ht="13.8" x14ac:dyDescent="0.3">
      <c r="A5" s="10"/>
      <c r="B5" s="8" t="s">
        <v>2</v>
      </c>
      <c r="C5" s="12"/>
      <c r="D5" s="13"/>
      <c r="E5" s="17"/>
      <c r="F5" s="17"/>
      <c r="G5" s="14"/>
      <c r="I5" s="70" t="s">
        <v>3</v>
      </c>
      <c r="J5" s="242">
        <v>4</v>
      </c>
      <c r="K5" s="71"/>
      <c r="L5" s="72"/>
      <c r="M5" s="73"/>
      <c r="N5" s="241">
        <v>46050</v>
      </c>
    </row>
    <row r="6" spans="1:19" s="15" customFormat="1" ht="13.8" x14ac:dyDescent="0.25">
      <c r="A6" s="10"/>
      <c r="B6" s="8" t="s">
        <v>4</v>
      </c>
      <c r="C6" s="18"/>
      <c r="D6" s="19"/>
      <c r="E6" s="20"/>
      <c r="F6" s="20"/>
      <c r="G6" s="14"/>
      <c r="I6" s="74"/>
      <c r="J6" s="75"/>
      <c r="K6" s="74"/>
      <c r="L6" s="76"/>
      <c r="M6" s="76"/>
      <c r="N6" s="76"/>
    </row>
    <row r="7" spans="1:19" ht="13.8" x14ac:dyDescent="0.3">
      <c r="A7" s="21" t="s">
        <v>5</v>
      </c>
      <c r="B7" s="22" t="s">
        <v>6</v>
      </c>
      <c r="C7" s="23" t="s">
        <v>7</v>
      </c>
      <c r="D7" s="24" t="s">
        <v>8</v>
      </c>
      <c r="E7" s="25" t="s">
        <v>9</v>
      </c>
      <c r="F7" s="25" t="s">
        <v>10</v>
      </c>
      <c r="I7" s="297" t="s">
        <v>11</v>
      </c>
      <c r="J7" s="297"/>
      <c r="K7" s="297"/>
      <c r="L7" s="298" t="s">
        <v>12</v>
      </c>
      <c r="M7" s="298"/>
      <c r="N7" s="298"/>
    </row>
    <row r="8" spans="1:19" ht="13.8" x14ac:dyDescent="0.3">
      <c r="A8" s="182"/>
      <c r="B8" s="183" t="s">
        <v>13</v>
      </c>
      <c r="C8" s="29"/>
      <c r="D8" s="30"/>
      <c r="E8" s="30"/>
      <c r="F8" s="30"/>
      <c r="G8" s="184"/>
      <c r="H8" s="32"/>
      <c r="I8" s="77" t="s">
        <v>14</v>
      </c>
      <c r="J8" s="77" t="s">
        <v>15</v>
      </c>
      <c r="K8" s="77" t="s">
        <v>16</v>
      </c>
      <c r="L8" s="78" t="s">
        <v>14</v>
      </c>
      <c r="M8" s="78" t="s">
        <v>15</v>
      </c>
      <c r="N8" s="78" t="s">
        <v>16</v>
      </c>
    </row>
    <row r="9" spans="1:19" ht="13.8" x14ac:dyDescent="0.3">
      <c r="A9" s="27">
        <v>4</v>
      </c>
      <c r="B9" s="28" t="s">
        <v>17</v>
      </c>
      <c r="C9" s="189"/>
      <c r="D9" s="65"/>
      <c r="E9" s="65"/>
      <c r="F9" s="65"/>
      <c r="G9" s="31">
        <f>+SUM(F10:F17)</f>
        <v>54302889.68</v>
      </c>
      <c r="H9" s="32">
        <f>+G9/$G$185</f>
        <v>7.3815487191858167E-2</v>
      </c>
      <c r="I9" s="139"/>
      <c r="J9" s="140"/>
      <c r="K9" s="130"/>
      <c r="L9" s="130"/>
      <c r="M9" s="130"/>
      <c r="N9" s="66"/>
    </row>
    <row r="10" spans="1:19" ht="13.8" outlineLevel="1" x14ac:dyDescent="0.3">
      <c r="A10" s="33">
        <v>4.01</v>
      </c>
      <c r="B10" s="34" t="s">
        <v>18</v>
      </c>
      <c r="C10" s="35" t="s">
        <v>19</v>
      </c>
      <c r="D10" s="36">
        <v>819</v>
      </c>
      <c r="E10" s="37">
        <v>18993</v>
      </c>
      <c r="F10" s="37">
        <f>+D10*E10</f>
        <v>15555267</v>
      </c>
      <c r="G10" s="5"/>
      <c r="H10" s="32"/>
      <c r="I10" s="244">
        <f>+'SVD 4140_Pto. 01_Cert. 03'!K10</f>
        <v>0.35</v>
      </c>
      <c r="J10" s="249">
        <v>0.2</v>
      </c>
      <c r="K10" s="135">
        <f t="shared" ref="K10:K55" si="0">+I10+J10</f>
        <v>0.55000000000000004</v>
      </c>
      <c r="L10" s="80">
        <f t="shared" ref="L10:L55" si="1">+F10*I10</f>
        <v>5444343.4499999993</v>
      </c>
      <c r="M10" s="80">
        <f t="shared" ref="M10:M55" si="2">+F10*J10</f>
        <v>3111053.4000000004</v>
      </c>
      <c r="N10" s="80">
        <f t="shared" ref="N10:N55" si="3">+F10*K10</f>
        <v>8555396.8500000015</v>
      </c>
    </row>
    <row r="11" spans="1:19" ht="16.5" customHeight="1" outlineLevel="1" x14ac:dyDescent="0.3">
      <c r="A11" s="38">
        <v>4.0199999999999996</v>
      </c>
      <c r="B11" s="39" t="s">
        <v>20</v>
      </c>
      <c r="C11" s="40" t="s">
        <v>19</v>
      </c>
      <c r="D11" s="41">
        <v>612</v>
      </c>
      <c r="E11" s="42">
        <v>25172</v>
      </c>
      <c r="F11" s="42">
        <f t="shared" ref="F11:F74" si="4">+D11*E11</f>
        <v>15405264</v>
      </c>
      <c r="G11" s="5"/>
      <c r="H11" s="32"/>
      <c r="I11" s="245">
        <f>+'SVD 4140_Pto. 01_Cert. 03'!K11</f>
        <v>0.25</v>
      </c>
      <c r="J11" s="250">
        <v>0.25</v>
      </c>
      <c r="K11" s="79">
        <f t="shared" si="0"/>
        <v>0.5</v>
      </c>
      <c r="L11" s="80">
        <f>+F11*I11</f>
        <v>3851316</v>
      </c>
      <c r="M11" s="80">
        <f t="shared" si="2"/>
        <v>3851316</v>
      </c>
      <c r="N11" s="80">
        <f t="shared" si="3"/>
        <v>7702632</v>
      </c>
      <c r="S11" s="243"/>
    </row>
    <row r="12" spans="1:19" ht="13.8" outlineLevel="1" x14ac:dyDescent="0.3">
      <c r="A12" s="38">
        <v>4.03</v>
      </c>
      <c r="B12" s="39" t="s">
        <v>21</v>
      </c>
      <c r="C12" s="43" t="s">
        <v>19</v>
      </c>
      <c r="D12" s="44">
        <v>636</v>
      </c>
      <c r="E12" s="42">
        <v>21109</v>
      </c>
      <c r="F12" s="42">
        <f t="shared" si="4"/>
        <v>13425324</v>
      </c>
      <c r="G12" s="5"/>
      <c r="H12" s="32"/>
      <c r="I12" s="245">
        <f>+'SVD 4140_Pto. 01_Cert. 03'!K12</f>
        <v>0.35</v>
      </c>
      <c r="J12" s="141">
        <v>0.2</v>
      </c>
      <c r="K12" s="79">
        <f t="shared" si="0"/>
        <v>0.55000000000000004</v>
      </c>
      <c r="L12" s="80">
        <f t="shared" si="1"/>
        <v>4698863.3999999994</v>
      </c>
      <c r="M12" s="80">
        <f t="shared" si="2"/>
        <v>2685064.8000000003</v>
      </c>
      <c r="N12" s="80">
        <f t="shared" si="3"/>
        <v>7383928.2000000002</v>
      </c>
      <c r="Q12" s="243"/>
    </row>
    <row r="13" spans="1:19" ht="27.6" outlineLevel="1" x14ac:dyDescent="0.3">
      <c r="A13" s="38">
        <v>4.04</v>
      </c>
      <c r="B13" s="39" t="s">
        <v>22</v>
      </c>
      <c r="C13" s="40" t="s">
        <v>19</v>
      </c>
      <c r="D13" s="41">
        <v>195</v>
      </c>
      <c r="E13" s="42">
        <v>15092</v>
      </c>
      <c r="F13" s="42">
        <f t="shared" si="4"/>
        <v>2942940</v>
      </c>
      <c r="G13" s="5"/>
      <c r="H13" s="32"/>
      <c r="I13" s="245">
        <f>+'SVD 4140_Pto. 01_Cert. 03'!K13</f>
        <v>0.15</v>
      </c>
      <c r="J13" s="141"/>
      <c r="K13" s="79">
        <f t="shared" si="0"/>
        <v>0.15</v>
      </c>
      <c r="L13" s="80">
        <f t="shared" si="1"/>
        <v>441441</v>
      </c>
      <c r="M13" s="80">
        <f t="shared" si="2"/>
        <v>0</v>
      </c>
      <c r="N13" s="80">
        <f t="shared" si="3"/>
        <v>441441</v>
      </c>
    </row>
    <row r="14" spans="1:19" ht="13.8" outlineLevel="1" x14ac:dyDescent="0.3">
      <c r="A14" s="38">
        <v>4.05</v>
      </c>
      <c r="B14" s="39" t="s">
        <v>23</v>
      </c>
      <c r="C14" s="40" t="s">
        <v>19</v>
      </c>
      <c r="D14" s="41">
        <v>30.053999999999998</v>
      </c>
      <c r="E14" s="42">
        <v>67420</v>
      </c>
      <c r="F14" s="42">
        <f t="shared" si="4"/>
        <v>2026240.68</v>
      </c>
      <c r="G14" s="5"/>
      <c r="H14" s="32"/>
      <c r="I14" s="245">
        <f>+'SVD 4140_Pto. 01_Cert. 03'!K14</f>
        <v>0</v>
      </c>
      <c r="J14" s="136"/>
      <c r="K14" s="79">
        <f t="shared" si="0"/>
        <v>0</v>
      </c>
      <c r="L14" s="80">
        <f t="shared" si="1"/>
        <v>0</v>
      </c>
      <c r="M14" s="80">
        <f t="shared" si="2"/>
        <v>0</v>
      </c>
      <c r="N14" s="80">
        <f t="shared" si="3"/>
        <v>0</v>
      </c>
    </row>
    <row r="15" spans="1:19" ht="13.8" outlineLevel="1" x14ac:dyDescent="0.3">
      <c r="A15" s="38">
        <v>4.0599999999999996</v>
      </c>
      <c r="B15" s="39" t="s">
        <v>24</v>
      </c>
      <c r="C15" s="40" t="s">
        <v>19</v>
      </c>
      <c r="D15" s="41">
        <v>24</v>
      </c>
      <c r="E15" s="42">
        <v>54908</v>
      </c>
      <c r="F15" s="42">
        <f t="shared" si="4"/>
        <v>1317792</v>
      </c>
      <c r="G15" s="5"/>
      <c r="H15" s="32"/>
      <c r="I15" s="245">
        <f>+'SVD 4140_Pto. 01_Cert. 03'!K15</f>
        <v>0</v>
      </c>
      <c r="J15" s="136"/>
      <c r="K15" s="79">
        <f t="shared" si="0"/>
        <v>0</v>
      </c>
      <c r="L15" s="80">
        <f t="shared" si="1"/>
        <v>0</v>
      </c>
      <c r="M15" s="80">
        <f t="shared" si="2"/>
        <v>0</v>
      </c>
      <c r="N15" s="80">
        <f t="shared" si="3"/>
        <v>0</v>
      </c>
    </row>
    <row r="16" spans="1:19" ht="13.8" outlineLevel="1" x14ac:dyDescent="0.3">
      <c r="A16" s="38">
        <v>4.07</v>
      </c>
      <c r="B16" s="39" t="s">
        <v>25</v>
      </c>
      <c r="C16" s="40" t="s">
        <v>26</v>
      </c>
      <c r="D16" s="41">
        <v>81</v>
      </c>
      <c r="E16" s="42">
        <v>30989</v>
      </c>
      <c r="F16" s="42">
        <f t="shared" si="4"/>
        <v>2510109</v>
      </c>
      <c r="G16" s="5"/>
      <c r="H16" s="32"/>
      <c r="I16" s="245">
        <f>+'SVD 4140_Pto. 01_Cert. 03'!K16</f>
        <v>0</v>
      </c>
      <c r="J16" s="136"/>
      <c r="K16" s="79">
        <f t="shared" si="0"/>
        <v>0</v>
      </c>
      <c r="L16" s="80">
        <f t="shared" si="1"/>
        <v>0</v>
      </c>
      <c r="M16" s="80">
        <f t="shared" si="2"/>
        <v>0</v>
      </c>
      <c r="N16" s="80">
        <f t="shared" si="3"/>
        <v>0</v>
      </c>
    </row>
    <row r="17" spans="1:18" ht="13.8" outlineLevel="1" x14ac:dyDescent="0.3">
      <c r="A17" s="38">
        <v>4.08</v>
      </c>
      <c r="B17" s="39" t="s">
        <v>27</v>
      </c>
      <c r="C17" s="40" t="s">
        <v>28</v>
      </c>
      <c r="D17" s="41">
        <v>1</v>
      </c>
      <c r="E17" s="42">
        <v>1119953</v>
      </c>
      <c r="F17" s="42">
        <f t="shared" si="4"/>
        <v>1119953</v>
      </c>
      <c r="G17" s="5"/>
      <c r="H17" s="32"/>
      <c r="I17" s="245">
        <f>+'SVD 4140_Pto. 01_Cert. 03'!K17</f>
        <v>0.5</v>
      </c>
      <c r="J17" s="136"/>
      <c r="K17" s="79">
        <f t="shared" si="0"/>
        <v>0.5</v>
      </c>
      <c r="L17" s="80">
        <f t="shared" si="1"/>
        <v>559976.5</v>
      </c>
      <c r="M17" s="80">
        <f t="shared" si="2"/>
        <v>0</v>
      </c>
      <c r="N17" s="80">
        <f t="shared" si="3"/>
        <v>559976.5</v>
      </c>
    </row>
    <row r="18" spans="1:18" ht="13.8" x14ac:dyDescent="0.3">
      <c r="A18" s="27">
        <v>5</v>
      </c>
      <c r="B18" s="28" t="s">
        <v>29</v>
      </c>
      <c r="C18" s="189"/>
      <c r="D18" s="65"/>
      <c r="E18" s="65"/>
      <c r="F18" s="65"/>
      <c r="G18" s="31">
        <f>+SUM(F19:F25)</f>
        <v>35966419</v>
      </c>
      <c r="H18" s="32">
        <f>+G18/$G$185</f>
        <v>4.8890192707540352E-2</v>
      </c>
      <c r="I18" s="246"/>
      <c r="J18" s="140"/>
      <c r="K18" s="130"/>
      <c r="L18" s="130"/>
      <c r="M18" s="130"/>
      <c r="N18" s="66"/>
    </row>
    <row r="19" spans="1:18" ht="13.8" outlineLevel="1" x14ac:dyDescent="0.3">
      <c r="A19" s="33">
        <v>5.01</v>
      </c>
      <c r="B19" s="34" t="s">
        <v>30</v>
      </c>
      <c r="C19" s="35" t="s">
        <v>19</v>
      </c>
      <c r="D19" s="36">
        <v>139.05000000000001</v>
      </c>
      <c r="E19" s="37">
        <v>21800</v>
      </c>
      <c r="F19" s="37">
        <f t="shared" si="4"/>
        <v>3031290.0000000005</v>
      </c>
      <c r="G19" s="195"/>
      <c r="H19" s="32"/>
      <c r="I19" s="245">
        <f>+'SVD 4140_Pto. 01_Cert. 03'!K19</f>
        <v>0</v>
      </c>
      <c r="J19" s="134"/>
      <c r="K19" s="135">
        <f t="shared" ref="K19:K20" si="5">+I19+J19</f>
        <v>0</v>
      </c>
      <c r="L19" s="200">
        <f t="shared" ref="L19:L20" si="6">+F19*I19</f>
        <v>0</v>
      </c>
      <c r="M19" s="200">
        <f t="shared" ref="M19:M20" si="7">+F19*J19</f>
        <v>0</v>
      </c>
      <c r="N19" s="200">
        <f t="shared" ref="N19:N20" si="8">+F19*K19</f>
        <v>0</v>
      </c>
    </row>
    <row r="20" spans="1:18" ht="13.8" outlineLevel="1" x14ac:dyDescent="0.3">
      <c r="A20" s="190">
        <v>5.0199999999999996</v>
      </c>
      <c r="B20" s="191" t="s">
        <v>31</v>
      </c>
      <c r="C20" s="43" t="s">
        <v>19</v>
      </c>
      <c r="D20" s="44">
        <v>300</v>
      </c>
      <c r="E20" s="44">
        <v>5376</v>
      </c>
      <c r="F20" s="44">
        <f t="shared" si="4"/>
        <v>1612800</v>
      </c>
      <c r="G20" s="186"/>
      <c r="H20" s="32"/>
      <c r="I20" s="245">
        <f>+'SVD 4140_Pto. 01_Cert. 03'!K20</f>
        <v>0</v>
      </c>
      <c r="J20" s="136"/>
      <c r="K20" s="79">
        <f t="shared" si="5"/>
        <v>0</v>
      </c>
      <c r="L20" s="201">
        <f t="shared" si="6"/>
        <v>0</v>
      </c>
      <c r="M20" s="201">
        <f t="shared" si="7"/>
        <v>0</v>
      </c>
      <c r="N20" s="201">
        <f t="shared" si="8"/>
        <v>0</v>
      </c>
    </row>
    <row r="21" spans="1:18" ht="13.8" outlineLevel="1" x14ac:dyDescent="0.3">
      <c r="A21" s="38">
        <v>5.03</v>
      </c>
      <c r="B21" s="52" t="s">
        <v>32</v>
      </c>
      <c r="C21" s="49" t="s">
        <v>19</v>
      </c>
      <c r="D21" s="50">
        <v>48</v>
      </c>
      <c r="E21" s="42">
        <v>5376</v>
      </c>
      <c r="F21" s="42">
        <f t="shared" si="4"/>
        <v>258048</v>
      </c>
      <c r="G21" s="196"/>
      <c r="H21" s="32"/>
      <c r="I21" s="245">
        <f>+'SVD 4140_Pto. 01_Cert. 03'!K21</f>
        <v>0</v>
      </c>
      <c r="J21" s="136"/>
      <c r="K21" s="79">
        <f t="shared" si="0"/>
        <v>0</v>
      </c>
      <c r="L21" s="201">
        <f t="shared" si="1"/>
        <v>0</v>
      </c>
      <c r="M21" s="201">
        <f t="shared" si="2"/>
        <v>0</v>
      </c>
      <c r="N21" s="201">
        <f t="shared" si="3"/>
        <v>0</v>
      </c>
      <c r="R21" s="144"/>
    </row>
    <row r="22" spans="1:18" ht="13.8" outlineLevel="1" x14ac:dyDescent="0.3">
      <c r="A22" s="38">
        <v>5.04</v>
      </c>
      <c r="B22" s="39" t="s">
        <v>33</v>
      </c>
      <c r="C22" s="40" t="s">
        <v>19</v>
      </c>
      <c r="D22" s="50">
        <v>262</v>
      </c>
      <c r="E22" s="42">
        <v>4403</v>
      </c>
      <c r="F22" s="42">
        <f t="shared" si="4"/>
        <v>1153586</v>
      </c>
      <c r="G22" s="196"/>
      <c r="H22" s="32"/>
      <c r="I22" s="245">
        <f>+'SVD 4140_Pto. 01_Cert. 03'!K22</f>
        <v>0</v>
      </c>
      <c r="J22" s="136"/>
      <c r="K22" s="79">
        <f t="shared" si="0"/>
        <v>0</v>
      </c>
      <c r="L22" s="201">
        <f t="shared" si="1"/>
        <v>0</v>
      </c>
      <c r="M22" s="201">
        <f t="shared" si="2"/>
        <v>0</v>
      </c>
      <c r="N22" s="201">
        <f t="shared" si="3"/>
        <v>0</v>
      </c>
    </row>
    <row r="23" spans="1:18" ht="13.8" outlineLevel="1" x14ac:dyDescent="0.3">
      <c r="A23" s="38">
        <v>5.05</v>
      </c>
      <c r="B23" s="52" t="s">
        <v>34</v>
      </c>
      <c r="C23" s="49" t="s">
        <v>19</v>
      </c>
      <c r="D23" s="50">
        <v>510</v>
      </c>
      <c r="E23" s="42">
        <v>3578</v>
      </c>
      <c r="F23" s="42">
        <f t="shared" si="4"/>
        <v>1824780</v>
      </c>
      <c r="G23" s="196"/>
      <c r="H23" s="32"/>
      <c r="I23" s="245">
        <f>+'SVD 4140_Pto. 01_Cert. 03'!K23</f>
        <v>0</v>
      </c>
      <c r="J23" s="136"/>
      <c r="K23" s="79">
        <f t="shared" si="0"/>
        <v>0</v>
      </c>
      <c r="L23" s="201">
        <f t="shared" si="1"/>
        <v>0</v>
      </c>
      <c r="M23" s="201">
        <f t="shared" si="2"/>
        <v>0</v>
      </c>
      <c r="N23" s="201">
        <f t="shared" si="3"/>
        <v>0</v>
      </c>
    </row>
    <row r="24" spans="1:18" ht="13.8" outlineLevel="1" x14ac:dyDescent="0.3">
      <c r="A24" s="190">
        <v>5.0599999999999996</v>
      </c>
      <c r="B24" s="191" t="s">
        <v>35</v>
      </c>
      <c r="C24" s="43" t="s">
        <v>19</v>
      </c>
      <c r="D24" s="44">
        <v>510</v>
      </c>
      <c r="E24" s="44">
        <v>21800</v>
      </c>
      <c r="F24" s="44">
        <f t="shared" si="4"/>
        <v>11118000</v>
      </c>
      <c r="G24" s="186"/>
      <c r="H24" s="32"/>
      <c r="I24" s="245">
        <f>+'SVD 4140_Pto. 01_Cert. 03'!K24</f>
        <v>0</v>
      </c>
      <c r="J24" s="136"/>
      <c r="K24" s="79">
        <f t="shared" si="0"/>
        <v>0</v>
      </c>
      <c r="L24" s="201">
        <f t="shared" si="1"/>
        <v>0</v>
      </c>
      <c r="M24" s="201">
        <f t="shared" si="2"/>
        <v>0</v>
      </c>
      <c r="N24" s="201">
        <f t="shared" si="3"/>
        <v>0</v>
      </c>
    </row>
    <row r="25" spans="1:18" ht="13.8" outlineLevel="1" x14ac:dyDescent="0.3">
      <c r="A25" s="45">
        <v>5.07</v>
      </c>
      <c r="B25" s="192" t="s">
        <v>36</v>
      </c>
      <c r="C25" s="193" t="s">
        <v>28</v>
      </c>
      <c r="D25" s="194">
        <v>1</v>
      </c>
      <c r="E25" s="60">
        <v>16967915</v>
      </c>
      <c r="F25" s="60">
        <f t="shared" si="4"/>
        <v>16967915</v>
      </c>
      <c r="G25" s="197"/>
      <c r="H25" s="32"/>
      <c r="I25" s="245">
        <f>+'SVD 4140_Pto. 01_Cert. 03'!K25</f>
        <v>1</v>
      </c>
      <c r="J25" s="137"/>
      <c r="K25" s="138">
        <f t="shared" si="0"/>
        <v>1</v>
      </c>
      <c r="L25" s="202">
        <f t="shared" si="1"/>
        <v>16967915</v>
      </c>
      <c r="M25" s="202">
        <f t="shared" si="2"/>
        <v>0</v>
      </c>
      <c r="N25" s="202">
        <f t="shared" si="3"/>
        <v>16967915</v>
      </c>
    </row>
    <row r="26" spans="1:18" ht="13.8" x14ac:dyDescent="0.3">
      <c r="A26" s="27">
        <v>6</v>
      </c>
      <c r="B26" s="28" t="s">
        <v>37</v>
      </c>
      <c r="C26" s="189"/>
      <c r="D26" s="65"/>
      <c r="E26" s="65"/>
      <c r="F26" s="65"/>
      <c r="G26" s="31">
        <f>+SUM(F27)</f>
        <v>2433900</v>
      </c>
      <c r="H26" s="32">
        <f>+G26/$G$185</f>
        <v>3.3084706050630856E-3</v>
      </c>
      <c r="I26" s="246"/>
      <c r="J26" s="140"/>
      <c r="K26" s="130"/>
      <c r="L26" s="130"/>
      <c r="M26" s="130"/>
      <c r="N26" s="66"/>
    </row>
    <row r="27" spans="1:18" ht="13.8" outlineLevel="1" x14ac:dyDescent="0.3">
      <c r="A27" s="38">
        <v>6.02</v>
      </c>
      <c r="B27" s="51" t="s">
        <v>38</v>
      </c>
      <c r="C27" s="43" t="s">
        <v>26</v>
      </c>
      <c r="D27" s="44">
        <v>60</v>
      </c>
      <c r="E27" s="42">
        <v>40565</v>
      </c>
      <c r="F27" s="42">
        <f t="shared" si="4"/>
        <v>2433900</v>
      </c>
      <c r="G27" s="5"/>
      <c r="H27" s="32"/>
      <c r="I27" s="245">
        <f>+'SVD 4140_Pto. 01_Cert. 03'!K27</f>
        <v>0</v>
      </c>
      <c r="J27" s="136"/>
      <c r="K27" s="79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</row>
    <row r="28" spans="1:18" ht="13.8" x14ac:dyDescent="0.3">
      <c r="A28" s="27">
        <v>7</v>
      </c>
      <c r="B28" s="28" t="s">
        <v>39</v>
      </c>
      <c r="C28" s="189"/>
      <c r="D28" s="65"/>
      <c r="E28" s="65"/>
      <c r="F28" s="65"/>
      <c r="G28" s="31">
        <f>+SUM(F29:F36)</f>
        <v>136390555.29860002</v>
      </c>
      <c r="H28" s="32">
        <f>+G28/$G$185</f>
        <v>0.18539962324403197</v>
      </c>
      <c r="I28" s="246"/>
      <c r="J28" s="140"/>
      <c r="K28" s="130"/>
      <c r="L28" s="130"/>
      <c r="M28" s="130"/>
      <c r="N28" s="66"/>
    </row>
    <row r="29" spans="1:18" ht="13.8" outlineLevel="1" x14ac:dyDescent="0.3">
      <c r="A29" s="38">
        <v>7.01</v>
      </c>
      <c r="B29" s="51" t="s">
        <v>40</v>
      </c>
      <c r="C29" s="43" t="s">
        <v>19</v>
      </c>
      <c r="D29" s="44">
        <v>678.25199999999995</v>
      </c>
      <c r="E29" s="42">
        <v>16571</v>
      </c>
      <c r="F29" s="42">
        <f t="shared" si="4"/>
        <v>11239313.891999999</v>
      </c>
      <c r="G29" s="5"/>
      <c r="H29" s="32"/>
      <c r="I29" s="245">
        <f>+'SVD 4140_Pto. 01_Cert. 03'!K29</f>
        <v>0</v>
      </c>
      <c r="J29" s="136"/>
      <c r="K29" s="79">
        <f t="shared" si="0"/>
        <v>0</v>
      </c>
      <c r="L29" s="80">
        <f t="shared" si="1"/>
        <v>0</v>
      </c>
      <c r="M29" s="80">
        <f t="shared" si="2"/>
        <v>0</v>
      </c>
      <c r="N29" s="80">
        <f t="shared" si="3"/>
        <v>0</v>
      </c>
    </row>
    <row r="30" spans="1:18" ht="13.8" outlineLevel="1" x14ac:dyDescent="0.3">
      <c r="A30" s="38">
        <v>7.02</v>
      </c>
      <c r="B30" s="39" t="s">
        <v>41</v>
      </c>
      <c r="C30" s="49" t="s">
        <v>19</v>
      </c>
      <c r="D30" s="41">
        <v>876.08119999999985</v>
      </c>
      <c r="E30" s="42">
        <v>22183</v>
      </c>
      <c r="F30" s="42">
        <f t="shared" si="4"/>
        <v>19434109.259599999</v>
      </c>
      <c r="G30" s="5"/>
      <c r="H30" s="32"/>
      <c r="I30" s="245">
        <f>+'SVD 4140_Pto. 01_Cert. 03'!K30</f>
        <v>0</v>
      </c>
      <c r="J30" s="136"/>
      <c r="K30" s="79">
        <f t="shared" si="0"/>
        <v>0</v>
      </c>
      <c r="L30" s="80">
        <f t="shared" si="1"/>
        <v>0</v>
      </c>
      <c r="M30" s="80">
        <f t="shared" si="2"/>
        <v>0</v>
      </c>
      <c r="N30" s="80">
        <f t="shared" si="3"/>
        <v>0</v>
      </c>
    </row>
    <row r="31" spans="1:18" ht="13.8" outlineLevel="1" x14ac:dyDescent="0.3">
      <c r="A31" s="38">
        <v>7.03</v>
      </c>
      <c r="B31" s="39" t="s">
        <v>42</v>
      </c>
      <c r="C31" s="49" t="s">
        <v>26</v>
      </c>
      <c r="D31" s="41">
        <v>182</v>
      </c>
      <c r="E31" s="42">
        <v>10806</v>
      </c>
      <c r="F31" s="42">
        <f t="shared" si="4"/>
        <v>1966692</v>
      </c>
      <c r="G31" s="5"/>
      <c r="H31" s="32"/>
      <c r="I31" s="245">
        <f>+'SVD 4140_Pto. 01_Cert. 03'!K31</f>
        <v>0</v>
      </c>
      <c r="J31" s="136"/>
      <c r="K31" s="79">
        <f t="shared" si="0"/>
        <v>0</v>
      </c>
      <c r="L31" s="80">
        <f t="shared" si="1"/>
        <v>0</v>
      </c>
      <c r="M31" s="80">
        <f t="shared" si="2"/>
        <v>0</v>
      </c>
      <c r="N31" s="80">
        <f t="shared" si="3"/>
        <v>0</v>
      </c>
    </row>
    <row r="32" spans="1:18" ht="13.8" outlineLevel="1" x14ac:dyDescent="0.3">
      <c r="A32" s="38">
        <v>7.04</v>
      </c>
      <c r="B32" s="39" t="s">
        <v>43</v>
      </c>
      <c r="C32" s="49" t="s">
        <v>19</v>
      </c>
      <c r="D32" s="41">
        <v>995.85109999999997</v>
      </c>
      <c r="E32" s="42">
        <v>26530</v>
      </c>
      <c r="F32" s="42">
        <f t="shared" si="4"/>
        <v>26419929.682999998</v>
      </c>
      <c r="G32" s="5"/>
      <c r="H32" s="32"/>
      <c r="I32" s="245">
        <f>+'SVD 4140_Pto. 01_Cert. 03'!K32</f>
        <v>0</v>
      </c>
      <c r="J32" s="141">
        <v>0.45</v>
      </c>
      <c r="K32" s="79">
        <f t="shared" si="0"/>
        <v>0.45</v>
      </c>
      <c r="L32" s="80">
        <f t="shared" si="1"/>
        <v>0</v>
      </c>
      <c r="M32" s="80">
        <f t="shared" si="2"/>
        <v>11888968.357349999</v>
      </c>
      <c r="N32" s="80">
        <f t="shared" si="3"/>
        <v>11888968.357349999</v>
      </c>
    </row>
    <row r="33" spans="1:16" ht="13.8" outlineLevel="1" x14ac:dyDescent="0.3">
      <c r="A33" s="38">
        <v>7.05</v>
      </c>
      <c r="B33" s="39" t="s">
        <v>44</v>
      </c>
      <c r="C33" s="49" t="s">
        <v>19</v>
      </c>
      <c r="D33" s="41">
        <v>2514.8970000000013</v>
      </c>
      <c r="E33" s="42">
        <v>22566</v>
      </c>
      <c r="F33" s="42">
        <f t="shared" si="4"/>
        <v>56751165.702000029</v>
      </c>
      <c r="G33" s="5"/>
      <c r="H33" s="32"/>
      <c r="I33" s="245">
        <f>+'SVD 4140_Pto. 01_Cert. 03'!K33</f>
        <v>0</v>
      </c>
      <c r="J33" s="136"/>
      <c r="K33" s="79">
        <f t="shared" si="0"/>
        <v>0</v>
      </c>
      <c r="L33" s="80">
        <f t="shared" si="1"/>
        <v>0</v>
      </c>
      <c r="M33" s="80">
        <f t="shared" si="2"/>
        <v>0</v>
      </c>
      <c r="N33" s="80">
        <f t="shared" si="3"/>
        <v>0</v>
      </c>
    </row>
    <row r="34" spans="1:16" ht="13.8" outlineLevel="1" x14ac:dyDescent="0.3">
      <c r="A34" s="38">
        <v>7.06</v>
      </c>
      <c r="B34" s="39" t="s">
        <v>45</v>
      </c>
      <c r="C34" s="49" t="s">
        <v>26</v>
      </c>
      <c r="D34" s="41">
        <v>509.9</v>
      </c>
      <c r="E34" s="42">
        <v>12771</v>
      </c>
      <c r="F34" s="42">
        <f t="shared" si="4"/>
        <v>6511932.8999999994</v>
      </c>
      <c r="G34" s="5"/>
      <c r="H34" s="32"/>
      <c r="I34" s="245">
        <f>+'SVD 4140_Pto. 01_Cert. 03'!K34</f>
        <v>0</v>
      </c>
      <c r="J34" s="136"/>
      <c r="K34" s="79">
        <f t="shared" si="0"/>
        <v>0</v>
      </c>
      <c r="L34" s="80">
        <f t="shared" si="1"/>
        <v>0</v>
      </c>
      <c r="M34" s="80">
        <f t="shared" si="2"/>
        <v>0</v>
      </c>
      <c r="N34" s="80">
        <f t="shared" si="3"/>
        <v>0</v>
      </c>
    </row>
    <row r="35" spans="1:16" ht="13.8" outlineLevel="1" x14ac:dyDescent="0.3">
      <c r="A35" s="38">
        <v>7.07</v>
      </c>
      <c r="B35" s="39" t="s">
        <v>46</v>
      </c>
      <c r="C35" s="49" t="s">
        <v>47</v>
      </c>
      <c r="D35" s="41">
        <v>198</v>
      </c>
      <c r="E35" s="42">
        <v>14947</v>
      </c>
      <c r="F35" s="42">
        <f t="shared" si="4"/>
        <v>2959506</v>
      </c>
      <c r="G35" s="5"/>
      <c r="H35" s="32"/>
      <c r="I35" s="245">
        <f>+'SVD 4140_Pto. 01_Cert. 03'!K35</f>
        <v>0</v>
      </c>
      <c r="J35" s="136"/>
      <c r="K35" s="79">
        <f t="shared" si="0"/>
        <v>0</v>
      </c>
      <c r="L35" s="80">
        <f t="shared" si="1"/>
        <v>0</v>
      </c>
      <c r="M35" s="80">
        <f t="shared" si="2"/>
        <v>0</v>
      </c>
      <c r="N35" s="80">
        <f t="shared" si="3"/>
        <v>0</v>
      </c>
    </row>
    <row r="36" spans="1:16" ht="13.8" outlineLevel="1" x14ac:dyDescent="0.3">
      <c r="A36" s="38">
        <v>7.08</v>
      </c>
      <c r="B36" s="39" t="s">
        <v>48</v>
      </c>
      <c r="C36" s="49" t="s">
        <v>19</v>
      </c>
      <c r="D36" s="41">
        <v>670.322</v>
      </c>
      <c r="E36" s="42">
        <v>16571</v>
      </c>
      <c r="F36" s="42">
        <f t="shared" si="4"/>
        <v>11107905.862</v>
      </c>
      <c r="G36" s="5"/>
      <c r="H36" s="32"/>
      <c r="I36" s="245">
        <f>+'SVD 4140_Pto. 01_Cert. 03'!K36</f>
        <v>0</v>
      </c>
      <c r="J36" s="136"/>
      <c r="K36" s="79">
        <f t="shared" si="0"/>
        <v>0</v>
      </c>
      <c r="L36" s="80">
        <f t="shared" si="1"/>
        <v>0</v>
      </c>
      <c r="M36" s="80">
        <f t="shared" si="2"/>
        <v>0</v>
      </c>
      <c r="N36" s="80">
        <f t="shared" si="3"/>
        <v>0</v>
      </c>
    </row>
    <row r="37" spans="1:16" ht="13.8" x14ac:dyDescent="0.3">
      <c r="A37" s="27">
        <v>8</v>
      </c>
      <c r="B37" s="28" t="s">
        <v>49</v>
      </c>
      <c r="C37" s="189"/>
      <c r="D37" s="65"/>
      <c r="E37" s="65"/>
      <c r="F37" s="65"/>
      <c r="G37" s="31">
        <f>+SUM(F38:F45)</f>
        <v>44788107</v>
      </c>
      <c r="H37" s="32">
        <f>+G37/$G$185</f>
        <v>6.0881768135880775E-2</v>
      </c>
      <c r="I37" s="246"/>
      <c r="J37" s="140"/>
      <c r="K37" s="130"/>
      <c r="L37" s="130"/>
      <c r="M37" s="130"/>
      <c r="N37" s="66"/>
    </row>
    <row r="38" spans="1:16" ht="13.8" outlineLevel="1" x14ac:dyDescent="0.3">
      <c r="A38" s="33">
        <v>8.01</v>
      </c>
      <c r="B38" s="198" t="s">
        <v>50</v>
      </c>
      <c r="C38" s="61" t="s">
        <v>19</v>
      </c>
      <c r="D38" s="62">
        <v>104</v>
      </c>
      <c r="E38" s="37">
        <v>31920</v>
      </c>
      <c r="F38" s="37">
        <f t="shared" si="4"/>
        <v>3319680</v>
      </c>
      <c r="G38" s="5"/>
      <c r="H38" s="32"/>
      <c r="I38" s="245">
        <f>+'SVD 4140_Pto. 01_Cert. 03'!K38</f>
        <v>1</v>
      </c>
      <c r="J38" s="134"/>
      <c r="K38" s="135">
        <f t="shared" si="0"/>
        <v>1</v>
      </c>
      <c r="L38" s="200">
        <f t="shared" si="1"/>
        <v>3319680</v>
      </c>
      <c r="M38" s="200">
        <f t="shared" si="2"/>
        <v>0</v>
      </c>
      <c r="N38" s="200">
        <f t="shared" si="3"/>
        <v>3319680</v>
      </c>
    </row>
    <row r="39" spans="1:16" ht="13.8" outlineLevel="1" x14ac:dyDescent="0.3">
      <c r="A39" s="38">
        <v>8.02</v>
      </c>
      <c r="B39" s="52" t="s">
        <v>51</v>
      </c>
      <c r="C39" s="49" t="s">
        <v>19</v>
      </c>
      <c r="D39" s="50">
        <v>48</v>
      </c>
      <c r="E39" s="42">
        <v>37268</v>
      </c>
      <c r="F39" s="42">
        <f t="shared" si="4"/>
        <v>1788864</v>
      </c>
      <c r="G39" s="5"/>
      <c r="H39" s="32"/>
      <c r="I39" s="245">
        <f>+'SVD 4140_Pto. 01_Cert. 03'!K39</f>
        <v>0</v>
      </c>
      <c r="J39" s="136"/>
      <c r="K39" s="79">
        <f t="shared" si="0"/>
        <v>0</v>
      </c>
      <c r="L39" s="201">
        <f t="shared" si="1"/>
        <v>0</v>
      </c>
      <c r="M39" s="201">
        <f t="shared" si="2"/>
        <v>0</v>
      </c>
      <c r="N39" s="201">
        <f t="shared" si="3"/>
        <v>0</v>
      </c>
    </row>
    <row r="40" spans="1:16" ht="13.8" outlineLevel="1" x14ac:dyDescent="0.3">
      <c r="A40" s="38">
        <v>8.0299999999999994</v>
      </c>
      <c r="B40" s="52" t="s">
        <v>52</v>
      </c>
      <c r="C40" s="49" t="s">
        <v>19</v>
      </c>
      <c r="D40" s="50">
        <v>235</v>
      </c>
      <c r="E40" s="42">
        <v>32410</v>
      </c>
      <c r="F40" s="42">
        <f t="shared" si="4"/>
        <v>7616350</v>
      </c>
      <c r="G40" s="5"/>
      <c r="H40" s="32"/>
      <c r="I40" s="245">
        <f>+'SVD 4140_Pto. 01_Cert. 03'!K40</f>
        <v>0</v>
      </c>
      <c r="J40" s="136"/>
      <c r="K40" s="79">
        <f t="shared" si="0"/>
        <v>0</v>
      </c>
      <c r="L40" s="201">
        <f t="shared" si="1"/>
        <v>0</v>
      </c>
      <c r="M40" s="201">
        <f t="shared" si="2"/>
        <v>0</v>
      </c>
      <c r="N40" s="201">
        <f t="shared" si="3"/>
        <v>0</v>
      </c>
    </row>
    <row r="41" spans="1:16" ht="13.8" outlineLevel="1" x14ac:dyDescent="0.3">
      <c r="A41" s="38">
        <v>8.0399999999999991</v>
      </c>
      <c r="B41" s="39" t="s">
        <v>53</v>
      </c>
      <c r="C41" s="40" t="s">
        <v>19</v>
      </c>
      <c r="D41" s="50">
        <v>878</v>
      </c>
      <c r="E41" s="42">
        <v>19006</v>
      </c>
      <c r="F41" s="42">
        <f t="shared" si="4"/>
        <v>16687268</v>
      </c>
      <c r="G41" s="5"/>
      <c r="H41" s="32"/>
      <c r="I41" s="245">
        <f>+'SVD 4140_Pto. 01_Cert. 03'!K41</f>
        <v>0</v>
      </c>
      <c r="J41" s="136"/>
      <c r="K41" s="79">
        <f t="shared" si="0"/>
        <v>0</v>
      </c>
      <c r="L41" s="201">
        <f t="shared" si="1"/>
        <v>0</v>
      </c>
      <c r="M41" s="201">
        <f t="shared" si="2"/>
        <v>0</v>
      </c>
      <c r="N41" s="201">
        <f t="shared" si="3"/>
        <v>0</v>
      </c>
    </row>
    <row r="42" spans="1:16" ht="13.8" outlineLevel="1" x14ac:dyDescent="0.3">
      <c r="A42" s="190">
        <v>8.0500000000000007</v>
      </c>
      <c r="B42" s="191" t="s">
        <v>54</v>
      </c>
      <c r="C42" s="43" t="s">
        <v>19</v>
      </c>
      <c r="D42" s="44">
        <v>564</v>
      </c>
      <c r="E42" s="44">
        <v>12439</v>
      </c>
      <c r="F42" s="44">
        <f t="shared" si="4"/>
        <v>7015596</v>
      </c>
      <c r="G42" s="5"/>
      <c r="H42" s="32"/>
      <c r="I42" s="245">
        <f>+'SVD 4140_Pto. 01_Cert. 03'!K42</f>
        <v>0</v>
      </c>
      <c r="J42" s="239"/>
      <c r="K42" s="79">
        <f t="shared" si="0"/>
        <v>0</v>
      </c>
      <c r="L42" s="201">
        <f t="shared" si="1"/>
        <v>0</v>
      </c>
      <c r="M42" s="201">
        <f t="shared" si="2"/>
        <v>0</v>
      </c>
      <c r="N42" s="201">
        <f t="shared" si="3"/>
        <v>0</v>
      </c>
    </row>
    <row r="43" spans="1:16" ht="13.8" outlineLevel="1" x14ac:dyDescent="0.3">
      <c r="A43" s="38">
        <v>8.06</v>
      </c>
      <c r="B43" s="199" t="s">
        <v>55</v>
      </c>
      <c r="C43" s="40" t="s">
        <v>19</v>
      </c>
      <c r="D43" s="41">
        <v>438</v>
      </c>
      <c r="E43" s="42">
        <v>12439</v>
      </c>
      <c r="F43" s="42">
        <f t="shared" si="4"/>
        <v>5448282</v>
      </c>
      <c r="G43" s="5"/>
      <c r="I43" s="245">
        <f>+'SVD 4140_Pto. 01_Cert. 03'!K43</f>
        <v>0</v>
      </c>
      <c r="J43" s="136"/>
      <c r="K43" s="79">
        <f t="shared" si="0"/>
        <v>0</v>
      </c>
      <c r="L43" s="201">
        <f t="shared" si="1"/>
        <v>0</v>
      </c>
      <c r="M43" s="201">
        <f t="shared" si="2"/>
        <v>0</v>
      </c>
      <c r="N43" s="201">
        <f t="shared" si="3"/>
        <v>0</v>
      </c>
      <c r="P43" s="144"/>
    </row>
    <row r="44" spans="1:16" ht="13.8" outlineLevel="1" x14ac:dyDescent="0.3">
      <c r="A44" s="38">
        <v>8.07</v>
      </c>
      <c r="B44" s="199" t="s">
        <v>56</v>
      </c>
      <c r="C44" s="40" t="s">
        <v>28</v>
      </c>
      <c r="D44" s="41">
        <v>1</v>
      </c>
      <c r="E44" s="42">
        <v>2426924</v>
      </c>
      <c r="F44" s="42">
        <f t="shared" si="4"/>
        <v>2426924</v>
      </c>
      <c r="G44" s="5"/>
      <c r="I44" s="245">
        <f>+'SVD 4140_Pto. 01_Cert. 03'!K44</f>
        <v>0</v>
      </c>
      <c r="J44" s="136"/>
      <c r="K44" s="79">
        <f t="shared" si="0"/>
        <v>0</v>
      </c>
      <c r="L44" s="201">
        <f t="shared" si="1"/>
        <v>0</v>
      </c>
      <c r="M44" s="201">
        <f t="shared" si="2"/>
        <v>0</v>
      </c>
      <c r="N44" s="201">
        <f t="shared" si="3"/>
        <v>0</v>
      </c>
    </row>
    <row r="45" spans="1:16" ht="13.8" outlineLevel="1" x14ac:dyDescent="0.3">
      <c r="A45" s="45">
        <v>8.08</v>
      </c>
      <c r="B45" s="59" t="s">
        <v>57</v>
      </c>
      <c r="C45" s="47" t="s">
        <v>28</v>
      </c>
      <c r="D45" s="48">
        <v>1</v>
      </c>
      <c r="E45" s="60">
        <v>485143</v>
      </c>
      <c r="F45" s="60">
        <f t="shared" si="4"/>
        <v>485143</v>
      </c>
      <c r="G45" s="5"/>
      <c r="I45" s="245">
        <f>+'SVD 4140_Pto. 01_Cert. 03'!K45</f>
        <v>0</v>
      </c>
      <c r="J45" s="137"/>
      <c r="K45" s="138">
        <f t="shared" si="0"/>
        <v>0</v>
      </c>
      <c r="L45" s="202">
        <f t="shared" si="1"/>
        <v>0</v>
      </c>
      <c r="M45" s="202">
        <f t="shared" si="2"/>
        <v>0</v>
      </c>
      <c r="N45" s="202">
        <f t="shared" si="3"/>
        <v>0</v>
      </c>
    </row>
    <row r="46" spans="1:16" ht="13.8" x14ac:dyDescent="0.3">
      <c r="A46" s="27">
        <v>9</v>
      </c>
      <c r="B46" s="28" t="s">
        <v>58</v>
      </c>
      <c r="C46" s="189"/>
      <c r="D46" s="65"/>
      <c r="E46" s="65"/>
      <c r="F46" s="65"/>
      <c r="G46" s="31">
        <f>+SUM(F47:F50)</f>
        <v>5769056.5999999996</v>
      </c>
      <c r="H46" s="32">
        <f>+G46/$G$185</f>
        <v>7.8420453511011904E-3</v>
      </c>
      <c r="I46" s="246"/>
      <c r="J46" s="140"/>
      <c r="K46" s="130"/>
      <c r="L46" s="130"/>
      <c r="M46" s="130"/>
      <c r="N46" s="66"/>
    </row>
    <row r="47" spans="1:16" s="57" customFormat="1" ht="13.8" outlineLevel="1" x14ac:dyDescent="0.3">
      <c r="A47" s="38">
        <v>9.01</v>
      </c>
      <c r="B47" s="55" t="s">
        <v>59</v>
      </c>
      <c r="C47" s="56" t="s">
        <v>28</v>
      </c>
      <c r="D47" s="41">
        <v>1</v>
      </c>
      <c r="E47" s="42">
        <v>2024643</v>
      </c>
      <c r="F47" s="42">
        <f t="shared" si="4"/>
        <v>2024643</v>
      </c>
      <c r="G47" s="185"/>
      <c r="H47" s="32"/>
      <c r="I47" s="245">
        <f>+'SVD 4140_Pto. 01_Cert. 03'!K47</f>
        <v>0</v>
      </c>
      <c r="J47" s="141"/>
      <c r="K47" s="79">
        <f t="shared" si="0"/>
        <v>0</v>
      </c>
      <c r="L47" s="80">
        <f t="shared" si="1"/>
        <v>0</v>
      </c>
      <c r="M47" s="80">
        <f t="shared" si="2"/>
        <v>0</v>
      </c>
      <c r="N47" s="80">
        <f t="shared" si="3"/>
        <v>0</v>
      </c>
    </row>
    <row r="48" spans="1:16" s="57" customFormat="1" ht="13.8" outlineLevel="1" x14ac:dyDescent="0.3">
      <c r="A48" s="54">
        <v>9.02</v>
      </c>
      <c r="B48" s="55" t="s">
        <v>60</v>
      </c>
      <c r="C48" s="56" t="s">
        <v>26</v>
      </c>
      <c r="D48" s="41">
        <v>122</v>
      </c>
      <c r="E48" s="42">
        <v>18814</v>
      </c>
      <c r="F48" s="42">
        <f t="shared" si="4"/>
        <v>2295308</v>
      </c>
      <c r="G48" s="185"/>
      <c r="H48" s="32"/>
      <c r="I48" s="245">
        <f>+'SVD 4140_Pto. 01_Cert. 03'!K48</f>
        <v>0</v>
      </c>
      <c r="J48" s="141"/>
      <c r="K48" s="79">
        <f t="shared" si="0"/>
        <v>0</v>
      </c>
      <c r="L48" s="80">
        <f t="shared" si="1"/>
        <v>0</v>
      </c>
      <c r="M48" s="80">
        <f t="shared" si="2"/>
        <v>0</v>
      </c>
      <c r="N48" s="80">
        <f t="shared" si="3"/>
        <v>0</v>
      </c>
    </row>
    <row r="49" spans="1:14" s="57" customFormat="1" ht="13.8" outlineLevel="1" x14ac:dyDescent="0.3">
      <c r="A49" s="38">
        <v>9.0299999999999994</v>
      </c>
      <c r="B49" s="55" t="s">
        <v>61</v>
      </c>
      <c r="C49" s="56" t="s">
        <v>26</v>
      </c>
      <c r="D49" s="41">
        <v>155</v>
      </c>
      <c r="E49" s="42">
        <v>5376</v>
      </c>
      <c r="F49" s="42">
        <f t="shared" si="4"/>
        <v>833280</v>
      </c>
      <c r="G49" s="185"/>
      <c r="H49" s="32"/>
      <c r="I49" s="245">
        <f>+'SVD 4140_Pto. 01_Cert. 03'!K49</f>
        <v>0</v>
      </c>
      <c r="J49" s="141"/>
      <c r="K49" s="79">
        <f t="shared" si="0"/>
        <v>0</v>
      </c>
      <c r="L49" s="80">
        <f t="shared" si="1"/>
        <v>0</v>
      </c>
      <c r="M49" s="80">
        <f t="shared" si="2"/>
        <v>0</v>
      </c>
      <c r="N49" s="80">
        <f t="shared" si="3"/>
        <v>0</v>
      </c>
    </row>
    <row r="50" spans="1:14" s="57" customFormat="1" ht="13.8" outlineLevel="1" x14ac:dyDescent="0.3">
      <c r="A50" s="54">
        <v>9.0399999999999991</v>
      </c>
      <c r="B50" s="55" t="s">
        <v>62</v>
      </c>
      <c r="C50" s="56" t="s">
        <v>26</v>
      </c>
      <c r="D50" s="41">
        <v>31.200000000000003</v>
      </c>
      <c r="E50" s="42">
        <v>19738</v>
      </c>
      <c r="F50" s="42">
        <f t="shared" si="4"/>
        <v>615825.60000000009</v>
      </c>
      <c r="G50" s="185"/>
      <c r="H50" s="32"/>
      <c r="I50" s="245">
        <f>+'SVD 4140_Pto. 01_Cert. 03'!K50</f>
        <v>0</v>
      </c>
      <c r="J50" s="141"/>
      <c r="K50" s="79">
        <f t="shared" si="0"/>
        <v>0</v>
      </c>
      <c r="L50" s="80">
        <f t="shared" si="1"/>
        <v>0</v>
      </c>
      <c r="M50" s="80">
        <f t="shared" si="2"/>
        <v>0</v>
      </c>
      <c r="N50" s="80">
        <f t="shared" si="3"/>
        <v>0</v>
      </c>
    </row>
    <row r="51" spans="1:14" s="58" customFormat="1" ht="13.8" x14ac:dyDescent="0.3">
      <c r="A51" s="27">
        <v>10</v>
      </c>
      <c r="B51" s="28" t="s">
        <v>63</v>
      </c>
      <c r="C51" s="189"/>
      <c r="D51" s="65"/>
      <c r="E51" s="65"/>
      <c r="F51" s="65"/>
      <c r="G51" s="31">
        <f>+SUM(F52:F55)</f>
        <v>4669278</v>
      </c>
      <c r="H51" s="32">
        <f>+G51/$G$185</f>
        <v>6.3470845186193985E-3</v>
      </c>
      <c r="I51" s="246"/>
      <c r="J51" s="140"/>
      <c r="K51" s="130"/>
      <c r="L51" s="130"/>
      <c r="M51" s="130"/>
      <c r="N51" s="66"/>
    </row>
    <row r="52" spans="1:14" s="58" customFormat="1" ht="13.8" outlineLevel="1" x14ac:dyDescent="0.3">
      <c r="A52" s="33">
        <v>10.01</v>
      </c>
      <c r="B52" s="209" t="s">
        <v>64</v>
      </c>
      <c r="C52" s="210" t="s">
        <v>28</v>
      </c>
      <c r="D52" s="36">
        <v>0</v>
      </c>
      <c r="E52" s="37">
        <v>0</v>
      </c>
      <c r="F52" s="37">
        <f t="shared" si="4"/>
        <v>0</v>
      </c>
      <c r="G52" s="211"/>
      <c r="H52" s="32"/>
      <c r="I52" s="245">
        <f>+'SVD 4140_Pto. 01_Cert. 03'!K52</f>
        <v>0</v>
      </c>
      <c r="J52" s="142"/>
      <c r="K52" s="135">
        <f t="shared" ref="K52:K53" si="9">+I52+J52</f>
        <v>0</v>
      </c>
      <c r="L52" s="200">
        <f t="shared" ref="L52:L53" si="10">+F52*I52</f>
        <v>0</v>
      </c>
      <c r="M52" s="200">
        <f t="shared" ref="M52:M53" si="11">+F52*J52</f>
        <v>0</v>
      </c>
      <c r="N52" s="200">
        <f t="shared" ref="N52:N53" si="12">+F52*K52</f>
        <v>0</v>
      </c>
    </row>
    <row r="53" spans="1:14" ht="13.8" outlineLevel="1" x14ac:dyDescent="0.3">
      <c r="A53" s="190">
        <v>10.02</v>
      </c>
      <c r="B53" s="191" t="s">
        <v>65</v>
      </c>
      <c r="C53" s="43" t="s">
        <v>28</v>
      </c>
      <c r="D53" s="44">
        <v>1</v>
      </c>
      <c r="E53" s="44">
        <v>2199545</v>
      </c>
      <c r="F53" s="44">
        <f t="shared" si="4"/>
        <v>2199545</v>
      </c>
      <c r="G53" s="186"/>
      <c r="H53" s="32"/>
      <c r="I53" s="245">
        <f>+'SVD 4140_Pto. 01_Cert. 03'!K53</f>
        <v>0</v>
      </c>
      <c r="J53" s="236"/>
      <c r="K53" s="79">
        <f t="shared" si="9"/>
        <v>0</v>
      </c>
      <c r="L53" s="201">
        <f t="shared" si="10"/>
        <v>0</v>
      </c>
      <c r="M53" s="201">
        <f t="shared" si="11"/>
        <v>0</v>
      </c>
      <c r="N53" s="201">
        <f t="shared" si="12"/>
        <v>0</v>
      </c>
    </row>
    <row r="54" spans="1:14" s="63" customFormat="1" ht="13.8" outlineLevel="1" x14ac:dyDescent="0.3">
      <c r="A54" s="38">
        <v>10.029999999999999</v>
      </c>
      <c r="B54" s="39" t="s">
        <v>66</v>
      </c>
      <c r="C54" s="49" t="s">
        <v>67</v>
      </c>
      <c r="D54" s="50">
        <v>0</v>
      </c>
      <c r="E54" s="42">
        <v>0</v>
      </c>
      <c r="F54" s="42">
        <f t="shared" si="4"/>
        <v>0</v>
      </c>
      <c r="G54" s="186"/>
      <c r="I54" s="245">
        <f>+'SVD 4140_Pto. 01_Cert. 03'!K54</f>
        <v>0</v>
      </c>
      <c r="J54" s="236"/>
      <c r="K54" s="79">
        <f t="shared" si="0"/>
        <v>0</v>
      </c>
      <c r="L54" s="201">
        <f t="shared" si="1"/>
        <v>0</v>
      </c>
      <c r="M54" s="201">
        <f t="shared" si="2"/>
        <v>0</v>
      </c>
      <c r="N54" s="201">
        <f t="shared" si="3"/>
        <v>0</v>
      </c>
    </row>
    <row r="55" spans="1:14" s="63" customFormat="1" ht="13.8" outlineLevel="1" x14ac:dyDescent="0.3">
      <c r="A55" s="45">
        <v>10.039999999999999</v>
      </c>
      <c r="B55" s="46" t="s">
        <v>68</v>
      </c>
      <c r="C55" s="64" t="s">
        <v>47</v>
      </c>
      <c r="D55" s="53">
        <v>7</v>
      </c>
      <c r="E55" s="60">
        <v>352819</v>
      </c>
      <c r="F55" s="60">
        <f t="shared" si="4"/>
        <v>2469733</v>
      </c>
      <c r="G55" s="212"/>
      <c r="I55" s="245">
        <f>+'SVD 4140_Pto. 01_Cert. 03'!K55</f>
        <v>0</v>
      </c>
      <c r="J55" s="143"/>
      <c r="K55" s="138">
        <f t="shared" si="0"/>
        <v>0</v>
      </c>
      <c r="L55" s="202">
        <f t="shared" si="1"/>
        <v>0</v>
      </c>
      <c r="M55" s="202">
        <f t="shared" si="2"/>
        <v>0</v>
      </c>
      <c r="N55" s="202">
        <f t="shared" si="3"/>
        <v>0</v>
      </c>
    </row>
    <row r="56" spans="1:14" s="63" customFormat="1" ht="13.8" x14ac:dyDescent="0.3">
      <c r="A56" s="27">
        <v>11</v>
      </c>
      <c r="B56" s="28" t="s">
        <v>69</v>
      </c>
      <c r="C56" s="189"/>
      <c r="D56" s="65"/>
      <c r="E56" s="65"/>
      <c r="F56" s="65"/>
      <c r="G56" s="31">
        <f>+SUM(F57:F63)</f>
        <v>48040802</v>
      </c>
      <c r="H56" s="32">
        <f>+G56/$G$185</f>
        <v>6.5303250446056074E-2</v>
      </c>
      <c r="I56" s="247"/>
      <c r="J56" s="132"/>
      <c r="K56" s="132"/>
      <c r="L56" s="132"/>
      <c r="M56" s="132"/>
      <c r="N56" s="133"/>
    </row>
    <row r="57" spans="1:14" s="57" customFormat="1" ht="13.8" outlineLevel="1" x14ac:dyDescent="0.3">
      <c r="A57" s="213">
        <v>11.01</v>
      </c>
      <c r="B57" s="214" t="s">
        <v>70</v>
      </c>
      <c r="C57" s="215" t="s">
        <v>19</v>
      </c>
      <c r="D57" s="216">
        <v>30</v>
      </c>
      <c r="E57" s="37">
        <v>21948</v>
      </c>
      <c r="F57" s="37">
        <f t="shared" si="4"/>
        <v>658440</v>
      </c>
      <c r="G57" s="67"/>
      <c r="H57" s="32"/>
      <c r="I57" s="245">
        <f>+'SVD 4140_Pto. 01_Cert. 03'!K57</f>
        <v>0</v>
      </c>
      <c r="J57" s="142"/>
      <c r="K57" s="135">
        <f>+I57+J57</f>
        <v>0</v>
      </c>
      <c r="L57" s="200">
        <f t="shared" ref="L57:L63" si="13">+F57*I57</f>
        <v>0</v>
      </c>
      <c r="M57" s="200">
        <f>+F57*J57</f>
        <v>0</v>
      </c>
      <c r="N57" s="200">
        <f t="shared" ref="N57:N63" si="14">+F57*K57</f>
        <v>0</v>
      </c>
    </row>
    <row r="58" spans="1:14" s="57" customFormat="1" ht="13.8" outlineLevel="1" x14ac:dyDescent="0.3">
      <c r="A58" s="217">
        <v>11.02</v>
      </c>
      <c r="B58" s="218" t="s">
        <v>71</v>
      </c>
      <c r="C58" s="219" t="s">
        <v>19</v>
      </c>
      <c r="D58" s="220">
        <v>185</v>
      </c>
      <c r="E58" s="42">
        <v>21948</v>
      </c>
      <c r="F58" s="42">
        <f t="shared" si="4"/>
        <v>4060380</v>
      </c>
      <c r="G58" s="181"/>
      <c r="H58" s="32"/>
      <c r="I58" s="245">
        <f>+'SVD 4140_Pto. 01_Cert. 03'!K58</f>
        <v>0</v>
      </c>
      <c r="J58" s="236"/>
      <c r="K58" s="79">
        <f t="shared" ref="K58:K63" si="15">+I58+J58</f>
        <v>0</v>
      </c>
      <c r="L58" s="201">
        <f t="shared" si="13"/>
        <v>0</v>
      </c>
      <c r="M58" s="201">
        <f t="shared" ref="M58:M63" si="16">+F58*J58</f>
        <v>0</v>
      </c>
      <c r="N58" s="201">
        <f t="shared" si="14"/>
        <v>0</v>
      </c>
    </row>
    <row r="59" spans="1:14" s="57" customFormat="1" ht="13.8" outlineLevel="1" x14ac:dyDescent="0.3">
      <c r="A59" s="217">
        <v>11.03</v>
      </c>
      <c r="B59" s="218" t="s">
        <v>72</v>
      </c>
      <c r="C59" s="219" t="s">
        <v>19</v>
      </c>
      <c r="D59" s="220">
        <v>942</v>
      </c>
      <c r="E59" s="42">
        <v>21948</v>
      </c>
      <c r="F59" s="42">
        <f t="shared" si="4"/>
        <v>20675016</v>
      </c>
      <c r="G59" s="181"/>
      <c r="H59" s="32"/>
      <c r="I59" s="245">
        <f>+'SVD 4140_Pto. 01_Cert. 03'!K59</f>
        <v>0</v>
      </c>
      <c r="J59" s="236"/>
      <c r="K59" s="79">
        <f t="shared" si="15"/>
        <v>0</v>
      </c>
      <c r="L59" s="201">
        <f t="shared" si="13"/>
        <v>0</v>
      </c>
      <c r="M59" s="201">
        <f t="shared" si="16"/>
        <v>0</v>
      </c>
      <c r="N59" s="201">
        <f t="shared" si="14"/>
        <v>0</v>
      </c>
    </row>
    <row r="60" spans="1:14" s="57" customFormat="1" ht="13.8" outlineLevel="1" x14ac:dyDescent="0.3">
      <c r="A60" s="217">
        <v>11.04</v>
      </c>
      <c r="B60" s="218" t="s">
        <v>73</v>
      </c>
      <c r="C60" s="219" t="s">
        <v>19</v>
      </c>
      <c r="D60" s="220">
        <v>110</v>
      </c>
      <c r="E60" s="42">
        <v>25799</v>
      </c>
      <c r="F60" s="42">
        <f t="shared" si="4"/>
        <v>2837890</v>
      </c>
      <c r="G60" s="181"/>
      <c r="H60" s="32"/>
      <c r="I60" s="245">
        <f>+'SVD 4140_Pto. 01_Cert. 03'!K60</f>
        <v>0</v>
      </c>
      <c r="J60" s="236"/>
      <c r="K60" s="79">
        <f t="shared" si="15"/>
        <v>0</v>
      </c>
      <c r="L60" s="201">
        <f t="shared" si="13"/>
        <v>0</v>
      </c>
      <c r="M60" s="201">
        <f t="shared" si="16"/>
        <v>0</v>
      </c>
      <c r="N60" s="201">
        <f t="shared" si="14"/>
        <v>0</v>
      </c>
    </row>
    <row r="61" spans="1:14" s="57" customFormat="1" ht="13.8" outlineLevel="1" x14ac:dyDescent="0.3">
      <c r="A61" s="217">
        <v>11.05</v>
      </c>
      <c r="B61" s="218" t="s">
        <v>74</v>
      </c>
      <c r="C61" s="219" t="s">
        <v>19</v>
      </c>
      <c r="D61" s="220">
        <v>128</v>
      </c>
      <c r="E61" s="42">
        <v>16080</v>
      </c>
      <c r="F61" s="42">
        <f t="shared" si="4"/>
        <v>2058240</v>
      </c>
      <c r="G61" s="181"/>
      <c r="H61" s="32"/>
      <c r="I61" s="245">
        <f>+'SVD 4140_Pto. 01_Cert. 03'!K61</f>
        <v>0</v>
      </c>
      <c r="J61" s="236"/>
      <c r="K61" s="79">
        <f t="shared" si="15"/>
        <v>0</v>
      </c>
      <c r="L61" s="201">
        <f t="shared" si="13"/>
        <v>0</v>
      </c>
      <c r="M61" s="201">
        <f t="shared" si="16"/>
        <v>0</v>
      </c>
      <c r="N61" s="201">
        <f t="shared" si="14"/>
        <v>0</v>
      </c>
    </row>
    <row r="62" spans="1:14" s="57" customFormat="1" ht="13.8" outlineLevel="1" x14ac:dyDescent="0.3">
      <c r="A62" s="217">
        <v>11.06</v>
      </c>
      <c r="B62" s="218" t="s">
        <v>75</v>
      </c>
      <c r="C62" s="219" t="s">
        <v>19</v>
      </c>
      <c r="D62" s="220">
        <v>48</v>
      </c>
      <c r="E62" s="42">
        <v>21948</v>
      </c>
      <c r="F62" s="42">
        <f t="shared" si="4"/>
        <v>1053504</v>
      </c>
      <c r="G62" s="181"/>
      <c r="H62" s="32"/>
      <c r="I62" s="245">
        <f>+'SVD 4140_Pto. 01_Cert. 03'!K62</f>
        <v>0</v>
      </c>
      <c r="J62" s="236"/>
      <c r="K62" s="79">
        <f t="shared" si="15"/>
        <v>0</v>
      </c>
      <c r="L62" s="201">
        <f t="shared" si="13"/>
        <v>0</v>
      </c>
      <c r="M62" s="201">
        <f t="shared" si="16"/>
        <v>0</v>
      </c>
      <c r="N62" s="201">
        <f t="shared" si="14"/>
        <v>0</v>
      </c>
    </row>
    <row r="63" spans="1:14" s="57" customFormat="1" ht="13.8" outlineLevel="1" x14ac:dyDescent="0.3">
      <c r="A63" s="221">
        <v>11.07</v>
      </c>
      <c r="B63" s="222" t="s">
        <v>76</v>
      </c>
      <c r="C63" s="223" t="s">
        <v>19</v>
      </c>
      <c r="D63" s="224">
        <v>226</v>
      </c>
      <c r="E63" s="60">
        <v>73882</v>
      </c>
      <c r="F63" s="60">
        <f t="shared" si="4"/>
        <v>16697332</v>
      </c>
      <c r="G63" s="181"/>
      <c r="H63" s="32"/>
      <c r="I63" s="245">
        <f>+'SVD 4140_Pto. 01_Cert. 03'!K63</f>
        <v>0</v>
      </c>
      <c r="J63" s="143"/>
      <c r="K63" s="138">
        <f t="shared" si="15"/>
        <v>0</v>
      </c>
      <c r="L63" s="202">
        <f t="shared" si="13"/>
        <v>0</v>
      </c>
      <c r="M63" s="202">
        <f t="shared" si="16"/>
        <v>0</v>
      </c>
      <c r="N63" s="202">
        <f t="shared" si="14"/>
        <v>0</v>
      </c>
    </row>
    <row r="64" spans="1:14" s="57" customFormat="1" ht="13.8" x14ac:dyDescent="0.3">
      <c r="A64" s="27">
        <v>12</v>
      </c>
      <c r="B64" s="28" t="s">
        <v>77</v>
      </c>
      <c r="C64" s="189"/>
      <c r="D64" s="65"/>
      <c r="E64" s="65"/>
      <c r="F64" s="65"/>
      <c r="G64" s="31">
        <f>+SUM(F65:F69)</f>
        <v>11022518</v>
      </c>
      <c r="H64" s="32">
        <f>+G64/$G$185</f>
        <v>1.4983227247125499E-2</v>
      </c>
      <c r="I64" s="247"/>
      <c r="J64" s="132"/>
      <c r="K64" s="132"/>
      <c r="L64" s="132"/>
      <c r="M64" s="132"/>
      <c r="N64" s="133"/>
    </row>
    <row r="65" spans="1:14" s="57" customFormat="1" ht="13.8" outlineLevel="1" x14ac:dyDescent="0.3">
      <c r="A65" s="213">
        <v>12.01</v>
      </c>
      <c r="B65" s="214" t="s">
        <v>78</v>
      </c>
      <c r="C65" s="215" t="s">
        <v>26</v>
      </c>
      <c r="D65" s="216">
        <v>779</v>
      </c>
      <c r="E65" s="37">
        <v>7422</v>
      </c>
      <c r="F65" s="37">
        <f t="shared" si="4"/>
        <v>5781738</v>
      </c>
      <c r="G65" s="181"/>
      <c r="H65" s="32"/>
      <c r="I65" s="245">
        <f>+'SVD 4140_Pto. 01_Cert. 03'!K65</f>
        <v>0</v>
      </c>
      <c r="J65" s="142"/>
      <c r="K65" s="135">
        <f t="shared" ref="K65:K69" si="17">+I65+J65</f>
        <v>0</v>
      </c>
      <c r="L65" s="200">
        <f t="shared" ref="L65:L69" si="18">+F65*I65</f>
        <v>0</v>
      </c>
      <c r="M65" s="200">
        <f t="shared" ref="M65:M69" si="19">+F65*J65</f>
        <v>0</v>
      </c>
      <c r="N65" s="200">
        <f t="shared" ref="N65:N69" si="20">+F65*K65</f>
        <v>0</v>
      </c>
    </row>
    <row r="66" spans="1:14" s="57" customFormat="1" ht="13.8" outlineLevel="1" x14ac:dyDescent="0.3">
      <c r="A66" s="217">
        <v>12.02</v>
      </c>
      <c r="B66" s="218" t="s">
        <v>61</v>
      </c>
      <c r="C66" s="219" t="s">
        <v>26</v>
      </c>
      <c r="D66" s="220">
        <v>155</v>
      </c>
      <c r="E66" s="42">
        <v>5376</v>
      </c>
      <c r="F66" s="42">
        <f t="shared" si="4"/>
        <v>833280</v>
      </c>
      <c r="G66" s="181"/>
      <c r="H66" s="32"/>
      <c r="I66" s="245">
        <f>+'SVD 4140_Pto. 01_Cert. 03'!K66</f>
        <v>0</v>
      </c>
      <c r="J66" s="236"/>
      <c r="K66" s="79">
        <f t="shared" si="17"/>
        <v>0</v>
      </c>
      <c r="L66" s="201">
        <f t="shared" si="18"/>
        <v>0</v>
      </c>
      <c r="M66" s="201">
        <f t="shared" si="19"/>
        <v>0</v>
      </c>
      <c r="N66" s="201">
        <f t="shared" si="20"/>
        <v>0</v>
      </c>
    </row>
    <row r="67" spans="1:14" s="57" customFormat="1" ht="13.8" outlineLevel="1" x14ac:dyDescent="0.3">
      <c r="A67" s="217">
        <v>12.03</v>
      </c>
      <c r="B67" s="218" t="s">
        <v>79</v>
      </c>
      <c r="C67" s="219" t="s">
        <v>26</v>
      </c>
      <c r="D67" s="220">
        <v>37</v>
      </c>
      <c r="E67" s="42">
        <v>7052</v>
      </c>
      <c r="F67" s="42">
        <f t="shared" si="4"/>
        <v>260924</v>
      </c>
      <c r="G67" s="181"/>
      <c r="H67" s="32"/>
      <c r="I67" s="245">
        <f>+'SVD 4140_Pto. 01_Cert. 03'!K67</f>
        <v>0</v>
      </c>
      <c r="J67" s="236"/>
      <c r="K67" s="79">
        <f t="shared" si="17"/>
        <v>0</v>
      </c>
      <c r="L67" s="201">
        <f t="shared" si="18"/>
        <v>0</v>
      </c>
      <c r="M67" s="201">
        <f t="shared" si="19"/>
        <v>0</v>
      </c>
      <c r="N67" s="201">
        <f t="shared" si="20"/>
        <v>0</v>
      </c>
    </row>
    <row r="68" spans="1:14" s="57" customFormat="1" ht="13.8" outlineLevel="1" x14ac:dyDescent="0.3">
      <c r="A68" s="217">
        <v>12.04</v>
      </c>
      <c r="B68" s="218" t="s">
        <v>80</v>
      </c>
      <c r="C68" s="219" t="s">
        <v>26</v>
      </c>
      <c r="D68" s="220">
        <v>433</v>
      </c>
      <c r="E68" s="42">
        <v>7052</v>
      </c>
      <c r="F68" s="42">
        <f t="shared" si="4"/>
        <v>3053516</v>
      </c>
      <c r="G68" s="181"/>
      <c r="H68" s="32"/>
      <c r="I68" s="245">
        <f>+'SVD 4140_Pto. 01_Cert. 03'!K68</f>
        <v>0</v>
      </c>
      <c r="J68" s="236"/>
      <c r="K68" s="79">
        <f t="shared" si="17"/>
        <v>0</v>
      </c>
      <c r="L68" s="201">
        <f t="shared" si="18"/>
        <v>0</v>
      </c>
      <c r="M68" s="201">
        <f t="shared" si="19"/>
        <v>0</v>
      </c>
      <c r="N68" s="201">
        <f t="shared" si="20"/>
        <v>0</v>
      </c>
    </row>
    <row r="69" spans="1:14" s="57" customFormat="1" ht="13.8" outlineLevel="1" x14ac:dyDescent="0.3">
      <c r="A69" s="221">
        <v>12.05</v>
      </c>
      <c r="B69" s="222" t="s">
        <v>81</v>
      </c>
      <c r="C69" s="223" t="s">
        <v>26</v>
      </c>
      <c r="D69" s="224">
        <v>155</v>
      </c>
      <c r="E69" s="60">
        <v>7052</v>
      </c>
      <c r="F69" s="60">
        <f t="shared" si="4"/>
        <v>1093060</v>
      </c>
      <c r="G69" s="181"/>
      <c r="H69" s="32"/>
      <c r="I69" s="245">
        <f>+'SVD 4140_Pto. 01_Cert. 03'!K69</f>
        <v>0</v>
      </c>
      <c r="J69" s="143"/>
      <c r="K69" s="138">
        <f t="shared" si="17"/>
        <v>0</v>
      </c>
      <c r="L69" s="202">
        <f t="shared" si="18"/>
        <v>0</v>
      </c>
      <c r="M69" s="202">
        <f t="shared" si="19"/>
        <v>0</v>
      </c>
      <c r="N69" s="202">
        <f t="shared" si="20"/>
        <v>0</v>
      </c>
    </row>
    <row r="70" spans="1:14" s="57" customFormat="1" ht="13.8" x14ac:dyDescent="0.3">
      <c r="A70" s="27">
        <v>13</v>
      </c>
      <c r="B70" s="28" t="s">
        <v>82</v>
      </c>
      <c r="C70" s="189"/>
      <c r="D70" s="65"/>
      <c r="E70" s="65"/>
      <c r="F70" s="65"/>
      <c r="G70" s="31">
        <f>+SUM(F71:F74)</f>
        <v>19433086.480999999</v>
      </c>
      <c r="H70" s="32">
        <f>+G70/$G$185</f>
        <v>2.641595603272005E-2</v>
      </c>
      <c r="I70" s="247"/>
      <c r="J70" s="132"/>
      <c r="K70" s="132"/>
      <c r="L70" s="132"/>
      <c r="M70" s="132"/>
      <c r="N70" s="133"/>
    </row>
    <row r="71" spans="1:14" s="57" customFormat="1" ht="13.8" outlineLevel="1" x14ac:dyDescent="0.3">
      <c r="A71" s="213">
        <v>13.01</v>
      </c>
      <c r="B71" s="214" t="s">
        <v>83</v>
      </c>
      <c r="C71" s="215" t="s">
        <v>19</v>
      </c>
      <c r="D71" s="216">
        <v>511</v>
      </c>
      <c r="E71" s="37">
        <v>25799</v>
      </c>
      <c r="F71" s="37">
        <f t="shared" si="4"/>
        <v>13183289</v>
      </c>
      <c r="G71" s="181"/>
      <c r="H71" s="32"/>
      <c r="I71" s="245">
        <f>+'SVD 4140_Pto. 01_Cert. 03'!K71</f>
        <v>0</v>
      </c>
      <c r="J71" s="142"/>
      <c r="K71" s="135">
        <f t="shared" ref="K71:K74" si="21">+I71+J71</f>
        <v>0</v>
      </c>
      <c r="L71" s="200">
        <f t="shared" ref="L71:L74" si="22">+F71*I71</f>
        <v>0</v>
      </c>
      <c r="M71" s="200">
        <f t="shared" ref="M71:M74" si="23">+F71*J71</f>
        <v>0</v>
      </c>
      <c r="N71" s="200">
        <f t="shared" ref="N71:N74" si="24">+F71*K71</f>
        <v>0</v>
      </c>
    </row>
    <row r="72" spans="1:14" s="57" customFormat="1" ht="13.8" outlineLevel="1" x14ac:dyDescent="0.3">
      <c r="A72" s="217">
        <v>13.02</v>
      </c>
      <c r="B72" s="218" t="s">
        <v>84</v>
      </c>
      <c r="C72" s="219" t="s">
        <v>19</v>
      </c>
      <c r="D72" s="220">
        <v>40</v>
      </c>
      <c r="E72" s="42">
        <v>25799</v>
      </c>
      <c r="F72" s="42">
        <f t="shared" si="4"/>
        <v>1031960</v>
      </c>
      <c r="G72" s="181"/>
      <c r="H72" s="32"/>
      <c r="I72" s="245">
        <f>+'SVD 4140_Pto. 01_Cert. 03'!K72</f>
        <v>0</v>
      </c>
      <c r="J72" s="236"/>
      <c r="K72" s="79">
        <f t="shared" si="21"/>
        <v>0</v>
      </c>
      <c r="L72" s="201">
        <f t="shared" si="22"/>
        <v>0</v>
      </c>
      <c r="M72" s="201">
        <f t="shared" si="23"/>
        <v>0</v>
      </c>
      <c r="N72" s="201">
        <f t="shared" si="24"/>
        <v>0</v>
      </c>
    </row>
    <row r="73" spans="1:14" s="57" customFormat="1" ht="13.8" outlineLevel="1" x14ac:dyDescent="0.3">
      <c r="A73" s="217">
        <v>13.03</v>
      </c>
      <c r="B73" s="218" t="s">
        <v>85</v>
      </c>
      <c r="C73" s="219" t="s">
        <v>19</v>
      </c>
      <c r="D73" s="220">
        <v>147.60100000000003</v>
      </c>
      <c r="E73" s="42">
        <v>29881</v>
      </c>
      <c r="F73" s="42">
        <f t="shared" si="4"/>
        <v>4410465.4810000006</v>
      </c>
      <c r="G73" s="181"/>
      <c r="H73" s="32"/>
      <c r="I73" s="245">
        <f>+'SVD 4140_Pto. 01_Cert. 03'!K73</f>
        <v>0</v>
      </c>
      <c r="J73" s="236"/>
      <c r="K73" s="79">
        <f t="shared" si="21"/>
        <v>0</v>
      </c>
      <c r="L73" s="201">
        <f t="shared" si="22"/>
        <v>0</v>
      </c>
      <c r="M73" s="201">
        <f t="shared" si="23"/>
        <v>0</v>
      </c>
      <c r="N73" s="201">
        <f t="shared" si="24"/>
        <v>0</v>
      </c>
    </row>
    <row r="74" spans="1:14" s="57" customFormat="1" ht="13.8" outlineLevel="1" x14ac:dyDescent="0.3">
      <c r="A74" s="221">
        <v>13.04</v>
      </c>
      <c r="B74" s="222" t="s">
        <v>86</v>
      </c>
      <c r="C74" s="223" t="s">
        <v>47</v>
      </c>
      <c r="D74" s="224">
        <v>41</v>
      </c>
      <c r="E74" s="60">
        <v>19692</v>
      </c>
      <c r="F74" s="60">
        <f t="shared" si="4"/>
        <v>807372</v>
      </c>
      <c r="G74" s="181"/>
      <c r="H74" s="32"/>
      <c r="I74" s="245">
        <f>+'SVD 4140_Pto. 01_Cert. 03'!K74</f>
        <v>0</v>
      </c>
      <c r="J74" s="143"/>
      <c r="K74" s="138">
        <f t="shared" si="21"/>
        <v>0</v>
      </c>
      <c r="L74" s="202">
        <f t="shared" si="22"/>
        <v>0</v>
      </c>
      <c r="M74" s="202">
        <f t="shared" si="23"/>
        <v>0</v>
      </c>
      <c r="N74" s="202">
        <f t="shared" si="24"/>
        <v>0</v>
      </c>
    </row>
    <row r="75" spans="1:14" s="57" customFormat="1" ht="13.8" x14ac:dyDescent="0.3">
      <c r="A75" s="27">
        <v>14</v>
      </c>
      <c r="B75" s="28" t="s">
        <v>87</v>
      </c>
      <c r="C75" s="189"/>
      <c r="D75" s="65"/>
      <c r="E75" s="65"/>
      <c r="F75" s="65"/>
      <c r="G75" s="31">
        <f>+SUM(F76:F82)</f>
        <v>50296168.959899999</v>
      </c>
      <c r="H75" s="32">
        <f>+G75/$G$185</f>
        <v>6.8369035930447242E-2</v>
      </c>
      <c r="I75" s="247"/>
      <c r="J75" s="132"/>
      <c r="K75" s="132"/>
      <c r="L75" s="132"/>
      <c r="M75" s="132"/>
      <c r="N75" s="133"/>
    </row>
    <row r="76" spans="1:14" s="57" customFormat="1" ht="13.8" outlineLevel="1" x14ac:dyDescent="0.3">
      <c r="A76" s="213">
        <v>14.01</v>
      </c>
      <c r="B76" s="214" t="s">
        <v>88</v>
      </c>
      <c r="C76" s="215" t="s">
        <v>19</v>
      </c>
      <c r="D76" s="216">
        <v>334.91519999999997</v>
      </c>
      <c r="E76" s="37">
        <v>29270</v>
      </c>
      <c r="F76" s="37">
        <f t="shared" ref="F76:F139" si="25">+D76*E76</f>
        <v>9802967.9039999992</v>
      </c>
      <c r="G76" s="181"/>
      <c r="H76" s="32"/>
      <c r="I76" s="245">
        <f>+'SVD 4140_Pto. 01_Cert. 03'!K76</f>
        <v>0</v>
      </c>
      <c r="J76" s="142"/>
      <c r="K76" s="135">
        <f t="shared" ref="K76:K82" si="26">+I76+J76</f>
        <v>0</v>
      </c>
      <c r="L76" s="200">
        <f t="shared" ref="L76:L82" si="27">+F76*I76</f>
        <v>0</v>
      </c>
      <c r="M76" s="200">
        <f t="shared" ref="M76:M82" si="28">+F76*J76</f>
        <v>0</v>
      </c>
      <c r="N76" s="200">
        <f t="shared" ref="N76:N82" si="29">+F76*K76</f>
        <v>0</v>
      </c>
    </row>
    <row r="77" spans="1:14" s="57" customFormat="1" ht="13.8" outlineLevel="1" x14ac:dyDescent="0.3">
      <c r="A77" s="217">
        <v>14.02</v>
      </c>
      <c r="B77" s="218" t="s">
        <v>89</v>
      </c>
      <c r="C77" s="219" t="s">
        <v>19</v>
      </c>
      <c r="D77" s="220">
        <v>280.3913</v>
      </c>
      <c r="E77" s="42">
        <v>33967</v>
      </c>
      <c r="F77" s="42">
        <f t="shared" si="25"/>
        <v>9524051.2871000003</v>
      </c>
      <c r="G77" s="181"/>
      <c r="H77" s="32"/>
      <c r="I77" s="245">
        <f>+'SVD 4140_Pto. 01_Cert. 03'!K77</f>
        <v>0</v>
      </c>
      <c r="J77" s="236"/>
      <c r="K77" s="79">
        <f t="shared" si="26"/>
        <v>0</v>
      </c>
      <c r="L77" s="201">
        <f t="shared" si="27"/>
        <v>0</v>
      </c>
      <c r="M77" s="201">
        <f t="shared" si="28"/>
        <v>0</v>
      </c>
      <c r="N77" s="201">
        <f t="shared" si="29"/>
        <v>0</v>
      </c>
    </row>
    <row r="78" spans="1:14" s="57" customFormat="1" ht="13.8" outlineLevel="1" x14ac:dyDescent="0.3">
      <c r="A78" s="217">
        <v>14.03</v>
      </c>
      <c r="B78" s="218" t="s">
        <v>90</v>
      </c>
      <c r="C78" s="219" t="s">
        <v>26</v>
      </c>
      <c r="D78" s="220">
        <v>60.8</v>
      </c>
      <c r="E78" s="42">
        <v>29270</v>
      </c>
      <c r="F78" s="42">
        <f t="shared" si="25"/>
        <v>1779616</v>
      </c>
      <c r="G78" s="181"/>
      <c r="H78" s="32"/>
      <c r="I78" s="245">
        <f>+'SVD 4140_Pto. 01_Cert. 03'!K78</f>
        <v>0</v>
      </c>
      <c r="J78" s="236"/>
      <c r="K78" s="79">
        <f t="shared" si="26"/>
        <v>0</v>
      </c>
      <c r="L78" s="201">
        <f t="shared" si="27"/>
        <v>0</v>
      </c>
      <c r="M78" s="201">
        <f t="shared" si="28"/>
        <v>0</v>
      </c>
      <c r="N78" s="201">
        <f t="shared" si="29"/>
        <v>0</v>
      </c>
    </row>
    <row r="79" spans="1:14" s="57" customFormat="1" ht="13.8" outlineLevel="1" x14ac:dyDescent="0.3">
      <c r="A79" s="217">
        <v>14.04</v>
      </c>
      <c r="B79" s="218" t="s">
        <v>91</v>
      </c>
      <c r="C79" s="219" t="s">
        <v>26</v>
      </c>
      <c r="D79" s="220">
        <v>1058.3799999999997</v>
      </c>
      <c r="E79" s="42">
        <v>7873</v>
      </c>
      <c r="F79" s="42">
        <f t="shared" si="25"/>
        <v>8332625.7399999974</v>
      </c>
      <c r="G79" s="181"/>
      <c r="H79" s="32"/>
      <c r="I79" s="245">
        <f>+'SVD 4140_Pto. 01_Cert. 03'!K79</f>
        <v>0</v>
      </c>
      <c r="J79" s="236"/>
      <c r="K79" s="79">
        <f t="shared" si="26"/>
        <v>0</v>
      </c>
      <c r="L79" s="201">
        <f t="shared" si="27"/>
        <v>0</v>
      </c>
      <c r="M79" s="201">
        <f t="shared" si="28"/>
        <v>0</v>
      </c>
      <c r="N79" s="201">
        <f t="shared" si="29"/>
        <v>0</v>
      </c>
    </row>
    <row r="80" spans="1:14" s="57" customFormat="1" ht="13.8" outlineLevel="1" x14ac:dyDescent="0.3">
      <c r="A80" s="217">
        <v>14.05</v>
      </c>
      <c r="B80" s="218" t="s">
        <v>92</v>
      </c>
      <c r="C80" s="219" t="s">
        <v>19</v>
      </c>
      <c r="D80" s="220">
        <v>504.12220000000002</v>
      </c>
      <c r="E80" s="42">
        <v>23364</v>
      </c>
      <c r="F80" s="42">
        <f t="shared" si="25"/>
        <v>11778311.080800001</v>
      </c>
      <c r="G80" s="181"/>
      <c r="H80" s="32"/>
      <c r="I80" s="245">
        <f>+'SVD 4140_Pto. 01_Cert. 03'!K80</f>
        <v>0</v>
      </c>
      <c r="J80" s="236"/>
      <c r="K80" s="79">
        <f t="shared" si="26"/>
        <v>0</v>
      </c>
      <c r="L80" s="201">
        <f t="shared" si="27"/>
        <v>0</v>
      </c>
      <c r="M80" s="201">
        <f t="shared" si="28"/>
        <v>0</v>
      </c>
      <c r="N80" s="201">
        <f t="shared" si="29"/>
        <v>0</v>
      </c>
    </row>
    <row r="81" spans="1:14" s="57" customFormat="1" ht="13.8" outlineLevel="1" x14ac:dyDescent="0.3">
      <c r="A81" s="217">
        <v>14.06</v>
      </c>
      <c r="B81" s="218" t="s">
        <v>93</v>
      </c>
      <c r="C81" s="219" t="s">
        <v>26</v>
      </c>
      <c r="D81" s="220">
        <v>555.99</v>
      </c>
      <c r="E81" s="42">
        <v>12771</v>
      </c>
      <c r="F81" s="42">
        <f t="shared" si="25"/>
        <v>7100548.29</v>
      </c>
      <c r="G81" s="181"/>
      <c r="H81" s="32"/>
      <c r="I81" s="245">
        <f>+'SVD 4140_Pto. 01_Cert. 03'!K81</f>
        <v>0</v>
      </c>
      <c r="J81" s="236"/>
      <c r="K81" s="79">
        <f t="shared" si="26"/>
        <v>0</v>
      </c>
      <c r="L81" s="201">
        <f t="shared" si="27"/>
        <v>0</v>
      </c>
      <c r="M81" s="201">
        <f t="shared" si="28"/>
        <v>0</v>
      </c>
      <c r="N81" s="201">
        <f t="shared" si="29"/>
        <v>0</v>
      </c>
    </row>
    <row r="82" spans="1:14" s="57" customFormat="1" ht="13.8" outlineLevel="1" x14ac:dyDescent="0.3">
      <c r="A82" s="221">
        <v>14.07</v>
      </c>
      <c r="B82" s="222" t="s">
        <v>94</v>
      </c>
      <c r="C82" s="223" t="s">
        <v>19</v>
      </c>
      <c r="D82" s="224">
        <v>429.07780000000002</v>
      </c>
      <c r="E82" s="60">
        <v>4610</v>
      </c>
      <c r="F82" s="60">
        <f t="shared" si="25"/>
        <v>1978048.6580000001</v>
      </c>
      <c r="G82" s="181"/>
      <c r="H82" s="32"/>
      <c r="I82" s="245">
        <f>+'SVD 4140_Pto. 01_Cert. 03'!K82</f>
        <v>0</v>
      </c>
      <c r="J82" s="236"/>
      <c r="K82" s="79">
        <f t="shared" si="26"/>
        <v>0</v>
      </c>
      <c r="L82" s="201">
        <f t="shared" si="27"/>
        <v>0</v>
      </c>
      <c r="M82" s="201">
        <f t="shared" si="28"/>
        <v>0</v>
      </c>
      <c r="N82" s="201">
        <f t="shared" si="29"/>
        <v>0</v>
      </c>
    </row>
    <row r="83" spans="1:14" s="57" customFormat="1" ht="13.8" x14ac:dyDescent="0.3">
      <c r="A83" s="27">
        <v>15</v>
      </c>
      <c r="B83" s="28" t="s">
        <v>95</v>
      </c>
      <c r="C83" s="189"/>
      <c r="D83" s="65"/>
      <c r="E83" s="65"/>
      <c r="F83" s="65"/>
      <c r="G83" s="31">
        <f>+SUM(F84:F92)</f>
        <v>0</v>
      </c>
      <c r="H83" s="32">
        <f>+G83/$G$185</f>
        <v>0</v>
      </c>
      <c r="I83" s="247"/>
      <c r="J83" s="132"/>
      <c r="K83" s="132"/>
      <c r="L83" s="132"/>
      <c r="M83" s="132"/>
      <c r="N83" s="133"/>
    </row>
    <row r="84" spans="1:14" s="57" customFormat="1" ht="13.8" outlineLevel="1" x14ac:dyDescent="0.3">
      <c r="A84" s="213">
        <v>15.01</v>
      </c>
      <c r="B84" s="214" t="s">
        <v>96</v>
      </c>
      <c r="C84" s="215" t="s">
        <v>19</v>
      </c>
      <c r="D84" s="216">
        <v>2670</v>
      </c>
      <c r="E84" s="37">
        <v>0</v>
      </c>
      <c r="F84" s="37">
        <f t="shared" si="25"/>
        <v>0</v>
      </c>
      <c r="G84" s="181"/>
      <c r="H84" s="32"/>
      <c r="I84" s="245">
        <f>+'SVD 4140_Pto. 01_Cert. 03'!K84</f>
        <v>0</v>
      </c>
      <c r="J84" s="142"/>
      <c r="K84" s="135">
        <f t="shared" ref="K84:K92" si="30">+I84+J84</f>
        <v>0</v>
      </c>
      <c r="L84" s="200">
        <f t="shared" ref="L84:L92" si="31">+F84*I84</f>
        <v>0</v>
      </c>
      <c r="M84" s="200">
        <f t="shared" ref="M84:M92" si="32">+F84*J84</f>
        <v>0</v>
      </c>
      <c r="N84" s="200">
        <f t="shared" ref="N84:N92" si="33">+F84*K84</f>
        <v>0</v>
      </c>
    </row>
    <row r="85" spans="1:14" s="57" customFormat="1" ht="13.8" outlineLevel="1" x14ac:dyDescent="0.3">
      <c r="A85" s="217">
        <v>15.02</v>
      </c>
      <c r="B85" s="218" t="s">
        <v>97</v>
      </c>
      <c r="C85" s="219" t="s">
        <v>19</v>
      </c>
      <c r="D85" s="220">
        <v>961</v>
      </c>
      <c r="E85" s="42">
        <v>0</v>
      </c>
      <c r="F85" s="42">
        <f t="shared" si="25"/>
        <v>0</v>
      </c>
      <c r="G85" s="181"/>
      <c r="H85" s="32"/>
      <c r="I85" s="245">
        <f>+'SVD 4140_Pto. 01_Cert. 03'!K85</f>
        <v>0</v>
      </c>
      <c r="J85" s="236"/>
      <c r="K85" s="79">
        <f t="shared" si="30"/>
        <v>0</v>
      </c>
      <c r="L85" s="201">
        <f t="shared" si="31"/>
        <v>0</v>
      </c>
      <c r="M85" s="201">
        <f t="shared" si="32"/>
        <v>0</v>
      </c>
      <c r="N85" s="201">
        <f t="shared" si="33"/>
        <v>0</v>
      </c>
    </row>
    <row r="86" spans="1:14" s="57" customFormat="1" ht="13.8" outlineLevel="1" x14ac:dyDescent="0.3">
      <c r="A86" s="217">
        <v>15.03</v>
      </c>
      <c r="B86" s="218" t="s">
        <v>98</v>
      </c>
      <c r="C86" s="219" t="s">
        <v>19</v>
      </c>
      <c r="D86" s="220">
        <v>518</v>
      </c>
      <c r="E86" s="42">
        <v>0</v>
      </c>
      <c r="F86" s="42">
        <f t="shared" si="25"/>
        <v>0</v>
      </c>
      <c r="G86" s="181"/>
      <c r="H86" s="32"/>
      <c r="I86" s="245">
        <f>+'SVD 4140_Pto. 01_Cert. 03'!K86</f>
        <v>0</v>
      </c>
      <c r="J86" s="236"/>
      <c r="K86" s="79">
        <f t="shared" si="30"/>
        <v>0</v>
      </c>
      <c r="L86" s="201">
        <f t="shared" si="31"/>
        <v>0</v>
      </c>
      <c r="M86" s="201">
        <f t="shared" si="32"/>
        <v>0</v>
      </c>
      <c r="N86" s="201">
        <f t="shared" si="33"/>
        <v>0</v>
      </c>
    </row>
    <row r="87" spans="1:14" s="57" customFormat="1" ht="13.8" outlineLevel="1" x14ac:dyDescent="0.3">
      <c r="A87" s="217">
        <v>15.04</v>
      </c>
      <c r="B87" s="218" t="s">
        <v>99</v>
      </c>
      <c r="C87" s="219" t="s">
        <v>19</v>
      </c>
      <c r="D87" s="220">
        <v>612</v>
      </c>
      <c r="E87" s="42">
        <v>0</v>
      </c>
      <c r="F87" s="42">
        <f t="shared" si="25"/>
        <v>0</v>
      </c>
      <c r="G87" s="181"/>
      <c r="H87" s="32"/>
      <c r="I87" s="245">
        <f>+'SVD 4140_Pto. 01_Cert. 03'!K87</f>
        <v>0</v>
      </c>
      <c r="J87" s="236"/>
      <c r="K87" s="79">
        <f t="shared" si="30"/>
        <v>0</v>
      </c>
      <c r="L87" s="201">
        <f t="shared" si="31"/>
        <v>0</v>
      </c>
      <c r="M87" s="201">
        <f t="shared" si="32"/>
        <v>0</v>
      </c>
      <c r="N87" s="201">
        <f t="shared" si="33"/>
        <v>0</v>
      </c>
    </row>
    <row r="88" spans="1:14" s="57" customFormat="1" ht="13.8" outlineLevel="1" x14ac:dyDescent="0.3">
      <c r="A88" s="217">
        <v>15.05</v>
      </c>
      <c r="B88" s="218" t="s">
        <v>100</v>
      </c>
      <c r="C88" s="219" t="s">
        <v>19</v>
      </c>
      <c r="D88" s="220">
        <v>422</v>
      </c>
      <c r="E88" s="42">
        <v>0</v>
      </c>
      <c r="F88" s="42">
        <f t="shared" si="25"/>
        <v>0</v>
      </c>
      <c r="G88" s="181"/>
      <c r="H88" s="32"/>
      <c r="I88" s="245">
        <f>+'SVD 4140_Pto. 01_Cert. 03'!K88</f>
        <v>0</v>
      </c>
      <c r="J88" s="236"/>
      <c r="K88" s="79">
        <f t="shared" si="30"/>
        <v>0</v>
      </c>
      <c r="L88" s="201">
        <f t="shared" si="31"/>
        <v>0</v>
      </c>
      <c r="M88" s="201">
        <f t="shared" si="32"/>
        <v>0</v>
      </c>
      <c r="N88" s="201">
        <f t="shared" si="33"/>
        <v>0</v>
      </c>
    </row>
    <row r="89" spans="1:14" s="57" customFormat="1" ht="13.8" outlineLevel="1" x14ac:dyDescent="0.3">
      <c r="A89" s="217">
        <v>15.07</v>
      </c>
      <c r="B89" s="218" t="s">
        <v>101</v>
      </c>
      <c r="C89" s="219" t="s">
        <v>19</v>
      </c>
      <c r="D89" s="220">
        <v>678.25199999999995</v>
      </c>
      <c r="E89" s="42">
        <v>0</v>
      </c>
      <c r="F89" s="42">
        <f t="shared" si="25"/>
        <v>0</v>
      </c>
      <c r="G89" s="181"/>
      <c r="H89" s="32"/>
      <c r="I89" s="245">
        <f>+'SVD 4140_Pto. 01_Cert. 03'!K89</f>
        <v>0</v>
      </c>
      <c r="J89" s="236"/>
      <c r="K89" s="79">
        <f t="shared" si="30"/>
        <v>0</v>
      </c>
      <c r="L89" s="201">
        <f t="shared" si="31"/>
        <v>0</v>
      </c>
      <c r="M89" s="201">
        <f t="shared" si="32"/>
        <v>0</v>
      </c>
      <c r="N89" s="201">
        <f t="shared" si="33"/>
        <v>0</v>
      </c>
    </row>
    <row r="90" spans="1:14" s="57" customFormat="1" ht="13.8" outlineLevel="1" x14ac:dyDescent="0.3">
      <c r="A90" s="217">
        <v>15.08</v>
      </c>
      <c r="B90" s="218" t="s">
        <v>102</v>
      </c>
      <c r="C90" s="219" t="s">
        <v>19</v>
      </c>
      <c r="D90" s="220">
        <v>728.48019999999985</v>
      </c>
      <c r="E90" s="42">
        <v>0</v>
      </c>
      <c r="F90" s="42">
        <f t="shared" si="25"/>
        <v>0</v>
      </c>
      <c r="G90" s="181"/>
      <c r="H90" s="32"/>
      <c r="I90" s="245">
        <f>+'SVD 4140_Pto. 01_Cert. 03'!K90</f>
        <v>0</v>
      </c>
      <c r="J90" s="236"/>
      <c r="K90" s="79">
        <f t="shared" si="30"/>
        <v>0</v>
      </c>
      <c r="L90" s="201">
        <f t="shared" si="31"/>
        <v>0</v>
      </c>
      <c r="M90" s="201">
        <f t="shared" si="32"/>
        <v>0</v>
      </c>
      <c r="N90" s="201">
        <f t="shared" si="33"/>
        <v>0</v>
      </c>
    </row>
    <row r="91" spans="1:14" s="57" customFormat="1" ht="13.8" outlineLevel="1" x14ac:dyDescent="0.3">
      <c r="A91" s="217">
        <v>15.09</v>
      </c>
      <c r="B91" s="218" t="s">
        <v>103</v>
      </c>
      <c r="C91" s="219" t="s">
        <v>67</v>
      </c>
      <c r="D91" s="220">
        <v>76</v>
      </c>
      <c r="E91" s="42">
        <v>0</v>
      </c>
      <c r="F91" s="42">
        <f t="shared" si="25"/>
        <v>0</v>
      </c>
      <c r="G91" s="181"/>
      <c r="H91" s="32"/>
      <c r="I91" s="245">
        <f>+'SVD 4140_Pto. 01_Cert. 03'!K91</f>
        <v>0</v>
      </c>
      <c r="J91" s="236"/>
      <c r="K91" s="79">
        <f t="shared" si="30"/>
        <v>0</v>
      </c>
      <c r="L91" s="201">
        <f t="shared" si="31"/>
        <v>0</v>
      </c>
      <c r="M91" s="201">
        <f t="shared" si="32"/>
        <v>0</v>
      </c>
      <c r="N91" s="201">
        <f t="shared" si="33"/>
        <v>0</v>
      </c>
    </row>
    <row r="92" spans="1:14" s="57" customFormat="1" ht="13.8" outlineLevel="1" x14ac:dyDescent="0.3">
      <c r="A92" s="221">
        <v>15.1</v>
      </c>
      <c r="B92" s="222" t="s">
        <v>104</v>
      </c>
      <c r="C92" s="223" t="s">
        <v>28</v>
      </c>
      <c r="D92" s="224">
        <v>1</v>
      </c>
      <c r="E92" s="60">
        <v>0</v>
      </c>
      <c r="F92" s="60">
        <f t="shared" si="25"/>
        <v>0</v>
      </c>
      <c r="G92" s="181"/>
      <c r="H92" s="32"/>
      <c r="I92" s="245">
        <f>+'SVD 4140_Pto. 01_Cert. 03'!K92</f>
        <v>0</v>
      </c>
      <c r="J92" s="236"/>
      <c r="K92" s="79">
        <f t="shared" si="30"/>
        <v>0</v>
      </c>
      <c r="L92" s="201">
        <f t="shared" si="31"/>
        <v>0</v>
      </c>
      <c r="M92" s="201">
        <f t="shared" si="32"/>
        <v>0</v>
      </c>
      <c r="N92" s="201">
        <f t="shared" si="33"/>
        <v>0</v>
      </c>
    </row>
    <row r="93" spans="1:14" s="57" customFormat="1" ht="13.8" x14ac:dyDescent="0.3">
      <c r="A93" s="27">
        <v>16</v>
      </c>
      <c r="B93" s="28" t="s">
        <v>105</v>
      </c>
      <c r="C93" s="189"/>
      <c r="D93" s="65"/>
      <c r="E93" s="65"/>
      <c r="F93" s="65"/>
      <c r="G93" s="31">
        <f>+SUM(F94)</f>
        <v>0</v>
      </c>
      <c r="H93" s="32">
        <f>+G93/$G$185</f>
        <v>0</v>
      </c>
      <c r="I93" s="248"/>
      <c r="J93" s="206"/>
      <c r="K93" s="206"/>
      <c r="L93" s="207"/>
      <c r="M93" s="207"/>
      <c r="N93" s="208"/>
    </row>
    <row r="94" spans="1:14" s="57" customFormat="1" ht="13.8" outlineLevel="1" x14ac:dyDescent="0.3">
      <c r="A94" s="188"/>
      <c r="B94" s="187"/>
      <c r="C94" s="179"/>
      <c r="D94" s="180"/>
      <c r="E94" s="181">
        <v>0</v>
      </c>
      <c r="F94" s="181">
        <f t="shared" si="25"/>
        <v>0</v>
      </c>
      <c r="G94" s="181"/>
      <c r="H94" s="32"/>
      <c r="I94" s="245">
        <f>+'SVD 4140_Pto. 01_Cert. 03'!K94</f>
        <v>0</v>
      </c>
      <c r="J94" s="203"/>
      <c r="K94" s="204">
        <f t="shared" ref="K94" si="34">+I94+J94</f>
        <v>0</v>
      </c>
      <c r="L94" s="80">
        <f t="shared" ref="L94" si="35">+F94*I94</f>
        <v>0</v>
      </c>
      <c r="M94" s="80">
        <f t="shared" ref="M94" si="36">+F94*J94</f>
        <v>0</v>
      </c>
      <c r="N94" s="80">
        <f t="shared" ref="N94" si="37">+F94*K94</f>
        <v>0</v>
      </c>
    </row>
    <row r="95" spans="1:14" s="57" customFormat="1" ht="13.8" x14ac:dyDescent="0.3">
      <c r="A95" s="27">
        <v>17</v>
      </c>
      <c r="B95" s="28" t="s">
        <v>106</v>
      </c>
      <c r="C95" s="189"/>
      <c r="D95" s="65"/>
      <c r="E95" s="65"/>
      <c r="F95" s="65"/>
      <c r="G95" s="31">
        <f>+SUM(F96:F99)</f>
        <v>7258243</v>
      </c>
      <c r="H95" s="32">
        <f>+G95/$G$185</f>
        <v>9.8663394592649264E-3</v>
      </c>
      <c r="I95" s="248"/>
      <c r="J95" s="206"/>
      <c r="K95" s="206"/>
      <c r="L95" s="207"/>
      <c r="M95" s="207"/>
      <c r="N95" s="208"/>
    </row>
    <row r="96" spans="1:14" s="57" customFormat="1" ht="13.8" outlineLevel="1" x14ac:dyDescent="0.3">
      <c r="A96" s="213">
        <v>17.010000000000002</v>
      </c>
      <c r="B96" s="214" t="s">
        <v>107</v>
      </c>
      <c r="C96" s="215" t="s">
        <v>47</v>
      </c>
      <c r="D96" s="216">
        <v>47</v>
      </c>
      <c r="E96" s="37">
        <v>64232</v>
      </c>
      <c r="F96" s="37">
        <f t="shared" si="25"/>
        <v>3018904</v>
      </c>
      <c r="G96" s="181"/>
      <c r="H96" s="32"/>
      <c r="I96" s="245">
        <f>+'SVD 4140_Pto. 01_Cert. 03'!K96</f>
        <v>0</v>
      </c>
      <c r="J96" s="203">
        <v>0.15</v>
      </c>
      <c r="K96" s="204">
        <f t="shared" ref="K96:K99" si="38">+I96+J96</f>
        <v>0.15</v>
      </c>
      <c r="L96" s="80">
        <f t="shared" ref="L96:L99" si="39">+F96*I96</f>
        <v>0</v>
      </c>
      <c r="M96" s="80">
        <f t="shared" ref="M96:M99" si="40">+F96*J96</f>
        <v>452835.6</v>
      </c>
      <c r="N96" s="80">
        <f t="shared" ref="N96:N99" si="41">+F96*K96</f>
        <v>452835.6</v>
      </c>
    </row>
    <row r="97" spans="1:14" s="57" customFormat="1" ht="13.8" outlineLevel="1" x14ac:dyDescent="0.3">
      <c r="A97" s="217">
        <v>17.02</v>
      </c>
      <c r="B97" s="218" t="s">
        <v>108</v>
      </c>
      <c r="C97" s="219" t="s">
        <v>47</v>
      </c>
      <c r="D97" s="220">
        <v>23</v>
      </c>
      <c r="E97" s="42">
        <v>64232</v>
      </c>
      <c r="F97" s="42">
        <f t="shared" si="25"/>
        <v>1477336</v>
      </c>
      <c r="G97" s="181"/>
      <c r="H97" s="32"/>
      <c r="I97" s="245">
        <f>+'SVD 4140_Pto. 01_Cert. 03'!K97</f>
        <v>0.08</v>
      </c>
      <c r="J97" s="136">
        <v>0.15</v>
      </c>
      <c r="K97" s="79">
        <f t="shared" si="38"/>
        <v>0.22999999999999998</v>
      </c>
      <c r="L97" s="80">
        <f t="shared" si="39"/>
        <v>118186.88</v>
      </c>
      <c r="M97" s="80">
        <f t="shared" si="40"/>
        <v>221600.4</v>
      </c>
      <c r="N97" s="80">
        <f t="shared" si="41"/>
        <v>339787.27999999997</v>
      </c>
    </row>
    <row r="98" spans="1:14" s="57" customFormat="1" ht="13.8" outlineLevel="1" x14ac:dyDescent="0.3">
      <c r="A98" s="217">
        <v>17.03</v>
      </c>
      <c r="B98" s="218" t="s">
        <v>109</v>
      </c>
      <c r="C98" s="219" t="s">
        <v>47</v>
      </c>
      <c r="D98" s="220">
        <v>51</v>
      </c>
      <c r="E98" s="42">
        <v>41296</v>
      </c>
      <c r="F98" s="42">
        <f t="shared" si="25"/>
        <v>2106096</v>
      </c>
      <c r="G98" s="181"/>
      <c r="H98" s="32"/>
      <c r="I98" s="245">
        <f>+'SVD 4140_Pto. 01_Cert. 03'!K98</f>
        <v>0</v>
      </c>
      <c r="J98" s="136">
        <v>0.1</v>
      </c>
      <c r="K98" s="79">
        <f t="shared" si="38"/>
        <v>0.1</v>
      </c>
      <c r="L98" s="80">
        <f t="shared" si="39"/>
        <v>0</v>
      </c>
      <c r="M98" s="80">
        <f t="shared" si="40"/>
        <v>210609.6</v>
      </c>
      <c r="N98" s="80">
        <f t="shared" si="41"/>
        <v>210609.6</v>
      </c>
    </row>
    <row r="99" spans="1:14" s="57" customFormat="1" ht="13.8" outlineLevel="1" x14ac:dyDescent="0.3">
      <c r="A99" s="221">
        <v>17.04</v>
      </c>
      <c r="B99" s="222" t="s">
        <v>110</v>
      </c>
      <c r="C99" s="223" t="s">
        <v>47</v>
      </c>
      <c r="D99" s="224">
        <v>7</v>
      </c>
      <c r="E99" s="60">
        <v>93701</v>
      </c>
      <c r="F99" s="60">
        <f t="shared" si="25"/>
        <v>655907</v>
      </c>
      <c r="G99" s="181"/>
      <c r="H99" s="32"/>
      <c r="I99" s="245">
        <f>+'SVD 4140_Pto. 01_Cert. 03'!K99</f>
        <v>0</v>
      </c>
      <c r="J99" s="136"/>
      <c r="K99" s="79">
        <f t="shared" si="38"/>
        <v>0</v>
      </c>
      <c r="L99" s="80">
        <f t="shared" si="39"/>
        <v>0</v>
      </c>
      <c r="M99" s="80">
        <f t="shared" si="40"/>
        <v>0</v>
      </c>
      <c r="N99" s="80">
        <f t="shared" si="41"/>
        <v>0</v>
      </c>
    </row>
    <row r="100" spans="1:14" s="57" customFormat="1" ht="13.8" x14ac:dyDescent="0.3">
      <c r="A100" s="27">
        <v>18</v>
      </c>
      <c r="B100" s="28" t="s">
        <v>111</v>
      </c>
      <c r="C100" s="189"/>
      <c r="D100" s="65"/>
      <c r="E100" s="65"/>
      <c r="F100" s="65"/>
      <c r="G100" s="31">
        <f>+SUM(F101:F130)</f>
        <v>99277732</v>
      </c>
      <c r="H100" s="32">
        <f>+G100/$G$185</f>
        <v>0.13495109004450917</v>
      </c>
      <c r="I100" s="248"/>
      <c r="J100" s="206"/>
      <c r="K100" s="206"/>
      <c r="L100" s="207"/>
      <c r="M100" s="207"/>
      <c r="N100" s="208"/>
    </row>
    <row r="101" spans="1:14" s="57" customFormat="1" ht="13.8" outlineLevel="1" x14ac:dyDescent="0.3">
      <c r="A101" s="213">
        <v>18.010000000000002</v>
      </c>
      <c r="B101" s="214" t="s">
        <v>112</v>
      </c>
      <c r="C101" s="215" t="s">
        <v>47</v>
      </c>
      <c r="D101" s="216">
        <v>392</v>
      </c>
      <c r="E101" s="37">
        <v>59948</v>
      </c>
      <c r="F101" s="37">
        <f t="shared" si="25"/>
        <v>23499616</v>
      </c>
      <c r="G101" s="181"/>
      <c r="H101" s="32"/>
      <c r="I101" s="245">
        <f>+'SVD 4140_Pto. 01_Cert. 03'!K101</f>
        <v>0.4</v>
      </c>
      <c r="J101" s="134"/>
      <c r="K101" s="135">
        <f t="shared" ref="K101:K130" si="42">+I101+J101</f>
        <v>0.4</v>
      </c>
      <c r="L101" s="200">
        <f t="shared" ref="L101:L130" si="43">+F101*I101</f>
        <v>9399846.4000000004</v>
      </c>
      <c r="M101" s="200">
        <f t="shared" ref="M101:M130" si="44">+F101*J101</f>
        <v>0</v>
      </c>
      <c r="N101" s="200">
        <f t="shared" ref="N101:N130" si="45">+F101*K101</f>
        <v>9399846.4000000004</v>
      </c>
    </row>
    <row r="102" spans="1:14" s="57" customFormat="1" ht="13.8" outlineLevel="1" x14ac:dyDescent="0.3">
      <c r="A102" s="217">
        <v>18.02</v>
      </c>
      <c r="B102" s="218" t="s">
        <v>113</v>
      </c>
      <c r="C102" s="219" t="s">
        <v>47</v>
      </c>
      <c r="D102" s="220">
        <v>19</v>
      </c>
      <c r="E102" s="42">
        <v>59948</v>
      </c>
      <c r="F102" s="42">
        <f t="shared" si="25"/>
        <v>1139012</v>
      </c>
      <c r="G102" s="181"/>
      <c r="H102" s="32"/>
      <c r="I102" s="245">
        <f>+'SVD 4140_Pto. 01_Cert. 03'!K102</f>
        <v>0.2</v>
      </c>
      <c r="J102" s="136">
        <v>0.05</v>
      </c>
      <c r="K102" s="79">
        <f t="shared" si="42"/>
        <v>0.25</v>
      </c>
      <c r="L102" s="201">
        <f t="shared" si="43"/>
        <v>227802.40000000002</v>
      </c>
      <c r="M102" s="201">
        <f t="shared" si="44"/>
        <v>56950.600000000006</v>
      </c>
      <c r="N102" s="201">
        <f t="shared" si="45"/>
        <v>284753</v>
      </c>
    </row>
    <row r="103" spans="1:14" s="57" customFormat="1" ht="13.8" outlineLevel="1" x14ac:dyDescent="0.3">
      <c r="A103" s="217">
        <v>18.03</v>
      </c>
      <c r="B103" s="218" t="s">
        <v>114</v>
      </c>
      <c r="C103" s="219" t="s">
        <v>47</v>
      </c>
      <c r="D103" s="220">
        <v>349</v>
      </c>
      <c r="E103" s="42">
        <v>57445</v>
      </c>
      <c r="F103" s="42">
        <f t="shared" si="25"/>
        <v>20048305</v>
      </c>
      <c r="G103" s="181"/>
      <c r="H103" s="32"/>
      <c r="I103" s="245">
        <f>+'SVD 4140_Pto. 01_Cert. 03'!K103</f>
        <v>0.2</v>
      </c>
      <c r="J103" s="136">
        <v>0.05</v>
      </c>
      <c r="K103" s="79">
        <f t="shared" si="42"/>
        <v>0.25</v>
      </c>
      <c r="L103" s="201">
        <f t="shared" si="43"/>
        <v>4009661</v>
      </c>
      <c r="M103" s="201">
        <f t="shared" si="44"/>
        <v>1002415.25</v>
      </c>
      <c r="N103" s="201">
        <f t="shared" si="45"/>
        <v>5012076.25</v>
      </c>
    </row>
    <row r="104" spans="1:14" s="57" customFormat="1" ht="13.8" outlineLevel="1" x14ac:dyDescent="0.3">
      <c r="A104" s="217">
        <v>18.04</v>
      </c>
      <c r="B104" s="218" t="s">
        <v>115</v>
      </c>
      <c r="C104" s="219" t="s">
        <v>47</v>
      </c>
      <c r="D104" s="220">
        <v>35</v>
      </c>
      <c r="E104" s="42">
        <v>64480</v>
      </c>
      <c r="F104" s="42">
        <f t="shared" si="25"/>
        <v>2256800</v>
      </c>
      <c r="G104" s="181"/>
      <c r="H104" s="32"/>
      <c r="I104" s="245">
        <f>+'SVD 4140_Pto. 01_Cert. 03'!K104</f>
        <v>0.2</v>
      </c>
      <c r="J104" s="141">
        <v>0.05</v>
      </c>
      <c r="K104" s="79">
        <f t="shared" si="42"/>
        <v>0.25</v>
      </c>
      <c r="L104" s="201">
        <f t="shared" si="43"/>
        <v>451360</v>
      </c>
      <c r="M104" s="201">
        <f t="shared" si="44"/>
        <v>112840</v>
      </c>
      <c r="N104" s="201">
        <f t="shared" si="45"/>
        <v>564200</v>
      </c>
    </row>
    <row r="105" spans="1:14" s="57" customFormat="1" ht="13.8" outlineLevel="1" x14ac:dyDescent="0.3">
      <c r="A105" s="217">
        <v>18.05</v>
      </c>
      <c r="B105" s="218" t="s">
        <v>116</v>
      </c>
      <c r="C105" s="219" t="s">
        <v>47</v>
      </c>
      <c r="D105" s="220">
        <v>16</v>
      </c>
      <c r="E105" s="42">
        <v>57445</v>
      </c>
      <c r="F105" s="42">
        <f t="shared" si="25"/>
        <v>919120</v>
      </c>
      <c r="G105" s="181"/>
      <c r="H105" s="32"/>
      <c r="I105" s="245">
        <f>+'SVD 4140_Pto. 01_Cert. 03'!K105</f>
        <v>0</v>
      </c>
      <c r="J105" s="141"/>
      <c r="K105" s="79">
        <f t="shared" si="42"/>
        <v>0</v>
      </c>
      <c r="L105" s="201">
        <f t="shared" si="43"/>
        <v>0</v>
      </c>
      <c r="M105" s="201">
        <f t="shared" si="44"/>
        <v>0</v>
      </c>
      <c r="N105" s="201">
        <f t="shared" si="45"/>
        <v>0</v>
      </c>
    </row>
    <row r="106" spans="1:14" s="57" customFormat="1" ht="13.8" outlineLevel="1" x14ac:dyDescent="0.3">
      <c r="A106" s="217">
        <v>18.059999999999999</v>
      </c>
      <c r="B106" s="218" t="s">
        <v>117</v>
      </c>
      <c r="C106" s="219" t="s">
        <v>47</v>
      </c>
      <c r="D106" s="220">
        <v>16</v>
      </c>
      <c r="E106" s="42">
        <v>57445</v>
      </c>
      <c r="F106" s="42">
        <f t="shared" si="25"/>
        <v>919120</v>
      </c>
      <c r="G106" s="181"/>
      <c r="H106" s="32"/>
      <c r="I106" s="245">
        <f>+'SVD 4140_Pto. 01_Cert. 03'!K106</f>
        <v>0.2</v>
      </c>
      <c r="J106" s="141"/>
      <c r="K106" s="79">
        <f t="shared" si="42"/>
        <v>0.2</v>
      </c>
      <c r="L106" s="201">
        <f t="shared" si="43"/>
        <v>183824</v>
      </c>
      <c r="M106" s="201">
        <f t="shared" si="44"/>
        <v>0</v>
      </c>
      <c r="N106" s="201">
        <f t="shared" si="45"/>
        <v>183824</v>
      </c>
    </row>
    <row r="107" spans="1:14" s="57" customFormat="1" ht="13.8" outlineLevel="1" x14ac:dyDescent="0.3">
      <c r="A107" s="217">
        <v>18.07</v>
      </c>
      <c r="B107" s="218" t="s">
        <v>118</v>
      </c>
      <c r="C107" s="219" t="s">
        <v>47</v>
      </c>
      <c r="D107" s="220">
        <v>46</v>
      </c>
      <c r="E107" s="42">
        <v>43213</v>
      </c>
      <c r="F107" s="42">
        <f t="shared" si="25"/>
        <v>1987798</v>
      </c>
      <c r="G107" s="181"/>
      <c r="H107" s="32"/>
      <c r="I107" s="245">
        <f>+'SVD 4140_Pto. 01_Cert. 03'!K107</f>
        <v>0.2</v>
      </c>
      <c r="J107" s="141">
        <v>0.05</v>
      </c>
      <c r="K107" s="79">
        <f t="shared" si="42"/>
        <v>0.25</v>
      </c>
      <c r="L107" s="201">
        <f t="shared" si="43"/>
        <v>397559.60000000003</v>
      </c>
      <c r="M107" s="201">
        <f t="shared" si="44"/>
        <v>99389.900000000009</v>
      </c>
      <c r="N107" s="201">
        <f t="shared" si="45"/>
        <v>496949.5</v>
      </c>
    </row>
    <row r="108" spans="1:14" s="57" customFormat="1" ht="13.8" outlineLevel="1" x14ac:dyDescent="0.3">
      <c r="A108" s="217">
        <v>18.079999999999998</v>
      </c>
      <c r="B108" s="218" t="s">
        <v>119</v>
      </c>
      <c r="C108" s="219" t="s">
        <v>47</v>
      </c>
      <c r="D108" s="220">
        <v>17</v>
      </c>
      <c r="E108" s="42">
        <v>43213</v>
      </c>
      <c r="F108" s="42">
        <f t="shared" si="25"/>
        <v>734621</v>
      </c>
      <c r="G108" s="181"/>
      <c r="H108" s="32"/>
      <c r="I108" s="245">
        <f>+'SVD 4140_Pto. 01_Cert. 03'!K108</f>
        <v>0.2</v>
      </c>
      <c r="J108" s="136">
        <v>0.05</v>
      </c>
      <c r="K108" s="79">
        <f t="shared" si="42"/>
        <v>0.25</v>
      </c>
      <c r="L108" s="201">
        <f t="shared" si="43"/>
        <v>146924.20000000001</v>
      </c>
      <c r="M108" s="201">
        <f t="shared" si="44"/>
        <v>36731.050000000003</v>
      </c>
      <c r="N108" s="201">
        <f t="shared" si="45"/>
        <v>183655.25</v>
      </c>
    </row>
    <row r="109" spans="1:14" s="57" customFormat="1" ht="13.8" outlineLevel="1" x14ac:dyDescent="0.3">
      <c r="A109" s="217">
        <v>18.09</v>
      </c>
      <c r="B109" s="218" t="s">
        <v>120</v>
      </c>
      <c r="C109" s="219" t="s">
        <v>47</v>
      </c>
      <c r="D109" s="220">
        <v>11</v>
      </c>
      <c r="E109" s="42">
        <v>43213</v>
      </c>
      <c r="F109" s="42">
        <f t="shared" si="25"/>
        <v>475343</v>
      </c>
      <c r="G109" s="181"/>
      <c r="H109" s="32"/>
      <c r="I109" s="245">
        <f>+'SVD 4140_Pto. 01_Cert. 03'!K109</f>
        <v>0.6</v>
      </c>
      <c r="J109" s="141">
        <v>0.05</v>
      </c>
      <c r="K109" s="79">
        <f t="shared" si="42"/>
        <v>0.65</v>
      </c>
      <c r="L109" s="201">
        <f t="shared" si="43"/>
        <v>285205.8</v>
      </c>
      <c r="M109" s="201">
        <f t="shared" si="44"/>
        <v>23767.15</v>
      </c>
      <c r="N109" s="201">
        <f t="shared" si="45"/>
        <v>308972.95</v>
      </c>
    </row>
    <row r="110" spans="1:14" s="57" customFormat="1" ht="13.8" outlineLevel="1" x14ac:dyDescent="0.3">
      <c r="A110" s="217">
        <v>18.100000000000001</v>
      </c>
      <c r="B110" s="218" t="s">
        <v>121</v>
      </c>
      <c r="C110" s="219" t="s">
        <v>47</v>
      </c>
      <c r="D110" s="220">
        <v>1</v>
      </c>
      <c r="E110" s="42">
        <v>2365100</v>
      </c>
      <c r="F110" s="42">
        <f t="shared" si="25"/>
        <v>2365100</v>
      </c>
      <c r="G110" s="181"/>
      <c r="H110" s="32"/>
      <c r="I110" s="245">
        <f>+'SVD 4140_Pto. 01_Cert. 03'!K110</f>
        <v>0</v>
      </c>
      <c r="J110" s="141"/>
      <c r="K110" s="79">
        <f t="shared" si="42"/>
        <v>0</v>
      </c>
      <c r="L110" s="201">
        <f t="shared" si="43"/>
        <v>0</v>
      </c>
      <c r="M110" s="201">
        <f t="shared" si="44"/>
        <v>0</v>
      </c>
      <c r="N110" s="201">
        <f t="shared" si="45"/>
        <v>0</v>
      </c>
    </row>
    <row r="111" spans="1:14" s="57" customFormat="1" ht="13.8" outlineLevel="1" x14ac:dyDescent="0.3">
      <c r="A111" s="217">
        <v>18.11</v>
      </c>
      <c r="B111" s="218" t="s">
        <v>122</v>
      </c>
      <c r="C111" s="219" t="s">
        <v>47</v>
      </c>
      <c r="D111" s="220">
        <v>1</v>
      </c>
      <c r="E111" s="42">
        <v>1112140</v>
      </c>
      <c r="F111" s="42">
        <f t="shared" si="25"/>
        <v>1112140</v>
      </c>
      <c r="G111" s="181"/>
      <c r="H111" s="32"/>
      <c r="I111" s="245">
        <f>+'SVD 4140_Pto. 01_Cert. 03'!K111</f>
        <v>0</v>
      </c>
      <c r="J111" s="136"/>
      <c r="K111" s="79">
        <f t="shared" si="42"/>
        <v>0</v>
      </c>
      <c r="L111" s="201">
        <f t="shared" si="43"/>
        <v>0</v>
      </c>
      <c r="M111" s="201">
        <f t="shared" si="44"/>
        <v>0</v>
      </c>
      <c r="N111" s="201">
        <f t="shared" si="45"/>
        <v>0</v>
      </c>
    </row>
    <row r="112" spans="1:14" s="57" customFormat="1" ht="13.8" outlineLevel="1" x14ac:dyDescent="0.3">
      <c r="A112" s="217">
        <v>18.12</v>
      </c>
      <c r="B112" s="218" t="s">
        <v>123</v>
      </c>
      <c r="C112" s="219" t="s">
        <v>47</v>
      </c>
      <c r="D112" s="220">
        <v>1</v>
      </c>
      <c r="E112" s="42">
        <v>669004</v>
      </c>
      <c r="F112" s="42">
        <f t="shared" si="25"/>
        <v>669004</v>
      </c>
      <c r="G112" s="181"/>
      <c r="H112" s="32"/>
      <c r="I112" s="245">
        <f>+'SVD 4140_Pto. 01_Cert. 03'!K112</f>
        <v>0</v>
      </c>
      <c r="J112" s="136"/>
      <c r="K112" s="79">
        <f t="shared" si="42"/>
        <v>0</v>
      </c>
      <c r="L112" s="201">
        <f t="shared" si="43"/>
        <v>0</v>
      </c>
      <c r="M112" s="201">
        <f t="shared" si="44"/>
        <v>0</v>
      </c>
      <c r="N112" s="201">
        <f t="shared" si="45"/>
        <v>0</v>
      </c>
    </row>
    <row r="113" spans="1:14" s="57" customFormat="1" ht="13.8" outlineLevel="1" x14ac:dyDescent="0.3">
      <c r="A113" s="217">
        <v>18.13</v>
      </c>
      <c r="B113" s="218" t="s">
        <v>124</v>
      </c>
      <c r="C113" s="219" t="s">
        <v>47</v>
      </c>
      <c r="D113" s="220">
        <v>1</v>
      </c>
      <c r="E113" s="42">
        <v>970259</v>
      </c>
      <c r="F113" s="42">
        <f t="shared" si="25"/>
        <v>970259</v>
      </c>
      <c r="G113" s="181"/>
      <c r="H113" s="32"/>
      <c r="I113" s="245">
        <f>+'SVD 4140_Pto. 01_Cert. 03'!K113</f>
        <v>0</v>
      </c>
      <c r="J113" s="141"/>
      <c r="K113" s="79">
        <f t="shared" si="42"/>
        <v>0</v>
      </c>
      <c r="L113" s="201">
        <f t="shared" si="43"/>
        <v>0</v>
      </c>
      <c r="M113" s="201">
        <f t="shared" si="44"/>
        <v>0</v>
      </c>
      <c r="N113" s="201">
        <f t="shared" si="45"/>
        <v>0</v>
      </c>
    </row>
    <row r="114" spans="1:14" s="57" customFormat="1" ht="13.8" outlineLevel="1" x14ac:dyDescent="0.3">
      <c r="A114" s="217">
        <v>18.14</v>
      </c>
      <c r="B114" s="218" t="s">
        <v>125</v>
      </c>
      <c r="C114" s="219" t="s">
        <v>47</v>
      </c>
      <c r="D114" s="220">
        <v>1</v>
      </c>
      <c r="E114" s="42">
        <v>507898</v>
      </c>
      <c r="F114" s="42">
        <f t="shared" si="25"/>
        <v>507898</v>
      </c>
      <c r="G114" s="181"/>
      <c r="H114" s="32"/>
      <c r="I114" s="245">
        <f>+'SVD 4140_Pto. 01_Cert. 03'!K114</f>
        <v>0</v>
      </c>
      <c r="J114" s="136"/>
      <c r="K114" s="79">
        <f t="shared" si="42"/>
        <v>0</v>
      </c>
      <c r="L114" s="201">
        <f t="shared" si="43"/>
        <v>0</v>
      </c>
      <c r="M114" s="201">
        <f t="shared" si="44"/>
        <v>0</v>
      </c>
      <c r="N114" s="201">
        <f t="shared" si="45"/>
        <v>0</v>
      </c>
    </row>
    <row r="115" spans="1:14" s="57" customFormat="1" ht="13.8" outlineLevel="1" x14ac:dyDescent="0.3">
      <c r="A115" s="217">
        <v>18.149999999999999</v>
      </c>
      <c r="B115" s="218" t="s">
        <v>126</v>
      </c>
      <c r="C115" s="219" t="s">
        <v>47</v>
      </c>
      <c r="D115" s="220">
        <v>7</v>
      </c>
      <c r="E115" s="42">
        <v>507898</v>
      </c>
      <c r="F115" s="42">
        <f t="shared" si="25"/>
        <v>3555286</v>
      </c>
      <c r="G115" s="181"/>
      <c r="H115" s="32"/>
      <c r="I115" s="245">
        <f>+'SVD 4140_Pto. 01_Cert. 03'!K115</f>
        <v>0</v>
      </c>
      <c r="J115" s="136">
        <v>0.02</v>
      </c>
      <c r="K115" s="79">
        <f t="shared" si="42"/>
        <v>0.02</v>
      </c>
      <c r="L115" s="201">
        <f t="shared" si="43"/>
        <v>0</v>
      </c>
      <c r="M115" s="201">
        <f t="shared" si="44"/>
        <v>71105.72</v>
      </c>
      <c r="N115" s="201">
        <f t="shared" si="45"/>
        <v>71105.72</v>
      </c>
    </row>
    <row r="116" spans="1:14" s="57" customFormat="1" ht="13.8" outlineLevel="1" x14ac:dyDescent="0.3">
      <c r="A116" s="217">
        <v>18.16</v>
      </c>
      <c r="B116" s="218" t="s">
        <v>127</v>
      </c>
      <c r="C116" s="219" t="s">
        <v>47</v>
      </c>
      <c r="D116" s="220">
        <v>9</v>
      </c>
      <c r="E116" s="42">
        <v>595498</v>
      </c>
      <c r="F116" s="42">
        <f t="shared" si="25"/>
        <v>5359482</v>
      </c>
      <c r="G116" s="181"/>
      <c r="H116" s="32"/>
      <c r="I116" s="245">
        <f>+'SVD 4140_Pto. 01_Cert. 03'!K116</f>
        <v>0</v>
      </c>
      <c r="J116" s="141">
        <v>0.02</v>
      </c>
      <c r="K116" s="79">
        <f t="shared" si="42"/>
        <v>0.02</v>
      </c>
      <c r="L116" s="201">
        <f t="shared" si="43"/>
        <v>0</v>
      </c>
      <c r="M116" s="201">
        <f t="shared" si="44"/>
        <v>107189.64</v>
      </c>
      <c r="N116" s="201">
        <f t="shared" si="45"/>
        <v>107189.64</v>
      </c>
    </row>
    <row r="117" spans="1:14" s="57" customFormat="1" ht="13.8" outlineLevel="1" x14ac:dyDescent="0.3">
      <c r="A117" s="217">
        <v>18.170000000000002</v>
      </c>
      <c r="B117" s="218" t="s">
        <v>128</v>
      </c>
      <c r="C117" s="219" t="s">
        <v>28</v>
      </c>
      <c r="D117" s="220">
        <v>1</v>
      </c>
      <c r="E117" s="42">
        <v>9502264</v>
      </c>
      <c r="F117" s="42">
        <f t="shared" si="25"/>
        <v>9502264</v>
      </c>
      <c r="G117" s="181"/>
      <c r="H117" s="32"/>
      <c r="I117" s="245">
        <f>+'SVD 4140_Pto. 01_Cert. 03'!K117</f>
        <v>0</v>
      </c>
      <c r="J117" s="136"/>
      <c r="K117" s="79">
        <f t="shared" si="42"/>
        <v>0</v>
      </c>
      <c r="L117" s="201">
        <f t="shared" si="43"/>
        <v>0</v>
      </c>
      <c r="M117" s="201">
        <f t="shared" si="44"/>
        <v>0</v>
      </c>
      <c r="N117" s="201">
        <f t="shared" si="45"/>
        <v>0</v>
      </c>
    </row>
    <row r="118" spans="1:14" s="57" customFormat="1" ht="13.8" outlineLevel="1" x14ac:dyDescent="0.3">
      <c r="A118" s="217">
        <v>18.18</v>
      </c>
      <c r="B118" s="218" t="s">
        <v>129</v>
      </c>
      <c r="C118" s="219" t="s">
        <v>28</v>
      </c>
      <c r="D118" s="220">
        <v>1</v>
      </c>
      <c r="E118" s="42">
        <v>1878534</v>
      </c>
      <c r="F118" s="42">
        <f t="shared" si="25"/>
        <v>1878534</v>
      </c>
      <c r="G118" s="181"/>
      <c r="H118" s="32"/>
      <c r="I118" s="245">
        <f>+'SVD 4140_Pto. 01_Cert. 03'!K118</f>
        <v>0</v>
      </c>
      <c r="J118" s="136"/>
      <c r="K118" s="79">
        <f t="shared" si="42"/>
        <v>0</v>
      </c>
      <c r="L118" s="201">
        <f t="shared" si="43"/>
        <v>0</v>
      </c>
      <c r="M118" s="201">
        <f t="shared" si="44"/>
        <v>0</v>
      </c>
      <c r="N118" s="201">
        <f t="shared" si="45"/>
        <v>0</v>
      </c>
    </row>
    <row r="119" spans="1:14" s="57" customFormat="1" ht="13.8" outlineLevel="1" x14ac:dyDescent="0.3">
      <c r="A119" s="217">
        <v>18.190000000000001</v>
      </c>
      <c r="B119" s="218" t="s">
        <v>130</v>
      </c>
      <c r="C119" s="219" t="s">
        <v>28</v>
      </c>
      <c r="D119" s="220">
        <v>1</v>
      </c>
      <c r="E119" s="42">
        <v>1878534</v>
      </c>
      <c r="F119" s="42">
        <f t="shared" si="25"/>
        <v>1878534</v>
      </c>
      <c r="G119" s="181"/>
      <c r="H119" s="32"/>
      <c r="I119" s="245">
        <f>+'SVD 4140_Pto. 01_Cert. 03'!K119</f>
        <v>0</v>
      </c>
      <c r="J119" s="141"/>
      <c r="K119" s="79">
        <f t="shared" si="42"/>
        <v>0</v>
      </c>
      <c r="L119" s="201">
        <f t="shared" si="43"/>
        <v>0</v>
      </c>
      <c r="M119" s="201">
        <f t="shared" si="44"/>
        <v>0</v>
      </c>
      <c r="N119" s="201">
        <f t="shared" si="45"/>
        <v>0</v>
      </c>
    </row>
    <row r="120" spans="1:14" s="57" customFormat="1" ht="13.8" outlineLevel="1" x14ac:dyDescent="0.3">
      <c r="A120" s="217">
        <v>18.2</v>
      </c>
      <c r="B120" s="218" t="s">
        <v>131</v>
      </c>
      <c r="C120" s="219" t="s">
        <v>47</v>
      </c>
      <c r="D120" s="220">
        <v>33</v>
      </c>
      <c r="E120" s="42">
        <v>14235</v>
      </c>
      <c r="F120" s="42">
        <f t="shared" si="25"/>
        <v>469755</v>
      </c>
      <c r="G120" s="181"/>
      <c r="H120" s="32"/>
      <c r="I120" s="245">
        <f>+'SVD 4140_Pto. 01_Cert. 03'!K120</f>
        <v>0</v>
      </c>
      <c r="J120" s="136"/>
      <c r="K120" s="79">
        <f t="shared" si="42"/>
        <v>0</v>
      </c>
      <c r="L120" s="201">
        <f t="shared" si="43"/>
        <v>0</v>
      </c>
      <c r="M120" s="201">
        <f t="shared" si="44"/>
        <v>0</v>
      </c>
      <c r="N120" s="201">
        <f t="shared" si="45"/>
        <v>0</v>
      </c>
    </row>
    <row r="121" spans="1:14" s="57" customFormat="1" ht="13.8" outlineLevel="1" x14ac:dyDescent="0.3">
      <c r="A121" s="217">
        <v>18.21</v>
      </c>
      <c r="B121" s="218" t="s">
        <v>132</v>
      </c>
      <c r="C121" s="219" t="s">
        <v>47</v>
      </c>
      <c r="D121" s="220">
        <v>150</v>
      </c>
      <c r="E121" s="42">
        <v>9276</v>
      </c>
      <c r="F121" s="42">
        <f t="shared" si="25"/>
        <v>1391400</v>
      </c>
      <c r="G121" s="181"/>
      <c r="H121" s="32"/>
      <c r="I121" s="245">
        <f>+'SVD 4140_Pto. 01_Cert. 03'!K121</f>
        <v>0</v>
      </c>
      <c r="J121" s="136"/>
      <c r="K121" s="79">
        <f t="shared" si="42"/>
        <v>0</v>
      </c>
      <c r="L121" s="201">
        <f t="shared" si="43"/>
        <v>0</v>
      </c>
      <c r="M121" s="201">
        <f t="shared" si="44"/>
        <v>0</v>
      </c>
      <c r="N121" s="201">
        <f t="shared" si="45"/>
        <v>0</v>
      </c>
    </row>
    <row r="122" spans="1:14" s="57" customFormat="1" ht="13.8" outlineLevel="1" x14ac:dyDescent="0.3">
      <c r="A122" s="217">
        <v>18.22</v>
      </c>
      <c r="B122" s="218" t="s">
        <v>133</v>
      </c>
      <c r="C122" s="219" t="s">
        <v>47</v>
      </c>
      <c r="D122" s="220">
        <v>16</v>
      </c>
      <c r="E122" s="42">
        <v>9276</v>
      </c>
      <c r="F122" s="42">
        <f t="shared" si="25"/>
        <v>148416</v>
      </c>
      <c r="G122" s="181"/>
      <c r="H122" s="32"/>
      <c r="I122" s="245">
        <f>+'SVD 4140_Pto. 01_Cert. 03'!K122</f>
        <v>0</v>
      </c>
      <c r="J122" s="141"/>
      <c r="K122" s="79">
        <f t="shared" si="42"/>
        <v>0</v>
      </c>
      <c r="L122" s="201">
        <f t="shared" si="43"/>
        <v>0</v>
      </c>
      <c r="M122" s="201">
        <f t="shared" si="44"/>
        <v>0</v>
      </c>
      <c r="N122" s="201">
        <f t="shared" si="45"/>
        <v>0</v>
      </c>
    </row>
    <row r="123" spans="1:14" s="57" customFormat="1" ht="13.8" outlineLevel="1" x14ac:dyDescent="0.3">
      <c r="A123" s="217">
        <v>18.23</v>
      </c>
      <c r="B123" s="218" t="s">
        <v>134</v>
      </c>
      <c r="C123" s="219" t="s">
        <v>47</v>
      </c>
      <c r="D123" s="220">
        <v>349</v>
      </c>
      <c r="E123" s="42">
        <v>9276</v>
      </c>
      <c r="F123" s="42">
        <f t="shared" si="25"/>
        <v>3237324</v>
      </c>
      <c r="G123" s="181"/>
      <c r="H123" s="32"/>
      <c r="I123" s="245">
        <f>+'SVD 4140_Pto. 01_Cert. 03'!K123</f>
        <v>0</v>
      </c>
      <c r="J123" s="136"/>
      <c r="K123" s="79">
        <f t="shared" si="42"/>
        <v>0</v>
      </c>
      <c r="L123" s="201">
        <f t="shared" si="43"/>
        <v>0</v>
      </c>
      <c r="M123" s="201">
        <f t="shared" si="44"/>
        <v>0</v>
      </c>
      <c r="N123" s="201">
        <f t="shared" si="45"/>
        <v>0</v>
      </c>
    </row>
    <row r="124" spans="1:14" s="57" customFormat="1" ht="13.8" outlineLevel="1" x14ac:dyDescent="0.3">
      <c r="A124" s="217">
        <v>18.239999999999998</v>
      </c>
      <c r="B124" s="218" t="s">
        <v>135</v>
      </c>
      <c r="C124" s="219" t="s">
        <v>47</v>
      </c>
      <c r="D124" s="220">
        <v>27</v>
      </c>
      <c r="E124" s="42">
        <v>22326</v>
      </c>
      <c r="F124" s="42">
        <f t="shared" si="25"/>
        <v>602802</v>
      </c>
      <c r="G124" s="181"/>
      <c r="H124" s="32"/>
      <c r="I124" s="245">
        <f>+'SVD 4140_Pto. 01_Cert. 03'!K124</f>
        <v>0</v>
      </c>
      <c r="J124" s="136"/>
      <c r="K124" s="79">
        <f t="shared" si="42"/>
        <v>0</v>
      </c>
      <c r="L124" s="201">
        <f t="shared" si="43"/>
        <v>0</v>
      </c>
      <c r="M124" s="201">
        <f t="shared" si="44"/>
        <v>0</v>
      </c>
      <c r="N124" s="201">
        <f t="shared" si="45"/>
        <v>0</v>
      </c>
    </row>
    <row r="125" spans="1:14" s="57" customFormat="1" ht="13.8" outlineLevel="1" x14ac:dyDescent="0.3">
      <c r="A125" s="217">
        <v>18.25</v>
      </c>
      <c r="B125" s="218" t="s">
        <v>136</v>
      </c>
      <c r="C125" s="219" t="s">
        <v>47</v>
      </c>
      <c r="D125" s="220">
        <v>16</v>
      </c>
      <c r="E125" s="42">
        <v>14235</v>
      </c>
      <c r="F125" s="42">
        <f t="shared" si="25"/>
        <v>227760</v>
      </c>
      <c r="G125" s="181"/>
      <c r="H125" s="32"/>
      <c r="I125" s="245">
        <f>+'SVD 4140_Pto. 01_Cert. 03'!K125</f>
        <v>0</v>
      </c>
      <c r="J125" s="141"/>
      <c r="K125" s="79">
        <f t="shared" si="42"/>
        <v>0</v>
      </c>
      <c r="L125" s="201">
        <f t="shared" si="43"/>
        <v>0</v>
      </c>
      <c r="M125" s="201">
        <f t="shared" si="44"/>
        <v>0</v>
      </c>
      <c r="N125" s="201">
        <f t="shared" si="45"/>
        <v>0</v>
      </c>
    </row>
    <row r="126" spans="1:14" s="57" customFormat="1" ht="27.6" outlineLevel="1" x14ac:dyDescent="0.3">
      <c r="A126" s="217">
        <v>18.260000000000002</v>
      </c>
      <c r="B126" s="218" t="s">
        <v>137</v>
      </c>
      <c r="C126" s="219" t="s">
        <v>47</v>
      </c>
      <c r="D126" s="220">
        <v>137</v>
      </c>
      <c r="E126" s="42">
        <v>14235</v>
      </c>
      <c r="F126" s="42">
        <f t="shared" si="25"/>
        <v>1950195</v>
      </c>
      <c r="G126" s="181"/>
      <c r="H126" s="32"/>
      <c r="I126" s="245">
        <f>+'SVD 4140_Pto. 01_Cert. 03'!K126</f>
        <v>0</v>
      </c>
      <c r="J126" s="136"/>
      <c r="K126" s="79">
        <f t="shared" si="42"/>
        <v>0</v>
      </c>
      <c r="L126" s="201">
        <f t="shared" si="43"/>
        <v>0</v>
      </c>
      <c r="M126" s="201">
        <f t="shared" si="44"/>
        <v>0</v>
      </c>
      <c r="N126" s="201">
        <f t="shared" si="45"/>
        <v>0</v>
      </c>
    </row>
    <row r="127" spans="1:14" s="57" customFormat="1" ht="13.8" outlineLevel="1" x14ac:dyDescent="0.3">
      <c r="A127" s="217">
        <v>18.27</v>
      </c>
      <c r="B127" s="218" t="s">
        <v>138</v>
      </c>
      <c r="C127" s="219" t="s">
        <v>47</v>
      </c>
      <c r="D127" s="220">
        <v>1</v>
      </c>
      <c r="E127" s="42">
        <v>14235</v>
      </c>
      <c r="F127" s="42">
        <f t="shared" si="25"/>
        <v>14235</v>
      </c>
      <c r="G127" s="181"/>
      <c r="H127" s="32"/>
      <c r="I127" s="245">
        <f>+'SVD 4140_Pto. 01_Cert. 03'!K127</f>
        <v>0</v>
      </c>
      <c r="J127" s="136"/>
      <c r="K127" s="79">
        <f t="shared" si="42"/>
        <v>0</v>
      </c>
      <c r="L127" s="201">
        <f t="shared" si="43"/>
        <v>0</v>
      </c>
      <c r="M127" s="201">
        <f t="shared" si="44"/>
        <v>0</v>
      </c>
      <c r="N127" s="201">
        <f t="shared" si="45"/>
        <v>0</v>
      </c>
    </row>
    <row r="128" spans="1:14" s="57" customFormat="1" ht="13.8" outlineLevel="1" x14ac:dyDescent="0.3">
      <c r="A128" s="217">
        <v>18.28</v>
      </c>
      <c r="B128" s="218" t="s">
        <v>139</v>
      </c>
      <c r="C128" s="219" t="s">
        <v>28</v>
      </c>
      <c r="D128" s="220">
        <v>1</v>
      </c>
      <c r="E128" s="42">
        <v>9332982</v>
      </c>
      <c r="F128" s="42">
        <f t="shared" si="25"/>
        <v>9332982</v>
      </c>
      <c r="G128" s="181"/>
      <c r="H128" s="32"/>
      <c r="I128" s="245">
        <f>+'SVD 4140_Pto. 01_Cert. 03'!K128</f>
        <v>0</v>
      </c>
      <c r="J128" s="141"/>
      <c r="K128" s="79">
        <f t="shared" si="42"/>
        <v>0</v>
      </c>
      <c r="L128" s="201">
        <f t="shared" si="43"/>
        <v>0</v>
      </c>
      <c r="M128" s="201">
        <f t="shared" si="44"/>
        <v>0</v>
      </c>
      <c r="N128" s="201">
        <f t="shared" si="45"/>
        <v>0</v>
      </c>
    </row>
    <row r="129" spans="1:14" s="57" customFormat="1" ht="13.8" outlineLevel="1" x14ac:dyDescent="0.3">
      <c r="A129" s="217">
        <v>18.29</v>
      </c>
      <c r="B129" s="218" t="s">
        <v>140</v>
      </c>
      <c r="C129" s="219" t="s">
        <v>28</v>
      </c>
      <c r="D129" s="220">
        <v>1</v>
      </c>
      <c r="E129" s="42">
        <v>1998778</v>
      </c>
      <c r="F129" s="42">
        <f t="shared" si="25"/>
        <v>1998778</v>
      </c>
      <c r="G129" s="181"/>
      <c r="H129" s="32"/>
      <c r="I129" s="245">
        <f>+'SVD 4140_Pto. 01_Cert. 03'!K129</f>
        <v>0</v>
      </c>
      <c r="J129" s="136"/>
      <c r="K129" s="79">
        <f t="shared" si="42"/>
        <v>0</v>
      </c>
      <c r="L129" s="201">
        <f t="shared" si="43"/>
        <v>0</v>
      </c>
      <c r="M129" s="201">
        <f t="shared" si="44"/>
        <v>0</v>
      </c>
      <c r="N129" s="201">
        <f t="shared" si="45"/>
        <v>0</v>
      </c>
    </row>
    <row r="130" spans="1:14" s="57" customFormat="1" ht="13.8" outlineLevel="1" x14ac:dyDescent="0.3">
      <c r="A130" s="221">
        <v>18.3</v>
      </c>
      <c r="B130" s="222" t="s">
        <v>141</v>
      </c>
      <c r="C130" s="223" t="s">
        <v>28</v>
      </c>
      <c r="D130" s="224">
        <v>1</v>
      </c>
      <c r="E130" s="60">
        <v>125849</v>
      </c>
      <c r="F130" s="60">
        <f t="shared" si="25"/>
        <v>125849</v>
      </c>
      <c r="G130" s="181"/>
      <c r="H130" s="32"/>
      <c r="I130" s="245">
        <f>+'SVD 4140_Pto. 01_Cert. 03'!K130</f>
        <v>0</v>
      </c>
      <c r="J130" s="136"/>
      <c r="K130" s="79">
        <f t="shared" si="42"/>
        <v>0</v>
      </c>
      <c r="L130" s="201">
        <f t="shared" si="43"/>
        <v>0</v>
      </c>
      <c r="M130" s="201">
        <f t="shared" si="44"/>
        <v>0</v>
      </c>
      <c r="N130" s="201">
        <f t="shared" si="45"/>
        <v>0</v>
      </c>
    </row>
    <row r="131" spans="1:14" s="57" customFormat="1" ht="13.8" outlineLevel="1" x14ac:dyDescent="0.3">
      <c r="A131" s="225">
        <v>19</v>
      </c>
      <c r="B131" s="226" t="s">
        <v>142</v>
      </c>
      <c r="C131" s="227"/>
      <c r="D131" s="228"/>
      <c r="E131" s="229"/>
      <c r="F131" s="230"/>
      <c r="G131" s="181"/>
      <c r="H131" s="32"/>
      <c r="I131" s="248"/>
      <c r="J131" s="206"/>
      <c r="K131" s="206"/>
      <c r="L131" s="207"/>
      <c r="M131" s="207"/>
      <c r="N131" s="208"/>
    </row>
    <row r="132" spans="1:14" s="57" customFormat="1" ht="13.8" x14ac:dyDescent="0.3">
      <c r="A132" s="27"/>
      <c r="B132" s="28" t="s">
        <v>143</v>
      </c>
      <c r="C132" s="189"/>
      <c r="D132" s="65"/>
      <c r="E132" s="65"/>
      <c r="F132" s="65"/>
      <c r="G132" s="31">
        <f>+SUM(F133:F136)</f>
        <v>21161055</v>
      </c>
      <c r="H132" s="32">
        <f>+G132/$G$185</f>
        <v>2.8764833575587834E-2</v>
      </c>
      <c r="I132" s="248"/>
      <c r="J132" s="206"/>
      <c r="K132" s="206"/>
      <c r="L132" s="207"/>
      <c r="M132" s="207"/>
      <c r="N132" s="208"/>
    </row>
    <row r="133" spans="1:14" s="57" customFormat="1" ht="13.8" outlineLevel="1" x14ac:dyDescent="0.3">
      <c r="A133" s="213">
        <v>19.010000000000002</v>
      </c>
      <c r="B133" s="214" t="s">
        <v>144</v>
      </c>
      <c r="C133" s="215" t="s">
        <v>28</v>
      </c>
      <c r="D133" s="216">
        <v>1</v>
      </c>
      <c r="E133" s="37">
        <v>7236758</v>
      </c>
      <c r="F133" s="37">
        <f t="shared" si="25"/>
        <v>7236758</v>
      </c>
      <c r="G133" s="181"/>
      <c r="H133" s="32"/>
      <c r="I133" s="245">
        <f>+'SVD 4140_Pto. 01_Cert. 03'!K133</f>
        <v>0.05</v>
      </c>
      <c r="J133" s="251">
        <v>0.05</v>
      </c>
      <c r="K133" s="135">
        <f t="shared" ref="K133:K136" si="46">+I133+J133</f>
        <v>0.1</v>
      </c>
      <c r="L133" s="200">
        <f t="shared" ref="L133:L136" si="47">+F133*I133</f>
        <v>361837.9</v>
      </c>
      <c r="M133" s="200">
        <f t="shared" ref="M133:M136" si="48">+F133*J133</f>
        <v>361837.9</v>
      </c>
      <c r="N133" s="200">
        <f t="shared" ref="N133:N136" si="49">+F133*K133</f>
        <v>723675.8</v>
      </c>
    </row>
    <row r="134" spans="1:14" s="57" customFormat="1" ht="13.8" outlineLevel="1" x14ac:dyDescent="0.3">
      <c r="A134" s="217">
        <v>19.02</v>
      </c>
      <c r="B134" s="218" t="s">
        <v>145</v>
      </c>
      <c r="C134" s="219" t="s">
        <v>28</v>
      </c>
      <c r="D134" s="220">
        <v>1</v>
      </c>
      <c r="E134" s="42">
        <v>1001516</v>
      </c>
      <c r="F134" s="42">
        <f t="shared" si="25"/>
        <v>1001516</v>
      </c>
      <c r="G134" s="181"/>
      <c r="H134" s="32"/>
      <c r="I134" s="245">
        <f>+'SVD 4140_Pto. 01_Cert. 03'!K134</f>
        <v>0</v>
      </c>
      <c r="J134" s="136"/>
      <c r="K134" s="79">
        <f t="shared" si="46"/>
        <v>0</v>
      </c>
      <c r="L134" s="201">
        <f t="shared" si="47"/>
        <v>0</v>
      </c>
      <c r="M134" s="201">
        <f t="shared" si="48"/>
        <v>0</v>
      </c>
      <c r="N134" s="201">
        <f t="shared" si="49"/>
        <v>0</v>
      </c>
    </row>
    <row r="135" spans="1:14" s="57" customFormat="1" ht="13.8" outlineLevel="1" x14ac:dyDescent="0.3">
      <c r="A135" s="217">
        <v>19.03</v>
      </c>
      <c r="B135" s="218" t="s">
        <v>146</v>
      </c>
      <c r="C135" s="219" t="s">
        <v>28</v>
      </c>
      <c r="D135" s="220">
        <v>1</v>
      </c>
      <c r="E135" s="42">
        <v>8787491</v>
      </c>
      <c r="F135" s="42">
        <f t="shared" si="25"/>
        <v>8787491</v>
      </c>
      <c r="G135" s="181"/>
      <c r="H135" s="32"/>
      <c r="I135" s="245">
        <f>+'SVD 4140_Pto. 01_Cert. 03'!K135</f>
        <v>0</v>
      </c>
      <c r="J135" s="141">
        <v>0.1</v>
      </c>
      <c r="K135" s="79">
        <f t="shared" si="46"/>
        <v>0.1</v>
      </c>
      <c r="L135" s="201">
        <f t="shared" si="47"/>
        <v>0</v>
      </c>
      <c r="M135" s="201">
        <f t="shared" si="48"/>
        <v>878749.10000000009</v>
      </c>
      <c r="N135" s="201">
        <f t="shared" si="49"/>
        <v>878749.10000000009</v>
      </c>
    </row>
    <row r="136" spans="1:14" s="57" customFormat="1" ht="13.8" outlineLevel="1" x14ac:dyDescent="0.3">
      <c r="A136" s="221">
        <v>19.04</v>
      </c>
      <c r="B136" s="222" t="s">
        <v>147</v>
      </c>
      <c r="C136" s="223" t="s">
        <v>28</v>
      </c>
      <c r="D136" s="224">
        <v>1</v>
      </c>
      <c r="E136" s="60">
        <v>4135290</v>
      </c>
      <c r="F136" s="60">
        <f t="shared" si="25"/>
        <v>4135290</v>
      </c>
      <c r="G136" s="181"/>
      <c r="H136" s="32"/>
      <c r="I136" s="245">
        <f>+'SVD 4140_Pto. 01_Cert. 03'!K136</f>
        <v>0</v>
      </c>
      <c r="J136" s="141">
        <v>0.05</v>
      </c>
      <c r="K136" s="79">
        <f t="shared" si="46"/>
        <v>0.05</v>
      </c>
      <c r="L136" s="201">
        <f t="shared" si="47"/>
        <v>0</v>
      </c>
      <c r="M136" s="201">
        <f t="shared" si="48"/>
        <v>206764.5</v>
      </c>
      <c r="N136" s="201">
        <f t="shared" si="49"/>
        <v>206764.5</v>
      </c>
    </row>
    <row r="137" spans="1:14" s="57" customFormat="1" ht="13.8" x14ac:dyDescent="0.3">
      <c r="A137" s="27"/>
      <c r="B137" s="28" t="s">
        <v>148</v>
      </c>
      <c r="C137" s="189"/>
      <c r="D137" s="65"/>
      <c r="E137" s="65"/>
      <c r="F137" s="65"/>
      <c r="G137" s="31">
        <f>+SUM(F138:F140)</f>
        <v>6551951</v>
      </c>
      <c r="H137" s="32">
        <f>+G137/$G$185</f>
        <v>8.9062563331746124E-3</v>
      </c>
      <c r="I137" s="248"/>
      <c r="J137" s="206"/>
      <c r="K137" s="206"/>
      <c r="L137" s="206"/>
      <c r="M137" s="207"/>
      <c r="N137" s="208"/>
    </row>
    <row r="138" spans="1:14" s="57" customFormat="1" ht="13.8" outlineLevel="1" x14ac:dyDescent="0.3">
      <c r="A138" s="213">
        <v>19.05</v>
      </c>
      <c r="B138" s="214" t="s">
        <v>149</v>
      </c>
      <c r="C138" s="215" t="s">
        <v>28</v>
      </c>
      <c r="D138" s="216">
        <v>1</v>
      </c>
      <c r="E138" s="37">
        <v>2675380</v>
      </c>
      <c r="F138" s="37">
        <f t="shared" si="25"/>
        <v>2675380</v>
      </c>
      <c r="G138" s="181"/>
      <c r="H138" s="32"/>
      <c r="I138" s="245">
        <f>+'SVD 4140_Pto. 01_Cert. 03'!K138</f>
        <v>0.05</v>
      </c>
      <c r="J138" s="251">
        <v>0.3</v>
      </c>
      <c r="K138" s="135">
        <f t="shared" ref="K138:K140" si="50">+I138+J138</f>
        <v>0.35</v>
      </c>
      <c r="L138" s="200">
        <f t="shared" ref="L138:L140" si="51">+F138*I138</f>
        <v>133769</v>
      </c>
      <c r="M138" s="200">
        <f t="shared" ref="M138:M140" si="52">+F138*J138</f>
        <v>802614</v>
      </c>
      <c r="N138" s="200">
        <f t="shared" ref="N138:N140" si="53">+F138*K138</f>
        <v>936382.99999999988</v>
      </c>
    </row>
    <row r="139" spans="1:14" s="57" customFormat="1" ht="13.8" outlineLevel="1" x14ac:dyDescent="0.3">
      <c r="A139" s="217">
        <v>19.059999999999999</v>
      </c>
      <c r="B139" s="218" t="s">
        <v>150</v>
      </c>
      <c r="C139" s="219" t="s">
        <v>28</v>
      </c>
      <c r="D139" s="220">
        <v>1</v>
      </c>
      <c r="E139" s="42">
        <v>3057577</v>
      </c>
      <c r="F139" s="42">
        <f t="shared" si="25"/>
        <v>3057577</v>
      </c>
      <c r="G139" s="181"/>
      <c r="H139" s="32"/>
      <c r="I139" s="245">
        <f>+'SVD 4140_Pto. 01_Cert. 03'!K139</f>
        <v>0</v>
      </c>
      <c r="J139" s="136">
        <v>0.35</v>
      </c>
      <c r="K139" s="79">
        <f t="shared" si="50"/>
        <v>0.35</v>
      </c>
      <c r="L139" s="201">
        <f t="shared" si="51"/>
        <v>0</v>
      </c>
      <c r="M139" s="201">
        <f t="shared" si="52"/>
        <v>1070151.95</v>
      </c>
      <c r="N139" s="201">
        <f t="shared" si="53"/>
        <v>1070151.95</v>
      </c>
    </row>
    <row r="140" spans="1:14" s="57" customFormat="1" ht="13.8" outlineLevel="1" x14ac:dyDescent="0.3">
      <c r="A140" s="221">
        <v>19.07</v>
      </c>
      <c r="B140" s="222" t="s">
        <v>151</v>
      </c>
      <c r="C140" s="223" t="s">
        <v>28</v>
      </c>
      <c r="D140" s="224">
        <v>1</v>
      </c>
      <c r="E140" s="60">
        <v>818994</v>
      </c>
      <c r="F140" s="60">
        <f t="shared" ref="F140:F184" si="54">+D140*E140</f>
        <v>818994</v>
      </c>
      <c r="G140" s="181"/>
      <c r="H140" s="32"/>
      <c r="I140" s="245">
        <f>+'SVD 4140_Pto. 01_Cert. 03'!K140</f>
        <v>0</v>
      </c>
      <c r="J140" s="136"/>
      <c r="K140" s="79">
        <f t="shared" si="50"/>
        <v>0</v>
      </c>
      <c r="L140" s="201">
        <f t="shared" si="51"/>
        <v>0</v>
      </c>
      <c r="M140" s="201">
        <f t="shared" si="52"/>
        <v>0</v>
      </c>
      <c r="N140" s="201">
        <f t="shared" si="53"/>
        <v>0</v>
      </c>
    </row>
    <row r="141" spans="1:14" s="57" customFormat="1" ht="13.8" x14ac:dyDescent="0.3">
      <c r="A141" s="27"/>
      <c r="B141" s="28" t="s">
        <v>152</v>
      </c>
      <c r="C141" s="189"/>
      <c r="D141" s="65"/>
      <c r="E141" s="65"/>
      <c r="F141" s="65"/>
      <c r="G141" s="31">
        <f>+SUM(F142:F146)</f>
        <v>37004103</v>
      </c>
      <c r="H141" s="32">
        <f>+G141/$G$185</f>
        <v>5.0300746555826753E-2</v>
      </c>
      <c r="I141" s="248"/>
      <c r="J141" s="206"/>
      <c r="K141" s="206"/>
      <c r="L141" s="206"/>
      <c r="M141" s="207"/>
      <c r="N141" s="208"/>
    </row>
    <row r="142" spans="1:14" s="57" customFormat="1" ht="13.8" outlineLevel="1" x14ac:dyDescent="0.3">
      <c r="A142" s="213">
        <v>19.079999999999998</v>
      </c>
      <c r="B142" s="214" t="s">
        <v>153</v>
      </c>
      <c r="C142" s="215" t="s">
        <v>28</v>
      </c>
      <c r="D142" s="216">
        <v>1</v>
      </c>
      <c r="E142" s="37">
        <v>3750416</v>
      </c>
      <c r="F142" s="37">
        <f t="shared" si="54"/>
        <v>3750416</v>
      </c>
      <c r="G142" s="181"/>
      <c r="H142" s="32"/>
      <c r="I142" s="245">
        <f>+'SVD 4140_Pto. 01_Cert. 03'!K142</f>
        <v>0</v>
      </c>
      <c r="J142" s="134"/>
      <c r="K142" s="135">
        <f t="shared" ref="K142:K146" si="55">+I142+J142</f>
        <v>0</v>
      </c>
      <c r="L142" s="200">
        <f t="shared" ref="L142:L146" si="56">+F142*I142</f>
        <v>0</v>
      </c>
      <c r="M142" s="200">
        <f t="shared" ref="M142:M146" si="57">+F142*J142</f>
        <v>0</v>
      </c>
      <c r="N142" s="200">
        <f t="shared" ref="N142:N146" si="58">+F142*K142</f>
        <v>0</v>
      </c>
    </row>
    <row r="143" spans="1:14" s="57" customFormat="1" ht="13.8" outlineLevel="1" x14ac:dyDescent="0.3">
      <c r="A143" s="217">
        <v>19.09</v>
      </c>
      <c r="B143" s="218" t="s">
        <v>154</v>
      </c>
      <c r="C143" s="219" t="s">
        <v>28</v>
      </c>
      <c r="D143" s="220">
        <v>1</v>
      </c>
      <c r="E143" s="42">
        <v>7500832</v>
      </c>
      <c r="F143" s="42">
        <f t="shared" si="54"/>
        <v>7500832</v>
      </c>
      <c r="G143" s="181"/>
      <c r="H143" s="32"/>
      <c r="I143" s="245">
        <f>+'SVD 4140_Pto. 01_Cert. 03'!K143</f>
        <v>0</v>
      </c>
      <c r="J143" s="136"/>
      <c r="K143" s="79">
        <f t="shared" si="55"/>
        <v>0</v>
      </c>
      <c r="L143" s="201">
        <f t="shared" si="56"/>
        <v>0</v>
      </c>
      <c r="M143" s="201">
        <f t="shared" si="57"/>
        <v>0</v>
      </c>
      <c r="N143" s="201">
        <f t="shared" si="58"/>
        <v>0</v>
      </c>
    </row>
    <row r="144" spans="1:14" s="57" customFormat="1" ht="13.8" outlineLevel="1" x14ac:dyDescent="0.3">
      <c r="A144" s="217">
        <v>19.100000000000001</v>
      </c>
      <c r="B144" s="218" t="s">
        <v>155</v>
      </c>
      <c r="C144" s="219" t="s">
        <v>28</v>
      </c>
      <c r="D144" s="220">
        <v>1</v>
      </c>
      <c r="E144" s="42">
        <v>1750194</v>
      </c>
      <c r="F144" s="42">
        <f t="shared" si="54"/>
        <v>1750194</v>
      </c>
      <c r="G144" s="181"/>
      <c r="H144" s="32"/>
      <c r="I144" s="245">
        <f>+'SVD 4140_Pto. 01_Cert. 03'!K144</f>
        <v>0</v>
      </c>
      <c r="J144" s="136"/>
      <c r="K144" s="79">
        <f t="shared" si="55"/>
        <v>0</v>
      </c>
      <c r="L144" s="201">
        <f t="shared" si="56"/>
        <v>0</v>
      </c>
      <c r="M144" s="201">
        <f t="shared" si="57"/>
        <v>0</v>
      </c>
      <c r="N144" s="201">
        <f t="shared" si="58"/>
        <v>0</v>
      </c>
    </row>
    <row r="145" spans="1:14" s="57" customFormat="1" ht="13.8" outlineLevel="1" x14ac:dyDescent="0.3">
      <c r="A145" s="217">
        <v>19.11</v>
      </c>
      <c r="B145" s="218" t="s">
        <v>156</v>
      </c>
      <c r="C145" s="219" t="s">
        <v>28</v>
      </c>
      <c r="D145" s="220">
        <v>1</v>
      </c>
      <c r="E145" s="42">
        <v>14001552</v>
      </c>
      <c r="F145" s="42">
        <f t="shared" si="54"/>
        <v>14001552</v>
      </c>
      <c r="G145" s="181"/>
      <c r="H145" s="32"/>
      <c r="I145" s="245">
        <f>+'SVD 4140_Pto. 01_Cert. 03'!K145</f>
        <v>0</v>
      </c>
      <c r="J145" s="250">
        <v>0.1</v>
      </c>
      <c r="K145" s="79">
        <f t="shared" si="55"/>
        <v>0.1</v>
      </c>
      <c r="L145" s="201">
        <f t="shared" si="56"/>
        <v>0</v>
      </c>
      <c r="M145" s="201">
        <f t="shared" si="57"/>
        <v>1400155.2000000002</v>
      </c>
      <c r="N145" s="201">
        <f t="shared" si="58"/>
        <v>1400155.2000000002</v>
      </c>
    </row>
    <row r="146" spans="1:14" s="57" customFormat="1" ht="13.8" outlineLevel="1" x14ac:dyDescent="0.3">
      <c r="A146" s="221">
        <v>19.12</v>
      </c>
      <c r="B146" s="222" t="s">
        <v>157</v>
      </c>
      <c r="C146" s="223" t="s">
        <v>28</v>
      </c>
      <c r="D146" s="224">
        <v>1</v>
      </c>
      <c r="E146" s="60">
        <v>10001109</v>
      </c>
      <c r="F146" s="60">
        <f t="shared" si="54"/>
        <v>10001109</v>
      </c>
      <c r="G146" s="181"/>
      <c r="H146" s="32"/>
      <c r="I146" s="245">
        <f>+'SVD 4140_Pto. 01_Cert. 03'!K146</f>
        <v>0</v>
      </c>
      <c r="J146" s="141"/>
      <c r="K146" s="79">
        <f t="shared" si="55"/>
        <v>0</v>
      </c>
      <c r="L146" s="201">
        <f t="shared" si="56"/>
        <v>0</v>
      </c>
      <c r="M146" s="201">
        <f t="shared" si="57"/>
        <v>0</v>
      </c>
      <c r="N146" s="201">
        <f t="shared" si="58"/>
        <v>0</v>
      </c>
    </row>
    <row r="147" spans="1:14" s="57" customFormat="1" ht="13.8" x14ac:dyDescent="0.3">
      <c r="A147" s="27"/>
      <c r="B147" s="28" t="s">
        <v>158</v>
      </c>
      <c r="C147" s="189"/>
      <c r="D147" s="65"/>
      <c r="E147" s="65"/>
      <c r="F147" s="65"/>
      <c r="G147" s="31">
        <f>+SUM(F148)</f>
        <v>2047485</v>
      </c>
      <c r="H147" s="32">
        <f>+G147/$G$185</f>
        <v>2.7832055289073467E-3</v>
      </c>
      <c r="I147" s="248"/>
      <c r="J147" s="206"/>
      <c r="K147" s="206"/>
      <c r="L147" s="206"/>
      <c r="M147" s="207"/>
      <c r="N147" s="208"/>
    </row>
    <row r="148" spans="1:14" s="57" customFormat="1" ht="13.8" outlineLevel="1" x14ac:dyDescent="0.3">
      <c r="A148" s="231">
        <v>19.13</v>
      </c>
      <c r="B148" s="232" t="s">
        <v>159</v>
      </c>
      <c r="C148" s="233" t="s">
        <v>28</v>
      </c>
      <c r="D148" s="234">
        <v>1</v>
      </c>
      <c r="E148" s="235">
        <v>2047485</v>
      </c>
      <c r="F148" s="235">
        <f t="shared" si="54"/>
        <v>2047485</v>
      </c>
      <c r="G148" s="181"/>
      <c r="H148" s="32"/>
      <c r="I148" s="245">
        <f>+'SVD 4140_Pto. 01_Cert. 03'!K148</f>
        <v>0</v>
      </c>
      <c r="J148" s="134"/>
      <c r="K148" s="135">
        <f t="shared" ref="K148" si="59">+I148+J148</f>
        <v>0</v>
      </c>
      <c r="L148" s="200">
        <f t="shared" ref="L148" si="60">+F148*I148</f>
        <v>0</v>
      </c>
      <c r="M148" s="200">
        <f t="shared" ref="M148" si="61">+F148*J148</f>
        <v>0</v>
      </c>
      <c r="N148" s="200">
        <f t="shared" ref="N148" si="62">+F148*K148</f>
        <v>0</v>
      </c>
    </row>
    <row r="149" spans="1:14" s="57" customFormat="1" ht="13.8" x14ac:dyDescent="0.3">
      <c r="A149" s="27"/>
      <c r="B149" s="28" t="s">
        <v>160</v>
      </c>
      <c r="C149" s="189"/>
      <c r="D149" s="65"/>
      <c r="E149" s="65"/>
      <c r="F149" s="65"/>
      <c r="G149" s="31">
        <f>+SUM(F150:F153)</f>
        <v>32512648</v>
      </c>
      <c r="H149" s="32">
        <f>+G149/$G$185</f>
        <v>4.4195381979852545E-2</v>
      </c>
      <c r="I149" s="248"/>
      <c r="J149" s="206"/>
      <c r="K149" s="206"/>
      <c r="L149" s="206"/>
      <c r="M149" s="207"/>
      <c r="N149" s="208"/>
    </row>
    <row r="150" spans="1:14" s="57" customFormat="1" ht="13.8" outlineLevel="1" x14ac:dyDescent="0.3">
      <c r="A150" s="213">
        <v>19.14</v>
      </c>
      <c r="B150" s="214" t="s">
        <v>161</v>
      </c>
      <c r="C150" s="215" t="s">
        <v>28</v>
      </c>
      <c r="D150" s="216">
        <v>1</v>
      </c>
      <c r="E150" s="37">
        <v>15888634</v>
      </c>
      <c r="F150" s="37">
        <f t="shared" si="54"/>
        <v>15888634</v>
      </c>
      <c r="G150" s="181"/>
      <c r="H150" s="32"/>
      <c r="I150" s="245">
        <f>+'SVD 4140_Pto. 01_Cert. 03'!K150</f>
        <v>0</v>
      </c>
      <c r="J150" s="134"/>
      <c r="K150" s="135">
        <f t="shared" ref="K150:K153" si="63">+I150+J150</f>
        <v>0</v>
      </c>
      <c r="L150" s="200">
        <f t="shared" ref="L150:L153" si="64">+F150*I150</f>
        <v>0</v>
      </c>
      <c r="M150" s="200">
        <f t="shared" ref="M150:M153" si="65">+F150*J150</f>
        <v>0</v>
      </c>
      <c r="N150" s="200">
        <f t="shared" ref="N150:N153" si="66">+F150*K150</f>
        <v>0</v>
      </c>
    </row>
    <row r="151" spans="1:14" s="57" customFormat="1" ht="13.8" outlineLevel="1" x14ac:dyDescent="0.3">
      <c r="A151" s="217">
        <v>19.149999999999999</v>
      </c>
      <c r="B151" s="218" t="s">
        <v>162</v>
      </c>
      <c r="C151" s="219" t="s">
        <v>28</v>
      </c>
      <c r="D151" s="220">
        <v>1</v>
      </c>
      <c r="E151" s="42">
        <v>6190377</v>
      </c>
      <c r="F151" s="42">
        <f t="shared" si="54"/>
        <v>6190377</v>
      </c>
      <c r="G151" s="181"/>
      <c r="H151" s="32"/>
      <c r="I151" s="245">
        <f>+'SVD 4140_Pto. 01_Cert. 03'!K151</f>
        <v>0</v>
      </c>
      <c r="J151" s="136"/>
      <c r="K151" s="79">
        <f t="shared" si="63"/>
        <v>0</v>
      </c>
      <c r="L151" s="201">
        <f t="shared" si="64"/>
        <v>0</v>
      </c>
      <c r="M151" s="201">
        <f t="shared" si="65"/>
        <v>0</v>
      </c>
      <c r="N151" s="201">
        <f t="shared" si="66"/>
        <v>0</v>
      </c>
    </row>
    <row r="152" spans="1:14" s="57" customFormat="1" ht="13.8" outlineLevel="1" x14ac:dyDescent="0.3">
      <c r="A152" s="217">
        <v>19.16</v>
      </c>
      <c r="B152" s="218" t="s">
        <v>163</v>
      </c>
      <c r="C152" s="219" t="s">
        <v>28</v>
      </c>
      <c r="D152" s="220">
        <v>1</v>
      </c>
      <c r="E152" s="42">
        <v>4952302</v>
      </c>
      <c r="F152" s="42">
        <f t="shared" si="54"/>
        <v>4952302</v>
      </c>
      <c r="G152" s="181"/>
      <c r="H152" s="32"/>
      <c r="I152" s="245">
        <f>+'SVD 4140_Pto. 01_Cert. 03'!K152</f>
        <v>0</v>
      </c>
      <c r="J152" s="136"/>
      <c r="K152" s="79">
        <f t="shared" si="63"/>
        <v>0</v>
      </c>
      <c r="L152" s="201">
        <f t="shared" si="64"/>
        <v>0</v>
      </c>
      <c r="M152" s="201">
        <f t="shared" si="65"/>
        <v>0</v>
      </c>
      <c r="N152" s="201">
        <f t="shared" si="66"/>
        <v>0</v>
      </c>
    </row>
    <row r="153" spans="1:14" s="57" customFormat="1" ht="13.8" outlineLevel="1" x14ac:dyDescent="0.3">
      <c r="A153" s="221">
        <v>19.170000000000002</v>
      </c>
      <c r="B153" s="222" t="s">
        <v>164</v>
      </c>
      <c r="C153" s="223" t="s">
        <v>28</v>
      </c>
      <c r="D153" s="224">
        <v>1</v>
      </c>
      <c r="E153" s="60">
        <v>5481335</v>
      </c>
      <c r="F153" s="60">
        <f t="shared" si="54"/>
        <v>5481335</v>
      </c>
      <c r="G153" s="181"/>
      <c r="H153" s="32"/>
      <c r="I153" s="245">
        <f>+'SVD 4140_Pto. 01_Cert. 03'!K153</f>
        <v>0</v>
      </c>
      <c r="J153" s="141"/>
      <c r="K153" s="79">
        <f t="shared" si="63"/>
        <v>0</v>
      </c>
      <c r="L153" s="201">
        <f t="shared" si="64"/>
        <v>0</v>
      </c>
      <c r="M153" s="201">
        <f t="shared" si="65"/>
        <v>0</v>
      </c>
      <c r="N153" s="201">
        <f t="shared" si="66"/>
        <v>0</v>
      </c>
    </row>
    <row r="154" spans="1:14" s="57" customFormat="1" ht="13.8" x14ac:dyDescent="0.3">
      <c r="A154" s="27"/>
      <c r="B154" s="28" t="s">
        <v>165</v>
      </c>
      <c r="C154" s="189"/>
      <c r="D154" s="65"/>
      <c r="E154" s="65"/>
      <c r="F154" s="65"/>
      <c r="G154" s="31">
        <f>+SUM(F155)</f>
        <v>5206701</v>
      </c>
      <c r="H154" s="32">
        <f>+G154/$G$185</f>
        <v>7.0776191330180257E-3</v>
      </c>
      <c r="I154" s="248"/>
      <c r="J154" s="206"/>
      <c r="K154" s="206"/>
      <c r="L154" s="206"/>
      <c r="M154" s="207"/>
      <c r="N154" s="208"/>
    </row>
    <row r="155" spans="1:14" s="57" customFormat="1" ht="13.8" outlineLevel="1" x14ac:dyDescent="0.3">
      <c r="A155" s="231">
        <v>19.170000000000002</v>
      </c>
      <c r="B155" s="232" t="s">
        <v>166</v>
      </c>
      <c r="C155" s="233" t="s">
        <v>28</v>
      </c>
      <c r="D155" s="234">
        <v>1</v>
      </c>
      <c r="E155" s="235">
        <v>5206701</v>
      </c>
      <c r="F155" s="235">
        <f t="shared" si="54"/>
        <v>5206701</v>
      </c>
      <c r="G155" s="181"/>
      <c r="H155" s="32"/>
      <c r="I155" s="245">
        <f>+'SVD 4140_Pto. 01_Cert. 03'!K155</f>
        <v>0</v>
      </c>
      <c r="J155" s="134"/>
      <c r="K155" s="135">
        <f t="shared" ref="K155" si="67">+I155+J155</f>
        <v>0</v>
      </c>
      <c r="L155" s="200">
        <f t="shared" ref="L155" si="68">+F155*I155</f>
        <v>0</v>
      </c>
      <c r="M155" s="200">
        <f t="shared" ref="M155" si="69">+F155*J155</f>
        <v>0</v>
      </c>
      <c r="N155" s="200">
        <f t="shared" ref="N155" si="70">+F155*K155</f>
        <v>0</v>
      </c>
    </row>
    <row r="156" spans="1:14" s="57" customFormat="1" ht="13.8" x14ac:dyDescent="0.3">
      <c r="A156" s="27"/>
      <c r="B156" s="28" t="s">
        <v>167</v>
      </c>
      <c r="C156" s="189"/>
      <c r="D156" s="65"/>
      <c r="E156" s="65"/>
      <c r="F156" s="65"/>
      <c r="G156" s="31">
        <f>+SUM(F157:F158)</f>
        <v>20260948</v>
      </c>
      <c r="H156" s="32">
        <f>+G156/$G$185</f>
        <v>2.7541292119114061E-2</v>
      </c>
      <c r="I156" s="248"/>
      <c r="J156" s="206"/>
      <c r="K156" s="206"/>
      <c r="L156" s="206"/>
      <c r="M156" s="207"/>
      <c r="N156" s="208"/>
    </row>
    <row r="157" spans="1:14" s="57" customFormat="1" ht="13.8" outlineLevel="1" x14ac:dyDescent="0.3">
      <c r="A157" s="213">
        <v>19.18</v>
      </c>
      <c r="B157" s="214" t="s">
        <v>168</v>
      </c>
      <c r="C157" s="215" t="s">
        <v>28</v>
      </c>
      <c r="D157" s="216">
        <v>1</v>
      </c>
      <c r="E157" s="37">
        <v>16584566</v>
      </c>
      <c r="F157" s="37">
        <f t="shared" si="54"/>
        <v>16584566</v>
      </c>
      <c r="G157" s="181"/>
      <c r="H157" s="32"/>
      <c r="I157" s="245">
        <f>+'SVD 4140_Pto. 01_Cert. 03'!K157</f>
        <v>0</v>
      </c>
      <c r="J157" s="134"/>
      <c r="K157" s="135">
        <f t="shared" ref="K157:K158" si="71">+I157+J157</f>
        <v>0</v>
      </c>
      <c r="L157" s="200">
        <f t="shared" ref="L157:L158" si="72">+F157*I157</f>
        <v>0</v>
      </c>
      <c r="M157" s="200">
        <f t="shared" ref="M157:M158" si="73">+F157*J157</f>
        <v>0</v>
      </c>
      <c r="N157" s="200">
        <f t="shared" ref="N157:N158" si="74">+F157*K157</f>
        <v>0</v>
      </c>
    </row>
    <row r="158" spans="1:14" s="57" customFormat="1" ht="13.8" outlineLevel="1" x14ac:dyDescent="0.3">
      <c r="A158" s="221">
        <v>19.190000000000001</v>
      </c>
      <c r="B158" s="222" t="s">
        <v>169</v>
      </c>
      <c r="C158" s="223" t="s">
        <v>28</v>
      </c>
      <c r="D158" s="224">
        <v>1</v>
      </c>
      <c r="E158" s="60">
        <v>3676382</v>
      </c>
      <c r="F158" s="60">
        <f t="shared" si="54"/>
        <v>3676382</v>
      </c>
      <c r="G158" s="181"/>
      <c r="H158" s="32"/>
      <c r="I158" s="245">
        <f>+'SVD 4140_Pto. 01_Cert. 03'!K158</f>
        <v>0</v>
      </c>
      <c r="J158" s="141">
        <v>0.2</v>
      </c>
      <c r="K158" s="79">
        <f t="shared" si="71"/>
        <v>0.2</v>
      </c>
      <c r="L158" s="201">
        <f t="shared" si="72"/>
        <v>0</v>
      </c>
      <c r="M158" s="201">
        <f t="shared" si="73"/>
        <v>735276.4</v>
      </c>
      <c r="N158" s="201">
        <f t="shared" si="74"/>
        <v>735276.4</v>
      </c>
    </row>
    <row r="159" spans="1:14" s="57" customFormat="1" ht="13.8" x14ac:dyDescent="0.3">
      <c r="A159" s="27">
        <v>20</v>
      </c>
      <c r="B159" s="28" t="s">
        <v>170</v>
      </c>
      <c r="C159" s="189"/>
      <c r="D159" s="65"/>
      <c r="E159" s="65"/>
      <c r="F159" s="65"/>
      <c r="G159" s="31">
        <f>+SUM(F160:F161)</f>
        <v>35197776</v>
      </c>
      <c r="H159" s="32">
        <f>+G159/$G$185</f>
        <v>4.7845354065325175E-2</v>
      </c>
      <c r="I159" s="248"/>
      <c r="J159" s="206"/>
      <c r="K159" s="206"/>
      <c r="L159" s="206"/>
      <c r="M159" s="207"/>
      <c r="N159" s="208"/>
    </row>
    <row r="160" spans="1:14" s="57" customFormat="1" ht="13.8" outlineLevel="1" x14ac:dyDescent="0.3">
      <c r="A160" s="213">
        <v>20.010000000000002</v>
      </c>
      <c r="B160" s="214" t="s">
        <v>171</v>
      </c>
      <c r="C160" s="215" t="s">
        <v>47</v>
      </c>
      <c r="D160" s="216">
        <v>36</v>
      </c>
      <c r="E160" s="37">
        <v>740165</v>
      </c>
      <c r="F160" s="37">
        <f t="shared" si="54"/>
        <v>26645940</v>
      </c>
      <c r="G160" s="181"/>
      <c r="H160" s="32"/>
      <c r="I160" s="245">
        <f>+'SVD 4140_Pto. 01_Cert. 03'!K160</f>
        <v>0</v>
      </c>
      <c r="J160" s="134"/>
      <c r="K160" s="135">
        <f t="shared" ref="K160:K161" si="75">+I160+J160</f>
        <v>0</v>
      </c>
      <c r="L160" s="200">
        <f t="shared" ref="L160:L161" si="76">+F160*I160</f>
        <v>0</v>
      </c>
      <c r="M160" s="200">
        <f t="shared" ref="M160:M161" si="77">+F160*J160</f>
        <v>0</v>
      </c>
      <c r="N160" s="200">
        <f t="shared" ref="N160:N161" si="78">+F160*K160</f>
        <v>0</v>
      </c>
    </row>
    <row r="161" spans="1:14" s="57" customFormat="1" ht="13.8" outlineLevel="1" x14ac:dyDescent="0.3">
      <c r="A161" s="221">
        <v>20.02</v>
      </c>
      <c r="B161" s="222" t="s">
        <v>172</v>
      </c>
      <c r="C161" s="223" t="s">
        <v>47</v>
      </c>
      <c r="D161" s="224">
        <v>36</v>
      </c>
      <c r="E161" s="60">
        <v>237551</v>
      </c>
      <c r="F161" s="60">
        <f t="shared" si="54"/>
        <v>8551836</v>
      </c>
      <c r="G161" s="181"/>
      <c r="H161" s="32"/>
      <c r="I161" s="245">
        <f>+'SVD 4140_Pto. 01_Cert. 03'!K161</f>
        <v>0</v>
      </c>
      <c r="J161" s="141"/>
      <c r="K161" s="79">
        <f t="shared" si="75"/>
        <v>0</v>
      </c>
      <c r="L161" s="201">
        <f t="shared" si="76"/>
        <v>0</v>
      </c>
      <c r="M161" s="201">
        <f t="shared" si="77"/>
        <v>0</v>
      </c>
      <c r="N161" s="201">
        <f t="shared" si="78"/>
        <v>0</v>
      </c>
    </row>
    <row r="162" spans="1:14" s="57" customFormat="1" ht="13.8" x14ac:dyDescent="0.3">
      <c r="A162" s="27">
        <v>21</v>
      </c>
      <c r="B162" s="28" t="s">
        <v>173</v>
      </c>
      <c r="C162" s="189"/>
      <c r="D162" s="65"/>
      <c r="E162" s="65"/>
      <c r="F162" s="65"/>
      <c r="G162" s="31">
        <f>+SUM(F163)</f>
        <v>0</v>
      </c>
      <c r="H162" s="32">
        <f>+G162/$G$185</f>
        <v>0</v>
      </c>
      <c r="I162" s="248"/>
      <c r="J162" s="206"/>
      <c r="K162" s="206"/>
      <c r="L162" s="206"/>
      <c r="M162" s="207"/>
      <c r="N162" s="208"/>
    </row>
    <row r="163" spans="1:14" s="57" customFormat="1" ht="13.8" outlineLevel="1" x14ac:dyDescent="0.3">
      <c r="A163" s="231">
        <v>21.01</v>
      </c>
      <c r="B163" s="232" t="s">
        <v>174</v>
      </c>
      <c r="C163" s="233" t="s">
        <v>28</v>
      </c>
      <c r="D163" s="234">
        <v>0</v>
      </c>
      <c r="E163" s="235">
        <v>0</v>
      </c>
      <c r="F163" s="235">
        <f t="shared" si="54"/>
        <v>0</v>
      </c>
      <c r="G163" s="181"/>
      <c r="H163" s="32"/>
      <c r="I163" s="245">
        <f>+'SVD 4140_Pto. 01_Cert. 03'!K163</f>
        <v>0</v>
      </c>
      <c r="J163" s="134"/>
      <c r="K163" s="135">
        <f t="shared" ref="K163" si="79">+I163+J163</f>
        <v>0</v>
      </c>
      <c r="L163" s="200">
        <f t="shared" ref="L163" si="80">+F163*I163</f>
        <v>0</v>
      </c>
      <c r="M163" s="200">
        <f t="shared" ref="M163" si="81">+F163*J163</f>
        <v>0</v>
      </c>
      <c r="N163" s="200">
        <f t="shared" ref="N163" si="82">+F163*K163</f>
        <v>0</v>
      </c>
    </row>
    <row r="164" spans="1:14" s="57" customFormat="1" ht="13.8" x14ac:dyDescent="0.3">
      <c r="A164" s="27">
        <v>22</v>
      </c>
      <c r="B164" s="28" t="s">
        <v>175</v>
      </c>
      <c r="C164" s="189"/>
      <c r="D164" s="65"/>
      <c r="E164" s="65"/>
      <c r="F164" s="65"/>
      <c r="G164" s="31">
        <f>+SUM(F165:F166)</f>
        <v>2671152</v>
      </c>
      <c r="H164" s="32">
        <f>+G164/$G$185</f>
        <v>3.630974104792913E-3</v>
      </c>
      <c r="I164" s="248"/>
      <c r="J164" s="206"/>
      <c r="K164" s="206"/>
      <c r="L164" s="206"/>
      <c r="M164" s="207"/>
      <c r="N164" s="208"/>
    </row>
    <row r="165" spans="1:14" s="57" customFormat="1" ht="13.8" outlineLevel="1" x14ac:dyDescent="0.3">
      <c r="A165" s="213">
        <v>22.01</v>
      </c>
      <c r="B165" s="214" t="s">
        <v>176</v>
      </c>
      <c r="C165" s="215" t="s">
        <v>47</v>
      </c>
      <c r="D165" s="216">
        <v>16</v>
      </c>
      <c r="E165" s="37">
        <v>80944</v>
      </c>
      <c r="F165" s="37">
        <f t="shared" si="54"/>
        <v>1295104</v>
      </c>
      <c r="G165" s="181"/>
      <c r="H165" s="32"/>
      <c r="I165" s="245">
        <f>+'SVD 4140_Pto. 01_Cert. 03'!K165</f>
        <v>0</v>
      </c>
      <c r="J165" s="141"/>
      <c r="K165" s="79">
        <f t="shared" ref="K165:K166" si="83">+I165+J165</f>
        <v>0</v>
      </c>
      <c r="L165" s="201">
        <f t="shared" ref="L165:L166" si="84">+F165*I165</f>
        <v>0</v>
      </c>
      <c r="M165" s="201">
        <f t="shared" ref="M165:M166" si="85">+F165*J165</f>
        <v>0</v>
      </c>
      <c r="N165" s="201">
        <f t="shared" ref="N165:N166" si="86">+F165*K165</f>
        <v>0</v>
      </c>
    </row>
    <row r="166" spans="1:14" s="57" customFormat="1" ht="13.8" outlineLevel="1" x14ac:dyDescent="0.3">
      <c r="A166" s="221">
        <v>22.02</v>
      </c>
      <c r="B166" s="222" t="s">
        <v>177</v>
      </c>
      <c r="C166" s="223" t="s">
        <v>47</v>
      </c>
      <c r="D166" s="224">
        <v>17</v>
      </c>
      <c r="E166" s="60">
        <v>80944</v>
      </c>
      <c r="F166" s="60">
        <f t="shared" si="54"/>
        <v>1376048</v>
      </c>
      <c r="G166" s="181"/>
      <c r="H166" s="32"/>
      <c r="I166" s="245">
        <f>+'SVD 4140_Pto. 01_Cert. 03'!K166</f>
        <v>0</v>
      </c>
      <c r="J166" s="141"/>
      <c r="K166" s="79">
        <f t="shared" si="83"/>
        <v>0</v>
      </c>
      <c r="L166" s="201">
        <f t="shared" si="84"/>
        <v>0</v>
      </c>
      <c r="M166" s="201">
        <f t="shared" si="85"/>
        <v>0</v>
      </c>
      <c r="N166" s="201">
        <f t="shared" si="86"/>
        <v>0</v>
      </c>
    </row>
    <row r="167" spans="1:14" s="57" customFormat="1" ht="13.8" x14ac:dyDescent="0.3">
      <c r="A167" s="27">
        <v>23</v>
      </c>
      <c r="B167" s="28" t="s">
        <v>178</v>
      </c>
      <c r="C167" s="189"/>
      <c r="D167" s="65"/>
      <c r="E167" s="65"/>
      <c r="F167" s="65"/>
      <c r="G167" s="31">
        <f>+SUM(F168:F170)</f>
        <v>4668180</v>
      </c>
      <c r="H167" s="32">
        <f>+G167/$G$185</f>
        <v>6.3455919754892946E-3</v>
      </c>
      <c r="I167" s="248"/>
      <c r="J167" s="206"/>
      <c r="K167" s="206"/>
      <c r="L167" s="206"/>
      <c r="M167" s="207"/>
      <c r="N167" s="208"/>
    </row>
    <row r="168" spans="1:14" s="57" customFormat="1" ht="13.8" outlineLevel="1" x14ac:dyDescent="0.3">
      <c r="A168" s="213">
        <v>23.01</v>
      </c>
      <c r="B168" s="214" t="s">
        <v>179</v>
      </c>
      <c r="C168" s="215" t="s">
        <v>28</v>
      </c>
      <c r="D168" s="216">
        <v>7</v>
      </c>
      <c r="E168" s="37">
        <v>446402</v>
      </c>
      <c r="F168" s="37">
        <f t="shared" si="54"/>
        <v>3124814</v>
      </c>
      <c r="G168" s="181"/>
      <c r="H168" s="32"/>
      <c r="I168" s="245">
        <f>+'SVD 4140_Pto. 01_Cert. 03'!K168</f>
        <v>0</v>
      </c>
      <c r="J168" s="134"/>
      <c r="K168" s="135">
        <f t="shared" ref="K168:K170" si="87">+I168+J168</f>
        <v>0</v>
      </c>
      <c r="L168" s="200">
        <f t="shared" ref="L168:L170" si="88">+F168*I168</f>
        <v>0</v>
      </c>
      <c r="M168" s="200">
        <f t="shared" ref="M168:M170" si="89">+F168*J168</f>
        <v>0</v>
      </c>
      <c r="N168" s="200">
        <f t="shared" ref="N168:N170" si="90">+F168*K168</f>
        <v>0</v>
      </c>
    </row>
    <row r="169" spans="1:14" s="57" customFormat="1" ht="13.8" outlineLevel="1" x14ac:dyDescent="0.3">
      <c r="A169" s="217">
        <v>23.02</v>
      </c>
      <c r="B169" s="218" t="s">
        <v>180</v>
      </c>
      <c r="C169" s="219" t="s">
        <v>28</v>
      </c>
      <c r="D169" s="220">
        <v>1</v>
      </c>
      <c r="E169" s="42">
        <v>672060</v>
      </c>
      <c r="F169" s="42">
        <f t="shared" si="54"/>
        <v>672060</v>
      </c>
      <c r="G169" s="181"/>
      <c r="H169" s="32"/>
      <c r="I169" s="245">
        <f>+'SVD 4140_Pto. 01_Cert. 03'!K169</f>
        <v>0</v>
      </c>
      <c r="J169" s="141"/>
      <c r="K169" s="79">
        <f t="shared" si="87"/>
        <v>0</v>
      </c>
      <c r="L169" s="201">
        <f t="shared" si="88"/>
        <v>0</v>
      </c>
      <c r="M169" s="201">
        <f t="shared" si="89"/>
        <v>0</v>
      </c>
      <c r="N169" s="201">
        <f t="shared" si="90"/>
        <v>0</v>
      </c>
    </row>
    <row r="170" spans="1:14" s="57" customFormat="1" ht="13.8" outlineLevel="1" x14ac:dyDescent="0.3">
      <c r="A170" s="221">
        <v>23.03</v>
      </c>
      <c r="B170" s="222" t="s">
        <v>181</v>
      </c>
      <c r="C170" s="223" t="s">
        <v>28</v>
      </c>
      <c r="D170" s="224">
        <v>1</v>
      </c>
      <c r="E170" s="60">
        <v>871306</v>
      </c>
      <c r="F170" s="60">
        <f t="shared" si="54"/>
        <v>871306</v>
      </c>
      <c r="G170" s="181"/>
      <c r="H170" s="32"/>
      <c r="I170" s="245">
        <f>+'SVD 4140_Pto. 01_Cert. 03'!K170</f>
        <v>0</v>
      </c>
      <c r="J170" s="141"/>
      <c r="K170" s="79">
        <f t="shared" si="87"/>
        <v>0</v>
      </c>
      <c r="L170" s="201">
        <f t="shared" si="88"/>
        <v>0</v>
      </c>
      <c r="M170" s="201">
        <f t="shared" si="89"/>
        <v>0</v>
      </c>
      <c r="N170" s="201">
        <f t="shared" si="90"/>
        <v>0</v>
      </c>
    </row>
    <row r="171" spans="1:14" s="57" customFormat="1" ht="13.8" x14ac:dyDescent="0.3">
      <c r="A171" s="27">
        <v>24</v>
      </c>
      <c r="B171" s="28" t="s">
        <v>182</v>
      </c>
      <c r="C171" s="189"/>
      <c r="D171" s="65"/>
      <c r="E171" s="65"/>
      <c r="F171" s="65"/>
      <c r="G171" s="31">
        <f>+SUM(F172:F181)</f>
        <v>16311090</v>
      </c>
      <c r="H171" s="32">
        <f>+G171/$G$185</f>
        <v>2.2172135996359112E-2</v>
      </c>
      <c r="I171" s="248"/>
      <c r="J171" s="206"/>
      <c r="K171" s="206"/>
      <c r="L171" s="206"/>
      <c r="M171" s="207"/>
      <c r="N171" s="208"/>
    </row>
    <row r="172" spans="1:14" s="57" customFormat="1" ht="13.8" outlineLevel="1" x14ac:dyDescent="0.3">
      <c r="A172" s="213">
        <v>24.01</v>
      </c>
      <c r="B172" s="214" t="s">
        <v>183</v>
      </c>
      <c r="C172" s="215" t="s">
        <v>184</v>
      </c>
      <c r="D172" s="216">
        <v>6</v>
      </c>
      <c r="E172" s="37">
        <v>753138</v>
      </c>
      <c r="F172" s="37">
        <f t="shared" si="54"/>
        <v>4518828</v>
      </c>
      <c r="G172" s="181"/>
      <c r="H172" s="32"/>
      <c r="I172" s="245">
        <f>+'SVD 4140_Pto. 01_Cert. 03'!K172</f>
        <v>0</v>
      </c>
      <c r="J172" s="134">
        <v>0.1</v>
      </c>
      <c r="K172" s="135">
        <f t="shared" ref="K172:K181" si="91">+I172+J172</f>
        <v>0.1</v>
      </c>
      <c r="L172" s="200">
        <f t="shared" ref="L172:L181" si="92">+F172*I172</f>
        <v>0</v>
      </c>
      <c r="M172" s="200">
        <f t="shared" ref="M172:M181" si="93">+F172*J172</f>
        <v>451882.80000000005</v>
      </c>
      <c r="N172" s="200">
        <f t="shared" ref="N172:N181" si="94">+F172*K172</f>
        <v>451882.80000000005</v>
      </c>
    </row>
    <row r="173" spans="1:14" s="57" customFormat="1" ht="13.8" outlineLevel="1" x14ac:dyDescent="0.3">
      <c r="A173" s="217">
        <v>24.02</v>
      </c>
      <c r="B173" s="218" t="s">
        <v>185</v>
      </c>
      <c r="C173" s="219" t="s">
        <v>184</v>
      </c>
      <c r="D173" s="220"/>
      <c r="E173" s="42">
        <v>1944871</v>
      </c>
      <c r="F173" s="42">
        <f t="shared" si="54"/>
        <v>0</v>
      </c>
      <c r="G173" s="181"/>
      <c r="H173" s="32"/>
      <c r="I173" s="245">
        <f>+'SVD 4140_Pto. 01_Cert. 03'!K173</f>
        <v>0</v>
      </c>
      <c r="J173" s="141"/>
      <c r="K173" s="79">
        <f t="shared" si="91"/>
        <v>0</v>
      </c>
      <c r="L173" s="201">
        <f t="shared" si="92"/>
        <v>0</v>
      </c>
      <c r="M173" s="201">
        <f t="shared" si="93"/>
        <v>0</v>
      </c>
      <c r="N173" s="201">
        <f t="shared" si="94"/>
        <v>0</v>
      </c>
    </row>
    <row r="174" spans="1:14" s="57" customFormat="1" ht="13.8" outlineLevel="1" x14ac:dyDescent="0.3">
      <c r="A174" s="217">
        <v>24.03</v>
      </c>
      <c r="B174" s="218" t="s">
        <v>186</v>
      </c>
      <c r="C174" s="219" t="s">
        <v>184</v>
      </c>
      <c r="D174" s="220">
        <v>6</v>
      </c>
      <c r="E174" s="42">
        <v>188533</v>
      </c>
      <c r="F174" s="42">
        <f t="shared" si="54"/>
        <v>1131198</v>
      </c>
      <c r="G174" s="181"/>
      <c r="H174" s="32"/>
      <c r="I174" s="245">
        <f>+'SVD 4140_Pto. 01_Cert. 03'!K174</f>
        <v>0</v>
      </c>
      <c r="J174" s="141">
        <v>0.1</v>
      </c>
      <c r="K174" s="79">
        <f t="shared" si="91"/>
        <v>0.1</v>
      </c>
      <c r="L174" s="201">
        <f t="shared" si="92"/>
        <v>0</v>
      </c>
      <c r="M174" s="201">
        <f t="shared" si="93"/>
        <v>113119.8</v>
      </c>
      <c r="N174" s="201">
        <f t="shared" si="94"/>
        <v>113119.8</v>
      </c>
    </row>
    <row r="175" spans="1:14" s="57" customFormat="1" ht="13.8" outlineLevel="1" x14ac:dyDescent="0.3">
      <c r="A175" s="217">
        <v>24.04</v>
      </c>
      <c r="B175" s="218" t="s">
        <v>187</v>
      </c>
      <c r="C175" s="219" t="s">
        <v>28</v>
      </c>
      <c r="D175" s="220"/>
      <c r="E175" s="42">
        <v>4606562</v>
      </c>
      <c r="F175" s="42">
        <f t="shared" si="54"/>
        <v>0</v>
      </c>
      <c r="G175" s="181"/>
      <c r="H175" s="32"/>
      <c r="I175" s="245">
        <f>+'SVD 4140_Pto. 01_Cert. 03'!K175</f>
        <v>0</v>
      </c>
      <c r="J175" s="141"/>
      <c r="K175" s="79">
        <f t="shared" si="91"/>
        <v>0</v>
      </c>
      <c r="L175" s="201">
        <f t="shared" si="92"/>
        <v>0</v>
      </c>
      <c r="M175" s="201">
        <f t="shared" si="93"/>
        <v>0</v>
      </c>
      <c r="N175" s="201">
        <f t="shared" si="94"/>
        <v>0</v>
      </c>
    </row>
    <row r="176" spans="1:14" s="57" customFormat="1" ht="13.8" outlineLevel="1" x14ac:dyDescent="0.3">
      <c r="A176" s="217">
        <v>24.05</v>
      </c>
      <c r="B176" s="218" t="s">
        <v>188</v>
      </c>
      <c r="C176" s="219" t="s">
        <v>184</v>
      </c>
      <c r="D176" s="220">
        <v>6</v>
      </c>
      <c r="E176" s="42">
        <v>696152</v>
      </c>
      <c r="F176" s="42">
        <f t="shared" si="54"/>
        <v>4176912</v>
      </c>
      <c r="G176" s="181"/>
      <c r="H176" s="32"/>
      <c r="I176" s="245">
        <f>+'SVD 4140_Pto. 01_Cert. 03'!K176</f>
        <v>0</v>
      </c>
      <c r="J176" s="141"/>
      <c r="K176" s="79">
        <f t="shared" si="91"/>
        <v>0</v>
      </c>
      <c r="L176" s="201">
        <f t="shared" si="92"/>
        <v>0</v>
      </c>
      <c r="M176" s="201">
        <f t="shared" si="93"/>
        <v>0</v>
      </c>
      <c r="N176" s="201">
        <f t="shared" si="94"/>
        <v>0</v>
      </c>
    </row>
    <row r="177" spans="1:14" s="57" customFormat="1" ht="13.8" outlineLevel="1" x14ac:dyDescent="0.3">
      <c r="A177" s="217">
        <v>24.06</v>
      </c>
      <c r="B177" s="218" t="s">
        <v>189</v>
      </c>
      <c r="C177" s="219" t="s">
        <v>184</v>
      </c>
      <c r="D177" s="220">
        <v>6</v>
      </c>
      <c r="E177" s="42">
        <v>452333</v>
      </c>
      <c r="F177" s="42">
        <f t="shared" si="54"/>
        <v>2713998</v>
      </c>
      <c r="G177" s="181"/>
      <c r="H177" s="32"/>
      <c r="I177" s="245">
        <f>+'SVD 4140_Pto. 01_Cert. 03'!K177</f>
        <v>0</v>
      </c>
      <c r="J177" s="141"/>
      <c r="K177" s="79">
        <f t="shared" si="91"/>
        <v>0</v>
      </c>
      <c r="L177" s="201">
        <f t="shared" si="92"/>
        <v>0</v>
      </c>
      <c r="M177" s="201">
        <f t="shared" si="93"/>
        <v>0</v>
      </c>
      <c r="N177" s="201">
        <f t="shared" si="94"/>
        <v>0</v>
      </c>
    </row>
    <row r="178" spans="1:14" s="57" customFormat="1" ht="13.8" outlineLevel="1" x14ac:dyDescent="0.3">
      <c r="A178" s="217">
        <v>24.07</v>
      </c>
      <c r="B178" s="218" t="s">
        <v>190</v>
      </c>
      <c r="C178" s="219" t="s">
        <v>28</v>
      </c>
      <c r="D178" s="220">
        <v>0</v>
      </c>
      <c r="E178" s="42">
        <v>0</v>
      </c>
      <c r="F178" s="42">
        <f t="shared" si="54"/>
        <v>0</v>
      </c>
      <c r="G178" s="181"/>
      <c r="H178" s="32"/>
      <c r="I178" s="245">
        <f>+'SVD 4140_Pto. 01_Cert. 03'!K178</f>
        <v>0</v>
      </c>
      <c r="J178" s="141"/>
      <c r="K178" s="79">
        <f t="shared" si="91"/>
        <v>0</v>
      </c>
      <c r="L178" s="201">
        <f t="shared" si="92"/>
        <v>0</v>
      </c>
      <c r="M178" s="201">
        <f t="shared" si="93"/>
        <v>0</v>
      </c>
      <c r="N178" s="201">
        <f t="shared" si="94"/>
        <v>0</v>
      </c>
    </row>
    <row r="179" spans="1:14" s="57" customFormat="1" ht="13.8" outlineLevel="1" x14ac:dyDescent="0.3">
      <c r="A179" s="217">
        <v>24.08</v>
      </c>
      <c r="B179" s="218" t="s">
        <v>191</v>
      </c>
      <c r="C179" s="219" t="s">
        <v>184</v>
      </c>
      <c r="D179" s="220">
        <v>6</v>
      </c>
      <c r="E179" s="42">
        <v>314221</v>
      </c>
      <c r="F179" s="42">
        <f t="shared" si="54"/>
        <v>1885326</v>
      </c>
      <c r="G179" s="181"/>
      <c r="H179" s="32"/>
      <c r="I179" s="245">
        <f>+'SVD 4140_Pto. 01_Cert. 03'!K179</f>
        <v>0</v>
      </c>
      <c r="J179" s="141"/>
      <c r="K179" s="79">
        <f t="shared" si="91"/>
        <v>0</v>
      </c>
      <c r="L179" s="201">
        <f t="shared" si="92"/>
        <v>0</v>
      </c>
      <c r="M179" s="201">
        <f t="shared" si="93"/>
        <v>0</v>
      </c>
      <c r="N179" s="201">
        <f t="shared" si="94"/>
        <v>0</v>
      </c>
    </row>
    <row r="180" spans="1:14" s="57" customFormat="1" ht="13.8" outlineLevel="1" x14ac:dyDescent="0.3">
      <c r="A180" s="217">
        <v>24.09</v>
      </c>
      <c r="B180" s="218" t="s">
        <v>192</v>
      </c>
      <c r="C180" s="219" t="s">
        <v>184</v>
      </c>
      <c r="D180" s="220">
        <v>4</v>
      </c>
      <c r="E180" s="42">
        <v>0</v>
      </c>
      <c r="F180" s="42">
        <f t="shared" si="54"/>
        <v>0</v>
      </c>
      <c r="G180" s="181"/>
      <c r="H180" s="32"/>
      <c r="I180" s="245">
        <f>+'SVD 4140_Pto. 01_Cert. 03'!K180</f>
        <v>0</v>
      </c>
      <c r="J180" s="141"/>
      <c r="K180" s="79">
        <f t="shared" si="91"/>
        <v>0</v>
      </c>
      <c r="L180" s="201">
        <f t="shared" si="92"/>
        <v>0</v>
      </c>
      <c r="M180" s="201">
        <f t="shared" si="93"/>
        <v>0</v>
      </c>
      <c r="N180" s="201">
        <f t="shared" si="94"/>
        <v>0</v>
      </c>
    </row>
    <row r="181" spans="1:14" s="57" customFormat="1" ht="13.8" outlineLevel="1" x14ac:dyDescent="0.3">
      <c r="A181" s="221">
        <v>24.1</v>
      </c>
      <c r="B181" s="222" t="s">
        <v>193</v>
      </c>
      <c r="C181" s="223" t="s">
        <v>184</v>
      </c>
      <c r="D181" s="224">
        <v>6</v>
      </c>
      <c r="E181" s="60">
        <v>314138</v>
      </c>
      <c r="F181" s="60">
        <f t="shared" si="54"/>
        <v>1884828</v>
      </c>
      <c r="G181" s="181"/>
      <c r="H181" s="32"/>
      <c r="I181" s="245">
        <f>+'SVD 4140_Pto. 01_Cert. 03'!K181</f>
        <v>0</v>
      </c>
      <c r="J181" s="141"/>
      <c r="K181" s="79">
        <f t="shared" si="91"/>
        <v>0</v>
      </c>
      <c r="L181" s="201">
        <f t="shared" si="92"/>
        <v>0</v>
      </c>
      <c r="M181" s="201">
        <f t="shared" si="93"/>
        <v>0</v>
      </c>
      <c r="N181" s="201">
        <f t="shared" si="94"/>
        <v>0</v>
      </c>
    </row>
    <row r="182" spans="1:14" s="57" customFormat="1" ht="13.8" x14ac:dyDescent="0.3">
      <c r="A182" s="27">
        <v>25</v>
      </c>
      <c r="B182" s="28" t="s">
        <v>194</v>
      </c>
      <c r="C182" s="189"/>
      <c r="D182" s="65"/>
      <c r="E182" s="65"/>
      <c r="F182" s="65"/>
      <c r="G182" s="31">
        <f>+SUM(F183:F184)</f>
        <v>32415288</v>
      </c>
      <c r="H182" s="32">
        <f>+G182/$G$185</f>
        <v>4.4063037718334433E-2</v>
      </c>
      <c r="I182" s="248"/>
      <c r="J182" s="206"/>
      <c r="K182" s="206"/>
      <c r="L182" s="206"/>
      <c r="M182" s="207"/>
      <c r="N182" s="208"/>
    </row>
    <row r="183" spans="1:14" s="57" customFormat="1" ht="13.8" outlineLevel="1" x14ac:dyDescent="0.3">
      <c r="A183" s="213">
        <v>25.01</v>
      </c>
      <c r="B183" s="214" t="s">
        <v>195</v>
      </c>
      <c r="C183" s="215" t="s">
        <v>184</v>
      </c>
      <c r="D183" s="216">
        <v>6</v>
      </c>
      <c r="E183" s="37">
        <v>4774106</v>
      </c>
      <c r="F183" s="37">
        <f t="shared" si="54"/>
        <v>28644636</v>
      </c>
      <c r="G183" s="181"/>
      <c r="H183" s="32"/>
      <c r="I183" s="245">
        <f>+'SVD 4140_Pto. 01_Cert. 03'!K183</f>
        <v>0</v>
      </c>
      <c r="J183" s="141">
        <v>0.1</v>
      </c>
      <c r="K183" s="79">
        <f t="shared" ref="K183:K184" si="95">+I183+J183</f>
        <v>0.1</v>
      </c>
      <c r="L183" s="201">
        <f t="shared" ref="L183:L184" si="96">+F183*I183</f>
        <v>0</v>
      </c>
      <c r="M183" s="201">
        <f t="shared" ref="M183:M184" si="97">+F183*J183</f>
        <v>2864463.6</v>
      </c>
      <c r="N183" s="201">
        <f t="shared" ref="N183:N184" si="98">+F183*K183</f>
        <v>2864463.6</v>
      </c>
    </row>
    <row r="184" spans="1:14" s="57" customFormat="1" ht="13.8" outlineLevel="1" x14ac:dyDescent="0.3">
      <c r="A184" s="221">
        <v>25.02</v>
      </c>
      <c r="B184" s="222" t="s">
        <v>196</v>
      </c>
      <c r="C184" s="223" t="s">
        <v>184</v>
      </c>
      <c r="D184" s="224">
        <v>6</v>
      </c>
      <c r="E184" s="60">
        <v>628442</v>
      </c>
      <c r="F184" s="60">
        <f t="shared" si="54"/>
        <v>3770652</v>
      </c>
      <c r="G184" s="181"/>
      <c r="H184" s="32"/>
      <c r="I184" s="245">
        <f>+'SVD 4140_Pto. 01_Cert. 03'!K184</f>
        <v>0</v>
      </c>
      <c r="J184" s="141">
        <v>0.1</v>
      </c>
      <c r="K184" s="79">
        <f t="shared" si="95"/>
        <v>0.1</v>
      </c>
      <c r="L184" s="201">
        <f t="shared" si="96"/>
        <v>0</v>
      </c>
      <c r="M184" s="201">
        <f t="shared" si="97"/>
        <v>377065.2</v>
      </c>
      <c r="N184" s="201">
        <f t="shared" si="98"/>
        <v>377065.2</v>
      </c>
    </row>
    <row r="185" spans="1:14" s="57" customFormat="1" ht="13.8" x14ac:dyDescent="0.3">
      <c r="A185" s="27"/>
      <c r="B185" s="28" t="s">
        <v>197</v>
      </c>
      <c r="C185" s="189"/>
      <c r="D185" s="65"/>
      <c r="E185" s="65"/>
      <c r="F185" s="65">
        <f>+SUM(F9:F184)</f>
        <v>735657133.01950002</v>
      </c>
      <c r="G185" s="31">
        <f>+SUM(G9:G184)</f>
        <v>735657133.01950002</v>
      </c>
      <c r="H185" s="32">
        <f>+SUM(H9:H184)</f>
        <v>1</v>
      </c>
      <c r="I185" s="205"/>
      <c r="J185" s="206"/>
      <c r="K185" s="206"/>
      <c r="L185" s="237">
        <f>+SUM(L10:L184)</f>
        <v>50999512.529999994</v>
      </c>
      <c r="M185" s="237">
        <f>+SUM(M10:M184)</f>
        <v>33193917.917350002</v>
      </c>
      <c r="N185" s="238">
        <f>+SUM(N10:N184)</f>
        <v>84193430.447349995</v>
      </c>
    </row>
    <row r="186" spans="1:14" s="57" customFormat="1" ht="13.8" x14ac:dyDescent="0.3">
      <c r="A186" s="178"/>
      <c r="B186" s="145" t="s">
        <v>198</v>
      </c>
      <c r="C186" s="179"/>
      <c r="D186" s="180"/>
      <c r="E186" s="181"/>
      <c r="F186" s="181"/>
      <c r="G186" s="181"/>
      <c r="H186" s="32"/>
      <c r="L186" s="7"/>
      <c r="M186" s="170">
        <f>+M185/G185</f>
        <v>4.5121451865906305E-2</v>
      </c>
      <c r="N186" s="170">
        <f>+N185/G185</f>
        <v>0.11444656303647678</v>
      </c>
    </row>
    <row r="187" spans="1:14" s="57" customFormat="1" ht="13.8" x14ac:dyDescent="0.3">
      <c r="A187" s="178"/>
      <c r="B187" s="145"/>
      <c r="C187" s="179"/>
      <c r="D187" s="180"/>
      <c r="E187" s="181"/>
      <c r="F187" s="181"/>
      <c r="G187" s="181"/>
      <c r="H187" s="32"/>
      <c r="L187" s="7"/>
      <c r="M187" s="170"/>
      <c r="N187" s="170"/>
    </row>
    <row r="188" spans="1:14" ht="13.8" x14ac:dyDescent="0.3">
      <c r="A188" s="27"/>
      <c r="B188" s="28" t="s">
        <v>216</v>
      </c>
      <c r="C188" s="29"/>
      <c r="D188" s="30"/>
      <c r="E188" s="30"/>
      <c r="F188" s="184"/>
      <c r="H188" s="252"/>
      <c r="J188" s="144"/>
      <c r="K188" s="144"/>
      <c r="L188" s="144"/>
      <c r="M188" s="144"/>
    </row>
    <row r="189" spans="1:14" ht="27.6" x14ac:dyDescent="0.3">
      <c r="A189" s="253">
        <v>4.0199999999999996</v>
      </c>
      <c r="B189" s="34" t="s">
        <v>20</v>
      </c>
      <c r="C189" s="35" t="s">
        <v>19</v>
      </c>
      <c r="D189" s="33">
        <v>-166</v>
      </c>
      <c r="E189" s="256">
        <f>+E11</f>
        <v>25172</v>
      </c>
      <c r="F189" s="36">
        <f>+E189*D189</f>
        <v>-4178552</v>
      </c>
      <c r="H189" s="257"/>
      <c r="I189" s="134">
        <f>+'SVD 4140_Pto. 01_Cert. 03'!K189</f>
        <v>0</v>
      </c>
      <c r="J189" s="249">
        <v>0.9</v>
      </c>
      <c r="K189" s="135">
        <f t="shared" ref="K189:K192" si="99">+I189+J189</f>
        <v>0.9</v>
      </c>
      <c r="L189" s="200">
        <f t="shared" ref="L189:L192" si="100">+F189*I189</f>
        <v>0</v>
      </c>
      <c r="M189" s="200">
        <f t="shared" ref="M189:M192" si="101">+F189*J189</f>
        <v>-3760696.8000000003</v>
      </c>
      <c r="N189" s="200">
        <f t="shared" ref="N189:N192" si="102">+F189*K189</f>
        <v>-3760696.8000000003</v>
      </c>
    </row>
    <row r="190" spans="1:14" ht="13.8" x14ac:dyDescent="0.3">
      <c r="A190" s="269">
        <v>7.02</v>
      </c>
      <c r="B190" s="270" t="s">
        <v>214</v>
      </c>
      <c r="C190" s="40" t="s">
        <v>19</v>
      </c>
      <c r="D190" s="38">
        <v>-166</v>
      </c>
      <c r="E190" s="271">
        <f>+E30</f>
        <v>22183</v>
      </c>
      <c r="F190" s="41">
        <f>+E190*D190</f>
        <v>-3682378</v>
      </c>
      <c r="H190" s="257"/>
      <c r="I190" s="136">
        <f>+'SVD 4140_Pto. 01_Cert. 03'!K190</f>
        <v>0</v>
      </c>
      <c r="J190" s="141"/>
      <c r="K190" s="79">
        <f t="shared" si="99"/>
        <v>0</v>
      </c>
      <c r="L190" s="201">
        <f t="shared" si="100"/>
        <v>0</v>
      </c>
      <c r="M190" s="201">
        <f t="shared" si="101"/>
        <v>0</v>
      </c>
      <c r="N190" s="201">
        <f t="shared" si="102"/>
        <v>0</v>
      </c>
    </row>
    <row r="191" spans="1:14" ht="13.8" x14ac:dyDescent="0.3">
      <c r="A191" s="269">
        <v>13.03</v>
      </c>
      <c r="B191" s="39" t="s">
        <v>219</v>
      </c>
      <c r="C191" s="40" t="s">
        <v>19</v>
      </c>
      <c r="D191" s="41">
        <v>-50</v>
      </c>
      <c r="E191" s="41">
        <f>+E73</f>
        <v>29881</v>
      </c>
      <c r="F191" s="41">
        <f>+E191*D191</f>
        <v>-1494050</v>
      </c>
      <c r="H191" s="257"/>
      <c r="I191" s="136">
        <f>+'SVD 4140_Pto. 01_Cert. 03'!K191</f>
        <v>0</v>
      </c>
      <c r="J191" s="141"/>
      <c r="K191" s="79">
        <f t="shared" ref="K191" si="103">+I191+J191</f>
        <v>0</v>
      </c>
      <c r="L191" s="201">
        <f t="shared" ref="L191" si="104">+F191*I191</f>
        <v>0</v>
      </c>
      <c r="M191" s="201">
        <f t="shared" ref="M191" si="105">+F191*J191</f>
        <v>0</v>
      </c>
      <c r="N191" s="201">
        <f t="shared" ref="N191" si="106">+F191*K191</f>
        <v>0</v>
      </c>
    </row>
    <row r="192" spans="1:14" ht="13.8" x14ac:dyDescent="0.3">
      <c r="A192" s="263">
        <v>18.03</v>
      </c>
      <c r="B192" s="264" t="s">
        <v>114</v>
      </c>
      <c r="C192" s="265" t="s">
        <v>47</v>
      </c>
      <c r="D192" s="266">
        <v>-7</v>
      </c>
      <c r="E192" s="267">
        <f>+E103</f>
        <v>57445</v>
      </c>
      <c r="F192" s="268">
        <f>+E192*D192</f>
        <v>-402115</v>
      </c>
      <c r="H192" s="257"/>
      <c r="I192" s="136">
        <f>+'SVD 4140_Pto. 01_Cert. 03'!K192</f>
        <v>0</v>
      </c>
      <c r="J192" s="141"/>
      <c r="K192" s="79">
        <f t="shared" si="99"/>
        <v>0</v>
      </c>
      <c r="L192" s="201">
        <f t="shared" si="100"/>
        <v>0</v>
      </c>
      <c r="M192" s="201">
        <f t="shared" si="101"/>
        <v>0</v>
      </c>
      <c r="N192" s="201">
        <f t="shared" si="102"/>
        <v>0</v>
      </c>
    </row>
    <row r="193" spans="1:17" ht="13.8" x14ac:dyDescent="0.3">
      <c r="A193" s="259"/>
      <c r="B193" s="260" t="s">
        <v>215</v>
      </c>
      <c r="C193" s="193" t="s">
        <v>47</v>
      </c>
      <c r="D193" s="261">
        <v>-7</v>
      </c>
      <c r="E193" s="258">
        <v>28344.047943536876</v>
      </c>
      <c r="F193" s="48">
        <f>+E193*D193</f>
        <v>-198408.33560475812</v>
      </c>
      <c r="H193" s="257"/>
      <c r="I193" s="137">
        <f>+'SVD 4140_Pto. 01_Cert. 03'!K193</f>
        <v>0</v>
      </c>
      <c r="J193" s="262"/>
      <c r="K193" s="138">
        <f t="shared" ref="K193" si="107">+I193+J193</f>
        <v>0</v>
      </c>
      <c r="L193" s="202">
        <f t="shared" ref="L193" si="108">+F193*I193</f>
        <v>0</v>
      </c>
      <c r="M193" s="202">
        <f t="shared" ref="M193" si="109">+F193*J193</f>
        <v>0</v>
      </c>
      <c r="N193" s="202">
        <f t="shared" ref="N193" si="110">+F193*K193</f>
        <v>0</v>
      </c>
    </row>
    <row r="194" spans="1:17" ht="12.75" customHeight="1" x14ac:dyDescent="0.3">
      <c r="M194" s="57">
        <f>+SUM(M189:M193)</f>
        <v>-3760696.8000000003</v>
      </c>
      <c r="N194" s="57">
        <f>+SUM(N189:N193)</f>
        <v>-3760696.8000000003</v>
      </c>
    </row>
    <row r="195" spans="1:17" ht="12.75" customHeight="1" x14ac:dyDescent="0.3">
      <c r="M195" s="57"/>
      <c r="N195" s="57"/>
    </row>
    <row r="196" spans="1:17" ht="12.75" customHeight="1" x14ac:dyDescent="0.3">
      <c r="A196" s="81"/>
      <c r="B196" s="68" t="s">
        <v>199</v>
      </c>
      <c r="C196" s="82"/>
      <c r="D196" s="83"/>
      <c r="E196" s="84"/>
      <c r="F196" s="85"/>
      <c r="G196" s="86"/>
      <c r="H196" s="86"/>
      <c r="I196" s="87"/>
      <c r="J196" s="88"/>
      <c r="K196" s="89" t="s">
        <v>200</v>
      </c>
      <c r="L196" s="90">
        <f>+J5</f>
        <v>4</v>
      </c>
      <c r="M196" s="91"/>
      <c r="N196" s="92">
        <f>+N5</f>
        <v>46050</v>
      </c>
    </row>
    <row r="197" spans="1:17" ht="12.75" customHeight="1" x14ac:dyDescent="0.3">
      <c r="A197" s="93"/>
      <c r="B197" s="68" t="s">
        <v>6</v>
      </c>
      <c r="C197" s="91"/>
      <c r="D197" s="94"/>
      <c r="E197" s="95"/>
      <c r="F197" s="86"/>
      <c r="G197" s="86"/>
      <c r="H197" s="86"/>
      <c r="I197" s="96"/>
      <c r="J197" s="97"/>
      <c r="K197" s="96"/>
      <c r="L197" s="68"/>
      <c r="M197" s="91" t="s">
        <v>201</v>
      </c>
      <c r="N197" s="98" t="s">
        <v>202</v>
      </c>
    </row>
    <row r="198" spans="1:17" ht="12.75" customHeight="1" x14ac:dyDescent="0.3">
      <c r="A198" s="146" t="s">
        <v>203</v>
      </c>
      <c r="B198" s="99" t="s">
        <v>204</v>
      </c>
      <c r="C198" s="100"/>
      <c r="D198" s="101"/>
      <c r="E198" s="102"/>
      <c r="F198" s="103"/>
      <c r="G198" s="104"/>
      <c r="H198" s="104"/>
      <c r="I198" s="105"/>
      <c r="J198" s="106"/>
      <c r="K198" s="105"/>
      <c r="L198" s="107"/>
      <c r="M198" s="107"/>
      <c r="N198" s="108">
        <f>+G185</f>
        <v>735657133.01950002</v>
      </c>
      <c r="P198" s="171"/>
      <c r="Q198" s="172"/>
    </row>
    <row r="199" spans="1:17" ht="12.75" customHeight="1" x14ac:dyDescent="0.3">
      <c r="A199" s="109" t="s">
        <v>205</v>
      </c>
      <c r="B199" s="110" t="s">
        <v>206</v>
      </c>
      <c r="C199" s="111"/>
      <c r="D199" s="112"/>
      <c r="E199" s="113"/>
      <c r="F199" s="114"/>
      <c r="G199" s="115"/>
      <c r="H199" s="115"/>
      <c r="I199" s="114"/>
      <c r="J199" s="116"/>
      <c r="K199" s="117"/>
      <c r="L199" s="118"/>
      <c r="M199" s="240">
        <v>0.4</v>
      </c>
      <c r="N199" s="119">
        <f>+M199*N198</f>
        <v>294262853.20780003</v>
      </c>
      <c r="P199" s="173"/>
      <c r="Q199" s="172"/>
    </row>
    <row r="200" spans="1:17" ht="12.75" customHeight="1" x14ac:dyDescent="0.3">
      <c r="A200" s="147" t="s">
        <v>207</v>
      </c>
      <c r="B200" s="120" t="s">
        <v>208</v>
      </c>
      <c r="C200" s="121"/>
      <c r="D200" s="122"/>
      <c r="E200" s="123"/>
      <c r="F200" s="124"/>
      <c r="G200" s="125"/>
      <c r="H200" s="125"/>
      <c r="I200" s="126"/>
      <c r="J200" s="127"/>
      <c r="K200" s="126"/>
      <c r="L200" s="128"/>
      <c r="M200" s="128"/>
      <c r="N200" s="129">
        <f>+M185</f>
        <v>33193917.917350002</v>
      </c>
      <c r="P200" s="171"/>
      <c r="Q200" s="174"/>
    </row>
    <row r="201" spans="1:17" ht="12.75" customHeight="1" x14ac:dyDescent="0.3">
      <c r="A201" s="148" t="s">
        <v>209</v>
      </c>
      <c r="B201" s="149" t="s">
        <v>210</v>
      </c>
      <c r="C201" s="150"/>
      <c r="D201" s="151"/>
      <c r="E201" s="152"/>
      <c r="F201" s="153"/>
      <c r="G201" s="154"/>
      <c r="H201" s="154"/>
      <c r="I201" s="155"/>
      <c r="J201" s="156"/>
      <c r="K201" s="155"/>
      <c r="L201" s="157"/>
      <c r="M201" s="158">
        <f>-M199</f>
        <v>-0.4</v>
      </c>
      <c r="N201" s="159">
        <f>+M201*N200</f>
        <v>-13277567.166940002</v>
      </c>
      <c r="P201" s="173"/>
      <c r="Q201" s="175"/>
    </row>
    <row r="202" spans="1:17" ht="12.75" customHeight="1" x14ac:dyDescent="0.3">
      <c r="A202" s="272" t="s">
        <v>211</v>
      </c>
      <c r="B202" s="273" t="s">
        <v>218</v>
      </c>
      <c r="C202" s="274"/>
      <c r="D202" s="275"/>
      <c r="E202" s="276"/>
      <c r="F202" s="277"/>
      <c r="G202" s="278"/>
      <c r="H202" s="278"/>
      <c r="I202" s="279"/>
      <c r="J202" s="280"/>
      <c r="K202" s="279"/>
      <c r="L202" s="281"/>
      <c r="M202" s="282"/>
      <c r="N202" s="283">
        <f>+M194</f>
        <v>-3760696.8000000003</v>
      </c>
      <c r="P202" s="173"/>
      <c r="Q202" s="175"/>
    </row>
    <row r="203" spans="1:17" ht="12.75" customHeight="1" x14ac:dyDescent="0.3">
      <c r="A203" s="160" t="s">
        <v>217</v>
      </c>
      <c r="B203" s="161" t="s">
        <v>212</v>
      </c>
      <c r="C203" s="162"/>
      <c r="D203" s="163"/>
      <c r="E203" s="164"/>
      <c r="F203" s="165"/>
      <c r="G203" s="165"/>
      <c r="H203" s="165"/>
      <c r="I203" s="165"/>
      <c r="J203" s="166"/>
      <c r="K203" s="167"/>
      <c r="L203" s="168"/>
      <c r="M203" s="168"/>
      <c r="N203" s="169">
        <f>+N200+N201+N202</f>
        <v>16155653.950409997</v>
      </c>
      <c r="P203" s="171"/>
      <c r="Q203" s="176"/>
    </row>
    <row r="204" spans="1:17" ht="12.75" customHeight="1" x14ac:dyDescent="0.3">
      <c r="A204" s="177"/>
      <c r="B204" s="2" t="s">
        <v>213</v>
      </c>
      <c r="C204" s="150"/>
      <c r="D204" s="151"/>
      <c r="E204" s="152"/>
      <c r="F204" s="153"/>
      <c r="G204" s="154"/>
      <c r="H204" s="154"/>
      <c r="I204" s="155"/>
      <c r="J204" s="156"/>
      <c r="K204" s="155"/>
      <c r="L204" s="157"/>
    </row>
  </sheetData>
  <mergeCells count="2">
    <mergeCell ref="I7:K7"/>
    <mergeCell ref="L7:N7"/>
  </mergeCells>
  <conditionalFormatting sqref="C3:C12">
    <cfRule type="cellIs" dxfId="131" priority="31" operator="equal">
      <formula>"x"</formula>
    </cfRule>
  </conditionalFormatting>
  <conditionalFormatting sqref="C18">
    <cfRule type="cellIs" dxfId="130" priority="29" operator="equal">
      <formula>"x"</formula>
    </cfRule>
  </conditionalFormatting>
  <conditionalFormatting sqref="C20:C29">
    <cfRule type="cellIs" dxfId="129" priority="28" operator="equal">
      <formula>"x"</formula>
    </cfRule>
  </conditionalFormatting>
  <conditionalFormatting sqref="C37">
    <cfRule type="cellIs" dxfId="128" priority="27" operator="equal">
      <formula>"x"</formula>
    </cfRule>
  </conditionalFormatting>
  <conditionalFormatting sqref="C42:C53">
    <cfRule type="cellIs" dxfId="127" priority="26" operator="equal">
      <formula>"x"</formula>
    </cfRule>
  </conditionalFormatting>
  <conditionalFormatting sqref="C56:C193">
    <cfRule type="cellIs" dxfId="126" priority="1" operator="equal">
      <formula>"x"</formula>
    </cfRule>
  </conditionalFormatting>
  <conditionalFormatting sqref="K10:K17 K19:K25 K27 K29:K36 K38:K45 K47:K50 K52:K55 K189:K193">
    <cfRule type="cellIs" dxfId="125" priority="30" operator="lessThan">
      <formula>1</formula>
    </cfRule>
  </conditionalFormatting>
  <conditionalFormatting sqref="K57:K63">
    <cfRule type="cellIs" dxfId="124" priority="23" operator="lessThan">
      <formula>1</formula>
    </cfRule>
  </conditionalFormatting>
  <conditionalFormatting sqref="K65:K69">
    <cfRule type="cellIs" dxfId="123" priority="22" operator="lessThan">
      <formula>1</formula>
    </cfRule>
  </conditionalFormatting>
  <conditionalFormatting sqref="K71:K74">
    <cfRule type="cellIs" dxfId="122" priority="21" operator="lessThan">
      <formula>1</formula>
    </cfRule>
  </conditionalFormatting>
  <conditionalFormatting sqref="K76:K82">
    <cfRule type="cellIs" dxfId="121" priority="20" operator="lessThan">
      <formula>1</formula>
    </cfRule>
  </conditionalFormatting>
  <conditionalFormatting sqref="K84:K92">
    <cfRule type="cellIs" dxfId="120" priority="19" operator="lessThan">
      <formula>1</formula>
    </cfRule>
  </conditionalFormatting>
  <conditionalFormatting sqref="K94">
    <cfRule type="cellIs" dxfId="119" priority="18" operator="lessThan">
      <formula>1</formula>
    </cfRule>
  </conditionalFormatting>
  <conditionalFormatting sqref="K96:K99">
    <cfRule type="cellIs" dxfId="118" priority="17" operator="lessThan">
      <formula>1</formula>
    </cfRule>
  </conditionalFormatting>
  <conditionalFormatting sqref="K101:K130">
    <cfRule type="cellIs" dxfId="117" priority="24" operator="lessThan">
      <formula>1</formula>
    </cfRule>
  </conditionalFormatting>
  <conditionalFormatting sqref="K133:K136">
    <cfRule type="cellIs" dxfId="116" priority="16" operator="lessThan">
      <formula>1</formula>
    </cfRule>
  </conditionalFormatting>
  <conditionalFormatting sqref="K138:K140 K142:K146">
    <cfRule type="cellIs" dxfId="115" priority="15" operator="lessThan">
      <formula>1</formula>
    </cfRule>
  </conditionalFormatting>
  <conditionalFormatting sqref="K148">
    <cfRule type="cellIs" dxfId="114" priority="14" operator="lessThan">
      <formula>1</formula>
    </cfRule>
  </conditionalFormatting>
  <conditionalFormatting sqref="K150:K153">
    <cfRule type="cellIs" dxfId="113" priority="13" operator="lessThan">
      <formula>1</formula>
    </cfRule>
  </conditionalFormatting>
  <conditionalFormatting sqref="K155">
    <cfRule type="cellIs" dxfId="112" priority="12" operator="lessThan">
      <formula>1</formula>
    </cfRule>
  </conditionalFormatting>
  <conditionalFormatting sqref="K157:K158">
    <cfRule type="cellIs" dxfId="111" priority="11" operator="lessThan">
      <formula>1</formula>
    </cfRule>
  </conditionalFormatting>
  <conditionalFormatting sqref="K160:K161">
    <cfRule type="cellIs" dxfId="110" priority="10" operator="lessThan">
      <formula>1</formula>
    </cfRule>
  </conditionalFormatting>
  <conditionalFormatting sqref="K163">
    <cfRule type="cellIs" dxfId="109" priority="9" operator="lessThan">
      <formula>1</formula>
    </cfRule>
  </conditionalFormatting>
  <conditionalFormatting sqref="K165:K166">
    <cfRule type="cellIs" dxfId="108" priority="8" operator="lessThan">
      <formula>1</formula>
    </cfRule>
  </conditionalFormatting>
  <conditionalFormatting sqref="K168:K170">
    <cfRule type="cellIs" dxfId="107" priority="7" operator="lessThan">
      <formula>1</formula>
    </cfRule>
  </conditionalFormatting>
  <conditionalFormatting sqref="K172:K181">
    <cfRule type="cellIs" dxfId="106" priority="6" operator="lessThan">
      <formula>1</formula>
    </cfRule>
  </conditionalFormatting>
  <conditionalFormatting sqref="K183:K184">
    <cfRule type="cellIs" dxfId="105" priority="5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/>
  <headerFooter>
    <oddFooter>&amp;C&amp;P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B2F4-88E2-4854-B995-21471DE0FA13}">
  <dimension ref="A1:S204"/>
  <sheetViews>
    <sheetView workbookViewId="0">
      <pane xSplit="4" ySplit="8" topLeftCell="H169" activePane="bottomRight" state="frozen"/>
      <selection pane="topRight" activeCell="E1" sqref="E1"/>
      <selection pane="bottomLeft" activeCell="A9" sqref="A9"/>
      <selection pane="bottomRight" activeCell="J180" sqref="J180"/>
    </sheetView>
  </sheetViews>
  <sheetFormatPr baseColWidth="10" defaultColWidth="11.5546875" defaultRowHeight="12.75" customHeight="1" outlineLevelRow="1" x14ac:dyDescent="0.3"/>
  <cols>
    <col min="1" max="1" width="6.5546875" style="1" bestFit="1" customWidth="1"/>
    <col min="2" max="2" width="88.109375" style="2" bestFit="1" customWidth="1"/>
    <col min="3" max="3" width="5.33203125" style="3" bestFit="1" customWidth="1"/>
    <col min="4" max="4" width="8.109375" style="4" bestFit="1" customWidth="1"/>
    <col min="5" max="5" width="11" style="5" bestFit="1" customWidth="1"/>
    <col min="6" max="6" width="11.6640625" style="5" bestFit="1" customWidth="1"/>
    <col min="7" max="7" width="12" style="26" bestFit="1" customWidth="1"/>
    <col min="8" max="8" width="6.33203125" style="7" bestFit="1" customWidth="1"/>
    <col min="9" max="14" width="13.33203125" style="7" customWidth="1"/>
    <col min="15" max="16" width="11.5546875" style="7"/>
    <col min="17" max="17" width="14.44140625" style="7" bestFit="1" customWidth="1"/>
    <col min="18" max="18" width="12.44140625" style="7" bestFit="1" customWidth="1"/>
    <col min="19" max="16384" width="11.5546875" style="7"/>
  </cols>
  <sheetData>
    <row r="1" spans="1:19" ht="12.75" customHeight="1" x14ac:dyDescent="0.3">
      <c r="F1" s="6" t="s">
        <v>0</v>
      </c>
      <c r="G1" s="6" t="s">
        <v>1</v>
      </c>
    </row>
    <row r="2" spans="1:19" ht="13.8" x14ac:dyDescent="0.3">
      <c r="E2" s="69"/>
      <c r="F2" s="9">
        <v>1005</v>
      </c>
      <c r="G2" s="9">
        <v>1170</v>
      </c>
    </row>
    <row r="3" spans="1:19" s="15" customFormat="1" ht="13.8" x14ac:dyDescent="0.25">
      <c r="A3" s="10"/>
      <c r="B3" s="11"/>
      <c r="C3" s="12"/>
      <c r="D3" s="13"/>
      <c r="E3" s="13"/>
      <c r="F3" s="13"/>
      <c r="G3" s="14"/>
    </row>
    <row r="4" spans="1:19" s="15" customFormat="1" ht="13.8" x14ac:dyDescent="0.25">
      <c r="A4" s="10"/>
      <c r="B4" s="11"/>
      <c r="C4" s="12"/>
      <c r="D4" s="13"/>
      <c r="E4" s="13"/>
      <c r="F4" s="16">
        <v>45628</v>
      </c>
      <c r="G4" s="14"/>
    </row>
    <row r="5" spans="1:19" s="15" customFormat="1" ht="13.8" x14ac:dyDescent="0.3">
      <c r="A5" s="10"/>
      <c r="B5" s="8" t="s">
        <v>2</v>
      </c>
      <c r="C5" s="12"/>
      <c r="D5" s="13"/>
      <c r="E5" s="17"/>
      <c r="F5" s="17"/>
      <c r="G5" s="14"/>
      <c r="I5" s="70" t="s">
        <v>3</v>
      </c>
      <c r="J5" s="242">
        <v>5</v>
      </c>
      <c r="K5" s="71"/>
      <c r="L5" s="72"/>
      <c r="M5" s="73"/>
      <c r="N5" s="241">
        <v>46080</v>
      </c>
    </row>
    <row r="6" spans="1:19" s="15" customFormat="1" ht="13.8" x14ac:dyDescent="0.25">
      <c r="A6" s="10"/>
      <c r="B6" s="8" t="s">
        <v>4</v>
      </c>
      <c r="C6" s="18"/>
      <c r="D6" s="19"/>
      <c r="E6" s="20"/>
      <c r="F6" s="20"/>
      <c r="G6" s="14"/>
      <c r="I6" s="74"/>
      <c r="J6" s="75"/>
      <c r="K6" s="74"/>
      <c r="L6" s="76"/>
      <c r="M6" s="76"/>
      <c r="N6" s="76"/>
    </row>
    <row r="7" spans="1:19" ht="13.8" x14ac:dyDescent="0.3">
      <c r="A7" s="21" t="s">
        <v>5</v>
      </c>
      <c r="B7" s="22" t="s">
        <v>6</v>
      </c>
      <c r="C7" s="23" t="s">
        <v>7</v>
      </c>
      <c r="D7" s="24" t="s">
        <v>8</v>
      </c>
      <c r="E7" s="25" t="s">
        <v>9</v>
      </c>
      <c r="F7" s="25" t="s">
        <v>10</v>
      </c>
      <c r="I7" s="297" t="s">
        <v>11</v>
      </c>
      <c r="J7" s="297"/>
      <c r="K7" s="297"/>
      <c r="L7" s="298" t="s">
        <v>12</v>
      </c>
      <c r="M7" s="298"/>
      <c r="N7" s="298"/>
    </row>
    <row r="8" spans="1:19" ht="13.8" x14ac:dyDescent="0.3">
      <c r="A8" s="182"/>
      <c r="B8" s="183" t="s">
        <v>13</v>
      </c>
      <c r="C8" s="29"/>
      <c r="D8" s="30"/>
      <c r="E8" s="30"/>
      <c r="F8" s="30"/>
      <c r="G8" s="184"/>
      <c r="H8" s="32"/>
      <c r="I8" s="77" t="s">
        <v>14</v>
      </c>
      <c r="J8" s="77" t="s">
        <v>15</v>
      </c>
      <c r="K8" s="77" t="s">
        <v>16</v>
      </c>
      <c r="L8" s="78" t="s">
        <v>14</v>
      </c>
      <c r="M8" s="78" t="s">
        <v>15</v>
      </c>
      <c r="N8" s="78" t="s">
        <v>16</v>
      </c>
    </row>
    <row r="9" spans="1:19" ht="13.8" x14ac:dyDescent="0.3">
      <c r="A9" s="27">
        <v>4</v>
      </c>
      <c r="B9" s="28" t="s">
        <v>17</v>
      </c>
      <c r="C9" s="189"/>
      <c r="D9" s="65"/>
      <c r="E9" s="65"/>
      <c r="F9" s="65"/>
      <c r="G9" s="31">
        <f>+SUM(F10:F17)</f>
        <v>54302889.68</v>
      </c>
      <c r="H9" s="32">
        <f>+G9/$G$185</f>
        <v>7.3815487191858167E-2</v>
      </c>
      <c r="I9" s="139"/>
      <c r="J9" s="140"/>
      <c r="K9" s="130"/>
      <c r="L9" s="130"/>
      <c r="M9" s="130"/>
      <c r="N9" s="66"/>
    </row>
    <row r="10" spans="1:19" ht="13.8" outlineLevel="1" x14ac:dyDescent="0.3">
      <c r="A10" s="33">
        <v>4.01</v>
      </c>
      <c r="B10" s="34" t="s">
        <v>18</v>
      </c>
      <c r="C10" s="35" t="s">
        <v>19</v>
      </c>
      <c r="D10" s="36">
        <v>819</v>
      </c>
      <c r="E10" s="37">
        <v>18993</v>
      </c>
      <c r="F10" s="37">
        <f>+D10*E10</f>
        <v>15555267</v>
      </c>
      <c r="G10" s="5"/>
      <c r="H10" s="32"/>
      <c r="I10" s="244">
        <f>+'SVD 4140_Pto. 01_Cert. 04'!K10</f>
        <v>0.55000000000000004</v>
      </c>
      <c r="J10" s="249">
        <v>0.15</v>
      </c>
      <c r="K10" s="135">
        <f t="shared" ref="K10:K55" si="0">+I10+J10</f>
        <v>0.70000000000000007</v>
      </c>
      <c r="L10" s="80">
        <f t="shared" ref="L10:L55" si="1">+F10*I10</f>
        <v>8555396.8500000015</v>
      </c>
      <c r="M10" s="80">
        <f t="shared" ref="M10:M55" si="2">+F10*J10</f>
        <v>2333290.0499999998</v>
      </c>
      <c r="N10" s="80">
        <f t="shared" ref="N10:N55" si="3">+F10*K10</f>
        <v>10888686.9</v>
      </c>
      <c r="P10" s="7">
        <v>1041</v>
      </c>
    </row>
    <row r="11" spans="1:19" ht="16.5" customHeight="1" outlineLevel="1" x14ac:dyDescent="0.3">
      <c r="A11" s="38">
        <v>4.0199999999999996</v>
      </c>
      <c r="B11" s="39" t="s">
        <v>20</v>
      </c>
      <c r="C11" s="40" t="s">
        <v>19</v>
      </c>
      <c r="D11" s="41">
        <v>612</v>
      </c>
      <c r="E11" s="42">
        <v>25172</v>
      </c>
      <c r="F11" s="42">
        <f t="shared" ref="F11:F74" si="4">+D11*E11</f>
        <v>15405264</v>
      </c>
      <c r="G11" s="5"/>
      <c r="H11" s="32"/>
      <c r="I11" s="245">
        <f>+'SVD 4140_Pto. 01_Cert. 04'!K11</f>
        <v>0.5</v>
      </c>
      <c r="J11" s="141">
        <v>0.1</v>
      </c>
      <c r="K11" s="79">
        <f t="shared" si="0"/>
        <v>0.6</v>
      </c>
      <c r="L11" s="80">
        <f>+F11*I11</f>
        <v>7702632</v>
      </c>
      <c r="M11" s="80">
        <f t="shared" si="2"/>
        <v>1540526.4000000001</v>
      </c>
      <c r="N11" s="80">
        <f t="shared" si="3"/>
        <v>9243158.4000000004</v>
      </c>
      <c r="S11" s="243"/>
    </row>
    <row r="12" spans="1:19" ht="13.8" outlineLevel="1" x14ac:dyDescent="0.3">
      <c r="A12" s="38">
        <v>4.03</v>
      </c>
      <c r="B12" s="39" t="s">
        <v>21</v>
      </c>
      <c r="C12" s="43" t="s">
        <v>19</v>
      </c>
      <c r="D12" s="44">
        <v>636</v>
      </c>
      <c r="E12" s="42">
        <v>21109</v>
      </c>
      <c r="F12" s="42">
        <f t="shared" si="4"/>
        <v>13425324</v>
      </c>
      <c r="G12" s="5"/>
      <c r="H12" s="32"/>
      <c r="I12" s="245">
        <f>+'SVD 4140_Pto. 01_Cert. 04'!K12</f>
        <v>0.55000000000000004</v>
      </c>
      <c r="J12" s="141">
        <v>0.15</v>
      </c>
      <c r="K12" s="79">
        <f t="shared" si="0"/>
        <v>0.70000000000000007</v>
      </c>
      <c r="L12" s="80">
        <f t="shared" si="1"/>
        <v>7383928.2000000002</v>
      </c>
      <c r="M12" s="80">
        <f t="shared" si="2"/>
        <v>2013798.5999999999</v>
      </c>
      <c r="N12" s="80">
        <f t="shared" si="3"/>
        <v>9397726.8000000007</v>
      </c>
      <c r="Q12" s="243"/>
    </row>
    <row r="13" spans="1:19" ht="13.8" outlineLevel="1" x14ac:dyDescent="0.3">
      <c r="A13" s="38">
        <v>4.04</v>
      </c>
      <c r="B13" s="39" t="s">
        <v>22</v>
      </c>
      <c r="C13" s="40" t="s">
        <v>19</v>
      </c>
      <c r="D13" s="41">
        <v>195</v>
      </c>
      <c r="E13" s="42">
        <v>15092</v>
      </c>
      <c r="F13" s="42">
        <f t="shared" si="4"/>
        <v>2942940</v>
      </c>
      <c r="G13" s="5"/>
      <c r="H13" s="32"/>
      <c r="I13" s="245">
        <f>+'SVD 4140_Pto. 01_Cert. 04'!K13</f>
        <v>0.15</v>
      </c>
      <c r="J13" s="141">
        <v>0</v>
      </c>
      <c r="K13" s="79">
        <f t="shared" si="0"/>
        <v>0.15</v>
      </c>
      <c r="L13" s="80">
        <f t="shared" si="1"/>
        <v>441441</v>
      </c>
      <c r="M13" s="80">
        <f t="shared" si="2"/>
        <v>0</v>
      </c>
      <c r="N13" s="80">
        <f t="shared" si="3"/>
        <v>441441</v>
      </c>
    </row>
    <row r="14" spans="1:19" ht="13.8" outlineLevel="1" x14ac:dyDescent="0.3">
      <c r="A14" s="38">
        <v>4.05</v>
      </c>
      <c r="B14" s="39" t="s">
        <v>23</v>
      </c>
      <c r="C14" s="40" t="s">
        <v>19</v>
      </c>
      <c r="D14" s="41">
        <v>30.053999999999998</v>
      </c>
      <c r="E14" s="42">
        <v>67420</v>
      </c>
      <c r="F14" s="42">
        <f t="shared" si="4"/>
        <v>2026240.68</v>
      </c>
      <c r="G14" s="5"/>
      <c r="H14" s="32"/>
      <c r="I14" s="245">
        <f>+'SVD 4140_Pto. 01_Cert. 04'!K14</f>
        <v>0</v>
      </c>
      <c r="J14" s="136"/>
      <c r="K14" s="79">
        <f t="shared" si="0"/>
        <v>0</v>
      </c>
      <c r="L14" s="80">
        <f t="shared" si="1"/>
        <v>0</v>
      </c>
      <c r="M14" s="80">
        <f t="shared" si="2"/>
        <v>0</v>
      </c>
      <c r="N14" s="80">
        <f t="shared" si="3"/>
        <v>0</v>
      </c>
    </row>
    <row r="15" spans="1:19" ht="13.8" outlineLevel="1" x14ac:dyDescent="0.3">
      <c r="A15" s="38">
        <v>4.0599999999999996</v>
      </c>
      <c r="B15" s="39" t="s">
        <v>24</v>
      </c>
      <c r="C15" s="40" t="s">
        <v>19</v>
      </c>
      <c r="D15" s="41">
        <v>24</v>
      </c>
      <c r="E15" s="42">
        <v>54908</v>
      </c>
      <c r="F15" s="42">
        <f t="shared" si="4"/>
        <v>1317792</v>
      </c>
      <c r="G15" s="5"/>
      <c r="H15" s="32"/>
      <c r="I15" s="245">
        <f>+'SVD 4140_Pto. 01_Cert. 04'!K15</f>
        <v>0</v>
      </c>
      <c r="J15" s="136"/>
      <c r="K15" s="79">
        <f t="shared" si="0"/>
        <v>0</v>
      </c>
      <c r="L15" s="80">
        <f t="shared" si="1"/>
        <v>0</v>
      </c>
      <c r="M15" s="80">
        <f t="shared" si="2"/>
        <v>0</v>
      </c>
      <c r="N15" s="80">
        <f t="shared" si="3"/>
        <v>0</v>
      </c>
    </row>
    <row r="16" spans="1:19" ht="13.8" outlineLevel="1" x14ac:dyDescent="0.3">
      <c r="A16" s="38">
        <v>4.07</v>
      </c>
      <c r="B16" s="39" t="s">
        <v>25</v>
      </c>
      <c r="C16" s="40" t="s">
        <v>26</v>
      </c>
      <c r="D16" s="41">
        <v>81</v>
      </c>
      <c r="E16" s="42">
        <v>30989</v>
      </c>
      <c r="F16" s="42">
        <f t="shared" si="4"/>
        <v>2510109</v>
      </c>
      <c r="G16" s="5"/>
      <c r="H16" s="32"/>
      <c r="I16" s="245">
        <f>+'SVD 4140_Pto. 01_Cert. 04'!K16</f>
        <v>0</v>
      </c>
      <c r="J16" s="141"/>
      <c r="K16" s="79">
        <f t="shared" si="0"/>
        <v>0</v>
      </c>
      <c r="L16" s="80">
        <f t="shared" si="1"/>
        <v>0</v>
      </c>
      <c r="M16" s="80">
        <f t="shared" si="2"/>
        <v>0</v>
      </c>
      <c r="N16" s="80">
        <f t="shared" si="3"/>
        <v>0</v>
      </c>
    </row>
    <row r="17" spans="1:18" ht="13.8" outlineLevel="1" x14ac:dyDescent="0.3">
      <c r="A17" s="38">
        <v>4.08</v>
      </c>
      <c r="B17" s="39" t="s">
        <v>27</v>
      </c>
      <c r="C17" s="40" t="s">
        <v>28</v>
      </c>
      <c r="D17" s="41">
        <v>1</v>
      </c>
      <c r="E17" s="42">
        <v>1119953</v>
      </c>
      <c r="F17" s="42">
        <f t="shared" si="4"/>
        <v>1119953</v>
      </c>
      <c r="G17" s="5"/>
      <c r="H17" s="32"/>
      <c r="I17" s="245">
        <f>+'SVD 4140_Pto. 01_Cert. 04'!K17</f>
        <v>0.5</v>
      </c>
      <c r="J17" s="136"/>
      <c r="K17" s="79">
        <f t="shared" si="0"/>
        <v>0.5</v>
      </c>
      <c r="L17" s="80">
        <f t="shared" si="1"/>
        <v>559976.5</v>
      </c>
      <c r="M17" s="80">
        <f t="shared" si="2"/>
        <v>0</v>
      </c>
      <c r="N17" s="80">
        <f t="shared" si="3"/>
        <v>559976.5</v>
      </c>
    </row>
    <row r="18" spans="1:18" ht="13.8" x14ac:dyDescent="0.3">
      <c r="A18" s="27">
        <v>5</v>
      </c>
      <c r="B18" s="28" t="s">
        <v>29</v>
      </c>
      <c r="C18" s="189"/>
      <c r="D18" s="65"/>
      <c r="E18" s="65"/>
      <c r="F18" s="65"/>
      <c r="G18" s="31">
        <f>+SUM(F19:F25)</f>
        <v>35966419</v>
      </c>
      <c r="H18" s="32">
        <f>+G18/$G$185</f>
        <v>4.8890192707540352E-2</v>
      </c>
      <c r="I18" s="246"/>
      <c r="J18" s="140"/>
      <c r="K18" s="130"/>
      <c r="L18" s="130"/>
      <c r="M18" s="130"/>
      <c r="N18" s="66"/>
    </row>
    <row r="19" spans="1:18" ht="13.8" outlineLevel="1" x14ac:dyDescent="0.3">
      <c r="A19" s="33">
        <v>5.01</v>
      </c>
      <c r="B19" s="34" t="s">
        <v>30</v>
      </c>
      <c r="C19" s="35" t="s">
        <v>19</v>
      </c>
      <c r="D19" s="36">
        <v>139.05000000000001</v>
      </c>
      <c r="E19" s="37">
        <v>21800</v>
      </c>
      <c r="F19" s="37">
        <f t="shared" si="4"/>
        <v>3031290.0000000005</v>
      </c>
      <c r="G19" s="195"/>
      <c r="H19" s="32"/>
      <c r="I19" s="245">
        <v>0</v>
      </c>
      <c r="J19" s="134"/>
      <c r="K19" s="135">
        <f t="shared" ref="K19:K20" si="5">+I19+J19</f>
        <v>0</v>
      </c>
      <c r="L19" s="200">
        <f t="shared" ref="L19:L20" si="6">+F19*I19</f>
        <v>0</v>
      </c>
      <c r="M19" s="200">
        <f t="shared" ref="M19:M20" si="7">+F19*J19</f>
        <v>0</v>
      </c>
      <c r="N19" s="200">
        <f t="shared" ref="N19:N20" si="8">+F19*K19</f>
        <v>0</v>
      </c>
    </row>
    <row r="20" spans="1:18" ht="13.8" outlineLevel="1" x14ac:dyDescent="0.3">
      <c r="A20" s="190">
        <v>5.0199999999999996</v>
      </c>
      <c r="B20" s="191" t="s">
        <v>31</v>
      </c>
      <c r="C20" s="43" t="s">
        <v>19</v>
      </c>
      <c r="D20" s="44">
        <v>300</v>
      </c>
      <c r="E20" s="44">
        <v>5376</v>
      </c>
      <c r="F20" s="44">
        <f t="shared" si="4"/>
        <v>1612800</v>
      </c>
      <c r="G20" s="186"/>
      <c r="H20" s="32"/>
      <c r="I20" s="245">
        <v>0</v>
      </c>
      <c r="J20" s="136"/>
      <c r="K20" s="79">
        <f t="shared" si="5"/>
        <v>0</v>
      </c>
      <c r="L20" s="201">
        <f t="shared" si="6"/>
        <v>0</v>
      </c>
      <c r="M20" s="201">
        <f t="shared" si="7"/>
        <v>0</v>
      </c>
      <c r="N20" s="201">
        <f t="shared" si="8"/>
        <v>0</v>
      </c>
    </row>
    <row r="21" spans="1:18" ht="13.8" outlineLevel="1" x14ac:dyDescent="0.3">
      <c r="A21" s="38">
        <v>5.03</v>
      </c>
      <c r="B21" s="52" t="s">
        <v>32</v>
      </c>
      <c r="C21" s="49" t="s">
        <v>19</v>
      </c>
      <c r="D21" s="50">
        <v>48</v>
      </c>
      <c r="E21" s="42">
        <v>5376</v>
      </c>
      <c r="F21" s="42">
        <f t="shared" si="4"/>
        <v>258048</v>
      </c>
      <c r="G21" s="196"/>
      <c r="H21" s="32"/>
      <c r="I21" s="245">
        <v>0</v>
      </c>
      <c r="J21" s="136"/>
      <c r="K21" s="79">
        <f t="shared" si="0"/>
        <v>0</v>
      </c>
      <c r="L21" s="201">
        <f t="shared" si="1"/>
        <v>0</v>
      </c>
      <c r="M21" s="201">
        <f t="shared" si="2"/>
        <v>0</v>
      </c>
      <c r="N21" s="201">
        <f t="shared" si="3"/>
        <v>0</v>
      </c>
      <c r="R21" s="144"/>
    </row>
    <row r="22" spans="1:18" ht="13.8" outlineLevel="1" x14ac:dyDescent="0.3">
      <c r="A22" s="38">
        <v>5.04</v>
      </c>
      <c r="B22" s="39" t="s">
        <v>33</v>
      </c>
      <c r="C22" s="40" t="s">
        <v>19</v>
      </c>
      <c r="D22" s="50">
        <v>262</v>
      </c>
      <c r="E22" s="42">
        <v>4403</v>
      </c>
      <c r="F22" s="42">
        <f t="shared" si="4"/>
        <v>1153586</v>
      </c>
      <c r="G22" s="196"/>
      <c r="H22" s="32"/>
      <c r="I22" s="245">
        <v>0</v>
      </c>
      <c r="J22" s="136"/>
      <c r="K22" s="79">
        <f t="shared" si="0"/>
        <v>0</v>
      </c>
      <c r="L22" s="201">
        <f t="shared" si="1"/>
        <v>0</v>
      </c>
      <c r="M22" s="201">
        <f t="shared" si="2"/>
        <v>0</v>
      </c>
      <c r="N22" s="201">
        <f t="shared" si="3"/>
        <v>0</v>
      </c>
    </row>
    <row r="23" spans="1:18" ht="13.8" outlineLevel="1" x14ac:dyDescent="0.3">
      <c r="A23" s="38">
        <v>5.05</v>
      </c>
      <c r="B23" s="52" t="s">
        <v>34</v>
      </c>
      <c r="C23" s="49" t="s">
        <v>19</v>
      </c>
      <c r="D23" s="50">
        <v>510</v>
      </c>
      <c r="E23" s="42">
        <v>3578</v>
      </c>
      <c r="F23" s="42">
        <f t="shared" si="4"/>
        <v>1824780</v>
      </c>
      <c r="G23" s="196"/>
      <c r="H23" s="32"/>
      <c r="I23" s="245">
        <v>0</v>
      </c>
      <c r="J23" s="136"/>
      <c r="K23" s="79">
        <f t="shared" si="0"/>
        <v>0</v>
      </c>
      <c r="L23" s="201">
        <f t="shared" si="1"/>
        <v>0</v>
      </c>
      <c r="M23" s="201">
        <f t="shared" si="2"/>
        <v>0</v>
      </c>
      <c r="N23" s="201">
        <f t="shared" si="3"/>
        <v>0</v>
      </c>
    </row>
    <row r="24" spans="1:18" ht="13.8" outlineLevel="1" x14ac:dyDescent="0.3">
      <c r="A24" s="190">
        <v>5.0599999999999996</v>
      </c>
      <c r="B24" s="191" t="s">
        <v>35</v>
      </c>
      <c r="C24" s="43" t="s">
        <v>19</v>
      </c>
      <c r="D24" s="44">
        <v>510</v>
      </c>
      <c r="E24" s="44">
        <v>21800</v>
      </c>
      <c r="F24" s="44">
        <f t="shared" si="4"/>
        <v>11118000</v>
      </c>
      <c r="G24" s="186"/>
      <c r="H24" s="32"/>
      <c r="I24" s="245">
        <v>0</v>
      </c>
      <c r="J24" s="136"/>
      <c r="K24" s="79">
        <f t="shared" si="0"/>
        <v>0</v>
      </c>
      <c r="L24" s="201">
        <f t="shared" si="1"/>
        <v>0</v>
      </c>
      <c r="M24" s="201">
        <f t="shared" si="2"/>
        <v>0</v>
      </c>
      <c r="N24" s="201">
        <f t="shared" si="3"/>
        <v>0</v>
      </c>
    </row>
    <row r="25" spans="1:18" ht="13.8" outlineLevel="1" x14ac:dyDescent="0.3">
      <c r="A25" s="45">
        <v>5.07</v>
      </c>
      <c r="B25" s="192" t="s">
        <v>36</v>
      </c>
      <c r="C25" s="193" t="s">
        <v>28</v>
      </c>
      <c r="D25" s="194">
        <v>1</v>
      </c>
      <c r="E25" s="60">
        <v>16967915</v>
      </c>
      <c r="F25" s="60">
        <f t="shared" si="4"/>
        <v>16967915</v>
      </c>
      <c r="G25" s="197"/>
      <c r="H25" s="32"/>
      <c r="I25" s="245">
        <v>1</v>
      </c>
      <c r="J25" s="137"/>
      <c r="K25" s="138">
        <f t="shared" si="0"/>
        <v>1</v>
      </c>
      <c r="L25" s="202">
        <f t="shared" si="1"/>
        <v>16967915</v>
      </c>
      <c r="M25" s="202">
        <f t="shared" si="2"/>
        <v>0</v>
      </c>
      <c r="N25" s="202">
        <f t="shared" si="3"/>
        <v>16967915</v>
      </c>
    </row>
    <row r="26" spans="1:18" ht="13.8" x14ac:dyDescent="0.3">
      <c r="A26" s="27">
        <v>6</v>
      </c>
      <c r="B26" s="28" t="s">
        <v>37</v>
      </c>
      <c r="C26" s="189"/>
      <c r="D26" s="65"/>
      <c r="E26" s="65"/>
      <c r="F26" s="65"/>
      <c r="G26" s="31">
        <f>+SUM(F27)</f>
        <v>2433900</v>
      </c>
      <c r="H26" s="32">
        <f>+G26/$G$185</f>
        <v>3.3084706050630856E-3</v>
      </c>
      <c r="I26" s="246"/>
      <c r="J26" s="140"/>
      <c r="K26" s="130"/>
      <c r="L26" s="130"/>
      <c r="M26" s="130"/>
      <c r="N26" s="66"/>
    </row>
    <row r="27" spans="1:18" ht="13.8" outlineLevel="1" x14ac:dyDescent="0.3">
      <c r="A27" s="38">
        <v>6.02</v>
      </c>
      <c r="B27" s="51" t="s">
        <v>38</v>
      </c>
      <c r="C27" s="43" t="s">
        <v>26</v>
      </c>
      <c r="D27" s="44">
        <v>60</v>
      </c>
      <c r="E27" s="42">
        <v>40565</v>
      </c>
      <c r="F27" s="42">
        <f t="shared" si="4"/>
        <v>2433900</v>
      </c>
      <c r="G27" s="5"/>
      <c r="H27" s="32"/>
      <c r="I27" s="245">
        <f>+'SVD 4140_Pto. 01_Cert. 04'!K27</f>
        <v>0</v>
      </c>
      <c r="J27" s="136"/>
      <c r="K27" s="79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</row>
    <row r="28" spans="1:18" ht="13.8" x14ac:dyDescent="0.3">
      <c r="A28" s="27">
        <v>7</v>
      </c>
      <c r="B28" s="28" t="s">
        <v>39</v>
      </c>
      <c r="C28" s="189"/>
      <c r="D28" s="65"/>
      <c r="E28" s="65"/>
      <c r="F28" s="65"/>
      <c r="G28" s="31">
        <f>+SUM(F29:F36)</f>
        <v>136390555.29860002</v>
      </c>
      <c r="H28" s="32">
        <f>+G28/$G$185</f>
        <v>0.18539962324403197</v>
      </c>
      <c r="I28" s="246"/>
      <c r="J28" s="140"/>
      <c r="K28" s="130"/>
      <c r="L28" s="130"/>
      <c r="M28" s="130"/>
      <c r="N28" s="66"/>
    </row>
    <row r="29" spans="1:18" ht="13.8" outlineLevel="1" x14ac:dyDescent="0.3">
      <c r="A29" s="38">
        <v>7.01</v>
      </c>
      <c r="B29" s="51" t="s">
        <v>40</v>
      </c>
      <c r="C29" s="43" t="s">
        <v>19</v>
      </c>
      <c r="D29" s="44">
        <v>678.25199999999995</v>
      </c>
      <c r="E29" s="42">
        <v>16571</v>
      </c>
      <c r="F29" s="42">
        <f t="shared" si="4"/>
        <v>11239313.891999999</v>
      </c>
      <c r="G29" s="5"/>
      <c r="H29" s="32"/>
      <c r="I29" s="245">
        <f>+'SVD 4140_Pto. 01_Cert. 04'!K29</f>
        <v>0</v>
      </c>
      <c r="J29" s="136"/>
      <c r="K29" s="79">
        <f t="shared" si="0"/>
        <v>0</v>
      </c>
      <c r="L29" s="80">
        <f t="shared" si="1"/>
        <v>0</v>
      </c>
      <c r="M29" s="80">
        <f t="shared" si="2"/>
        <v>0</v>
      </c>
      <c r="N29" s="80">
        <f t="shared" si="3"/>
        <v>0</v>
      </c>
    </row>
    <row r="30" spans="1:18" ht="13.8" outlineLevel="1" x14ac:dyDescent="0.3">
      <c r="A30" s="38">
        <v>7.02</v>
      </c>
      <c r="B30" s="39" t="s">
        <v>41</v>
      </c>
      <c r="C30" s="49" t="s">
        <v>19</v>
      </c>
      <c r="D30" s="41">
        <v>876.08119999999985</v>
      </c>
      <c r="E30" s="42">
        <v>22183</v>
      </c>
      <c r="F30" s="42">
        <f t="shared" si="4"/>
        <v>19434109.259599999</v>
      </c>
      <c r="G30" s="5"/>
      <c r="H30" s="32"/>
      <c r="I30" s="245">
        <f>+'SVD 4140_Pto. 01_Cert. 04'!K30</f>
        <v>0</v>
      </c>
      <c r="J30" s="136"/>
      <c r="K30" s="79">
        <f t="shared" si="0"/>
        <v>0</v>
      </c>
      <c r="L30" s="80">
        <f t="shared" si="1"/>
        <v>0</v>
      </c>
      <c r="M30" s="80">
        <f t="shared" si="2"/>
        <v>0</v>
      </c>
      <c r="N30" s="80">
        <f t="shared" si="3"/>
        <v>0</v>
      </c>
    </row>
    <row r="31" spans="1:18" ht="13.8" outlineLevel="1" x14ac:dyDescent="0.3">
      <c r="A31" s="38">
        <v>7.03</v>
      </c>
      <c r="B31" s="39" t="s">
        <v>42</v>
      </c>
      <c r="C31" s="49" t="s">
        <v>26</v>
      </c>
      <c r="D31" s="41">
        <v>182</v>
      </c>
      <c r="E31" s="42">
        <v>10806</v>
      </c>
      <c r="F31" s="42">
        <f t="shared" si="4"/>
        <v>1966692</v>
      </c>
      <c r="G31" s="5"/>
      <c r="H31" s="32"/>
      <c r="I31" s="245">
        <f>+'SVD 4140_Pto. 01_Cert. 04'!K31</f>
        <v>0</v>
      </c>
      <c r="J31" s="136"/>
      <c r="K31" s="79">
        <f t="shared" si="0"/>
        <v>0</v>
      </c>
      <c r="L31" s="80">
        <f t="shared" si="1"/>
        <v>0</v>
      </c>
      <c r="M31" s="80">
        <f t="shared" si="2"/>
        <v>0</v>
      </c>
      <c r="N31" s="80">
        <f t="shared" si="3"/>
        <v>0</v>
      </c>
    </row>
    <row r="32" spans="1:18" ht="13.8" outlineLevel="1" x14ac:dyDescent="0.3">
      <c r="A32" s="38">
        <v>7.04</v>
      </c>
      <c r="B32" s="39" t="s">
        <v>43</v>
      </c>
      <c r="C32" s="49" t="s">
        <v>19</v>
      </c>
      <c r="D32" s="41">
        <v>995.85109999999997</v>
      </c>
      <c r="E32" s="42">
        <v>26530</v>
      </c>
      <c r="F32" s="42">
        <f t="shared" si="4"/>
        <v>26419929.682999998</v>
      </c>
      <c r="G32" s="5"/>
      <c r="H32" s="32"/>
      <c r="I32" s="245">
        <f>+'SVD 4140_Pto. 01_Cert. 04'!K32</f>
        <v>0.45</v>
      </c>
      <c r="J32" s="141"/>
      <c r="K32" s="79">
        <f t="shared" si="0"/>
        <v>0.45</v>
      </c>
      <c r="L32" s="80">
        <f t="shared" si="1"/>
        <v>11888968.357349999</v>
      </c>
      <c r="M32" s="80">
        <f t="shared" si="2"/>
        <v>0</v>
      </c>
      <c r="N32" s="80">
        <f t="shared" si="3"/>
        <v>11888968.357349999</v>
      </c>
    </row>
    <row r="33" spans="1:16" ht="13.8" outlineLevel="1" x14ac:dyDescent="0.3">
      <c r="A33" s="38">
        <v>7.05</v>
      </c>
      <c r="B33" s="39" t="s">
        <v>44</v>
      </c>
      <c r="C33" s="49" t="s">
        <v>19</v>
      </c>
      <c r="D33" s="41">
        <v>2514.8970000000013</v>
      </c>
      <c r="E33" s="42">
        <v>22566</v>
      </c>
      <c r="F33" s="42">
        <f t="shared" si="4"/>
        <v>56751165.702000029</v>
      </c>
      <c r="G33" s="5"/>
      <c r="H33" s="32"/>
      <c r="I33" s="245">
        <f>+'SVD 4140_Pto. 01_Cert. 04'!K33</f>
        <v>0</v>
      </c>
      <c r="J33" s="136">
        <v>0.05</v>
      </c>
      <c r="K33" s="79">
        <f t="shared" si="0"/>
        <v>0.05</v>
      </c>
      <c r="L33" s="80">
        <f t="shared" si="1"/>
        <v>0</v>
      </c>
      <c r="M33" s="80">
        <f t="shared" si="2"/>
        <v>2837558.2851000018</v>
      </c>
      <c r="N33" s="80">
        <f t="shared" si="3"/>
        <v>2837558.2851000018</v>
      </c>
    </row>
    <row r="34" spans="1:16" ht="13.8" outlineLevel="1" x14ac:dyDescent="0.3">
      <c r="A34" s="38">
        <v>7.06</v>
      </c>
      <c r="B34" s="39" t="s">
        <v>45</v>
      </c>
      <c r="C34" s="49" t="s">
        <v>26</v>
      </c>
      <c r="D34" s="41">
        <v>509.9</v>
      </c>
      <c r="E34" s="42">
        <v>12771</v>
      </c>
      <c r="F34" s="42">
        <f t="shared" si="4"/>
        <v>6511932.8999999994</v>
      </c>
      <c r="G34" s="5"/>
      <c r="H34" s="32"/>
      <c r="I34" s="245">
        <f>+'SVD 4140_Pto. 01_Cert. 04'!K34</f>
        <v>0</v>
      </c>
      <c r="J34" s="136">
        <v>0.05</v>
      </c>
      <c r="K34" s="79">
        <f t="shared" si="0"/>
        <v>0.05</v>
      </c>
      <c r="L34" s="80">
        <f t="shared" si="1"/>
        <v>0</v>
      </c>
      <c r="M34" s="80">
        <f t="shared" si="2"/>
        <v>325596.64500000002</v>
      </c>
      <c r="N34" s="80">
        <f t="shared" si="3"/>
        <v>325596.64500000002</v>
      </c>
    </row>
    <row r="35" spans="1:16" ht="13.8" outlineLevel="1" x14ac:dyDescent="0.3">
      <c r="A35" s="38">
        <v>7.07</v>
      </c>
      <c r="B35" s="39" t="s">
        <v>46</v>
      </c>
      <c r="C35" s="49" t="s">
        <v>47</v>
      </c>
      <c r="D35" s="41">
        <v>198</v>
      </c>
      <c r="E35" s="42">
        <v>14947</v>
      </c>
      <c r="F35" s="42">
        <f t="shared" si="4"/>
        <v>2959506</v>
      </c>
      <c r="G35" s="5"/>
      <c r="H35" s="32"/>
      <c r="I35" s="245">
        <f>+'SVD 4140_Pto. 01_Cert. 04'!K35</f>
        <v>0</v>
      </c>
      <c r="J35" s="136"/>
      <c r="K35" s="79">
        <f t="shared" si="0"/>
        <v>0</v>
      </c>
      <c r="L35" s="80">
        <f t="shared" si="1"/>
        <v>0</v>
      </c>
      <c r="M35" s="80">
        <f t="shared" si="2"/>
        <v>0</v>
      </c>
      <c r="N35" s="80">
        <f t="shared" si="3"/>
        <v>0</v>
      </c>
    </row>
    <row r="36" spans="1:16" ht="13.8" outlineLevel="1" x14ac:dyDescent="0.3">
      <c r="A36" s="38">
        <v>7.08</v>
      </c>
      <c r="B36" s="39" t="s">
        <v>48</v>
      </c>
      <c r="C36" s="49" t="s">
        <v>19</v>
      </c>
      <c r="D36" s="41">
        <v>670.322</v>
      </c>
      <c r="E36" s="42">
        <v>16571</v>
      </c>
      <c r="F36" s="42">
        <f t="shared" si="4"/>
        <v>11107905.862</v>
      </c>
      <c r="G36" s="5"/>
      <c r="H36" s="32"/>
      <c r="I36" s="245">
        <f>+'SVD 4140_Pto. 01_Cert. 04'!K36</f>
        <v>0</v>
      </c>
      <c r="J36" s="136"/>
      <c r="K36" s="79">
        <f t="shared" si="0"/>
        <v>0</v>
      </c>
      <c r="L36" s="80">
        <f t="shared" si="1"/>
        <v>0</v>
      </c>
      <c r="M36" s="80">
        <f t="shared" si="2"/>
        <v>0</v>
      </c>
      <c r="N36" s="80">
        <f t="shared" si="3"/>
        <v>0</v>
      </c>
    </row>
    <row r="37" spans="1:16" ht="13.8" x14ac:dyDescent="0.3">
      <c r="A37" s="27">
        <v>8</v>
      </c>
      <c r="B37" s="28" t="s">
        <v>49</v>
      </c>
      <c r="C37" s="189"/>
      <c r="D37" s="65"/>
      <c r="E37" s="65"/>
      <c r="F37" s="65"/>
      <c r="G37" s="31">
        <f>+SUM(F38:F45)</f>
        <v>44788107</v>
      </c>
      <c r="H37" s="32">
        <f>+G37/$G$185</f>
        <v>6.0881768135880775E-2</v>
      </c>
      <c r="I37" s="246"/>
      <c r="J37" s="140"/>
      <c r="K37" s="130"/>
      <c r="L37" s="130"/>
      <c r="M37" s="130"/>
      <c r="N37" s="66"/>
    </row>
    <row r="38" spans="1:16" ht="13.8" outlineLevel="1" x14ac:dyDescent="0.3">
      <c r="A38" s="33">
        <v>8.01</v>
      </c>
      <c r="B38" s="198" t="s">
        <v>50</v>
      </c>
      <c r="C38" s="61" t="s">
        <v>19</v>
      </c>
      <c r="D38" s="62">
        <v>104</v>
      </c>
      <c r="E38" s="37">
        <v>31920</v>
      </c>
      <c r="F38" s="37">
        <f t="shared" si="4"/>
        <v>3319680</v>
      </c>
      <c r="G38" s="5"/>
      <c r="H38" s="32"/>
      <c r="I38" s="245">
        <f>+'SVD 4140_Pto. 01_Cert. 04'!K38</f>
        <v>1</v>
      </c>
      <c r="J38" s="134"/>
      <c r="K38" s="135">
        <f t="shared" si="0"/>
        <v>1</v>
      </c>
      <c r="L38" s="200">
        <f t="shared" si="1"/>
        <v>3319680</v>
      </c>
      <c r="M38" s="200">
        <f t="shared" si="2"/>
        <v>0</v>
      </c>
      <c r="N38" s="200">
        <f t="shared" si="3"/>
        <v>3319680</v>
      </c>
    </row>
    <row r="39" spans="1:16" ht="13.8" outlineLevel="1" x14ac:dyDescent="0.3">
      <c r="A39" s="38">
        <v>8.02</v>
      </c>
      <c r="B39" s="52" t="s">
        <v>51</v>
      </c>
      <c r="C39" s="49" t="s">
        <v>19</v>
      </c>
      <c r="D39" s="50">
        <v>48</v>
      </c>
      <c r="E39" s="42">
        <v>37268</v>
      </c>
      <c r="F39" s="42">
        <f t="shared" si="4"/>
        <v>1788864</v>
      </c>
      <c r="G39" s="5"/>
      <c r="H39" s="32"/>
      <c r="I39" s="245">
        <f>+'SVD 4140_Pto. 01_Cert. 04'!K39</f>
        <v>0</v>
      </c>
      <c r="J39" s="136"/>
      <c r="K39" s="79">
        <f t="shared" si="0"/>
        <v>0</v>
      </c>
      <c r="L39" s="201">
        <f t="shared" si="1"/>
        <v>0</v>
      </c>
      <c r="M39" s="201">
        <f t="shared" si="2"/>
        <v>0</v>
      </c>
      <c r="N39" s="201">
        <f t="shared" si="3"/>
        <v>0</v>
      </c>
    </row>
    <row r="40" spans="1:16" ht="13.8" outlineLevel="1" x14ac:dyDescent="0.3">
      <c r="A40" s="38">
        <v>8.0299999999999994</v>
      </c>
      <c r="B40" s="52" t="s">
        <v>52</v>
      </c>
      <c r="C40" s="49" t="s">
        <v>19</v>
      </c>
      <c r="D40" s="50">
        <v>235</v>
      </c>
      <c r="E40" s="42">
        <v>32410</v>
      </c>
      <c r="F40" s="42">
        <f t="shared" si="4"/>
        <v>7616350</v>
      </c>
      <c r="G40" s="5"/>
      <c r="H40" s="32"/>
      <c r="I40" s="245">
        <f>+'SVD 4140_Pto. 01_Cert. 04'!K40</f>
        <v>0</v>
      </c>
      <c r="J40" s="136"/>
      <c r="K40" s="79">
        <f t="shared" si="0"/>
        <v>0</v>
      </c>
      <c r="L40" s="201">
        <f t="shared" si="1"/>
        <v>0</v>
      </c>
      <c r="M40" s="201">
        <f t="shared" si="2"/>
        <v>0</v>
      </c>
      <c r="N40" s="201">
        <f t="shared" si="3"/>
        <v>0</v>
      </c>
    </row>
    <row r="41" spans="1:16" ht="13.8" outlineLevel="1" x14ac:dyDescent="0.3">
      <c r="A41" s="38">
        <v>8.0399999999999991</v>
      </c>
      <c r="B41" s="39" t="s">
        <v>53</v>
      </c>
      <c r="C41" s="40" t="s">
        <v>19</v>
      </c>
      <c r="D41" s="50">
        <v>878</v>
      </c>
      <c r="E41" s="42">
        <v>19006</v>
      </c>
      <c r="F41" s="42">
        <f t="shared" si="4"/>
        <v>16687268</v>
      </c>
      <c r="G41" s="5"/>
      <c r="H41" s="32"/>
      <c r="I41" s="245">
        <f>+'SVD 4140_Pto. 01_Cert. 04'!K41</f>
        <v>0</v>
      </c>
      <c r="J41" s="136"/>
      <c r="K41" s="79">
        <f t="shared" si="0"/>
        <v>0</v>
      </c>
      <c r="L41" s="201">
        <f t="shared" si="1"/>
        <v>0</v>
      </c>
      <c r="M41" s="201">
        <f t="shared" si="2"/>
        <v>0</v>
      </c>
      <c r="N41" s="201">
        <f t="shared" si="3"/>
        <v>0</v>
      </c>
    </row>
    <row r="42" spans="1:16" ht="13.8" outlineLevel="1" x14ac:dyDescent="0.3">
      <c r="A42" s="190">
        <v>8.0500000000000007</v>
      </c>
      <c r="B42" s="191" t="s">
        <v>54</v>
      </c>
      <c r="C42" s="43" t="s">
        <v>19</v>
      </c>
      <c r="D42" s="44">
        <v>564</v>
      </c>
      <c r="E42" s="44">
        <v>12439</v>
      </c>
      <c r="F42" s="44">
        <f t="shared" si="4"/>
        <v>7015596</v>
      </c>
      <c r="G42" s="5"/>
      <c r="H42" s="32"/>
      <c r="I42" s="245">
        <f>+'SVD 4140_Pto. 01_Cert. 04'!K42</f>
        <v>0</v>
      </c>
      <c r="J42" s="239"/>
      <c r="K42" s="79">
        <f t="shared" si="0"/>
        <v>0</v>
      </c>
      <c r="L42" s="201">
        <f t="shared" si="1"/>
        <v>0</v>
      </c>
      <c r="M42" s="201">
        <f t="shared" si="2"/>
        <v>0</v>
      </c>
      <c r="N42" s="201">
        <f t="shared" si="3"/>
        <v>0</v>
      </c>
    </row>
    <row r="43" spans="1:16" ht="13.8" outlineLevel="1" x14ac:dyDescent="0.3">
      <c r="A43" s="38">
        <v>8.06</v>
      </c>
      <c r="B43" s="199" t="s">
        <v>55</v>
      </c>
      <c r="C43" s="40" t="s">
        <v>19</v>
      </c>
      <c r="D43" s="41">
        <v>438</v>
      </c>
      <c r="E43" s="42">
        <v>12439</v>
      </c>
      <c r="F43" s="42">
        <f t="shared" si="4"/>
        <v>5448282</v>
      </c>
      <c r="G43" s="5"/>
      <c r="I43" s="245">
        <f>+'SVD 4140_Pto. 01_Cert. 04'!K43</f>
        <v>0</v>
      </c>
      <c r="J43" s="136"/>
      <c r="K43" s="79">
        <f t="shared" si="0"/>
        <v>0</v>
      </c>
      <c r="L43" s="201">
        <f t="shared" si="1"/>
        <v>0</v>
      </c>
      <c r="M43" s="201">
        <f t="shared" si="2"/>
        <v>0</v>
      </c>
      <c r="N43" s="201">
        <f t="shared" si="3"/>
        <v>0</v>
      </c>
      <c r="P43" s="144"/>
    </row>
    <row r="44" spans="1:16" ht="13.8" outlineLevel="1" x14ac:dyDescent="0.3">
      <c r="A44" s="38">
        <v>8.07</v>
      </c>
      <c r="B44" s="199" t="s">
        <v>56</v>
      </c>
      <c r="C44" s="40" t="s">
        <v>28</v>
      </c>
      <c r="D44" s="41">
        <v>1</v>
      </c>
      <c r="E44" s="42">
        <v>2426924</v>
      </c>
      <c r="F44" s="42">
        <f t="shared" si="4"/>
        <v>2426924</v>
      </c>
      <c r="G44" s="5"/>
      <c r="I44" s="245">
        <f>+'SVD 4140_Pto. 01_Cert. 04'!K44</f>
        <v>0</v>
      </c>
      <c r="J44" s="136"/>
      <c r="K44" s="79">
        <f t="shared" si="0"/>
        <v>0</v>
      </c>
      <c r="L44" s="201">
        <f t="shared" si="1"/>
        <v>0</v>
      </c>
      <c r="M44" s="201">
        <f t="shared" si="2"/>
        <v>0</v>
      </c>
      <c r="N44" s="201">
        <f t="shared" si="3"/>
        <v>0</v>
      </c>
    </row>
    <row r="45" spans="1:16" ht="13.8" outlineLevel="1" x14ac:dyDescent="0.3">
      <c r="A45" s="45">
        <v>8.08</v>
      </c>
      <c r="B45" s="59" t="s">
        <v>57</v>
      </c>
      <c r="C45" s="47" t="s">
        <v>28</v>
      </c>
      <c r="D45" s="48">
        <v>1</v>
      </c>
      <c r="E45" s="60">
        <v>485143</v>
      </c>
      <c r="F45" s="60">
        <f t="shared" si="4"/>
        <v>485143</v>
      </c>
      <c r="G45" s="5"/>
      <c r="I45" s="245">
        <f>+'SVD 4140_Pto. 01_Cert. 04'!K45</f>
        <v>0</v>
      </c>
      <c r="J45" s="137"/>
      <c r="K45" s="138">
        <f t="shared" si="0"/>
        <v>0</v>
      </c>
      <c r="L45" s="202">
        <f t="shared" si="1"/>
        <v>0</v>
      </c>
      <c r="M45" s="202">
        <f t="shared" si="2"/>
        <v>0</v>
      </c>
      <c r="N45" s="202">
        <f t="shared" si="3"/>
        <v>0</v>
      </c>
    </row>
    <row r="46" spans="1:16" ht="13.8" x14ac:dyDescent="0.3">
      <c r="A46" s="27">
        <v>9</v>
      </c>
      <c r="B46" s="28" t="s">
        <v>58</v>
      </c>
      <c r="C46" s="189"/>
      <c r="D46" s="65"/>
      <c r="E46" s="65"/>
      <c r="F46" s="65"/>
      <c r="G46" s="31">
        <f>+SUM(F47:F50)</f>
        <v>5769056.5999999996</v>
      </c>
      <c r="H46" s="32">
        <f>+G46/$G$185</f>
        <v>7.8420453511011904E-3</v>
      </c>
      <c r="I46" s="246"/>
      <c r="J46" s="140"/>
      <c r="K46" s="130"/>
      <c r="L46" s="130"/>
      <c r="M46" s="130"/>
      <c r="N46" s="66"/>
    </row>
    <row r="47" spans="1:16" s="57" customFormat="1" ht="13.8" outlineLevel="1" x14ac:dyDescent="0.3">
      <c r="A47" s="38">
        <v>9.01</v>
      </c>
      <c r="B47" s="55" t="s">
        <v>59</v>
      </c>
      <c r="C47" s="56" t="s">
        <v>28</v>
      </c>
      <c r="D47" s="41">
        <v>1</v>
      </c>
      <c r="E47" s="42">
        <v>2024643</v>
      </c>
      <c r="F47" s="42">
        <f t="shared" si="4"/>
        <v>2024643</v>
      </c>
      <c r="G47" s="185"/>
      <c r="H47" s="32"/>
      <c r="I47" s="245">
        <f>+'SVD 4140_Pto. 01_Cert. 04'!K47</f>
        <v>0</v>
      </c>
      <c r="J47" s="141"/>
      <c r="K47" s="79">
        <f t="shared" si="0"/>
        <v>0</v>
      </c>
      <c r="L47" s="80">
        <f t="shared" si="1"/>
        <v>0</v>
      </c>
      <c r="M47" s="80">
        <f t="shared" si="2"/>
        <v>0</v>
      </c>
      <c r="N47" s="80">
        <f t="shared" si="3"/>
        <v>0</v>
      </c>
    </row>
    <row r="48" spans="1:16" s="57" customFormat="1" ht="13.8" outlineLevel="1" x14ac:dyDescent="0.3">
      <c r="A48" s="54">
        <v>9.02</v>
      </c>
      <c r="B48" s="55" t="s">
        <v>60</v>
      </c>
      <c r="C48" s="56" t="s">
        <v>26</v>
      </c>
      <c r="D48" s="41">
        <v>122</v>
      </c>
      <c r="E48" s="42">
        <v>18814</v>
      </c>
      <c r="F48" s="42">
        <f t="shared" si="4"/>
        <v>2295308</v>
      </c>
      <c r="G48" s="185"/>
      <c r="H48" s="32"/>
      <c r="I48" s="245">
        <f>+'SVD 4140_Pto. 01_Cert. 04'!K48</f>
        <v>0</v>
      </c>
      <c r="J48" s="141"/>
      <c r="K48" s="79">
        <f t="shared" si="0"/>
        <v>0</v>
      </c>
      <c r="L48" s="80">
        <f t="shared" si="1"/>
        <v>0</v>
      </c>
      <c r="M48" s="80">
        <f t="shared" si="2"/>
        <v>0</v>
      </c>
      <c r="N48" s="80">
        <f t="shared" si="3"/>
        <v>0</v>
      </c>
    </row>
    <row r="49" spans="1:14" s="57" customFormat="1" ht="13.8" outlineLevel="1" x14ac:dyDescent="0.3">
      <c r="A49" s="38">
        <v>9.0299999999999994</v>
      </c>
      <c r="B49" s="55" t="s">
        <v>61</v>
      </c>
      <c r="C49" s="56" t="s">
        <v>26</v>
      </c>
      <c r="D49" s="41">
        <v>155</v>
      </c>
      <c r="E49" s="42">
        <v>5376</v>
      </c>
      <c r="F49" s="42">
        <f t="shared" si="4"/>
        <v>833280</v>
      </c>
      <c r="G49" s="185"/>
      <c r="H49" s="32"/>
      <c r="I49" s="245">
        <f>+'SVD 4140_Pto. 01_Cert. 04'!K49</f>
        <v>0</v>
      </c>
      <c r="J49" s="141"/>
      <c r="K49" s="79">
        <f t="shared" si="0"/>
        <v>0</v>
      </c>
      <c r="L49" s="80">
        <f t="shared" si="1"/>
        <v>0</v>
      </c>
      <c r="M49" s="80">
        <f t="shared" si="2"/>
        <v>0</v>
      </c>
      <c r="N49" s="80">
        <f t="shared" si="3"/>
        <v>0</v>
      </c>
    </row>
    <row r="50" spans="1:14" s="57" customFormat="1" ht="13.8" outlineLevel="1" x14ac:dyDescent="0.3">
      <c r="A50" s="54">
        <v>9.0399999999999991</v>
      </c>
      <c r="B50" s="55" t="s">
        <v>62</v>
      </c>
      <c r="C50" s="56" t="s">
        <v>26</v>
      </c>
      <c r="D50" s="41">
        <v>31.200000000000003</v>
      </c>
      <c r="E50" s="42">
        <v>19738</v>
      </c>
      <c r="F50" s="42">
        <f t="shared" si="4"/>
        <v>615825.60000000009</v>
      </c>
      <c r="G50" s="185"/>
      <c r="H50" s="32"/>
      <c r="I50" s="245">
        <f>+'SVD 4140_Pto. 01_Cert. 04'!K50</f>
        <v>0</v>
      </c>
      <c r="J50" s="141"/>
      <c r="K50" s="79">
        <f t="shared" si="0"/>
        <v>0</v>
      </c>
      <c r="L50" s="80">
        <f t="shared" si="1"/>
        <v>0</v>
      </c>
      <c r="M50" s="80">
        <f t="shared" si="2"/>
        <v>0</v>
      </c>
      <c r="N50" s="80">
        <f t="shared" si="3"/>
        <v>0</v>
      </c>
    </row>
    <row r="51" spans="1:14" s="58" customFormat="1" ht="13.8" x14ac:dyDescent="0.3">
      <c r="A51" s="27">
        <v>10</v>
      </c>
      <c r="B51" s="28" t="s">
        <v>63</v>
      </c>
      <c r="C51" s="189"/>
      <c r="D51" s="65"/>
      <c r="E51" s="65"/>
      <c r="F51" s="65"/>
      <c r="G51" s="31">
        <f>+SUM(F52:F55)</f>
        <v>4669278</v>
      </c>
      <c r="H51" s="32">
        <f>+G51/$G$185</f>
        <v>6.3470845186193985E-3</v>
      </c>
      <c r="I51" s="246"/>
      <c r="J51" s="140"/>
      <c r="K51" s="130"/>
      <c r="L51" s="130"/>
      <c r="M51" s="130"/>
      <c r="N51" s="66"/>
    </row>
    <row r="52" spans="1:14" s="58" customFormat="1" ht="13.8" outlineLevel="1" x14ac:dyDescent="0.3">
      <c r="A52" s="33">
        <v>10.01</v>
      </c>
      <c r="B52" s="209" t="s">
        <v>64</v>
      </c>
      <c r="C52" s="210" t="s">
        <v>28</v>
      </c>
      <c r="D52" s="36">
        <v>0</v>
      </c>
      <c r="E52" s="37">
        <v>0</v>
      </c>
      <c r="F52" s="37">
        <f t="shared" si="4"/>
        <v>0</v>
      </c>
      <c r="G52" s="211"/>
      <c r="H52" s="32"/>
      <c r="I52" s="245">
        <f>+'SVD 4140_Pto. 01_Cert. 04'!K52</f>
        <v>0</v>
      </c>
      <c r="J52" s="142"/>
      <c r="K52" s="135">
        <f t="shared" ref="K52:K53" si="9">+I52+J52</f>
        <v>0</v>
      </c>
      <c r="L52" s="200">
        <f t="shared" ref="L52:L53" si="10">+F52*I52</f>
        <v>0</v>
      </c>
      <c r="M52" s="200">
        <f t="shared" ref="M52:M53" si="11">+F52*J52</f>
        <v>0</v>
      </c>
      <c r="N52" s="200">
        <f t="shared" ref="N52:N53" si="12">+F52*K52</f>
        <v>0</v>
      </c>
    </row>
    <row r="53" spans="1:14" ht="13.8" outlineLevel="1" x14ac:dyDescent="0.3">
      <c r="A53" s="190">
        <v>10.02</v>
      </c>
      <c r="B53" s="191" t="s">
        <v>65</v>
      </c>
      <c r="C53" s="43" t="s">
        <v>28</v>
      </c>
      <c r="D53" s="44">
        <v>1</v>
      </c>
      <c r="E53" s="44">
        <v>2199545</v>
      </c>
      <c r="F53" s="44">
        <f t="shared" si="4"/>
        <v>2199545</v>
      </c>
      <c r="G53" s="186"/>
      <c r="H53" s="32"/>
      <c r="I53" s="245">
        <f>+'SVD 4140_Pto. 01_Cert. 04'!K53</f>
        <v>0</v>
      </c>
      <c r="J53" s="236"/>
      <c r="K53" s="79">
        <f t="shared" si="9"/>
        <v>0</v>
      </c>
      <c r="L53" s="201">
        <f t="shared" si="10"/>
        <v>0</v>
      </c>
      <c r="M53" s="201">
        <f t="shared" si="11"/>
        <v>0</v>
      </c>
      <c r="N53" s="201">
        <f t="shared" si="12"/>
        <v>0</v>
      </c>
    </row>
    <row r="54" spans="1:14" s="63" customFormat="1" ht="13.8" outlineLevel="1" x14ac:dyDescent="0.3">
      <c r="A54" s="38">
        <v>10.029999999999999</v>
      </c>
      <c r="B54" s="39" t="s">
        <v>66</v>
      </c>
      <c r="C54" s="49" t="s">
        <v>67</v>
      </c>
      <c r="D54" s="50">
        <v>0</v>
      </c>
      <c r="E54" s="42">
        <v>0</v>
      </c>
      <c r="F54" s="42">
        <f t="shared" si="4"/>
        <v>0</v>
      </c>
      <c r="G54" s="186"/>
      <c r="I54" s="245">
        <f>+'SVD 4140_Pto. 01_Cert. 04'!K54</f>
        <v>0</v>
      </c>
      <c r="J54" s="236"/>
      <c r="K54" s="79">
        <f t="shared" si="0"/>
        <v>0</v>
      </c>
      <c r="L54" s="201">
        <f t="shared" si="1"/>
        <v>0</v>
      </c>
      <c r="M54" s="201">
        <f t="shared" si="2"/>
        <v>0</v>
      </c>
      <c r="N54" s="201">
        <f t="shared" si="3"/>
        <v>0</v>
      </c>
    </row>
    <row r="55" spans="1:14" s="63" customFormat="1" ht="13.8" outlineLevel="1" x14ac:dyDescent="0.3">
      <c r="A55" s="45">
        <v>10.039999999999999</v>
      </c>
      <c r="B55" s="46" t="s">
        <v>68</v>
      </c>
      <c r="C55" s="64" t="s">
        <v>47</v>
      </c>
      <c r="D55" s="53">
        <v>7</v>
      </c>
      <c r="E55" s="60">
        <v>352819</v>
      </c>
      <c r="F55" s="60">
        <f t="shared" si="4"/>
        <v>2469733</v>
      </c>
      <c r="G55" s="212"/>
      <c r="I55" s="245">
        <f>+'SVD 4140_Pto. 01_Cert. 04'!K55</f>
        <v>0</v>
      </c>
      <c r="J55" s="143"/>
      <c r="K55" s="138">
        <f t="shared" si="0"/>
        <v>0</v>
      </c>
      <c r="L55" s="202">
        <f t="shared" si="1"/>
        <v>0</v>
      </c>
      <c r="M55" s="202">
        <f t="shared" si="2"/>
        <v>0</v>
      </c>
      <c r="N55" s="202">
        <f t="shared" si="3"/>
        <v>0</v>
      </c>
    </row>
    <row r="56" spans="1:14" s="63" customFormat="1" ht="13.8" x14ac:dyDescent="0.3">
      <c r="A56" s="27">
        <v>11</v>
      </c>
      <c r="B56" s="28" t="s">
        <v>69</v>
      </c>
      <c r="C56" s="189"/>
      <c r="D56" s="65"/>
      <c r="E56" s="65"/>
      <c r="F56" s="65"/>
      <c r="G56" s="31">
        <f>+SUM(F57:F63)</f>
        <v>48040802</v>
      </c>
      <c r="H56" s="32">
        <f>+G56/$G$185</f>
        <v>6.5303250446056074E-2</v>
      </c>
      <c r="I56" s="247"/>
      <c r="J56" s="132"/>
      <c r="K56" s="132"/>
      <c r="L56" s="132"/>
      <c r="M56" s="132"/>
      <c r="N56" s="133"/>
    </row>
    <row r="57" spans="1:14" s="57" customFormat="1" ht="13.8" outlineLevel="1" x14ac:dyDescent="0.3">
      <c r="A57" s="213">
        <v>11.01</v>
      </c>
      <c r="B57" s="214" t="s">
        <v>70</v>
      </c>
      <c r="C57" s="215" t="s">
        <v>19</v>
      </c>
      <c r="D57" s="216">
        <v>30</v>
      </c>
      <c r="E57" s="37">
        <v>21948</v>
      </c>
      <c r="F57" s="37">
        <f t="shared" si="4"/>
        <v>658440</v>
      </c>
      <c r="G57" s="67"/>
      <c r="H57" s="32"/>
      <c r="I57" s="245">
        <f>+'SVD 4140_Pto. 01_Cert. 04'!K57</f>
        <v>0</v>
      </c>
      <c r="J57" s="142"/>
      <c r="K57" s="135">
        <f>+I57+J57</f>
        <v>0</v>
      </c>
      <c r="L57" s="200">
        <f t="shared" ref="L57:L63" si="13">+F57*I57</f>
        <v>0</v>
      </c>
      <c r="M57" s="200">
        <f>+F57*J57</f>
        <v>0</v>
      </c>
      <c r="N57" s="200">
        <f t="shared" ref="N57:N63" si="14">+F57*K57</f>
        <v>0</v>
      </c>
    </row>
    <row r="58" spans="1:14" s="57" customFormat="1" ht="13.8" outlineLevel="1" x14ac:dyDescent="0.3">
      <c r="A58" s="217">
        <v>11.02</v>
      </c>
      <c r="B58" s="218" t="s">
        <v>71</v>
      </c>
      <c r="C58" s="219" t="s">
        <v>19</v>
      </c>
      <c r="D58" s="220">
        <v>185</v>
      </c>
      <c r="E58" s="42">
        <v>21948</v>
      </c>
      <c r="F58" s="42">
        <f t="shared" si="4"/>
        <v>4060380</v>
      </c>
      <c r="G58" s="181"/>
      <c r="H58" s="32"/>
      <c r="I58" s="245">
        <f>+'SVD 4140_Pto. 01_Cert. 04'!K58</f>
        <v>0</v>
      </c>
      <c r="J58" s="236"/>
      <c r="K58" s="79">
        <f t="shared" ref="K58:K63" si="15">+I58+J58</f>
        <v>0</v>
      </c>
      <c r="L58" s="201">
        <f t="shared" si="13"/>
        <v>0</v>
      </c>
      <c r="M58" s="201">
        <f t="shared" ref="M58:M63" si="16">+F58*J58</f>
        <v>0</v>
      </c>
      <c r="N58" s="201">
        <f t="shared" si="14"/>
        <v>0</v>
      </c>
    </row>
    <row r="59" spans="1:14" s="57" customFormat="1" ht="13.8" outlineLevel="1" x14ac:dyDescent="0.3">
      <c r="A59" s="217">
        <v>11.03</v>
      </c>
      <c r="B59" s="218" t="s">
        <v>72</v>
      </c>
      <c r="C59" s="219" t="s">
        <v>19</v>
      </c>
      <c r="D59" s="220">
        <v>942</v>
      </c>
      <c r="E59" s="42">
        <v>21948</v>
      </c>
      <c r="F59" s="42">
        <f t="shared" si="4"/>
        <v>20675016</v>
      </c>
      <c r="G59" s="181"/>
      <c r="H59" s="32"/>
      <c r="I59" s="245">
        <f>+'SVD 4140_Pto. 01_Cert. 04'!K59</f>
        <v>0</v>
      </c>
      <c r="J59" s="236"/>
      <c r="K59" s="79">
        <f t="shared" si="15"/>
        <v>0</v>
      </c>
      <c r="L59" s="201">
        <f t="shared" si="13"/>
        <v>0</v>
      </c>
      <c r="M59" s="201">
        <f t="shared" si="16"/>
        <v>0</v>
      </c>
      <c r="N59" s="201">
        <f t="shared" si="14"/>
        <v>0</v>
      </c>
    </row>
    <row r="60" spans="1:14" s="57" customFormat="1" ht="13.8" outlineLevel="1" x14ac:dyDescent="0.3">
      <c r="A60" s="217">
        <v>11.04</v>
      </c>
      <c r="B60" s="218" t="s">
        <v>73</v>
      </c>
      <c r="C60" s="219" t="s">
        <v>19</v>
      </c>
      <c r="D60" s="220">
        <v>110</v>
      </c>
      <c r="E60" s="42">
        <v>25799</v>
      </c>
      <c r="F60" s="42">
        <f t="shared" si="4"/>
        <v>2837890</v>
      </c>
      <c r="G60" s="181"/>
      <c r="H60" s="32"/>
      <c r="I60" s="245">
        <f>+'SVD 4140_Pto. 01_Cert. 04'!K60</f>
        <v>0</v>
      </c>
      <c r="J60" s="236"/>
      <c r="K60" s="79">
        <f t="shared" si="15"/>
        <v>0</v>
      </c>
      <c r="L60" s="201">
        <f t="shared" si="13"/>
        <v>0</v>
      </c>
      <c r="M60" s="201">
        <f t="shared" si="16"/>
        <v>0</v>
      </c>
      <c r="N60" s="201">
        <f t="shared" si="14"/>
        <v>0</v>
      </c>
    </row>
    <row r="61" spans="1:14" s="57" customFormat="1" ht="13.8" outlineLevel="1" x14ac:dyDescent="0.3">
      <c r="A61" s="217">
        <v>11.05</v>
      </c>
      <c r="B61" s="218" t="s">
        <v>74</v>
      </c>
      <c r="C61" s="219" t="s">
        <v>19</v>
      </c>
      <c r="D61" s="220">
        <v>128</v>
      </c>
      <c r="E61" s="42">
        <v>16080</v>
      </c>
      <c r="F61" s="42">
        <f t="shared" si="4"/>
        <v>2058240</v>
      </c>
      <c r="G61" s="181"/>
      <c r="H61" s="32"/>
      <c r="I61" s="245">
        <f>+'SVD 4140_Pto. 01_Cert. 04'!K61</f>
        <v>0</v>
      </c>
      <c r="J61" s="236"/>
      <c r="K61" s="79">
        <f t="shared" si="15"/>
        <v>0</v>
      </c>
      <c r="L61" s="201">
        <f t="shared" si="13"/>
        <v>0</v>
      </c>
      <c r="M61" s="201">
        <f t="shared" si="16"/>
        <v>0</v>
      </c>
      <c r="N61" s="201">
        <f t="shared" si="14"/>
        <v>0</v>
      </c>
    </row>
    <row r="62" spans="1:14" s="57" customFormat="1" ht="13.8" outlineLevel="1" x14ac:dyDescent="0.3">
      <c r="A62" s="217">
        <v>11.06</v>
      </c>
      <c r="B62" s="218" t="s">
        <v>75</v>
      </c>
      <c r="C62" s="219" t="s">
        <v>19</v>
      </c>
      <c r="D62" s="220">
        <v>48</v>
      </c>
      <c r="E62" s="42">
        <v>21948</v>
      </c>
      <c r="F62" s="42">
        <f t="shared" si="4"/>
        <v>1053504</v>
      </c>
      <c r="G62" s="181"/>
      <c r="H62" s="32"/>
      <c r="I62" s="245">
        <f>+'SVD 4140_Pto. 01_Cert. 04'!K62</f>
        <v>0</v>
      </c>
      <c r="J62" s="236"/>
      <c r="K62" s="79">
        <f t="shared" si="15"/>
        <v>0</v>
      </c>
      <c r="L62" s="201">
        <f t="shared" si="13"/>
        <v>0</v>
      </c>
      <c r="M62" s="201">
        <f t="shared" si="16"/>
        <v>0</v>
      </c>
      <c r="N62" s="201">
        <f t="shared" si="14"/>
        <v>0</v>
      </c>
    </row>
    <row r="63" spans="1:14" s="57" customFormat="1" ht="13.8" outlineLevel="1" x14ac:dyDescent="0.3">
      <c r="A63" s="221">
        <v>11.07</v>
      </c>
      <c r="B63" s="222" t="s">
        <v>76</v>
      </c>
      <c r="C63" s="223" t="s">
        <v>19</v>
      </c>
      <c r="D63" s="224">
        <v>226</v>
      </c>
      <c r="E63" s="60">
        <v>73882</v>
      </c>
      <c r="F63" s="60">
        <f t="shared" si="4"/>
        <v>16697332</v>
      </c>
      <c r="G63" s="181"/>
      <c r="H63" s="32"/>
      <c r="I63" s="245">
        <f>+'SVD 4140_Pto. 01_Cert. 04'!K63</f>
        <v>0</v>
      </c>
      <c r="J63" s="143"/>
      <c r="K63" s="138">
        <f t="shared" si="15"/>
        <v>0</v>
      </c>
      <c r="L63" s="202">
        <f t="shared" si="13"/>
        <v>0</v>
      </c>
      <c r="M63" s="202">
        <f t="shared" si="16"/>
        <v>0</v>
      </c>
      <c r="N63" s="202">
        <f t="shared" si="14"/>
        <v>0</v>
      </c>
    </row>
    <row r="64" spans="1:14" s="57" customFormat="1" ht="13.8" x14ac:dyDescent="0.3">
      <c r="A64" s="27">
        <v>12</v>
      </c>
      <c r="B64" s="28" t="s">
        <v>77</v>
      </c>
      <c r="C64" s="189"/>
      <c r="D64" s="65"/>
      <c r="E64" s="65"/>
      <c r="F64" s="65"/>
      <c r="G64" s="31">
        <f>+SUM(F65:F69)</f>
        <v>11022518</v>
      </c>
      <c r="H64" s="32">
        <f>+G64/$G$185</f>
        <v>1.4983227247125499E-2</v>
      </c>
      <c r="I64" s="247"/>
      <c r="J64" s="132"/>
      <c r="K64" s="132"/>
      <c r="L64" s="132"/>
      <c r="M64" s="132"/>
      <c r="N64" s="133"/>
    </row>
    <row r="65" spans="1:14" s="57" customFormat="1" ht="13.8" outlineLevel="1" x14ac:dyDescent="0.3">
      <c r="A65" s="213">
        <v>12.01</v>
      </c>
      <c r="B65" s="214" t="s">
        <v>78</v>
      </c>
      <c r="C65" s="215" t="s">
        <v>26</v>
      </c>
      <c r="D65" s="216">
        <v>779</v>
      </c>
      <c r="E65" s="37">
        <v>7422</v>
      </c>
      <c r="F65" s="37">
        <f t="shared" si="4"/>
        <v>5781738</v>
      </c>
      <c r="G65" s="181"/>
      <c r="H65" s="32"/>
      <c r="I65" s="245">
        <f>+'SVD 4140_Pto. 01_Cert. 04'!K65</f>
        <v>0</v>
      </c>
      <c r="J65" s="142"/>
      <c r="K65" s="135">
        <f t="shared" ref="K65:K69" si="17">+I65+J65</f>
        <v>0</v>
      </c>
      <c r="L65" s="200">
        <f t="shared" ref="L65:L69" si="18">+F65*I65</f>
        <v>0</v>
      </c>
      <c r="M65" s="200">
        <f t="shared" ref="M65:M69" si="19">+F65*J65</f>
        <v>0</v>
      </c>
      <c r="N65" s="200">
        <f t="shared" ref="N65:N69" si="20">+F65*K65</f>
        <v>0</v>
      </c>
    </row>
    <row r="66" spans="1:14" s="57" customFormat="1" ht="13.8" outlineLevel="1" x14ac:dyDescent="0.3">
      <c r="A66" s="217">
        <v>12.02</v>
      </c>
      <c r="B66" s="218" t="s">
        <v>61</v>
      </c>
      <c r="C66" s="219" t="s">
        <v>26</v>
      </c>
      <c r="D66" s="220">
        <v>155</v>
      </c>
      <c r="E66" s="42">
        <v>5376</v>
      </c>
      <c r="F66" s="42">
        <f t="shared" si="4"/>
        <v>833280</v>
      </c>
      <c r="G66" s="181"/>
      <c r="H66" s="32"/>
      <c r="I66" s="245">
        <f>+'SVD 4140_Pto. 01_Cert. 04'!K66</f>
        <v>0</v>
      </c>
      <c r="J66" s="236"/>
      <c r="K66" s="79">
        <f t="shared" si="17"/>
        <v>0</v>
      </c>
      <c r="L66" s="201">
        <f t="shared" si="18"/>
        <v>0</v>
      </c>
      <c r="M66" s="201">
        <f t="shared" si="19"/>
        <v>0</v>
      </c>
      <c r="N66" s="201">
        <f t="shared" si="20"/>
        <v>0</v>
      </c>
    </row>
    <row r="67" spans="1:14" s="57" customFormat="1" ht="13.8" outlineLevel="1" x14ac:dyDescent="0.3">
      <c r="A67" s="217">
        <v>12.03</v>
      </c>
      <c r="B67" s="218" t="s">
        <v>79</v>
      </c>
      <c r="C67" s="219" t="s">
        <v>26</v>
      </c>
      <c r="D67" s="220">
        <v>37</v>
      </c>
      <c r="E67" s="42">
        <v>7052</v>
      </c>
      <c r="F67" s="42">
        <f t="shared" si="4"/>
        <v>260924</v>
      </c>
      <c r="G67" s="181"/>
      <c r="H67" s="32"/>
      <c r="I67" s="245">
        <f>+'SVD 4140_Pto. 01_Cert. 04'!K67</f>
        <v>0</v>
      </c>
      <c r="J67" s="236"/>
      <c r="K67" s="79">
        <f t="shared" si="17"/>
        <v>0</v>
      </c>
      <c r="L67" s="201">
        <f t="shared" si="18"/>
        <v>0</v>
      </c>
      <c r="M67" s="201">
        <f t="shared" si="19"/>
        <v>0</v>
      </c>
      <c r="N67" s="201">
        <f t="shared" si="20"/>
        <v>0</v>
      </c>
    </row>
    <row r="68" spans="1:14" s="57" customFormat="1" ht="13.8" outlineLevel="1" x14ac:dyDescent="0.3">
      <c r="A68" s="217">
        <v>12.04</v>
      </c>
      <c r="B68" s="218" t="s">
        <v>80</v>
      </c>
      <c r="C68" s="219" t="s">
        <v>26</v>
      </c>
      <c r="D68" s="220">
        <v>433</v>
      </c>
      <c r="E68" s="42">
        <v>7052</v>
      </c>
      <c r="F68" s="42">
        <f t="shared" si="4"/>
        <v>3053516</v>
      </c>
      <c r="G68" s="181"/>
      <c r="H68" s="32"/>
      <c r="I68" s="245">
        <f>+'SVD 4140_Pto. 01_Cert. 04'!K68</f>
        <v>0</v>
      </c>
      <c r="J68" s="236"/>
      <c r="K68" s="79">
        <f t="shared" si="17"/>
        <v>0</v>
      </c>
      <c r="L68" s="201">
        <f t="shared" si="18"/>
        <v>0</v>
      </c>
      <c r="M68" s="201">
        <f t="shared" si="19"/>
        <v>0</v>
      </c>
      <c r="N68" s="201">
        <f t="shared" si="20"/>
        <v>0</v>
      </c>
    </row>
    <row r="69" spans="1:14" s="57" customFormat="1" ht="13.8" outlineLevel="1" x14ac:dyDescent="0.3">
      <c r="A69" s="221">
        <v>12.05</v>
      </c>
      <c r="B69" s="222" t="s">
        <v>81</v>
      </c>
      <c r="C69" s="223" t="s">
        <v>26</v>
      </c>
      <c r="D69" s="224">
        <v>155</v>
      </c>
      <c r="E69" s="60">
        <v>7052</v>
      </c>
      <c r="F69" s="60">
        <f t="shared" si="4"/>
        <v>1093060</v>
      </c>
      <c r="G69" s="181"/>
      <c r="H69" s="32"/>
      <c r="I69" s="245">
        <f>+'SVD 4140_Pto. 01_Cert. 04'!K69</f>
        <v>0</v>
      </c>
      <c r="J69" s="143"/>
      <c r="K69" s="138">
        <f t="shared" si="17"/>
        <v>0</v>
      </c>
      <c r="L69" s="202">
        <f t="shared" si="18"/>
        <v>0</v>
      </c>
      <c r="M69" s="202">
        <f t="shared" si="19"/>
        <v>0</v>
      </c>
      <c r="N69" s="202">
        <f t="shared" si="20"/>
        <v>0</v>
      </c>
    </row>
    <row r="70" spans="1:14" s="57" customFormat="1" ht="13.8" x14ac:dyDescent="0.3">
      <c r="A70" s="27">
        <v>13</v>
      </c>
      <c r="B70" s="28" t="s">
        <v>82</v>
      </c>
      <c r="C70" s="189"/>
      <c r="D70" s="65"/>
      <c r="E70" s="65"/>
      <c r="F70" s="65"/>
      <c r="G70" s="31">
        <f>+SUM(F71:F74)</f>
        <v>19433086.480999999</v>
      </c>
      <c r="H70" s="32">
        <f>+G70/$G$185</f>
        <v>2.641595603272005E-2</v>
      </c>
      <c r="I70" s="247"/>
      <c r="J70" s="132"/>
      <c r="K70" s="132"/>
      <c r="L70" s="132"/>
      <c r="M70" s="132"/>
      <c r="N70" s="133"/>
    </row>
    <row r="71" spans="1:14" s="57" customFormat="1" ht="13.8" outlineLevel="1" x14ac:dyDescent="0.3">
      <c r="A71" s="213">
        <v>13.01</v>
      </c>
      <c r="B71" s="214" t="s">
        <v>83</v>
      </c>
      <c r="C71" s="215" t="s">
        <v>19</v>
      </c>
      <c r="D71" s="216">
        <v>511</v>
      </c>
      <c r="E71" s="37">
        <v>25799</v>
      </c>
      <c r="F71" s="37">
        <f t="shared" si="4"/>
        <v>13183289</v>
      </c>
      <c r="G71" s="181"/>
      <c r="H71" s="32"/>
      <c r="I71" s="245">
        <f>+'SVD 4140_Pto. 01_Cert. 04'!K71</f>
        <v>0</v>
      </c>
      <c r="J71" s="142"/>
      <c r="K71" s="135">
        <f t="shared" ref="K71:K74" si="21">+I71+J71</f>
        <v>0</v>
      </c>
      <c r="L71" s="200">
        <f t="shared" ref="L71:L74" si="22">+F71*I71</f>
        <v>0</v>
      </c>
      <c r="M71" s="200">
        <f t="shared" ref="M71:M74" si="23">+F71*J71</f>
        <v>0</v>
      </c>
      <c r="N71" s="200">
        <f t="shared" ref="N71:N74" si="24">+F71*K71</f>
        <v>0</v>
      </c>
    </row>
    <row r="72" spans="1:14" s="57" customFormat="1" ht="13.8" outlineLevel="1" x14ac:dyDescent="0.3">
      <c r="A72" s="217">
        <v>13.02</v>
      </c>
      <c r="B72" s="218" t="s">
        <v>84</v>
      </c>
      <c r="C72" s="219" t="s">
        <v>19</v>
      </c>
      <c r="D72" s="220">
        <v>40</v>
      </c>
      <c r="E72" s="42">
        <v>25799</v>
      </c>
      <c r="F72" s="42">
        <f t="shared" si="4"/>
        <v>1031960</v>
      </c>
      <c r="G72" s="181"/>
      <c r="H72" s="32"/>
      <c r="I72" s="245">
        <f>+'SVD 4140_Pto. 01_Cert. 04'!K72</f>
        <v>0</v>
      </c>
      <c r="J72" s="236"/>
      <c r="K72" s="79">
        <f t="shared" si="21"/>
        <v>0</v>
      </c>
      <c r="L72" s="201">
        <f t="shared" si="22"/>
        <v>0</v>
      </c>
      <c r="M72" s="201">
        <f t="shared" si="23"/>
        <v>0</v>
      </c>
      <c r="N72" s="201">
        <f t="shared" si="24"/>
        <v>0</v>
      </c>
    </row>
    <row r="73" spans="1:14" s="57" customFormat="1" ht="13.8" outlineLevel="1" x14ac:dyDescent="0.3">
      <c r="A73" s="217">
        <v>13.03</v>
      </c>
      <c r="B73" s="218" t="s">
        <v>85</v>
      </c>
      <c r="C73" s="219" t="s">
        <v>19</v>
      </c>
      <c r="D73" s="220">
        <v>147.60100000000003</v>
      </c>
      <c r="E73" s="42">
        <v>29881</v>
      </c>
      <c r="F73" s="42">
        <f t="shared" si="4"/>
        <v>4410465.4810000006</v>
      </c>
      <c r="G73" s="181"/>
      <c r="H73" s="32"/>
      <c r="I73" s="245">
        <f>+'SVD 4140_Pto. 01_Cert. 04'!K73</f>
        <v>0</v>
      </c>
      <c r="J73" s="236"/>
      <c r="K73" s="79">
        <f t="shared" si="21"/>
        <v>0</v>
      </c>
      <c r="L73" s="201">
        <f t="shared" si="22"/>
        <v>0</v>
      </c>
      <c r="M73" s="201">
        <f t="shared" si="23"/>
        <v>0</v>
      </c>
      <c r="N73" s="201">
        <f t="shared" si="24"/>
        <v>0</v>
      </c>
    </row>
    <row r="74" spans="1:14" s="57" customFormat="1" ht="13.8" outlineLevel="1" x14ac:dyDescent="0.3">
      <c r="A74" s="221">
        <v>13.04</v>
      </c>
      <c r="B74" s="222" t="s">
        <v>86</v>
      </c>
      <c r="C74" s="223" t="s">
        <v>47</v>
      </c>
      <c r="D74" s="224">
        <v>41</v>
      </c>
      <c r="E74" s="60">
        <v>19692</v>
      </c>
      <c r="F74" s="60">
        <f t="shared" si="4"/>
        <v>807372</v>
      </c>
      <c r="G74" s="181"/>
      <c r="H74" s="32"/>
      <c r="I74" s="245">
        <f>+'SVD 4140_Pto. 01_Cert. 04'!K74</f>
        <v>0</v>
      </c>
      <c r="J74" s="143"/>
      <c r="K74" s="138">
        <f t="shared" si="21"/>
        <v>0</v>
      </c>
      <c r="L74" s="202">
        <f t="shared" si="22"/>
        <v>0</v>
      </c>
      <c r="M74" s="202">
        <f t="shared" si="23"/>
        <v>0</v>
      </c>
      <c r="N74" s="202">
        <f t="shared" si="24"/>
        <v>0</v>
      </c>
    </row>
    <row r="75" spans="1:14" s="57" customFormat="1" ht="13.8" x14ac:dyDescent="0.3">
      <c r="A75" s="27">
        <v>14</v>
      </c>
      <c r="B75" s="28" t="s">
        <v>87</v>
      </c>
      <c r="C75" s="189"/>
      <c r="D75" s="65"/>
      <c r="E75" s="65"/>
      <c r="F75" s="65"/>
      <c r="G75" s="31">
        <f>+SUM(F76:F82)</f>
        <v>50296168.959899999</v>
      </c>
      <c r="H75" s="32">
        <f>+G75/$G$185</f>
        <v>6.8369035930447242E-2</v>
      </c>
      <c r="I75" s="247"/>
      <c r="J75" s="132"/>
      <c r="K75" s="132"/>
      <c r="L75" s="132"/>
      <c r="M75" s="132"/>
      <c r="N75" s="133"/>
    </row>
    <row r="76" spans="1:14" s="57" customFormat="1" ht="13.8" outlineLevel="1" x14ac:dyDescent="0.3">
      <c r="A76" s="213">
        <v>14.01</v>
      </c>
      <c r="B76" s="214" t="s">
        <v>88</v>
      </c>
      <c r="C76" s="215" t="s">
        <v>19</v>
      </c>
      <c r="D76" s="216">
        <v>334.91519999999997</v>
      </c>
      <c r="E76" s="37">
        <v>29270</v>
      </c>
      <c r="F76" s="37">
        <f t="shared" ref="F76:F139" si="25">+D76*E76</f>
        <v>9802967.9039999992</v>
      </c>
      <c r="G76" s="181"/>
      <c r="H76" s="32"/>
      <c r="I76" s="245">
        <f>+'SVD 4140_Pto. 01_Cert. 04'!K76</f>
        <v>0</v>
      </c>
      <c r="J76" s="142"/>
      <c r="K76" s="135">
        <f t="shared" ref="K76:K82" si="26">+I76+J76</f>
        <v>0</v>
      </c>
      <c r="L76" s="200">
        <f t="shared" ref="L76:L82" si="27">+F76*I76</f>
        <v>0</v>
      </c>
      <c r="M76" s="200">
        <f t="shared" ref="M76:M82" si="28">+F76*J76</f>
        <v>0</v>
      </c>
      <c r="N76" s="200">
        <f t="shared" ref="N76:N82" si="29">+F76*K76</f>
        <v>0</v>
      </c>
    </row>
    <row r="77" spans="1:14" s="57" customFormat="1" ht="13.8" outlineLevel="1" x14ac:dyDescent="0.3">
      <c r="A77" s="217">
        <v>14.02</v>
      </c>
      <c r="B77" s="218" t="s">
        <v>89</v>
      </c>
      <c r="C77" s="219" t="s">
        <v>19</v>
      </c>
      <c r="D77" s="220">
        <v>280.3913</v>
      </c>
      <c r="E77" s="42">
        <v>33967</v>
      </c>
      <c r="F77" s="42">
        <f t="shared" si="25"/>
        <v>9524051.2871000003</v>
      </c>
      <c r="G77" s="181"/>
      <c r="H77" s="32"/>
      <c r="I77" s="245">
        <f>+'SVD 4140_Pto. 01_Cert. 04'!K77</f>
        <v>0</v>
      </c>
      <c r="J77" s="236"/>
      <c r="K77" s="79">
        <f t="shared" si="26"/>
        <v>0</v>
      </c>
      <c r="L77" s="201">
        <f t="shared" si="27"/>
        <v>0</v>
      </c>
      <c r="M77" s="201">
        <f t="shared" si="28"/>
        <v>0</v>
      </c>
      <c r="N77" s="201">
        <f t="shared" si="29"/>
        <v>0</v>
      </c>
    </row>
    <row r="78" spans="1:14" s="57" customFormat="1" ht="13.8" outlineLevel="1" x14ac:dyDescent="0.3">
      <c r="A78" s="217">
        <v>14.03</v>
      </c>
      <c r="B78" s="218" t="s">
        <v>90</v>
      </c>
      <c r="C78" s="219" t="s">
        <v>26</v>
      </c>
      <c r="D78" s="220">
        <v>60.8</v>
      </c>
      <c r="E78" s="42">
        <v>29270</v>
      </c>
      <c r="F78" s="42">
        <f t="shared" si="25"/>
        <v>1779616</v>
      </c>
      <c r="G78" s="181"/>
      <c r="H78" s="32"/>
      <c r="I78" s="245">
        <f>+'SVD 4140_Pto. 01_Cert. 04'!K78</f>
        <v>0</v>
      </c>
      <c r="J78" s="236"/>
      <c r="K78" s="79">
        <f t="shared" si="26"/>
        <v>0</v>
      </c>
      <c r="L78" s="201">
        <f t="shared" si="27"/>
        <v>0</v>
      </c>
      <c r="M78" s="201">
        <f t="shared" si="28"/>
        <v>0</v>
      </c>
      <c r="N78" s="201">
        <f t="shared" si="29"/>
        <v>0</v>
      </c>
    </row>
    <row r="79" spans="1:14" s="57" customFormat="1" ht="13.8" outlineLevel="1" x14ac:dyDescent="0.3">
      <c r="A79" s="217">
        <v>14.04</v>
      </c>
      <c r="B79" s="218" t="s">
        <v>91</v>
      </c>
      <c r="C79" s="219" t="s">
        <v>26</v>
      </c>
      <c r="D79" s="220">
        <v>1058.3799999999997</v>
      </c>
      <c r="E79" s="42">
        <v>7873</v>
      </c>
      <c r="F79" s="42">
        <f t="shared" si="25"/>
        <v>8332625.7399999974</v>
      </c>
      <c r="G79" s="181"/>
      <c r="H79" s="32"/>
      <c r="I79" s="245">
        <f>+'SVD 4140_Pto. 01_Cert. 04'!K79</f>
        <v>0</v>
      </c>
      <c r="J79" s="236"/>
      <c r="K79" s="79">
        <f t="shared" si="26"/>
        <v>0</v>
      </c>
      <c r="L79" s="201">
        <f t="shared" si="27"/>
        <v>0</v>
      </c>
      <c r="M79" s="201">
        <f t="shared" si="28"/>
        <v>0</v>
      </c>
      <c r="N79" s="201">
        <f t="shared" si="29"/>
        <v>0</v>
      </c>
    </row>
    <row r="80" spans="1:14" s="57" customFormat="1" ht="13.8" outlineLevel="1" x14ac:dyDescent="0.3">
      <c r="A80" s="217">
        <v>14.05</v>
      </c>
      <c r="B80" s="218" t="s">
        <v>92</v>
      </c>
      <c r="C80" s="219" t="s">
        <v>19</v>
      </c>
      <c r="D80" s="220">
        <v>504.12220000000002</v>
      </c>
      <c r="E80" s="42">
        <v>23364</v>
      </c>
      <c r="F80" s="42">
        <f t="shared" si="25"/>
        <v>11778311.080800001</v>
      </c>
      <c r="G80" s="181"/>
      <c r="H80" s="32"/>
      <c r="I80" s="245">
        <f>+'SVD 4140_Pto. 01_Cert. 04'!K80</f>
        <v>0</v>
      </c>
      <c r="J80" s="236"/>
      <c r="K80" s="79">
        <f t="shared" si="26"/>
        <v>0</v>
      </c>
      <c r="L80" s="201">
        <f t="shared" si="27"/>
        <v>0</v>
      </c>
      <c r="M80" s="201">
        <f t="shared" si="28"/>
        <v>0</v>
      </c>
      <c r="N80" s="201">
        <f t="shared" si="29"/>
        <v>0</v>
      </c>
    </row>
    <row r="81" spans="1:14" s="57" customFormat="1" ht="13.8" outlineLevel="1" x14ac:dyDescent="0.3">
      <c r="A81" s="217">
        <v>14.06</v>
      </c>
      <c r="B81" s="218" t="s">
        <v>93</v>
      </c>
      <c r="C81" s="219" t="s">
        <v>26</v>
      </c>
      <c r="D81" s="220">
        <v>555.99</v>
      </c>
      <c r="E81" s="42">
        <v>12771</v>
      </c>
      <c r="F81" s="42">
        <f t="shared" si="25"/>
        <v>7100548.29</v>
      </c>
      <c r="G81" s="181"/>
      <c r="H81" s="32"/>
      <c r="I81" s="245">
        <f>+'SVD 4140_Pto. 01_Cert. 04'!K81</f>
        <v>0</v>
      </c>
      <c r="J81" s="236"/>
      <c r="K81" s="79">
        <f t="shared" si="26"/>
        <v>0</v>
      </c>
      <c r="L81" s="201">
        <f t="shared" si="27"/>
        <v>0</v>
      </c>
      <c r="M81" s="201">
        <f t="shared" si="28"/>
        <v>0</v>
      </c>
      <c r="N81" s="201">
        <f t="shared" si="29"/>
        <v>0</v>
      </c>
    </row>
    <row r="82" spans="1:14" s="57" customFormat="1" ht="13.8" outlineLevel="1" x14ac:dyDescent="0.3">
      <c r="A82" s="221">
        <v>14.07</v>
      </c>
      <c r="B82" s="222" t="s">
        <v>94</v>
      </c>
      <c r="C82" s="223" t="s">
        <v>19</v>
      </c>
      <c r="D82" s="224">
        <v>429.07780000000002</v>
      </c>
      <c r="E82" s="60">
        <v>4610</v>
      </c>
      <c r="F82" s="60">
        <f t="shared" si="25"/>
        <v>1978048.6580000001</v>
      </c>
      <c r="G82" s="181"/>
      <c r="H82" s="32"/>
      <c r="I82" s="245">
        <f>+'SVD 4140_Pto. 01_Cert. 04'!K82</f>
        <v>0</v>
      </c>
      <c r="J82" s="236"/>
      <c r="K82" s="79">
        <f t="shared" si="26"/>
        <v>0</v>
      </c>
      <c r="L82" s="201">
        <f t="shared" si="27"/>
        <v>0</v>
      </c>
      <c r="M82" s="201">
        <f t="shared" si="28"/>
        <v>0</v>
      </c>
      <c r="N82" s="201">
        <f t="shared" si="29"/>
        <v>0</v>
      </c>
    </row>
    <row r="83" spans="1:14" s="57" customFormat="1" ht="13.8" x14ac:dyDescent="0.3">
      <c r="A83" s="27">
        <v>15</v>
      </c>
      <c r="B83" s="28" t="s">
        <v>95</v>
      </c>
      <c r="C83" s="189"/>
      <c r="D83" s="65"/>
      <c r="E83" s="65"/>
      <c r="F83" s="65"/>
      <c r="G83" s="31">
        <f>+SUM(F84:F92)</f>
        <v>0</v>
      </c>
      <c r="H83" s="32">
        <f>+G83/$G$185</f>
        <v>0</v>
      </c>
      <c r="I83" s="247"/>
      <c r="J83" s="132"/>
      <c r="K83" s="132"/>
      <c r="L83" s="132"/>
      <c r="M83" s="132"/>
      <c r="N83" s="133"/>
    </row>
    <row r="84" spans="1:14" s="57" customFormat="1" ht="13.8" outlineLevel="1" x14ac:dyDescent="0.3">
      <c r="A84" s="213">
        <v>15.01</v>
      </c>
      <c r="B84" s="214" t="s">
        <v>96</v>
      </c>
      <c r="C84" s="215" t="s">
        <v>19</v>
      </c>
      <c r="D84" s="216">
        <v>2670</v>
      </c>
      <c r="E84" s="37">
        <v>0</v>
      </c>
      <c r="F84" s="37">
        <f t="shared" si="25"/>
        <v>0</v>
      </c>
      <c r="G84" s="181"/>
      <c r="H84" s="32"/>
      <c r="I84" s="245">
        <f>+'SVD 4140_Pto. 01_Cert. 04'!K84</f>
        <v>0</v>
      </c>
      <c r="J84" s="142"/>
      <c r="K84" s="135">
        <f t="shared" ref="K84:K92" si="30">+I84+J84</f>
        <v>0</v>
      </c>
      <c r="L84" s="200">
        <f t="shared" ref="L84:L92" si="31">+F84*I84</f>
        <v>0</v>
      </c>
      <c r="M84" s="200">
        <f t="shared" ref="M84:M92" si="32">+F84*J84</f>
        <v>0</v>
      </c>
      <c r="N84" s="200">
        <f t="shared" ref="N84:N92" si="33">+F84*K84</f>
        <v>0</v>
      </c>
    </row>
    <row r="85" spans="1:14" s="57" customFormat="1" ht="13.8" outlineLevel="1" x14ac:dyDescent="0.3">
      <c r="A85" s="217">
        <v>15.02</v>
      </c>
      <c r="B85" s="218" t="s">
        <v>97</v>
      </c>
      <c r="C85" s="219" t="s">
        <v>19</v>
      </c>
      <c r="D85" s="220">
        <v>961</v>
      </c>
      <c r="E85" s="42">
        <v>0</v>
      </c>
      <c r="F85" s="42">
        <f t="shared" si="25"/>
        <v>0</v>
      </c>
      <c r="G85" s="181"/>
      <c r="H85" s="32"/>
      <c r="I85" s="245">
        <f>+'SVD 4140_Pto. 01_Cert. 04'!K85</f>
        <v>0</v>
      </c>
      <c r="J85" s="236"/>
      <c r="K85" s="79">
        <f t="shared" si="30"/>
        <v>0</v>
      </c>
      <c r="L85" s="201">
        <f t="shared" si="31"/>
        <v>0</v>
      </c>
      <c r="M85" s="201">
        <f t="shared" si="32"/>
        <v>0</v>
      </c>
      <c r="N85" s="201">
        <f t="shared" si="33"/>
        <v>0</v>
      </c>
    </row>
    <row r="86" spans="1:14" s="57" customFormat="1" ht="13.8" outlineLevel="1" x14ac:dyDescent="0.3">
      <c r="A86" s="217">
        <v>15.03</v>
      </c>
      <c r="B86" s="218" t="s">
        <v>98</v>
      </c>
      <c r="C86" s="219" t="s">
        <v>19</v>
      </c>
      <c r="D86" s="220">
        <v>518</v>
      </c>
      <c r="E86" s="42">
        <v>0</v>
      </c>
      <c r="F86" s="42">
        <f t="shared" si="25"/>
        <v>0</v>
      </c>
      <c r="G86" s="181"/>
      <c r="H86" s="32"/>
      <c r="I86" s="245">
        <f>+'SVD 4140_Pto. 01_Cert. 04'!K86</f>
        <v>0</v>
      </c>
      <c r="J86" s="236"/>
      <c r="K86" s="79">
        <f t="shared" si="30"/>
        <v>0</v>
      </c>
      <c r="L86" s="201">
        <f t="shared" si="31"/>
        <v>0</v>
      </c>
      <c r="M86" s="201">
        <f t="shared" si="32"/>
        <v>0</v>
      </c>
      <c r="N86" s="201">
        <f t="shared" si="33"/>
        <v>0</v>
      </c>
    </row>
    <row r="87" spans="1:14" s="57" customFormat="1" ht="13.8" outlineLevel="1" x14ac:dyDescent="0.3">
      <c r="A87" s="217">
        <v>15.04</v>
      </c>
      <c r="B87" s="218" t="s">
        <v>99</v>
      </c>
      <c r="C87" s="219" t="s">
        <v>19</v>
      </c>
      <c r="D87" s="220">
        <v>612</v>
      </c>
      <c r="E87" s="42">
        <v>0</v>
      </c>
      <c r="F87" s="42">
        <f t="shared" si="25"/>
        <v>0</v>
      </c>
      <c r="G87" s="181"/>
      <c r="H87" s="32"/>
      <c r="I87" s="245">
        <f>+'SVD 4140_Pto. 01_Cert. 04'!K87</f>
        <v>0</v>
      </c>
      <c r="J87" s="236"/>
      <c r="K87" s="79">
        <f t="shared" si="30"/>
        <v>0</v>
      </c>
      <c r="L87" s="201">
        <f t="shared" si="31"/>
        <v>0</v>
      </c>
      <c r="M87" s="201">
        <f t="shared" si="32"/>
        <v>0</v>
      </c>
      <c r="N87" s="201">
        <f t="shared" si="33"/>
        <v>0</v>
      </c>
    </row>
    <row r="88" spans="1:14" s="57" customFormat="1" ht="13.8" outlineLevel="1" x14ac:dyDescent="0.3">
      <c r="A88" s="217">
        <v>15.05</v>
      </c>
      <c r="B88" s="218" t="s">
        <v>100</v>
      </c>
      <c r="C88" s="219" t="s">
        <v>19</v>
      </c>
      <c r="D88" s="220">
        <v>422</v>
      </c>
      <c r="E88" s="42">
        <v>0</v>
      </c>
      <c r="F88" s="42">
        <f t="shared" si="25"/>
        <v>0</v>
      </c>
      <c r="G88" s="181"/>
      <c r="H88" s="32"/>
      <c r="I88" s="245">
        <f>+'SVD 4140_Pto. 01_Cert. 04'!K88</f>
        <v>0</v>
      </c>
      <c r="J88" s="236"/>
      <c r="K88" s="79">
        <f t="shared" si="30"/>
        <v>0</v>
      </c>
      <c r="L88" s="201">
        <f t="shared" si="31"/>
        <v>0</v>
      </c>
      <c r="M88" s="201">
        <f t="shared" si="32"/>
        <v>0</v>
      </c>
      <c r="N88" s="201">
        <f t="shared" si="33"/>
        <v>0</v>
      </c>
    </row>
    <row r="89" spans="1:14" s="57" customFormat="1" ht="13.8" outlineLevel="1" x14ac:dyDescent="0.3">
      <c r="A89" s="217">
        <v>15.07</v>
      </c>
      <c r="B89" s="218" t="s">
        <v>101</v>
      </c>
      <c r="C89" s="219" t="s">
        <v>19</v>
      </c>
      <c r="D89" s="220">
        <v>678.25199999999995</v>
      </c>
      <c r="E89" s="42">
        <v>0</v>
      </c>
      <c r="F89" s="42">
        <f t="shared" si="25"/>
        <v>0</v>
      </c>
      <c r="G89" s="181"/>
      <c r="H89" s="32"/>
      <c r="I89" s="245">
        <f>+'SVD 4140_Pto. 01_Cert. 04'!K89</f>
        <v>0</v>
      </c>
      <c r="J89" s="236"/>
      <c r="K89" s="79">
        <f t="shared" si="30"/>
        <v>0</v>
      </c>
      <c r="L89" s="201">
        <f t="shared" si="31"/>
        <v>0</v>
      </c>
      <c r="M89" s="201">
        <f t="shared" si="32"/>
        <v>0</v>
      </c>
      <c r="N89" s="201">
        <f t="shared" si="33"/>
        <v>0</v>
      </c>
    </row>
    <row r="90" spans="1:14" s="57" customFormat="1" ht="13.8" outlineLevel="1" x14ac:dyDescent="0.3">
      <c r="A90" s="217">
        <v>15.08</v>
      </c>
      <c r="B90" s="218" t="s">
        <v>102</v>
      </c>
      <c r="C90" s="219" t="s">
        <v>19</v>
      </c>
      <c r="D90" s="220">
        <v>728.48019999999985</v>
      </c>
      <c r="E90" s="42">
        <v>0</v>
      </c>
      <c r="F90" s="42">
        <f t="shared" si="25"/>
        <v>0</v>
      </c>
      <c r="G90" s="181"/>
      <c r="H90" s="32"/>
      <c r="I90" s="245">
        <f>+'SVD 4140_Pto. 01_Cert. 04'!K90</f>
        <v>0</v>
      </c>
      <c r="J90" s="236"/>
      <c r="K90" s="79">
        <f t="shared" si="30"/>
        <v>0</v>
      </c>
      <c r="L90" s="201">
        <f t="shared" si="31"/>
        <v>0</v>
      </c>
      <c r="M90" s="201">
        <f t="shared" si="32"/>
        <v>0</v>
      </c>
      <c r="N90" s="201">
        <f t="shared" si="33"/>
        <v>0</v>
      </c>
    </row>
    <row r="91" spans="1:14" s="57" customFormat="1" ht="13.8" outlineLevel="1" x14ac:dyDescent="0.3">
      <c r="A91" s="217">
        <v>15.09</v>
      </c>
      <c r="B91" s="218" t="s">
        <v>103</v>
      </c>
      <c r="C91" s="219" t="s">
        <v>67</v>
      </c>
      <c r="D91" s="220">
        <v>76</v>
      </c>
      <c r="E91" s="42">
        <v>0</v>
      </c>
      <c r="F91" s="42">
        <f t="shared" si="25"/>
        <v>0</v>
      </c>
      <c r="G91" s="181"/>
      <c r="H91" s="32"/>
      <c r="I91" s="245">
        <f>+'SVD 4140_Pto. 01_Cert. 04'!K91</f>
        <v>0</v>
      </c>
      <c r="J91" s="236"/>
      <c r="K91" s="79">
        <f t="shared" si="30"/>
        <v>0</v>
      </c>
      <c r="L91" s="201">
        <f t="shared" si="31"/>
        <v>0</v>
      </c>
      <c r="M91" s="201">
        <f t="shared" si="32"/>
        <v>0</v>
      </c>
      <c r="N91" s="201">
        <f t="shared" si="33"/>
        <v>0</v>
      </c>
    </row>
    <row r="92" spans="1:14" s="57" customFormat="1" ht="13.8" outlineLevel="1" x14ac:dyDescent="0.3">
      <c r="A92" s="221">
        <v>15.1</v>
      </c>
      <c r="B92" s="222" t="s">
        <v>104</v>
      </c>
      <c r="C92" s="223" t="s">
        <v>28</v>
      </c>
      <c r="D92" s="224">
        <v>1</v>
      </c>
      <c r="E92" s="60">
        <v>0</v>
      </c>
      <c r="F92" s="60">
        <f t="shared" si="25"/>
        <v>0</v>
      </c>
      <c r="G92" s="181"/>
      <c r="H92" s="32"/>
      <c r="I92" s="245">
        <f>+'SVD 4140_Pto. 01_Cert. 04'!K92</f>
        <v>0</v>
      </c>
      <c r="J92" s="236"/>
      <c r="K92" s="79">
        <f t="shared" si="30"/>
        <v>0</v>
      </c>
      <c r="L92" s="201">
        <f t="shared" si="31"/>
        <v>0</v>
      </c>
      <c r="M92" s="201">
        <f t="shared" si="32"/>
        <v>0</v>
      </c>
      <c r="N92" s="201">
        <f t="shared" si="33"/>
        <v>0</v>
      </c>
    </row>
    <row r="93" spans="1:14" s="57" customFormat="1" ht="13.8" x14ac:dyDescent="0.3">
      <c r="A93" s="27">
        <v>16</v>
      </c>
      <c r="B93" s="28" t="s">
        <v>105</v>
      </c>
      <c r="C93" s="189"/>
      <c r="D93" s="65"/>
      <c r="E93" s="65"/>
      <c r="F93" s="65"/>
      <c r="G93" s="31">
        <f>+SUM(F94)</f>
        <v>0</v>
      </c>
      <c r="H93" s="32">
        <f>+G93/$G$185</f>
        <v>0</v>
      </c>
      <c r="I93" s="248"/>
      <c r="J93" s="206"/>
      <c r="K93" s="206"/>
      <c r="L93" s="207"/>
      <c r="M93" s="207"/>
      <c r="N93" s="208"/>
    </row>
    <row r="94" spans="1:14" s="57" customFormat="1" ht="13.8" outlineLevel="1" x14ac:dyDescent="0.3">
      <c r="A94" s="188"/>
      <c r="B94" s="187"/>
      <c r="C94" s="179"/>
      <c r="D94" s="180"/>
      <c r="E94" s="181">
        <v>0</v>
      </c>
      <c r="F94" s="181">
        <f t="shared" si="25"/>
        <v>0</v>
      </c>
      <c r="G94" s="181"/>
      <c r="H94" s="32"/>
      <c r="I94" s="245">
        <f>+'SVD 4140_Pto. 01_Cert. 04'!K94</f>
        <v>0</v>
      </c>
      <c r="J94" s="203"/>
      <c r="K94" s="204">
        <f t="shared" ref="K94" si="34">+I94+J94</f>
        <v>0</v>
      </c>
      <c r="L94" s="80">
        <f t="shared" ref="L94" si="35">+F94*I94</f>
        <v>0</v>
      </c>
      <c r="M94" s="80">
        <f t="shared" ref="M94" si="36">+F94*J94</f>
        <v>0</v>
      </c>
      <c r="N94" s="80">
        <f t="shared" ref="N94" si="37">+F94*K94</f>
        <v>0</v>
      </c>
    </row>
    <row r="95" spans="1:14" s="57" customFormat="1" ht="13.8" x14ac:dyDescent="0.3">
      <c r="A95" s="27">
        <v>17</v>
      </c>
      <c r="B95" s="28" t="s">
        <v>106</v>
      </c>
      <c r="C95" s="189"/>
      <c r="D95" s="65"/>
      <c r="E95" s="65"/>
      <c r="F95" s="65"/>
      <c r="G95" s="31">
        <f>+SUM(F96:F99)</f>
        <v>7258243</v>
      </c>
      <c r="H95" s="32">
        <f>+G95/$G$185</f>
        <v>9.8663394592649264E-3</v>
      </c>
      <c r="I95" s="248"/>
      <c r="J95" s="206"/>
      <c r="K95" s="206"/>
      <c r="L95" s="207"/>
      <c r="M95" s="207"/>
      <c r="N95" s="208"/>
    </row>
    <row r="96" spans="1:14" s="57" customFormat="1" ht="13.8" outlineLevel="1" x14ac:dyDescent="0.3">
      <c r="A96" s="213">
        <v>17.010000000000002</v>
      </c>
      <c r="B96" s="214" t="s">
        <v>107</v>
      </c>
      <c r="C96" s="215" t="s">
        <v>47</v>
      </c>
      <c r="D96" s="216">
        <v>47</v>
      </c>
      <c r="E96" s="37">
        <v>64232</v>
      </c>
      <c r="F96" s="37">
        <f t="shared" si="25"/>
        <v>3018904</v>
      </c>
      <c r="G96" s="181"/>
      <c r="H96" s="32"/>
      <c r="I96" s="245">
        <f>+'SVD 4140_Pto. 01_Cert. 04'!K96</f>
        <v>0.15</v>
      </c>
      <c r="J96" s="203">
        <v>0.2</v>
      </c>
      <c r="K96" s="204">
        <f t="shared" ref="K96:K99" si="38">+I96+J96</f>
        <v>0.35</v>
      </c>
      <c r="L96" s="80">
        <f t="shared" ref="L96:L99" si="39">+F96*I96</f>
        <v>452835.6</v>
      </c>
      <c r="M96" s="80">
        <f t="shared" ref="M96:M99" si="40">+F96*J96</f>
        <v>603780.80000000005</v>
      </c>
      <c r="N96" s="80">
        <f t="shared" ref="N96:N99" si="41">+F96*K96</f>
        <v>1056616.3999999999</v>
      </c>
    </row>
    <row r="97" spans="1:14" s="57" customFormat="1" ht="13.8" outlineLevel="1" x14ac:dyDescent="0.3">
      <c r="A97" s="217">
        <v>17.02</v>
      </c>
      <c r="B97" s="218" t="s">
        <v>108</v>
      </c>
      <c r="C97" s="219" t="s">
        <v>47</v>
      </c>
      <c r="D97" s="220">
        <v>23</v>
      </c>
      <c r="E97" s="42">
        <v>64232</v>
      </c>
      <c r="F97" s="42">
        <f t="shared" si="25"/>
        <v>1477336</v>
      </c>
      <c r="G97" s="181"/>
      <c r="H97" s="32"/>
      <c r="I97" s="245">
        <f>+'SVD 4140_Pto. 01_Cert. 04'!K97</f>
        <v>0.22999999999999998</v>
      </c>
      <c r="J97" s="136">
        <v>0.15</v>
      </c>
      <c r="K97" s="79">
        <f t="shared" si="38"/>
        <v>0.38</v>
      </c>
      <c r="L97" s="80">
        <f t="shared" si="39"/>
        <v>339787.27999999997</v>
      </c>
      <c r="M97" s="80">
        <f t="shared" si="40"/>
        <v>221600.4</v>
      </c>
      <c r="N97" s="80">
        <f t="shared" si="41"/>
        <v>561387.68000000005</v>
      </c>
    </row>
    <row r="98" spans="1:14" s="57" customFormat="1" ht="13.8" outlineLevel="1" x14ac:dyDescent="0.3">
      <c r="A98" s="217">
        <v>17.03</v>
      </c>
      <c r="B98" s="218" t="s">
        <v>109</v>
      </c>
      <c r="C98" s="219" t="s">
        <v>47</v>
      </c>
      <c r="D98" s="220">
        <v>51</v>
      </c>
      <c r="E98" s="42">
        <v>41296</v>
      </c>
      <c r="F98" s="42">
        <f t="shared" si="25"/>
        <v>2106096</v>
      </c>
      <c r="G98" s="181"/>
      <c r="H98" s="32"/>
      <c r="I98" s="245">
        <f>+'SVD 4140_Pto. 01_Cert. 04'!K98</f>
        <v>0.1</v>
      </c>
      <c r="J98" s="136">
        <v>0.3</v>
      </c>
      <c r="K98" s="79">
        <f t="shared" si="38"/>
        <v>0.4</v>
      </c>
      <c r="L98" s="80">
        <f t="shared" si="39"/>
        <v>210609.6</v>
      </c>
      <c r="M98" s="80">
        <f t="shared" si="40"/>
        <v>631828.79999999993</v>
      </c>
      <c r="N98" s="80">
        <f t="shared" si="41"/>
        <v>842438.4</v>
      </c>
    </row>
    <row r="99" spans="1:14" s="57" customFormat="1" ht="13.8" outlineLevel="1" x14ac:dyDescent="0.3">
      <c r="A99" s="221">
        <v>17.04</v>
      </c>
      <c r="B99" s="222" t="s">
        <v>110</v>
      </c>
      <c r="C99" s="223" t="s">
        <v>47</v>
      </c>
      <c r="D99" s="224">
        <v>7</v>
      </c>
      <c r="E99" s="60">
        <v>93701</v>
      </c>
      <c r="F99" s="60">
        <f t="shared" si="25"/>
        <v>655907</v>
      </c>
      <c r="G99" s="181"/>
      <c r="H99" s="32"/>
      <c r="I99" s="245">
        <f>+'SVD 4140_Pto. 01_Cert. 04'!K99</f>
        <v>0</v>
      </c>
      <c r="J99" s="136"/>
      <c r="K99" s="79">
        <f t="shared" si="38"/>
        <v>0</v>
      </c>
      <c r="L99" s="80">
        <f t="shared" si="39"/>
        <v>0</v>
      </c>
      <c r="M99" s="80">
        <f t="shared" si="40"/>
        <v>0</v>
      </c>
      <c r="N99" s="80">
        <f t="shared" si="41"/>
        <v>0</v>
      </c>
    </row>
    <row r="100" spans="1:14" s="57" customFormat="1" ht="13.8" x14ac:dyDescent="0.3">
      <c r="A100" s="27">
        <v>18</v>
      </c>
      <c r="B100" s="28" t="s">
        <v>111</v>
      </c>
      <c r="C100" s="189"/>
      <c r="D100" s="65"/>
      <c r="E100" s="65"/>
      <c r="F100" s="65"/>
      <c r="G100" s="31">
        <f>+SUM(F101:F130)</f>
        <v>99277732</v>
      </c>
      <c r="H100" s="32">
        <f>+G100/$G$185</f>
        <v>0.13495109004450917</v>
      </c>
      <c r="I100" s="248"/>
      <c r="J100" s="206"/>
      <c r="K100" s="206"/>
      <c r="L100" s="207"/>
      <c r="M100" s="207"/>
      <c r="N100" s="208"/>
    </row>
    <row r="101" spans="1:14" s="57" customFormat="1" ht="13.8" outlineLevel="1" x14ac:dyDescent="0.3">
      <c r="A101" s="213">
        <v>18.010000000000002</v>
      </c>
      <c r="B101" s="214" t="s">
        <v>112</v>
      </c>
      <c r="C101" s="215" t="s">
        <v>47</v>
      </c>
      <c r="D101" s="216">
        <v>392</v>
      </c>
      <c r="E101" s="37">
        <v>59948</v>
      </c>
      <c r="F101" s="37">
        <f t="shared" si="25"/>
        <v>23499616</v>
      </c>
      <c r="G101" s="181"/>
      <c r="H101" s="32"/>
      <c r="I101" s="245">
        <f>+'SVD 4140_Pto. 01_Cert. 04'!K101</f>
        <v>0.4</v>
      </c>
      <c r="J101" s="134">
        <v>0.05</v>
      </c>
      <c r="K101" s="135">
        <f t="shared" ref="K101:K130" si="42">+I101+J101</f>
        <v>0.45</v>
      </c>
      <c r="L101" s="200">
        <f t="shared" ref="L101:L130" si="43">+F101*I101</f>
        <v>9399846.4000000004</v>
      </c>
      <c r="M101" s="200">
        <f t="shared" ref="M101:M130" si="44">+F101*J101</f>
        <v>1174980.8</v>
      </c>
      <c r="N101" s="200">
        <f t="shared" ref="N101:N130" si="45">+F101*K101</f>
        <v>10574827.200000001</v>
      </c>
    </row>
    <row r="102" spans="1:14" s="57" customFormat="1" ht="13.8" outlineLevel="1" x14ac:dyDescent="0.3">
      <c r="A102" s="217">
        <v>18.02</v>
      </c>
      <c r="B102" s="218" t="s">
        <v>113</v>
      </c>
      <c r="C102" s="219" t="s">
        <v>47</v>
      </c>
      <c r="D102" s="220">
        <v>19</v>
      </c>
      <c r="E102" s="42">
        <v>59948</v>
      </c>
      <c r="F102" s="42">
        <f t="shared" si="25"/>
        <v>1139012</v>
      </c>
      <c r="G102" s="181"/>
      <c r="H102" s="32"/>
      <c r="I102" s="245">
        <f>+'SVD 4140_Pto. 01_Cert. 04'!K102</f>
        <v>0.25</v>
      </c>
      <c r="J102" s="136">
        <v>0.05</v>
      </c>
      <c r="K102" s="79">
        <f t="shared" si="42"/>
        <v>0.3</v>
      </c>
      <c r="L102" s="201">
        <f t="shared" si="43"/>
        <v>284753</v>
      </c>
      <c r="M102" s="201">
        <f t="shared" si="44"/>
        <v>56950.600000000006</v>
      </c>
      <c r="N102" s="201">
        <f t="shared" si="45"/>
        <v>341703.6</v>
      </c>
    </row>
    <row r="103" spans="1:14" s="57" customFormat="1" ht="13.8" outlineLevel="1" x14ac:dyDescent="0.3">
      <c r="A103" s="217">
        <v>18.03</v>
      </c>
      <c r="B103" s="218" t="s">
        <v>114</v>
      </c>
      <c r="C103" s="219" t="s">
        <v>47</v>
      </c>
      <c r="D103" s="220">
        <v>349</v>
      </c>
      <c r="E103" s="42">
        <v>57445</v>
      </c>
      <c r="F103" s="42">
        <f t="shared" si="25"/>
        <v>20048305</v>
      </c>
      <c r="G103" s="181"/>
      <c r="H103" s="32"/>
      <c r="I103" s="245">
        <f>+'SVD 4140_Pto. 01_Cert. 04'!K103</f>
        <v>0.25</v>
      </c>
      <c r="J103" s="136">
        <v>0.05</v>
      </c>
      <c r="K103" s="79">
        <f t="shared" si="42"/>
        <v>0.3</v>
      </c>
      <c r="L103" s="201">
        <f t="shared" si="43"/>
        <v>5012076.25</v>
      </c>
      <c r="M103" s="201">
        <f t="shared" si="44"/>
        <v>1002415.25</v>
      </c>
      <c r="N103" s="201">
        <f t="shared" si="45"/>
        <v>6014491.5</v>
      </c>
    </row>
    <row r="104" spans="1:14" s="57" customFormat="1" ht="13.8" outlineLevel="1" x14ac:dyDescent="0.3">
      <c r="A104" s="217">
        <v>18.04</v>
      </c>
      <c r="B104" s="218" t="s">
        <v>115</v>
      </c>
      <c r="C104" s="219" t="s">
        <v>47</v>
      </c>
      <c r="D104" s="220">
        <v>35</v>
      </c>
      <c r="E104" s="42">
        <v>64480</v>
      </c>
      <c r="F104" s="42">
        <f t="shared" si="25"/>
        <v>2256800</v>
      </c>
      <c r="G104" s="181"/>
      <c r="H104" s="32"/>
      <c r="I104" s="245">
        <f>+'SVD 4140_Pto. 01_Cert. 04'!K104</f>
        <v>0.25</v>
      </c>
      <c r="J104" s="141">
        <v>0.05</v>
      </c>
      <c r="K104" s="79">
        <f t="shared" si="42"/>
        <v>0.3</v>
      </c>
      <c r="L104" s="201">
        <f t="shared" si="43"/>
        <v>564200</v>
      </c>
      <c r="M104" s="201">
        <f t="shared" si="44"/>
        <v>112840</v>
      </c>
      <c r="N104" s="201">
        <f t="shared" si="45"/>
        <v>677040</v>
      </c>
    </row>
    <row r="105" spans="1:14" s="57" customFormat="1" ht="13.8" outlineLevel="1" x14ac:dyDescent="0.3">
      <c r="A105" s="217">
        <v>18.05</v>
      </c>
      <c r="B105" s="218" t="s">
        <v>116</v>
      </c>
      <c r="C105" s="219" t="s">
        <v>47</v>
      </c>
      <c r="D105" s="220">
        <v>16</v>
      </c>
      <c r="E105" s="42">
        <v>57445</v>
      </c>
      <c r="F105" s="42">
        <f t="shared" si="25"/>
        <v>919120</v>
      </c>
      <c r="G105" s="181"/>
      <c r="H105" s="32"/>
      <c r="I105" s="245">
        <f>+'SVD 4140_Pto. 01_Cert. 04'!K105</f>
        <v>0</v>
      </c>
      <c r="J105" s="141">
        <v>0.1</v>
      </c>
      <c r="K105" s="79">
        <f t="shared" si="42"/>
        <v>0.1</v>
      </c>
      <c r="L105" s="201">
        <f t="shared" si="43"/>
        <v>0</v>
      </c>
      <c r="M105" s="201">
        <f t="shared" si="44"/>
        <v>91912</v>
      </c>
      <c r="N105" s="201">
        <f t="shared" si="45"/>
        <v>91912</v>
      </c>
    </row>
    <row r="106" spans="1:14" s="57" customFormat="1" ht="13.8" outlineLevel="1" x14ac:dyDescent="0.3">
      <c r="A106" s="217">
        <v>18.059999999999999</v>
      </c>
      <c r="B106" s="218" t="s">
        <v>117</v>
      </c>
      <c r="C106" s="219" t="s">
        <v>47</v>
      </c>
      <c r="D106" s="220">
        <v>16</v>
      </c>
      <c r="E106" s="42">
        <v>57445</v>
      </c>
      <c r="F106" s="42">
        <f t="shared" si="25"/>
        <v>919120</v>
      </c>
      <c r="G106" s="181"/>
      <c r="H106" s="32"/>
      <c r="I106" s="245">
        <f>+'SVD 4140_Pto. 01_Cert. 04'!K106</f>
        <v>0.2</v>
      </c>
      <c r="J106" s="141">
        <v>0.1</v>
      </c>
      <c r="K106" s="79">
        <f t="shared" si="42"/>
        <v>0.30000000000000004</v>
      </c>
      <c r="L106" s="201">
        <f t="shared" si="43"/>
        <v>183824</v>
      </c>
      <c r="M106" s="201">
        <f t="shared" si="44"/>
        <v>91912</v>
      </c>
      <c r="N106" s="201">
        <f t="shared" si="45"/>
        <v>275736.00000000006</v>
      </c>
    </row>
    <row r="107" spans="1:14" s="57" customFormat="1" ht="13.8" outlineLevel="1" x14ac:dyDescent="0.3">
      <c r="A107" s="217">
        <v>18.07</v>
      </c>
      <c r="B107" s="218" t="s">
        <v>118</v>
      </c>
      <c r="C107" s="219" t="s">
        <v>47</v>
      </c>
      <c r="D107" s="220">
        <v>46</v>
      </c>
      <c r="E107" s="42">
        <v>43213</v>
      </c>
      <c r="F107" s="42">
        <f t="shared" si="25"/>
        <v>1987798</v>
      </c>
      <c r="G107" s="181"/>
      <c r="H107" s="32"/>
      <c r="I107" s="245">
        <f>+'SVD 4140_Pto. 01_Cert. 04'!K107</f>
        <v>0.25</v>
      </c>
      <c r="J107" s="141">
        <v>0.05</v>
      </c>
      <c r="K107" s="79">
        <f t="shared" si="42"/>
        <v>0.3</v>
      </c>
      <c r="L107" s="201">
        <f t="shared" si="43"/>
        <v>496949.5</v>
      </c>
      <c r="M107" s="201">
        <f t="shared" si="44"/>
        <v>99389.900000000009</v>
      </c>
      <c r="N107" s="201">
        <f t="shared" si="45"/>
        <v>596339.4</v>
      </c>
    </row>
    <row r="108" spans="1:14" s="57" customFormat="1" ht="13.8" outlineLevel="1" x14ac:dyDescent="0.3">
      <c r="A108" s="217">
        <v>18.079999999999998</v>
      </c>
      <c r="B108" s="218" t="s">
        <v>119</v>
      </c>
      <c r="C108" s="219" t="s">
        <v>47</v>
      </c>
      <c r="D108" s="220">
        <v>17</v>
      </c>
      <c r="E108" s="42">
        <v>43213</v>
      </c>
      <c r="F108" s="42">
        <f t="shared" si="25"/>
        <v>734621</v>
      </c>
      <c r="G108" s="181"/>
      <c r="H108" s="32"/>
      <c r="I108" s="245">
        <f>+'SVD 4140_Pto. 01_Cert. 04'!K108</f>
        <v>0.25</v>
      </c>
      <c r="J108" s="136">
        <v>0.05</v>
      </c>
      <c r="K108" s="79">
        <f t="shared" si="42"/>
        <v>0.3</v>
      </c>
      <c r="L108" s="201">
        <f t="shared" si="43"/>
        <v>183655.25</v>
      </c>
      <c r="M108" s="201">
        <f t="shared" si="44"/>
        <v>36731.050000000003</v>
      </c>
      <c r="N108" s="201">
        <f t="shared" si="45"/>
        <v>220386.3</v>
      </c>
    </row>
    <row r="109" spans="1:14" s="57" customFormat="1" ht="13.8" outlineLevel="1" x14ac:dyDescent="0.3">
      <c r="A109" s="217">
        <v>18.09</v>
      </c>
      <c r="B109" s="218" t="s">
        <v>120</v>
      </c>
      <c r="C109" s="219" t="s">
        <v>47</v>
      </c>
      <c r="D109" s="220">
        <v>11</v>
      </c>
      <c r="E109" s="42">
        <v>43213</v>
      </c>
      <c r="F109" s="42">
        <f t="shared" si="25"/>
        <v>475343</v>
      </c>
      <c r="G109" s="181"/>
      <c r="H109" s="32"/>
      <c r="I109" s="245">
        <f>+'SVD 4140_Pto. 01_Cert. 04'!K109</f>
        <v>0.65</v>
      </c>
      <c r="J109" s="141"/>
      <c r="K109" s="79">
        <f t="shared" si="42"/>
        <v>0.65</v>
      </c>
      <c r="L109" s="201">
        <f t="shared" si="43"/>
        <v>308972.95</v>
      </c>
      <c r="M109" s="201">
        <f t="shared" si="44"/>
        <v>0</v>
      </c>
      <c r="N109" s="201">
        <f t="shared" si="45"/>
        <v>308972.95</v>
      </c>
    </row>
    <row r="110" spans="1:14" s="57" customFormat="1" ht="13.8" outlineLevel="1" x14ac:dyDescent="0.3">
      <c r="A110" s="217">
        <v>18.100000000000001</v>
      </c>
      <c r="B110" s="218" t="s">
        <v>121</v>
      </c>
      <c r="C110" s="219" t="s">
        <v>47</v>
      </c>
      <c r="D110" s="220">
        <v>1</v>
      </c>
      <c r="E110" s="42">
        <v>2365100</v>
      </c>
      <c r="F110" s="42">
        <f t="shared" si="25"/>
        <v>2365100</v>
      </c>
      <c r="G110" s="181"/>
      <c r="H110" s="32"/>
      <c r="I110" s="245">
        <f>+'SVD 4140_Pto. 01_Cert. 04'!K110</f>
        <v>0</v>
      </c>
      <c r="J110" s="141"/>
      <c r="K110" s="79">
        <f t="shared" si="42"/>
        <v>0</v>
      </c>
      <c r="L110" s="201">
        <f t="shared" si="43"/>
        <v>0</v>
      </c>
      <c r="M110" s="201">
        <f t="shared" si="44"/>
        <v>0</v>
      </c>
      <c r="N110" s="201">
        <f t="shared" si="45"/>
        <v>0</v>
      </c>
    </row>
    <row r="111" spans="1:14" s="57" customFormat="1" ht="13.8" outlineLevel="1" x14ac:dyDescent="0.3">
      <c r="A111" s="217">
        <v>18.11</v>
      </c>
      <c r="B111" s="218" t="s">
        <v>122</v>
      </c>
      <c r="C111" s="219" t="s">
        <v>47</v>
      </c>
      <c r="D111" s="220">
        <v>1</v>
      </c>
      <c r="E111" s="42">
        <v>1112140</v>
      </c>
      <c r="F111" s="42">
        <f t="shared" si="25"/>
        <v>1112140</v>
      </c>
      <c r="G111" s="181"/>
      <c r="H111" s="32"/>
      <c r="I111" s="245">
        <f>+'SVD 4140_Pto. 01_Cert. 04'!K111</f>
        <v>0</v>
      </c>
      <c r="J111" s="136"/>
      <c r="K111" s="79">
        <f t="shared" si="42"/>
        <v>0</v>
      </c>
      <c r="L111" s="201">
        <f t="shared" si="43"/>
        <v>0</v>
      </c>
      <c r="M111" s="201">
        <f t="shared" si="44"/>
        <v>0</v>
      </c>
      <c r="N111" s="201">
        <f t="shared" si="45"/>
        <v>0</v>
      </c>
    </row>
    <row r="112" spans="1:14" s="57" customFormat="1" ht="13.8" outlineLevel="1" x14ac:dyDescent="0.3">
      <c r="A112" s="217">
        <v>18.12</v>
      </c>
      <c r="B112" s="218" t="s">
        <v>123</v>
      </c>
      <c r="C112" s="219" t="s">
        <v>47</v>
      </c>
      <c r="D112" s="220">
        <v>1</v>
      </c>
      <c r="E112" s="42">
        <v>669004</v>
      </c>
      <c r="F112" s="42">
        <f t="shared" si="25"/>
        <v>669004</v>
      </c>
      <c r="G112" s="181"/>
      <c r="H112" s="32"/>
      <c r="I112" s="245">
        <f>+'SVD 4140_Pto. 01_Cert. 04'!K112</f>
        <v>0</v>
      </c>
      <c r="J112" s="136"/>
      <c r="K112" s="79">
        <f t="shared" si="42"/>
        <v>0</v>
      </c>
      <c r="L112" s="201">
        <f t="shared" si="43"/>
        <v>0</v>
      </c>
      <c r="M112" s="201">
        <f t="shared" si="44"/>
        <v>0</v>
      </c>
      <c r="N112" s="201">
        <f t="shared" si="45"/>
        <v>0</v>
      </c>
    </row>
    <row r="113" spans="1:14" s="57" customFormat="1" ht="13.8" outlineLevel="1" x14ac:dyDescent="0.3">
      <c r="A113" s="217">
        <v>18.13</v>
      </c>
      <c r="B113" s="218" t="s">
        <v>124</v>
      </c>
      <c r="C113" s="219" t="s">
        <v>47</v>
      </c>
      <c r="D113" s="220">
        <v>1</v>
      </c>
      <c r="E113" s="42">
        <v>970259</v>
      </c>
      <c r="F113" s="42">
        <f t="shared" si="25"/>
        <v>970259</v>
      </c>
      <c r="G113" s="181"/>
      <c r="H113" s="32"/>
      <c r="I113" s="245">
        <f>+'SVD 4140_Pto. 01_Cert. 04'!K113</f>
        <v>0</v>
      </c>
      <c r="J113" s="141"/>
      <c r="K113" s="79">
        <f t="shared" si="42"/>
        <v>0</v>
      </c>
      <c r="L113" s="201">
        <f t="shared" si="43"/>
        <v>0</v>
      </c>
      <c r="M113" s="201">
        <f t="shared" si="44"/>
        <v>0</v>
      </c>
      <c r="N113" s="201">
        <f t="shared" si="45"/>
        <v>0</v>
      </c>
    </row>
    <row r="114" spans="1:14" s="57" customFormat="1" ht="13.8" outlineLevel="1" x14ac:dyDescent="0.3">
      <c r="A114" s="217">
        <v>18.14</v>
      </c>
      <c r="B114" s="218" t="s">
        <v>125</v>
      </c>
      <c r="C114" s="219" t="s">
        <v>47</v>
      </c>
      <c r="D114" s="220">
        <v>1</v>
      </c>
      <c r="E114" s="42">
        <v>507898</v>
      </c>
      <c r="F114" s="42">
        <f t="shared" si="25"/>
        <v>507898</v>
      </c>
      <c r="G114" s="181"/>
      <c r="H114" s="32"/>
      <c r="I114" s="245">
        <f>+'SVD 4140_Pto. 01_Cert. 04'!K114</f>
        <v>0</v>
      </c>
      <c r="J114" s="136"/>
      <c r="K114" s="79">
        <f t="shared" si="42"/>
        <v>0</v>
      </c>
      <c r="L114" s="201">
        <f t="shared" si="43"/>
        <v>0</v>
      </c>
      <c r="M114" s="201">
        <f t="shared" si="44"/>
        <v>0</v>
      </c>
      <c r="N114" s="201">
        <f t="shared" si="45"/>
        <v>0</v>
      </c>
    </row>
    <row r="115" spans="1:14" s="57" customFormat="1" ht="13.8" outlineLevel="1" x14ac:dyDescent="0.3">
      <c r="A115" s="217">
        <v>18.149999999999999</v>
      </c>
      <c r="B115" s="218" t="s">
        <v>126</v>
      </c>
      <c r="C115" s="219" t="s">
        <v>47</v>
      </c>
      <c r="D115" s="220">
        <v>7</v>
      </c>
      <c r="E115" s="42">
        <v>507898</v>
      </c>
      <c r="F115" s="42">
        <f t="shared" si="25"/>
        <v>3555286</v>
      </c>
      <c r="G115" s="181"/>
      <c r="H115" s="32"/>
      <c r="I115" s="245">
        <f>+'SVD 4140_Pto. 01_Cert. 04'!K115</f>
        <v>0.02</v>
      </c>
      <c r="J115" s="136">
        <v>0.03</v>
      </c>
      <c r="K115" s="79">
        <f t="shared" si="42"/>
        <v>0.05</v>
      </c>
      <c r="L115" s="201">
        <f t="shared" si="43"/>
        <v>71105.72</v>
      </c>
      <c r="M115" s="201">
        <f t="shared" si="44"/>
        <v>106658.58</v>
      </c>
      <c r="N115" s="201">
        <f t="shared" si="45"/>
        <v>177764.30000000002</v>
      </c>
    </row>
    <row r="116" spans="1:14" s="57" customFormat="1" ht="13.8" outlineLevel="1" x14ac:dyDescent="0.3">
      <c r="A116" s="217">
        <v>18.16</v>
      </c>
      <c r="B116" s="218" t="s">
        <v>127</v>
      </c>
      <c r="C116" s="219" t="s">
        <v>47</v>
      </c>
      <c r="D116" s="220">
        <v>9</v>
      </c>
      <c r="E116" s="42">
        <v>595498</v>
      </c>
      <c r="F116" s="42">
        <f t="shared" si="25"/>
        <v>5359482</v>
      </c>
      <c r="G116" s="181"/>
      <c r="H116" s="32"/>
      <c r="I116" s="245">
        <f>+'SVD 4140_Pto. 01_Cert. 04'!K116</f>
        <v>0.02</v>
      </c>
      <c r="J116" s="141">
        <v>0.03</v>
      </c>
      <c r="K116" s="79">
        <f t="shared" si="42"/>
        <v>0.05</v>
      </c>
      <c r="L116" s="201">
        <f t="shared" si="43"/>
        <v>107189.64</v>
      </c>
      <c r="M116" s="201">
        <f t="shared" si="44"/>
        <v>160784.46</v>
      </c>
      <c r="N116" s="201">
        <f t="shared" si="45"/>
        <v>267974.10000000003</v>
      </c>
    </row>
    <row r="117" spans="1:14" s="57" customFormat="1" ht="13.8" outlineLevel="1" x14ac:dyDescent="0.3">
      <c r="A117" s="217">
        <v>18.170000000000002</v>
      </c>
      <c r="B117" s="218" t="s">
        <v>128</v>
      </c>
      <c r="C117" s="219" t="s">
        <v>28</v>
      </c>
      <c r="D117" s="220">
        <v>1</v>
      </c>
      <c r="E117" s="42">
        <v>9502264</v>
      </c>
      <c r="F117" s="42">
        <f t="shared" si="25"/>
        <v>9502264</v>
      </c>
      <c r="G117" s="181"/>
      <c r="H117" s="32"/>
      <c r="I117" s="245">
        <f>+'SVD 4140_Pto. 01_Cert. 04'!K117</f>
        <v>0</v>
      </c>
      <c r="J117" s="136"/>
      <c r="K117" s="79">
        <f t="shared" si="42"/>
        <v>0</v>
      </c>
      <c r="L117" s="201">
        <f t="shared" si="43"/>
        <v>0</v>
      </c>
      <c r="M117" s="201">
        <f t="shared" si="44"/>
        <v>0</v>
      </c>
      <c r="N117" s="201">
        <f t="shared" si="45"/>
        <v>0</v>
      </c>
    </row>
    <row r="118" spans="1:14" s="57" customFormat="1" ht="13.8" outlineLevel="1" x14ac:dyDescent="0.3">
      <c r="A118" s="217">
        <v>18.18</v>
      </c>
      <c r="B118" s="218" t="s">
        <v>129</v>
      </c>
      <c r="C118" s="219" t="s">
        <v>28</v>
      </c>
      <c r="D118" s="220">
        <v>1</v>
      </c>
      <c r="E118" s="42">
        <v>1878534</v>
      </c>
      <c r="F118" s="42">
        <f t="shared" si="25"/>
        <v>1878534</v>
      </c>
      <c r="G118" s="181"/>
      <c r="H118" s="32"/>
      <c r="I118" s="245">
        <f>+'SVD 4140_Pto. 01_Cert. 04'!K118</f>
        <v>0</v>
      </c>
      <c r="J118" s="136"/>
      <c r="K118" s="79">
        <f t="shared" si="42"/>
        <v>0</v>
      </c>
      <c r="L118" s="201">
        <f t="shared" si="43"/>
        <v>0</v>
      </c>
      <c r="M118" s="201">
        <f t="shared" si="44"/>
        <v>0</v>
      </c>
      <c r="N118" s="201">
        <f t="shared" si="45"/>
        <v>0</v>
      </c>
    </row>
    <row r="119" spans="1:14" s="57" customFormat="1" ht="13.8" outlineLevel="1" x14ac:dyDescent="0.3">
      <c r="A119" s="217">
        <v>18.190000000000001</v>
      </c>
      <c r="B119" s="218" t="s">
        <v>130</v>
      </c>
      <c r="C119" s="219" t="s">
        <v>28</v>
      </c>
      <c r="D119" s="220">
        <v>1</v>
      </c>
      <c r="E119" s="42">
        <v>1878534</v>
      </c>
      <c r="F119" s="42">
        <f t="shared" si="25"/>
        <v>1878534</v>
      </c>
      <c r="G119" s="181"/>
      <c r="H119" s="32"/>
      <c r="I119" s="245">
        <f>+'SVD 4140_Pto. 01_Cert. 04'!K119</f>
        <v>0</v>
      </c>
      <c r="J119" s="141"/>
      <c r="K119" s="79">
        <f t="shared" si="42"/>
        <v>0</v>
      </c>
      <c r="L119" s="201">
        <f t="shared" si="43"/>
        <v>0</v>
      </c>
      <c r="M119" s="201">
        <f t="shared" si="44"/>
        <v>0</v>
      </c>
      <c r="N119" s="201">
        <f t="shared" si="45"/>
        <v>0</v>
      </c>
    </row>
    <row r="120" spans="1:14" s="57" customFormat="1" ht="13.8" outlineLevel="1" x14ac:dyDescent="0.3">
      <c r="A120" s="217">
        <v>18.2</v>
      </c>
      <c r="B120" s="218" t="s">
        <v>131</v>
      </c>
      <c r="C120" s="219" t="s">
        <v>47</v>
      </c>
      <c r="D120" s="220">
        <v>33</v>
      </c>
      <c r="E120" s="42">
        <v>14235</v>
      </c>
      <c r="F120" s="42">
        <f t="shared" si="25"/>
        <v>469755</v>
      </c>
      <c r="G120" s="181"/>
      <c r="H120" s="32"/>
      <c r="I120" s="245">
        <f>+'SVD 4140_Pto. 01_Cert. 04'!K120</f>
        <v>0</v>
      </c>
      <c r="J120" s="136"/>
      <c r="K120" s="79">
        <f t="shared" si="42"/>
        <v>0</v>
      </c>
      <c r="L120" s="201">
        <f t="shared" si="43"/>
        <v>0</v>
      </c>
      <c r="M120" s="201">
        <f t="shared" si="44"/>
        <v>0</v>
      </c>
      <c r="N120" s="201">
        <f t="shared" si="45"/>
        <v>0</v>
      </c>
    </row>
    <row r="121" spans="1:14" s="57" customFormat="1" ht="13.8" outlineLevel="1" x14ac:dyDescent="0.3">
      <c r="A121" s="217">
        <v>18.21</v>
      </c>
      <c r="B121" s="218" t="s">
        <v>132</v>
      </c>
      <c r="C121" s="219" t="s">
        <v>47</v>
      </c>
      <c r="D121" s="220">
        <v>150</v>
      </c>
      <c r="E121" s="42">
        <v>9276</v>
      </c>
      <c r="F121" s="42">
        <f t="shared" si="25"/>
        <v>1391400</v>
      </c>
      <c r="G121" s="181"/>
      <c r="H121" s="32"/>
      <c r="I121" s="245">
        <f>+'SVD 4140_Pto. 01_Cert. 04'!K121</f>
        <v>0</v>
      </c>
      <c r="J121" s="136"/>
      <c r="K121" s="79">
        <f t="shared" si="42"/>
        <v>0</v>
      </c>
      <c r="L121" s="201">
        <f t="shared" si="43"/>
        <v>0</v>
      </c>
      <c r="M121" s="201">
        <f t="shared" si="44"/>
        <v>0</v>
      </c>
      <c r="N121" s="201">
        <f t="shared" si="45"/>
        <v>0</v>
      </c>
    </row>
    <row r="122" spans="1:14" s="57" customFormat="1" ht="13.8" outlineLevel="1" x14ac:dyDescent="0.3">
      <c r="A122" s="217">
        <v>18.22</v>
      </c>
      <c r="B122" s="218" t="s">
        <v>133</v>
      </c>
      <c r="C122" s="219" t="s">
        <v>47</v>
      </c>
      <c r="D122" s="220">
        <v>16</v>
      </c>
      <c r="E122" s="42">
        <v>9276</v>
      </c>
      <c r="F122" s="42">
        <f t="shared" si="25"/>
        <v>148416</v>
      </c>
      <c r="G122" s="181"/>
      <c r="H122" s="32"/>
      <c r="I122" s="245">
        <f>+'SVD 4140_Pto. 01_Cert. 04'!K122</f>
        <v>0</v>
      </c>
      <c r="J122" s="141"/>
      <c r="K122" s="79">
        <f t="shared" si="42"/>
        <v>0</v>
      </c>
      <c r="L122" s="201">
        <f t="shared" si="43"/>
        <v>0</v>
      </c>
      <c r="M122" s="201">
        <f t="shared" si="44"/>
        <v>0</v>
      </c>
      <c r="N122" s="201">
        <f t="shared" si="45"/>
        <v>0</v>
      </c>
    </row>
    <row r="123" spans="1:14" s="57" customFormat="1" ht="13.8" outlineLevel="1" x14ac:dyDescent="0.3">
      <c r="A123" s="217">
        <v>18.23</v>
      </c>
      <c r="B123" s="218" t="s">
        <v>134</v>
      </c>
      <c r="C123" s="219" t="s">
        <v>47</v>
      </c>
      <c r="D123" s="220">
        <v>349</v>
      </c>
      <c r="E123" s="42">
        <v>9276</v>
      </c>
      <c r="F123" s="42">
        <f t="shared" si="25"/>
        <v>3237324</v>
      </c>
      <c r="G123" s="181"/>
      <c r="H123" s="32"/>
      <c r="I123" s="245">
        <f>+'SVD 4140_Pto. 01_Cert. 04'!K123</f>
        <v>0</v>
      </c>
      <c r="J123" s="136"/>
      <c r="K123" s="79">
        <f t="shared" si="42"/>
        <v>0</v>
      </c>
      <c r="L123" s="201">
        <f t="shared" si="43"/>
        <v>0</v>
      </c>
      <c r="M123" s="201">
        <f t="shared" si="44"/>
        <v>0</v>
      </c>
      <c r="N123" s="201">
        <f t="shared" si="45"/>
        <v>0</v>
      </c>
    </row>
    <row r="124" spans="1:14" s="57" customFormat="1" ht="13.8" outlineLevel="1" x14ac:dyDescent="0.3">
      <c r="A124" s="217">
        <v>18.239999999999998</v>
      </c>
      <c r="B124" s="218" t="s">
        <v>135</v>
      </c>
      <c r="C124" s="219" t="s">
        <v>47</v>
      </c>
      <c r="D124" s="220">
        <v>27</v>
      </c>
      <c r="E124" s="42">
        <v>22326</v>
      </c>
      <c r="F124" s="42">
        <f t="shared" si="25"/>
        <v>602802</v>
      </c>
      <c r="G124" s="181"/>
      <c r="H124" s="32"/>
      <c r="I124" s="245">
        <f>+'SVD 4140_Pto. 01_Cert. 04'!K124</f>
        <v>0</v>
      </c>
      <c r="J124" s="136"/>
      <c r="K124" s="79">
        <f t="shared" si="42"/>
        <v>0</v>
      </c>
      <c r="L124" s="201">
        <f t="shared" si="43"/>
        <v>0</v>
      </c>
      <c r="M124" s="201">
        <f t="shared" si="44"/>
        <v>0</v>
      </c>
      <c r="N124" s="201">
        <f t="shared" si="45"/>
        <v>0</v>
      </c>
    </row>
    <row r="125" spans="1:14" s="57" customFormat="1" ht="13.8" outlineLevel="1" x14ac:dyDescent="0.3">
      <c r="A125" s="217">
        <v>18.25</v>
      </c>
      <c r="B125" s="218" t="s">
        <v>136</v>
      </c>
      <c r="C125" s="219" t="s">
        <v>47</v>
      </c>
      <c r="D125" s="220">
        <v>16</v>
      </c>
      <c r="E125" s="42">
        <v>14235</v>
      </c>
      <c r="F125" s="42">
        <f t="shared" si="25"/>
        <v>227760</v>
      </c>
      <c r="G125" s="181"/>
      <c r="H125" s="32"/>
      <c r="I125" s="245">
        <f>+'SVD 4140_Pto. 01_Cert. 04'!K125</f>
        <v>0</v>
      </c>
      <c r="J125" s="141"/>
      <c r="K125" s="79">
        <f t="shared" si="42"/>
        <v>0</v>
      </c>
      <c r="L125" s="201">
        <f t="shared" si="43"/>
        <v>0</v>
      </c>
      <c r="M125" s="201">
        <f t="shared" si="44"/>
        <v>0</v>
      </c>
      <c r="N125" s="201">
        <f t="shared" si="45"/>
        <v>0</v>
      </c>
    </row>
    <row r="126" spans="1:14" s="57" customFormat="1" ht="27.6" outlineLevel="1" x14ac:dyDescent="0.3">
      <c r="A126" s="217">
        <v>18.260000000000002</v>
      </c>
      <c r="B126" s="218" t="s">
        <v>137</v>
      </c>
      <c r="C126" s="219" t="s">
        <v>47</v>
      </c>
      <c r="D126" s="220">
        <v>137</v>
      </c>
      <c r="E126" s="42">
        <v>14235</v>
      </c>
      <c r="F126" s="42">
        <f t="shared" si="25"/>
        <v>1950195</v>
      </c>
      <c r="G126" s="181"/>
      <c r="H126" s="32"/>
      <c r="I126" s="245">
        <f>+'SVD 4140_Pto. 01_Cert. 04'!K126</f>
        <v>0</v>
      </c>
      <c r="J126" s="136"/>
      <c r="K126" s="79">
        <f t="shared" si="42"/>
        <v>0</v>
      </c>
      <c r="L126" s="201">
        <f t="shared" si="43"/>
        <v>0</v>
      </c>
      <c r="M126" s="201">
        <f t="shared" si="44"/>
        <v>0</v>
      </c>
      <c r="N126" s="201">
        <f t="shared" si="45"/>
        <v>0</v>
      </c>
    </row>
    <row r="127" spans="1:14" s="57" customFormat="1" ht="13.8" outlineLevel="1" x14ac:dyDescent="0.3">
      <c r="A127" s="217">
        <v>18.27</v>
      </c>
      <c r="B127" s="218" t="s">
        <v>138</v>
      </c>
      <c r="C127" s="219" t="s">
        <v>47</v>
      </c>
      <c r="D127" s="220">
        <v>1</v>
      </c>
      <c r="E127" s="42">
        <v>14235</v>
      </c>
      <c r="F127" s="42">
        <f t="shared" si="25"/>
        <v>14235</v>
      </c>
      <c r="G127" s="181"/>
      <c r="H127" s="32"/>
      <c r="I127" s="245">
        <f>+'SVD 4140_Pto. 01_Cert. 04'!K127</f>
        <v>0</v>
      </c>
      <c r="J127" s="136"/>
      <c r="K127" s="79">
        <f t="shared" si="42"/>
        <v>0</v>
      </c>
      <c r="L127" s="201">
        <f t="shared" si="43"/>
        <v>0</v>
      </c>
      <c r="M127" s="201">
        <f t="shared" si="44"/>
        <v>0</v>
      </c>
      <c r="N127" s="201">
        <f t="shared" si="45"/>
        <v>0</v>
      </c>
    </row>
    <row r="128" spans="1:14" s="57" customFormat="1" ht="13.8" outlineLevel="1" x14ac:dyDescent="0.3">
      <c r="A128" s="217">
        <v>18.28</v>
      </c>
      <c r="B128" s="218" t="s">
        <v>139</v>
      </c>
      <c r="C128" s="219" t="s">
        <v>28</v>
      </c>
      <c r="D128" s="220">
        <v>1</v>
      </c>
      <c r="E128" s="42">
        <v>9332982</v>
      </c>
      <c r="F128" s="42">
        <f t="shared" si="25"/>
        <v>9332982</v>
      </c>
      <c r="G128" s="181"/>
      <c r="H128" s="32"/>
      <c r="I128" s="245">
        <f>+'SVD 4140_Pto. 01_Cert. 04'!K128</f>
        <v>0</v>
      </c>
      <c r="J128" s="141"/>
      <c r="K128" s="79">
        <f t="shared" si="42"/>
        <v>0</v>
      </c>
      <c r="L128" s="201">
        <f t="shared" si="43"/>
        <v>0</v>
      </c>
      <c r="M128" s="201">
        <f t="shared" si="44"/>
        <v>0</v>
      </c>
      <c r="N128" s="201">
        <f t="shared" si="45"/>
        <v>0</v>
      </c>
    </row>
    <row r="129" spans="1:14" s="57" customFormat="1" ht="13.8" outlineLevel="1" x14ac:dyDescent="0.3">
      <c r="A129" s="217">
        <v>18.29</v>
      </c>
      <c r="B129" s="218" t="s">
        <v>140</v>
      </c>
      <c r="C129" s="219" t="s">
        <v>28</v>
      </c>
      <c r="D129" s="220">
        <v>1</v>
      </c>
      <c r="E129" s="42">
        <v>1998778</v>
      </c>
      <c r="F129" s="42">
        <f t="shared" si="25"/>
        <v>1998778</v>
      </c>
      <c r="G129" s="181"/>
      <c r="H129" s="32"/>
      <c r="I129" s="245">
        <f>+'SVD 4140_Pto. 01_Cert. 04'!K129</f>
        <v>0</v>
      </c>
      <c r="J129" s="136"/>
      <c r="K129" s="79">
        <f t="shared" si="42"/>
        <v>0</v>
      </c>
      <c r="L129" s="201">
        <f t="shared" si="43"/>
        <v>0</v>
      </c>
      <c r="M129" s="201">
        <f t="shared" si="44"/>
        <v>0</v>
      </c>
      <c r="N129" s="201">
        <f t="shared" si="45"/>
        <v>0</v>
      </c>
    </row>
    <row r="130" spans="1:14" s="57" customFormat="1" ht="13.8" outlineLevel="1" x14ac:dyDescent="0.3">
      <c r="A130" s="221">
        <v>18.3</v>
      </c>
      <c r="B130" s="222" t="s">
        <v>141</v>
      </c>
      <c r="C130" s="223" t="s">
        <v>28</v>
      </c>
      <c r="D130" s="224">
        <v>1</v>
      </c>
      <c r="E130" s="60">
        <v>125849</v>
      </c>
      <c r="F130" s="60">
        <f t="shared" si="25"/>
        <v>125849</v>
      </c>
      <c r="G130" s="181"/>
      <c r="H130" s="32"/>
      <c r="I130" s="245">
        <f>+'SVD 4140_Pto. 01_Cert. 04'!K130</f>
        <v>0</v>
      </c>
      <c r="J130" s="136"/>
      <c r="K130" s="79">
        <f t="shared" si="42"/>
        <v>0</v>
      </c>
      <c r="L130" s="201">
        <f t="shared" si="43"/>
        <v>0</v>
      </c>
      <c r="M130" s="201">
        <f t="shared" si="44"/>
        <v>0</v>
      </c>
      <c r="N130" s="201">
        <f t="shared" si="45"/>
        <v>0</v>
      </c>
    </row>
    <row r="131" spans="1:14" s="57" customFormat="1" ht="13.8" outlineLevel="1" x14ac:dyDescent="0.3">
      <c r="A131" s="225">
        <v>19</v>
      </c>
      <c r="B131" s="226" t="s">
        <v>142</v>
      </c>
      <c r="C131" s="227"/>
      <c r="D131" s="228"/>
      <c r="E131" s="229"/>
      <c r="F131" s="230"/>
      <c r="G131" s="181"/>
      <c r="H131" s="32"/>
      <c r="I131" s="248"/>
      <c r="J131" s="206"/>
      <c r="K131" s="206"/>
      <c r="L131" s="207"/>
      <c r="M131" s="207"/>
      <c r="N131" s="208"/>
    </row>
    <row r="132" spans="1:14" s="57" customFormat="1" ht="13.8" x14ac:dyDescent="0.3">
      <c r="A132" s="27"/>
      <c r="B132" s="28" t="s">
        <v>143</v>
      </c>
      <c r="C132" s="189"/>
      <c r="D132" s="65"/>
      <c r="E132" s="65"/>
      <c r="F132" s="65"/>
      <c r="G132" s="31">
        <f>+SUM(F133:F136)</f>
        <v>21161055</v>
      </c>
      <c r="H132" s="32">
        <f>+G132/$G$185</f>
        <v>2.8764833575587834E-2</v>
      </c>
      <c r="I132" s="248"/>
      <c r="J132" s="206"/>
      <c r="K132" s="206"/>
      <c r="L132" s="207"/>
      <c r="M132" s="207"/>
      <c r="N132" s="208"/>
    </row>
    <row r="133" spans="1:14" s="57" customFormat="1" ht="13.8" outlineLevel="1" x14ac:dyDescent="0.3">
      <c r="A133" s="213">
        <v>19.010000000000002</v>
      </c>
      <c r="B133" s="214" t="s">
        <v>144</v>
      </c>
      <c r="C133" s="215" t="s">
        <v>28</v>
      </c>
      <c r="D133" s="216">
        <v>1</v>
      </c>
      <c r="E133" s="37">
        <v>7236758</v>
      </c>
      <c r="F133" s="37">
        <f t="shared" si="25"/>
        <v>7236758</v>
      </c>
      <c r="G133" s="181"/>
      <c r="H133" s="32"/>
      <c r="I133" s="245">
        <f>+'SVD 4140_Pto. 01_Cert. 04'!K133</f>
        <v>0.1</v>
      </c>
      <c r="J133" s="249">
        <v>0.1</v>
      </c>
      <c r="K133" s="135">
        <f t="shared" ref="K133:K136" si="46">+I133+J133</f>
        <v>0.2</v>
      </c>
      <c r="L133" s="200">
        <f t="shared" ref="L133:L136" si="47">+F133*I133</f>
        <v>723675.8</v>
      </c>
      <c r="M133" s="200">
        <f t="shared" ref="M133:M136" si="48">+F133*J133</f>
        <v>723675.8</v>
      </c>
      <c r="N133" s="200">
        <f t="shared" ref="N133:N136" si="49">+F133*K133</f>
        <v>1447351.6</v>
      </c>
    </row>
    <row r="134" spans="1:14" s="57" customFormat="1" ht="13.8" outlineLevel="1" x14ac:dyDescent="0.3">
      <c r="A134" s="217">
        <v>19.02</v>
      </c>
      <c r="B134" s="218" t="s">
        <v>145</v>
      </c>
      <c r="C134" s="219" t="s">
        <v>28</v>
      </c>
      <c r="D134" s="220">
        <v>1</v>
      </c>
      <c r="E134" s="42">
        <v>1001516</v>
      </c>
      <c r="F134" s="42">
        <f t="shared" si="25"/>
        <v>1001516</v>
      </c>
      <c r="G134" s="181"/>
      <c r="H134" s="32"/>
      <c r="I134" s="245">
        <f>+'SVD 4140_Pto. 01_Cert. 04'!K134</f>
        <v>0</v>
      </c>
      <c r="J134" s="136"/>
      <c r="K134" s="79">
        <f t="shared" si="46"/>
        <v>0</v>
      </c>
      <c r="L134" s="201">
        <f t="shared" si="47"/>
        <v>0</v>
      </c>
      <c r="M134" s="201">
        <f t="shared" si="48"/>
        <v>0</v>
      </c>
      <c r="N134" s="201">
        <f t="shared" si="49"/>
        <v>0</v>
      </c>
    </row>
    <row r="135" spans="1:14" s="57" customFormat="1" ht="13.8" outlineLevel="1" x14ac:dyDescent="0.3">
      <c r="A135" s="217">
        <v>19.03</v>
      </c>
      <c r="B135" s="218" t="s">
        <v>146</v>
      </c>
      <c r="C135" s="219" t="s">
        <v>28</v>
      </c>
      <c r="D135" s="220">
        <v>1</v>
      </c>
      <c r="E135" s="42">
        <v>8787491</v>
      </c>
      <c r="F135" s="42">
        <f t="shared" si="25"/>
        <v>8787491</v>
      </c>
      <c r="G135" s="181"/>
      <c r="H135" s="32"/>
      <c r="I135" s="245">
        <f>+'SVD 4140_Pto. 01_Cert. 04'!K135</f>
        <v>0.1</v>
      </c>
      <c r="J135" s="141"/>
      <c r="K135" s="79">
        <f t="shared" si="46"/>
        <v>0.1</v>
      </c>
      <c r="L135" s="201">
        <f t="shared" si="47"/>
        <v>878749.10000000009</v>
      </c>
      <c r="M135" s="201">
        <f t="shared" si="48"/>
        <v>0</v>
      </c>
      <c r="N135" s="201">
        <f t="shared" si="49"/>
        <v>878749.10000000009</v>
      </c>
    </row>
    <row r="136" spans="1:14" s="57" customFormat="1" ht="13.8" outlineLevel="1" x14ac:dyDescent="0.3">
      <c r="A136" s="221">
        <v>19.04</v>
      </c>
      <c r="B136" s="222" t="s">
        <v>147</v>
      </c>
      <c r="C136" s="223" t="s">
        <v>28</v>
      </c>
      <c r="D136" s="224">
        <v>1</v>
      </c>
      <c r="E136" s="60">
        <v>4135290</v>
      </c>
      <c r="F136" s="60">
        <f t="shared" si="25"/>
        <v>4135290</v>
      </c>
      <c r="G136" s="181"/>
      <c r="H136" s="32"/>
      <c r="I136" s="245">
        <f>+'SVD 4140_Pto. 01_Cert. 04'!K136</f>
        <v>0.05</v>
      </c>
      <c r="J136" s="141">
        <v>0.15</v>
      </c>
      <c r="K136" s="79">
        <f t="shared" si="46"/>
        <v>0.2</v>
      </c>
      <c r="L136" s="201">
        <f t="shared" si="47"/>
        <v>206764.5</v>
      </c>
      <c r="M136" s="201">
        <f t="shared" si="48"/>
        <v>620293.5</v>
      </c>
      <c r="N136" s="201">
        <f t="shared" si="49"/>
        <v>827058</v>
      </c>
    </row>
    <row r="137" spans="1:14" s="57" customFormat="1" ht="13.8" x14ac:dyDescent="0.3">
      <c r="A137" s="27"/>
      <c r="B137" s="28" t="s">
        <v>148</v>
      </c>
      <c r="C137" s="189"/>
      <c r="D137" s="65"/>
      <c r="E137" s="65"/>
      <c r="F137" s="65"/>
      <c r="G137" s="31">
        <f>+SUM(F138:F140)</f>
        <v>6551951</v>
      </c>
      <c r="H137" s="32">
        <f>+G137/$G$185</f>
        <v>8.9062563331746124E-3</v>
      </c>
      <c r="I137" s="248"/>
      <c r="J137" s="206"/>
      <c r="K137" s="206"/>
      <c r="L137" s="206"/>
      <c r="M137" s="207"/>
      <c r="N137" s="208"/>
    </row>
    <row r="138" spans="1:14" s="57" customFormat="1" ht="13.8" outlineLevel="1" x14ac:dyDescent="0.3">
      <c r="A138" s="213">
        <v>19.05</v>
      </c>
      <c r="B138" s="214" t="s">
        <v>149</v>
      </c>
      <c r="C138" s="215" t="s">
        <v>28</v>
      </c>
      <c r="D138" s="216">
        <v>1</v>
      </c>
      <c r="E138" s="37">
        <v>2675380</v>
      </c>
      <c r="F138" s="37">
        <f t="shared" si="25"/>
        <v>2675380</v>
      </c>
      <c r="G138" s="181"/>
      <c r="H138" s="32"/>
      <c r="I138" s="245">
        <f>+'SVD 4140_Pto. 01_Cert. 04'!K138</f>
        <v>0.35</v>
      </c>
      <c r="J138" s="249">
        <v>0.15</v>
      </c>
      <c r="K138" s="135">
        <f t="shared" ref="K138:K140" si="50">+I138+J138</f>
        <v>0.5</v>
      </c>
      <c r="L138" s="200">
        <f t="shared" ref="L138:L140" si="51">+F138*I138</f>
        <v>936382.99999999988</v>
      </c>
      <c r="M138" s="200">
        <f t="shared" ref="M138:M140" si="52">+F138*J138</f>
        <v>401307</v>
      </c>
      <c r="N138" s="200">
        <f t="shared" ref="N138:N140" si="53">+F138*K138</f>
        <v>1337690</v>
      </c>
    </row>
    <row r="139" spans="1:14" s="57" customFormat="1" ht="13.8" outlineLevel="1" x14ac:dyDescent="0.3">
      <c r="A139" s="217">
        <v>19.059999999999999</v>
      </c>
      <c r="B139" s="218" t="s">
        <v>150</v>
      </c>
      <c r="C139" s="219" t="s">
        <v>28</v>
      </c>
      <c r="D139" s="220">
        <v>1</v>
      </c>
      <c r="E139" s="42">
        <v>3057577</v>
      </c>
      <c r="F139" s="42">
        <f t="shared" si="25"/>
        <v>3057577</v>
      </c>
      <c r="G139" s="181"/>
      <c r="H139" s="32"/>
      <c r="I139" s="245">
        <f>+'SVD 4140_Pto. 01_Cert. 04'!K139</f>
        <v>0.35</v>
      </c>
      <c r="J139" s="136">
        <v>0.15</v>
      </c>
      <c r="K139" s="79">
        <f t="shared" si="50"/>
        <v>0.5</v>
      </c>
      <c r="L139" s="201">
        <f t="shared" si="51"/>
        <v>1070151.95</v>
      </c>
      <c r="M139" s="201">
        <f t="shared" si="52"/>
        <v>458636.55</v>
      </c>
      <c r="N139" s="201">
        <f t="shared" si="53"/>
        <v>1528788.5</v>
      </c>
    </row>
    <row r="140" spans="1:14" s="57" customFormat="1" ht="13.8" outlineLevel="1" x14ac:dyDescent="0.3">
      <c r="A140" s="221">
        <v>19.07</v>
      </c>
      <c r="B140" s="222" t="s">
        <v>151</v>
      </c>
      <c r="C140" s="223" t="s">
        <v>28</v>
      </c>
      <c r="D140" s="224">
        <v>1</v>
      </c>
      <c r="E140" s="60">
        <v>818994</v>
      </c>
      <c r="F140" s="60">
        <f t="shared" ref="F140:F184" si="54">+D140*E140</f>
        <v>818994</v>
      </c>
      <c r="G140" s="181"/>
      <c r="H140" s="32"/>
      <c r="I140" s="245">
        <f>+'SVD 4140_Pto. 01_Cert. 04'!K140</f>
        <v>0</v>
      </c>
      <c r="J140" s="136"/>
      <c r="K140" s="79">
        <f t="shared" si="50"/>
        <v>0</v>
      </c>
      <c r="L140" s="201">
        <f t="shared" si="51"/>
        <v>0</v>
      </c>
      <c r="M140" s="201">
        <f t="shared" si="52"/>
        <v>0</v>
      </c>
      <c r="N140" s="201">
        <f t="shared" si="53"/>
        <v>0</v>
      </c>
    </row>
    <row r="141" spans="1:14" s="57" customFormat="1" ht="13.8" x14ac:dyDescent="0.3">
      <c r="A141" s="27"/>
      <c r="B141" s="28" t="s">
        <v>152</v>
      </c>
      <c r="C141" s="189"/>
      <c r="D141" s="65"/>
      <c r="E141" s="65"/>
      <c r="F141" s="65"/>
      <c r="G141" s="31">
        <f>+SUM(F142:F146)</f>
        <v>37004103</v>
      </c>
      <c r="H141" s="32">
        <f>+G141/$G$185</f>
        <v>5.0300746555826753E-2</v>
      </c>
      <c r="I141" s="248"/>
      <c r="J141" s="206"/>
      <c r="K141" s="206"/>
      <c r="L141" s="206"/>
      <c r="M141" s="207"/>
      <c r="N141" s="208"/>
    </row>
    <row r="142" spans="1:14" s="57" customFormat="1" ht="13.8" outlineLevel="1" x14ac:dyDescent="0.3">
      <c r="A142" s="213">
        <v>19.079999999999998</v>
      </c>
      <c r="B142" s="214" t="s">
        <v>153</v>
      </c>
      <c r="C142" s="215" t="s">
        <v>28</v>
      </c>
      <c r="D142" s="216">
        <v>1</v>
      </c>
      <c r="E142" s="37">
        <v>3750416</v>
      </c>
      <c r="F142" s="37">
        <f t="shared" si="54"/>
        <v>3750416</v>
      </c>
      <c r="G142" s="181"/>
      <c r="H142" s="32"/>
      <c r="I142" s="245">
        <f>+'SVD 4140_Pto. 01_Cert. 04'!K142</f>
        <v>0</v>
      </c>
      <c r="J142" s="134"/>
      <c r="K142" s="135">
        <f t="shared" ref="K142:K146" si="55">+I142+J142</f>
        <v>0</v>
      </c>
      <c r="L142" s="200">
        <f t="shared" ref="L142:L146" si="56">+F142*I142</f>
        <v>0</v>
      </c>
      <c r="M142" s="200">
        <f t="shared" ref="M142:M146" si="57">+F142*J142</f>
        <v>0</v>
      </c>
      <c r="N142" s="200">
        <f t="shared" ref="N142:N146" si="58">+F142*K142</f>
        <v>0</v>
      </c>
    </row>
    <row r="143" spans="1:14" s="57" customFormat="1" ht="13.8" outlineLevel="1" x14ac:dyDescent="0.3">
      <c r="A143" s="217">
        <v>19.09</v>
      </c>
      <c r="B143" s="218" t="s">
        <v>154</v>
      </c>
      <c r="C143" s="219" t="s">
        <v>28</v>
      </c>
      <c r="D143" s="220">
        <v>1</v>
      </c>
      <c r="E143" s="42">
        <v>7500832</v>
      </c>
      <c r="F143" s="42">
        <f t="shared" si="54"/>
        <v>7500832</v>
      </c>
      <c r="G143" s="181"/>
      <c r="H143" s="32"/>
      <c r="I143" s="245">
        <f>+'SVD 4140_Pto. 01_Cert. 04'!K143</f>
        <v>0</v>
      </c>
      <c r="J143" s="136"/>
      <c r="K143" s="79">
        <f t="shared" si="55"/>
        <v>0</v>
      </c>
      <c r="L143" s="201">
        <f t="shared" si="56"/>
        <v>0</v>
      </c>
      <c r="M143" s="201">
        <f t="shared" si="57"/>
        <v>0</v>
      </c>
      <c r="N143" s="201">
        <f t="shared" si="58"/>
        <v>0</v>
      </c>
    </row>
    <row r="144" spans="1:14" s="57" customFormat="1" ht="13.8" outlineLevel="1" x14ac:dyDescent="0.3">
      <c r="A144" s="217">
        <v>19.100000000000001</v>
      </c>
      <c r="B144" s="218" t="s">
        <v>155</v>
      </c>
      <c r="C144" s="219" t="s">
        <v>28</v>
      </c>
      <c r="D144" s="220">
        <v>1</v>
      </c>
      <c r="E144" s="42">
        <v>1750194</v>
      </c>
      <c r="F144" s="42">
        <f t="shared" si="54"/>
        <v>1750194</v>
      </c>
      <c r="G144" s="181"/>
      <c r="H144" s="32"/>
      <c r="I144" s="245">
        <f>+'SVD 4140_Pto. 01_Cert. 04'!K144</f>
        <v>0</v>
      </c>
      <c r="J144" s="136"/>
      <c r="K144" s="79">
        <f t="shared" si="55"/>
        <v>0</v>
      </c>
      <c r="L144" s="201">
        <f t="shared" si="56"/>
        <v>0</v>
      </c>
      <c r="M144" s="201">
        <f t="shared" si="57"/>
        <v>0</v>
      </c>
      <c r="N144" s="201">
        <f t="shared" si="58"/>
        <v>0</v>
      </c>
    </row>
    <row r="145" spans="1:14" s="57" customFormat="1" ht="13.8" outlineLevel="1" x14ac:dyDescent="0.3">
      <c r="A145" s="217">
        <v>19.11</v>
      </c>
      <c r="B145" s="218" t="s">
        <v>156</v>
      </c>
      <c r="C145" s="219" t="s">
        <v>28</v>
      </c>
      <c r="D145" s="220">
        <v>1</v>
      </c>
      <c r="E145" s="42">
        <v>14001552</v>
      </c>
      <c r="F145" s="42">
        <f t="shared" si="54"/>
        <v>14001552</v>
      </c>
      <c r="G145" s="181"/>
      <c r="H145" s="32"/>
      <c r="I145" s="245">
        <f>+'SVD 4140_Pto. 01_Cert. 04'!K145</f>
        <v>0.1</v>
      </c>
      <c r="J145" s="141">
        <v>0.2</v>
      </c>
      <c r="K145" s="79">
        <f t="shared" si="55"/>
        <v>0.30000000000000004</v>
      </c>
      <c r="L145" s="201">
        <f t="shared" si="56"/>
        <v>1400155.2000000002</v>
      </c>
      <c r="M145" s="201">
        <f t="shared" si="57"/>
        <v>2800310.4000000004</v>
      </c>
      <c r="N145" s="201">
        <f t="shared" si="58"/>
        <v>4200465.6000000006</v>
      </c>
    </row>
    <row r="146" spans="1:14" s="57" customFormat="1" ht="13.8" outlineLevel="1" x14ac:dyDescent="0.3">
      <c r="A146" s="221">
        <v>19.12</v>
      </c>
      <c r="B146" s="222" t="s">
        <v>157</v>
      </c>
      <c r="C146" s="223" t="s">
        <v>28</v>
      </c>
      <c r="D146" s="224">
        <v>1</v>
      </c>
      <c r="E146" s="60">
        <v>10001109</v>
      </c>
      <c r="F146" s="60">
        <f t="shared" si="54"/>
        <v>10001109</v>
      </c>
      <c r="G146" s="181"/>
      <c r="H146" s="32"/>
      <c r="I146" s="245">
        <f>+'SVD 4140_Pto. 01_Cert. 04'!K146</f>
        <v>0</v>
      </c>
      <c r="J146" s="141"/>
      <c r="K146" s="79">
        <f t="shared" si="55"/>
        <v>0</v>
      </c>
      <c r="L146" s="201">
        <f t="shared" si="56"/>
        <v>0</v>
      </c>
      <c r="M146" s="201">
        <f t="shared" si="57"/>
        <v>0</v>
      </c>
      <c r="N146" s="201">
        <f t="shared" si="58"/>
        <v>0</v>
      </c>
    </row>
    <row r="147" spans="1:14" s="57" customFormat="1" ht="13.8" x14ac:dyDescent="0.3">
      <c r="A147" s="27"/>
      <c r="B147" s="28" t="s">
        <v>158</v>
      </c>
      <c r="C147" s="189"/>
      <c r="D147" s="65"/>
      <c r="E147" s="65"/>
      <c r="F147" s="65"/>
      <c r="G147" s="31">
        <f>+SUM(F148)</f>
        <v>2047485</v>
      </c>
      <c r="H147" s="32">
        <f>+G147/$G$185</f>
        <v>2.7832055289073467E-3</v>
      </c>
      <c r="I147" s="248"/>
      <c r="J147" s="206"/>
      <c r="K147" s="206"/>
      <c r="L147" s="206"/>
      <c r="M147" s="207"/>
      <c r="N147" s="208"/>
    </row>
    <row r="148" spans="1:14" s="57" customFormat="1" ht="13.8" outlineLevel="1" x14ac:dyDescent="0.3">
      <c r="A148" s="231">
        <v>19.13</v>
      </c>
      <c r="B148" s="232" t="s">
        <v>159</v>
      </c>
      <c r="C148" s="233" t="s">
        <v>28</v>
      </c>
      <c r="D148" s="234">
        <v>1</v>
      </c>
      <c r="E148" s="235">
        <v>2047485</v>
      </c>
      <c r="F148" s="235">
        <f t="shared" si="54"/>
        <v>2047485</v>
      </c>
      <c r="G148" s="181"/>
      <c r="H148" s="32"/>
      <c r="I148" s="245">
        <f>+'SVD 4140_Pto. 01_Cert. 04'!K148</f>
        <v>0</v>
      </c>
      <c r="J148" s="134">
        <v>0.2</v>
      </c>
      <c r="K148" s="135">
        <f t="shared" ref="K148" si="59">+I148+J148</f>
        <v>0.2</v>
      </c>
      <c r="L148" s="200">
        <f t="shared" ref="L148" si="60">+F148*I148</f>
        <v>0</v>
      </c>
      <c r="M148" s="200">
        <f t="shared" ref="M148" si="61">+F148*J148</f>
        <v>409497</v>
      </c>
      <c r="N148" s="200">
        <f t="shared" ref="N148" si="62">+F148*K148</f>
        <v>409497</v>
      </c>
    </row>
    <row r="149" spans="1:14" s="57" customFormat="1" ht="13.8" x14ac:dyDescent="0.3">
      <c r="A149" s="27"/>
      <c r="B149" s="28" t="s">
        <v>160</v>
      </c>
      <c r="C149" s="189"/>
      <c r="D149" s="65"/>
      <c r="E149" s="65"/>
      <c r="F149" s="65"/>
      <c r="G149" s="31">
        <f>+SUM(F150:F153)</f>
        <v>32512648</v>
      </c>
      <c r="H149" s="32">
        <f>+G149/$G$185</f>
        <v>4.4195381979852545E-2</v>
      </c>
      <c r="I149" s="248"/>
      <c r="J149" s="206"/>
      <c r="K149" s="206"/>
      <c r="L149" s="206"/>
      <c r="M149" s="207"/>
      <c r="N149" s="208"/>
    </row>
    <row r="150" spans="1:14" s="57" customFormat="1" ht="13.8" outlineLevel="1" x14ac:dyDescent="0.3">
      <c r="A150" s="213">
        <v>19.14</v>
      </c>
      <c r="B150" s="214" t="s">
        <v>161</v>
      </c>
      <c r="C150" s="215" t="s">
        <v>28</v>
      </c>
      <c r="D150" s="216">
        <v>1</v>
      </c>
      <c r="E150" s="37">
        <v>15888634</v>
      </c>
      <c r="F150" s="37">
        <f t="shared" si="54"/>
        <v>15888634</v>
      </c>
      <c r="G150" s="181"/>
      <c r="H150" s="32"/>
      <c r="I150" s="245">
        <f>+'SVD 4140_Pto. 01_Cert. 04'!K150</f>
        <v>0</v>
      </c>
      <c r="J150" s="134"/>
      <c r="K150" s="135">
        <f t="shared" ref="K150:K153" si="63">+I150+J150</f>
        <v>0</v>
      </c>
      <c r="L150" s="200">
        <f t="shared" ref="L150:L153" si="64">+F150*I150</f>
        <v>0</v>
      </c>
      <c r="M150" s="200">
        <f t="shared" ref="M150:M153" si="65">+F150*J150</f>
        <v>0</v>
      </c>
      <c r="N150" s="200">
        <f t="shared" ref="N150:N153" si="66">+F150*K150</f>
        <v>0</v>
      </c>
    </row>
    <row r="151" spans="1:14" s="57" customFormat="1" ht="13.8" outlineLevel="1" x14ac:dyDescent="0.3">
      <c r="A151" s="217">
        <v>19.149999999999999</v>
      </c>
      <c r="B151" s="218" t="s">
        <v>162</v>
      </c>
      <c r="C151" s="219" t="s">
        <v>28</v>
      </c>
      <c r="D151" s="220">
        <v>1</v>
      </c>
      <c r="E151" s="42">
        <v>6190377</v>
      </c>
      <c r="F151" s="42">
        <f t="shared" si="54"/>
        <v>6190377</v>
      </c>
      <c r="G151" s="181"/>
      <c r="H151" s="32"/>
      <c r="I151" s="245">
        <f>+'SVD 4140_Pto. 01_Cert. 04'!K151</f>
        <v>0</v>
      </c>
      <c r="J151" s="136"/>
      <c r="K151" s="79">
        <f t="shared" si="63"/>
        <v>0</v>
      </c>
      <c r="L151" s="201">
        <f t="shared" si="64"/>
        <v>0</v>
      </c>
      <c r="M151" s="201">
        <f t="shared" si="65"/>
        <v>0</v>
      </c>
      <c r="N151" s="201">
        <f t="shared" si="66"/>
        <v>0</v>
      </c>
    </row>
    <row r="152" spans="1:14" s="57" customFormat="1" ht="13.8" outlineLevel="1" x14ac:dyDescent="0.3">
      <c r="A152" s="217">
        <v>19.16</v>
      </c>
      <c r="B152" s="218" t="s">
        <v>163</v>
      </c>
      <c r="C152" s="219" t="s">
        <v>28</v>
      </c>
      <c r="D152" s="220">
        <v>1</v>
      </c>
      <c r="E152" s="42">
        <v>4952302</v>
      </c>
      <c r="F152" s="42">
        <f t="shared" si="54"/>
        <v>4952302</v>
      </c>
      <c r="G152" s="181"/>
      <c r="H152" s="32"/>
      <c r="I152" s="245">
        <f>+'SVD 4140_Pto. 01_Cert. 04'!K152</f>
        <v>0</v>
      </c>
      <c r="J152" s="136"/>
      <c r="K152" s="79">
        <f t="shared" si="63"/>
        <v>0</v>
      </c>
      <c r="L152" s="201">
        <f t="shared" si="64"/>
        <v>0</v>
      </c>
      <c r="M152" s="201">
        <f t="shared" si="65"/>
        <v>0</v>
      </c>
      <c r="N152" s="201">
        <f t="shared" si="66"/>
        <v>0</v>
      </c>
    </row>
    <row r="153" spans="1:14" s="57" customFormat="1" ht="13.8" outlineLevel="1" x14ac:dyDescent="0.3">
      <c r="A153" s="221">
        <v>19.170000000000002</v>
      </c>
      <c r="B153" s="222" t="s">
        <v>164</v>
      </c>
      <c r="C153" s="223" t="s">
        <v>28</v>
      </c>
      <c r="D153" s="224">
        <v>1</v>
      </c>
      <c r="E153" s="60">
        <v>5481335</v>
      </c>
      <c r="F153" s="60">
        <f t="shared" si="54"/>
        <v>5481335</v>
      </c>
      <c r="G153" s="181"/>
      <c r="H153" s="32"/>
      <c r="I153" s="245">
        <f>+'SVD 4140_Pto. 01_Cert. 04'!K153</f>
        <v>0</v>
      </c>
      <c r="J153" s="141"/>
      <c r="K153" s="79">
        <f t="shared" si="63"/>
        <v>0</v>
      </c>
      <c r="L153" s="201">
        <f t="shared" si="64"/>
        <v>0</v>
      </c>
      <c r="M153" s="201">
        <f t="shared" si="65"/>
        <v>0</v>
      </c>
      <c r="N153" s="201">
        <f t="shared" si="66"/>
        <v>0</v>
      </c>
    </row>
    <row r="154" spans="1:14" s="57" customFormat="1" ht="13.8" x14ac:dyDescent="0.3">
      <c r="A154" s="27"/>
      <c r="B154" s="28" t="s">
        <v>165</v>
      </c>
      <c r="C154" s="189"/>
      <c r="D154" s="65"/>
      <c r="E154" s="65"/>
      <c r="F154" s="65"/>
      <c r="G154" s="31">
        <f>+SUM(F155)</f>
        <v>5206701</v>
      </c>
      <c r="H154" s="32">
        <f>+G154/$G$185</f>
        <v>7.0776191330180257E-3</v>
      </c>
      <c r="I154" s="248"/>
      <c r="J154" s="206"/>
      <c r="K154" s="206"/>
      <c r="L154" s="206"/>
      <c r="M154" s="207"/>
      <c r="N154" s="208"/>
    </row>
    <row r="155" spans="1:14" s="57" customFormat="1" ht="13.8" outlineLevel="1" x14ac:dyDescent="0.3">
      <c r="A155" s="231">
        <v>19.170000000000002</v>
      </c>
      <c r="B155" s="232" t="s">
        <v>166</v>
      </c>
      <c r="C155" s="233" t="s">
        <v>28</v>
      </c>
      <c r="D155" s="234">
        <v>1</v>
      </c>
      <c r="E155" s="235">
        <v>5206701</v>
      </c>
      <c r="F155" s="235">
        <f t="shared" si="54"/>
        <v>5206701</v>
      </c>
      <c r="G155" s="181"/>
      <c r="H155" s="32"/>
      <c r="I155" s="245">
        <f>+'SVD 4140_Pto. 01_Cert. 04'!K155</f>
        <v>0</v>
      </c>
      <c r="J155" s="134"/>
      <c r="K155" s="135">
        <f t="shared" ref="K155" si="67">+I155+J155</f>
        <v>0</v>
      </c>
      <c r="L155" s="200">
        <f t="shared" ref="L155" si="68">+F155*I155</f>
        <v>0</v>
      </c>
      <c r="M155" s="200">
        <f t="shared" ref="M155" si="69">+F155*J155</f>
        <v>0</v>
      </c>
      <c r="N155" s="200">
        <f t="shared" ref="N155" si="70">+F155*K155</f>
        <v>0</v>
      </c>
    </row>
    <row r="156" spans="1:14" s="57" customFormat="1" ht="13.8" x14ac:dyDescent="0.3">
      <c r="A156" s="27"/>
      <c r="B156" s="28" t="s">
        <v>167</v>
      </c>
      <c r="C156" s="189"/>
      <c r="D156" s="65"/>
      <c r="E156" s="65"/>
      <c r="F156" s="65"/>
      <c r="G156" s="31">
        <f>+SUM(F157:F158)</f>
        <v>20260948</v>
      </c>
      <c r="H156" s="32">
        <f>+G156/$G$185</f>
        <v>2.7541292119114061E-2</v>
      </c>
      <c r="I156" s="248"/>
      <c r="J156" s="206"/>
      <c r="K156" s="206"/>
      <c r="L156" s="206"/>
      <c r="M156" s="207"/>
      <c r="N156" s="208"/>
    </row>
    <row r="157" spans="1:14" s="57" customFormat="1" ht="13.8" outlineLevel="1" x14ac:dyDescent="0.3">
      <c r="A157" s="213">
        <v>19.18</v>
      </c>
      <c r="B157" s="214" t="s">
        <v>168</v>
      </c>
      <c r="C157" s="215" t="s">
        <v>28</v>
      </c>
      <c r="D157" s="216">
        <v>1</v>
      </c>
      <c r="E157" s="37">
        <v>16584566</v>
      </c>
      <c r="F157" s="37">
        <f t="shared" si="54"/>
        <v>16584566</v>
      </c>
      <c r="G157" s="181"/>
      <c r="H157" s="32"/>
      <c r="I157" s="245">
        <f>+'SVD 4140_Pto. 01_Cert. 04'!K157</f>
        <v>0</v>
      </c>
      <c r="J157" s="134">
        <v>0.15</v>
      </c>
      <c r="K157" s="135">
        <f t="shared" ref="K157:K158" si="71">+I157+J157</f>
        <v>0.15</v>
      </c>
      <c r="L157" s="200">
        <f t="shared" ref="L157:L158" si="72">+F157*I157</f>
        <v>0</v>
      </c>
      <c r="M157" s="200">
        <f t="shared" ref="M157:M158" si="73">+F157*J157</f>
        <v>2487684.9</v>
      </c>
      <c r="N157" s="200">
        <f t="shared" ref="N157:N158" si="74">+F157*K157</f>
        <v>2487684.9</v>
      </c>
    </row>
    <row r="158" spans="1:14" s="57" customFormat="1" ht="13.8" outlineLevel="1" x14ac:dyDescent="0.3">
      <c r="A158" s="221">
        <v>19.190000000000001</v>
      </c>
      <c r="B158" s="222" t="s">
        <v>169</v>
      </c>
      <c r="C158" s="223" t="s">
        <v>28</v>
      </c>
      <c r="D158" s="224">
        <v>1</v>
      </c>
      <c r="E158" s="60">
        <v>3676382</v>
      </c>
      <c r="F158" s="60">
        <f t="shared" si="54"/>
        <v>3676382</v>
      </c>
      <c r="G158" s="181"/>
      <c r="H158" s="32"/>
      <c r="I158" s="245">
        <f>+'SVD 4140_Pto. 01_Cert. 04'!K158</f>
        <v>0.2</v>
      </c>
      <c r="J158" s="141"/>
      <c r="K158" s="79">
        <f t="shared" si="71"/>
        <v>0.2</v>
      </c>
      <c r="L158" s="201">
        <f t="shared" si="72"/>
        <v>735276.4</v>
      </c>
      <c r="M158" s="201">
        <f t="shared" si="73"/>
        <v>0</v>
      </c>
      <c r="N158" s="201">
        <f t="shared" si="74"/>
        <v>735276.4</v>
      </c>
    </row>
    <row r="159" spans="1:14" s="57" customFormat="1" ht="13.8" x14ac:dyDescent="0.3">
      <c r="A159" s="27">
        <v>20</v>
      </c>
      <c r="B159" s="28" t="s">
        <v>170</v>
      </c>
      <c r="C159" s="189"/>
      <c r="D159" s="65"/>
      <c r="E159" s="65"/>
      <c r="F159" s="65"/>
      <c r="G159" s="31">
        <f>+SUM(F160:F161)</f>
        <v>35197776</v>
      </c>
      <c r="H159" s="32">
        <f>+G159/$G$185</f>
        <v>4.7845354065325175E-2</v>
      </c>
      <c r="I159" s="248"/>
      <c r="J159" s="206"/>
      <c r="K159" s="206"/>
      <c r="L159" s="206"/>
      <c r="M159" s="207"/>
      <c r="N159" s="208"/>
    </row>
    <row r="160" spans="1:14" s="57" customFormat="1" ht="13.8" outlineLevel="1" x14ac:dyDescent="0.3">
      <c r="A160" s="213">
        <v>20.010000000000002</v>
      </c>
      <c r="B160" s="214" t="s">
        <v>171</v>
      </c>
      <c r="C160" s="215" t="s">
        <v>47</v>
      </c>
      <c r="D160" s="216">
        <v>36</v>
      </c>
      <c r="E160" s="37">
        <v>740165</v>
      </c>
      <c r="F160" s="37">
        <f t="shared" si="54"/>
        <v>26645940</v>
      </c>
      <c r="G160" s="181"/>
      <c r="H160" s="32"/>
      <c r="I160" s="245">
        <f>+'SVD 4140_Pto. 01_Cert. 04'!K160</f>
        <v>0</v>
      </c>
      <c r="J160" s="134"/>
      <c r="K160" s="135">
        <f t="shared" ref="K160:K161" si="75">+I160+J160</f>
        <v>0</v>
      </c>
      <c r="L160" s="200">
        <f t="shared" ref="L160:L161" si="76">+F160*I160</f>
        <v>0</v>
      </c>
      <c r="M160" s="200">
        <f t="shared" ref="M160:M161" si="77">+F160*J160</f>
        <v>0</v>
      </c>
      <c r="N160" s="200">
        <f t="shared" ref="N160:N161" si="78">+F160*K160</f>
        <v>0</v>
      </c>
    </row>
    <row r="161" spans="1:14" s="57" customFormat="1" ht="13.8" outlineLevel="1" x14ac:dyDescent="0.3">
      <c r="A161" s="221">
        <v>20.02</v>
      </c>
      <c r="B161" s="222" t="s">
        <v>172</v>
      </c>
      <c r="C161" s="223" t="s">
        <v>47</v>
      </c>
      <c r="D161" s="224">
        <v>36</v>
      </c>
      <c r="E161" s="60">
        <v>237551</v>
      </c>
      <c r="F161" s="60">
        <f t="shared" si="54"/>
        <v>8551836</v>
      </c>
      <c r="G161" s="181"/>
      <c r="H161" s="32"/>
      <c r="I161" s="245">
        <f>+'SVD 4140_Pto. 01_Cert. 04'!K161</f>
        <v>0</v>
      </c>
      <c r="J161" s="141"/>
      <c r="K161" s="79">
        <f t="shared" si="75"/>
        <v>0</v>
      </c>
      <c r="L161" s="201">
        <f t="shared" si="76"/>
        <v>0</v>
      </c>
      <c r="M161" s="201">
        <f t="shared" si="77"/>
        <v>0</v>
      </c>
      <c r="N161" s="201">
        <f t="shared" si="78"/>
        <v>0</v>
      </c>
    </row>
    <row r="162" spans="1:14" s="57" customFormat="1" ht="13.8" x14ac:dyDescent="0.3">
      <c r="A162" s="27">
        <v>21</v>
      </c>
      <c r="B162" s="28" t="s">
        <v>173</v>
      </c>
      <c r="C162" s="189"/>
      <c r="D162" s="65"/>
      <c r="E162" s="65"/>
      <c r="F162" s="65"/>
      <c r="G162" s="31">
        <f>+SUM(F163)</f>
        <v>0</v>
      </c>
      <c r="H162" s="32">
        <f>+G162/$G$185</f>
        <v>0</v>
      </c>
      <c r="I162" s="248"/>
      <c r="J162" s="206"/>
      <c r="K162" s="206"/>
      <c r="L162" s="206"/>
      <c r="M162" s="207"/>
      <c r="N162" s="208"/>
    </row>
    <row r="163" spans="1:14" s="57" customFormat="1" ht="13.8" outlineLevel="1" x14ac:dyDescent="0.3">
      <c r="A163" s="231">
        <v>21.01</v>
      </c>
      <c r="B163" s="232" t="s">
        <v>174</v>
      </c>
      <c r="C163" s="233" t="s">
        <v>28</v>
      </c>
      <c r="D163" s="234">
        <v>0</v>
      </c>
      <c r="E163" s="235">
        <v>0</v>
      </c>
      <c r="F163" s="235">
        <f t="shared" si="54"/>
        <v>0</v>
      </c>
      <c r="G163" s="181"/>
      <c r="H163" s="32"/>
      <c r="I163" s="245">
        <f>+'SVD 4140_Pto. 01_Cert. 04'!K163</f>
        <v>0</v>
      </c>
      <c r="J163" s="134"/>
      <c r="K163" s="135">
        <f t="shared" ref="K163" si="79">+I163+J163</f>
        <v>0</v>
      </c>
      <c r="L163" s="200">
        <f t="shared" ref="L163" si="80">+F163*I163</f>
        <v>0</v>
      </c>
      <c r="M163" s="200">
        <f t="shared" ref="M163" si="81">+F163*J163</f>
        <v>0</v>
      </c>
      <c r="N163" s="200">
        <f t="shared" ref="N163" si="82">+F163*K163</f>
        <v>0</v>
      </c>
    </row>
    <row r="164" spans="1:14" s="57" customFormat="1" ht="13.8" x14ac:dyDescent="0.3">
      <c r="A164" s="27">
        <v>22</v>
      </c>
      <c r="B164" s="28" t="s">
        <v>175</v>
      </c>
      <c r="C164" s="189"/>
      <c r="D164" s="65"/>
      <c r="E164" s="65"/>
      <c r="F164" s="65"/>
      <c r="G164" s="31">
        <f>+SUM(F165:F166)</f>
        <v>2671152</v>
      </c>
      <c r="H164" s="32">
        <f>+G164/$G$185</f>
        <v>3.630974104792913E-3</v>
      </c>
      <c r="I164" s="248"/>
      <c r="J164" s="206"/>
      <c r="K164" s="206"/>
      <c r="L164" s="206"/>
      <c r="M164" s="207"/>
      <c r="N164" s="208"/>
    </row>
    <row r="165" spans="1:14" s="57" customFormat="1" ht="13.8" outlineLevel="1" x14ac:dyDescent="0.3">
      <c r="A165" s="213">
        <v>22.01</v>
      </c>
      <c r="B165" s="214" t="s">
        <v>176</v>
      </c>
      <c r="C165" s="215" t="s">
        <v>47</v>
      </c>
      <c r="D165" s="216">
        <v>16</v>
      </c>
      <c r="E165" s="37">
        <v>80944</v>
      </c>
      <c r="F165" s="37">
        <f t="shared" si="54"/>
        <v>1295104</v>
      </c>
      <c r="G165" s="181"/>
      <c r="H165" s="32"/>
      <c r="I165" s="245">
        <f>+'SVD 4140_Pto. 01_Cert. 04'!K165</f>
        <v>0</v>
      </c>
      <c r="J165" s="141"/>
      <c r="K165" s="79">
        <f t="shared" ref="K165:K166" si="83">+I165+J165</f>
        <v>0</v>
      </c>
      <c r="L165" s="201">
        <f t="shared" ref="L165:L166" si="84">+F165*I165</f>
        <v>0</v>
      </c>
      <c r="M165" s="201">
        <f t="shared" ref="M165:M166" si="85">+F165*J165</f>
        <v>0</v>
      </c>
      <c r="N165" s="201">
        <f t="shared" ref="N165:N166" si="86">+F165*K165</f>
        <v>0</v>
      </c>
    </row>
    <row r="166" spans="1:14" s="57" customFormat="1" ht="13.8" outlineLevel="1" x14ac:dyDescent="0.3">
      <c r="A166" s="221">
        <v>22.02</v>
      </c>
      <c r="B166" s="222" t="s">
        <v>177</v>
      </c>
      <c r="C166" s="223" t="s">
        <v>47</v>
      </c>
      <c r="D166" s="224">
        <v>17</v>
      </c>
      <c r="E166" s="60">
        <v>80944</v>
      </c>
      <c r="F166" s="60">
        <f t="shared" si="54"/>
        <v>1376048</v>
      </c>
      <c r="G166" s="181"/>
      <c r="H166" s="32"/>
      <c r="I166" s="245">
        <f>+'SVD 4140_Pto. 01_Cert. 04'!K166</f>
        <v>0</v>
      </c>
      <c r="J166" s="141"/>
      <c r="K166" s="79">
        <f t="shared" si="83"/>
        <v>0</v>
      </c>
      <c r="L166" s="201">
        <f t="shared" si="84"/>
        <v>0</v>
      </c>
      <c r="M166" s="201">
        <f t="shared" si="85"/>
        <v>0</v>
      </c>
      <c r="N166" s="201">
        <f t="shared" si="86"/>
        <v>0</v>
      </c>
    </row>
    <row r="167" spans="1:14" s="57" customFormat="1" ht="13.8" x14ac:dyDescent="0.3">
      <c r="A167" s="27">
        <v>23</v>
      </c>
      <c r="B167" s="28" t="s">
        <v>178</v>
      </c>
      <c r="C167" s="189"/>
      <c r="D167" s="65"/>
      <c r="E167" s="65"/>
      <c r="F167" s="65"/>
      <c r="G167" s="31">
        <f>+SUM(F168:F170)</f>
        <v>4668180</v>
      </c>
      <c r="H167" s="32">
        <f>+G167/$G$185</f>
        <v>6.3455919754892946E-3</v>
      </c>
      <c r="I167" s="248"/>
      <c r="J167" s="206"/>
      <c r="K167" s="206"/>
      <c r="L167" s="206"/>
      <c r="M167" s="207"/>
      <c r="N167" s="208"/>
    </row>
    <row r="168" spans="1:14" s="57" customFormat="1" ht="13.8" outlineLevel="1" x14ac:dyDescent="0.3">
      <c r="A168" s="213">
        <v>23.01</v>
      </c>
      <c r="B168" s="214" t="s">
        <v>179</v>
      </c>
      <c r="C168" s="215" t="s">
        <v>28</v>
      </c>
      <c r="D168" s="216">
        <v>7</v>
      </c>
      <c r="E168" s="37">
        <v>446402</v>
      </c>
      <c r="F168" s="37">
        <f t="shared" si="54"/>
        <v>3124814</v>
      </c>
      <c r="G168" s="181"/>
      <c r="H168" s="32"/>
      <c r="I168" s="245">
        <f>+'SVD 4140_Pto. 01_Cert. 04'!K168</f>
        <v>0</v>
      </c>
      <c r="J168" s="134">
        <v>0.1</v>
      </c>
      <c r="K168" s="135">
        <f t="shared" ref="K168:K170" si="87">+I168+J168</f>
        <v>0.1</v>
      </c>
      <c r="L168" s="200">
        <f t="shared" ref="L168:L170" si="88">+F168*I168</f>
        <v>0</v>
      </c>
      <c r="M168" s="200">
        <f t="shared" ref="M168:M170" si="89">+F168*J168</f>
        <v>312481.40000000002</v>
      </c>
      <c r="N168" s="200">
        <f t="shared" ref="N168:N170" si="90">+F168*K168</f>
        <v>312481.40000000002</v>
      </c>
    </row>
    <row r="169" spans="1:14" s="57" customFormat="1" ht="13.8" outlineLevel="1" x14ac:dyDescent="0.3">
      <c r="A169" s="217">
        <v>23.02</v>
      </c>
      <c r="B169" s="218" t="s">
        <v>180</v>
      </c>
      <c r="C169" s="219" t="s">
        <v>28</v>
      </c>
      <c r="D169" s="220">
        <v>1</v>
      </c>
      <c r="E169" s="42">
        <v>672060</v>
      </c>
      <c r="F169" s="42">
        <f t="shared" si="54"/>
        <v>672060</v>
      </c>
      <c r="G169" s="181"/>
      <c r="H169" s="32"/>
      <c r="I169" s="245">
        <f>+'SVD 4140_Pto. 01_Cert. 04'!K169</f>
        <v>0</v>
      </c>
      <c r="J169" s="141"/>
      <c r="K169" s="79">
        <f t="shared" si="87"/>
        <v>0</v>
      </c>
      <c r="L169" s="201">
        <f t="shared" si="88"/>
        <v>0</v>
      </c>
      <c r="M169" s="201">
        <f t="shared" si="89"/>
        <v>0</v>
      </c>
      <c r="N169" s="201">
        <f t="shared" si="90"/>
        <v>0</v>
      </c>
    </row>
    <row r="170" spans="1:14" s="57" customFormat="1" ht="13.8" outlineLevel="1" x14ac:dyDescent="0.3">
      <c r="A170" s="221">
        <v>23.03</v>
      </c>
      <c r="B170" s="222" t="s">
        <v>181</v>
      </c>
      <c r="C170" s="223" t="s">
        <v>28</v>
      </c>
      <c r="D170" s="224">
        <v>1</v>
      </c>
      <c r="E170" s="60">
        <v>871306</v>
      </c>
      <c r="F170" s="60">
        <f t="shared" si="54"/>
        <v>871306</v>
      </c>
      <c r="G170" s="181"/>
      <c r="H170" s="32"/>
      <c r="I170" s="245">
        <f>+'SVD 4140_Pto. 01_Cert. 04'!K170</f>
        <v>0</v>
      </c>
      <c r="J170" s="141"/>
      <c r="K170" s="79">
        <f t="shared" si="87"/>
        <v>0</v>
      </c>
      <c r="L170" s="201">
        <f t="shared" si="88"/>
        <v>0</v>
      </c>
      <c r="M170" s="201">
        <f t="shared" si="89"/>
        <v>0</v>
      </c>
      <c r="N170" s="201">
        <f t="shared" si="90"/>
        <v>0</v>
      </c>
    </row>
    <row r="171" spans="1:14" s="57" customFormat="1" ht="13.8" x14ac:dyDescent="0.3">
      <c r="A171" s="27">
        <v>24</v>
      </c>
      <c r="B171" s="28" t="s">
        <v>182</v>
      </c>
      <c r="C171" s="189"/>
      <c r="D171" s="65"/>
      <c r="E171" s="65"/>
      <c r="F171" s="65"/>
      <c r="G171" s="31">
        <f>+SUM(F172:F181)</f>
        <v>16311090</v>
      </c>
      <c r="H171" s="32">
        <f>+G171/$G$185</f>
        <v>2.2172135996359112E-2</v>
      </c>
      <c r="I171" s="248"/>
      <c r="J171" s="206"/>
      <c r="K171" s="206"/>
      <c r="L171" s="206"/>
      <c r="M171" s="207"/>
      <c r="N171" s="208"/>
    </row>
    <row r="172" spans="1:14" s="57" customFormat="1" ht="13.8" outlineLevel="1" x14ac:dyDescent="0.3">
      <c r="A172" s="213">
        <v>24.01</v>
      </c>
      <c r="B172" s="214" t="s">
        <v>183</v>
      </c>
      <c r="C172" s="215" t="s">
        <v>184</v>
      </c>
      <c r="D172" s="216">
        <v>6</v>
      </c>
      <c r="E172" s="37">
        <v>753138</v>
      </c>
      <c r="F172" s="37">
        <f t="shared" si="54"/>
        <v>4518828</v>
      </c>
      <c r="G172" s="181"/>
      <c r="H172" s="32"/>
      <c r="I172" s="245">
        <f>+'SVD 4140_Pto. 01_Cert. 04'!K172</f>
        <v>0.1</v>
      </c>
      <c r="J172" s="134">
        <v>0.1</v>
      </c>
      <c r="K172" s="135">
        <f t="shared" ref="K172:K181" si="91">+I172+J172</f>
        <v>0.2</v>
      </c>
      <c r="L172" s="200">
        <f t="shared" ref="L172:L181" si="92">+F172*I172</f>
        <v>451882.80000000005</v>
      </c>
      <c r="M172" s="200">
        <f t="shared" ref="M172:M181" si="93">+F172*J172</f>
        <v>451882.80000000005</v>
      </c>
      <c r="N172" s="200">
        <f t="shared" ref="N172:N181" si="94">+F172*K172</f>
        <v>903765.60000000009</v>
      </c>
    </row>
    <row r="173" spans="1:14" s="57" customFormat="1" ht="13.8" outlineLevel="1" x14ac:dyDescent="0.3">
      <c r="A173" s="217">
        <v>24.02</v>
      </c>
      <c r="B173" s="218" t="s">
        <v>185</v>
      </c>
      <c r="C173" s="219" t="s">
        <v>184</v>
      </c>
      <c r="D173" s="220"/>
      <c r="E173" s="42">
        <v>1944871</v>
      </c>
      <c r="F173" s="42">
        <f t="shared" si="54"/>
        <v>0</v>
      </c>
      <c r="G173" s="181"/>
      <c r="H173" s="32"/>
      <c r="I173" s="245">
        <f>+'SVD 4140_Pto. 01_Cert. 04'!K173</f>
        <v>0</v>
      </c>
      <c r="J173" s="141"/>
      <c r="K173" s="79">
        <f t="shared" si="91"/>
        <v>0</v>
      </c>
      <c r="L173" s="201">
        <f t="shared" si="92"/>
        <v>0</v>
      </c>
      <c r="M173" s="201">
        <f t="shared" si="93"/>
        <v>0</v>
      </c>
      <c r="N173" s="201">
        <f t="shared" si="94"/>
        <v>0</v>
      </c>
    </row>
    <row r="174" spans="1:14" s="57" customFormat="1" ht="13.8" outlineLevel="1" x14ac:dyDescent="0.3">
      <c r="A174" s="217">
        <v>24.03</v>
      </c>
      <c r="B174" s="218" t="s">
        <v>186</v>
      </c>
      <c r="C174" s="219" t="s">
        <v>184</v>
      </c>
      <c r="D174" s="220">
        <v>6</v>
      </c>
      <c r="E174" s="42">
        <v>188533</v>
      </c>
      <c r="F174" s="42">
        <f t="shared" si="54"/>
        <v>1131198</v>
      </c>
      <c r="G174" s="181"/>
      <c r="H174" s="32"/>
      <c r="I174" s="245">
        <f>+'SVD 4140_Pto. 01_Cert. 04'!K174</f>
        <v>0.1</v>
      </c>
      <c r="J174" s="141">
        <v>0.1</v>
      </c>
      <c r="K174" s="79">
        <f t="shared" si="91"/>
        <v>0.2</v>
      </c>
      <c r="L174" s="201">
        <f t="shared" si="92"/>
        <v>113119.8</v>
      </c>
      <c r="M174" s="201">
        <f t="shared" si="93"/>
        <v>113119.8</v>
      </c>
      <c r="N174" s="201">
        <f t="shared" si="94"/>
        <v>226239.6</v>
      </c>
    </row>
    <row r="175" spans="1:14" s="57" customFormat="1" ht="13.8" outlineLevel="1" x14ac:dyDescent="0.3">
      <c r="A175" s="217">
        <v>24.04</v>
      </c>
      <c r="B175" s="218" t="s">
        <v>187</v>
      </c>
      <c r="C175" s="219" t="s">
        <v>28</v>
      </c>
      <c r="D175" s="220"/>
      <c r="E175" s="42">
        <v>4606562</v>
      </c>
      <c r="F175" s="42">
        <f t="shared" si="54"/>
        <v>0</v>
      </c>
      <c r="G175" s="181"/>
      <c r="H175" s="32"/>
      <c r="I175" s="245">
        <f>+'SVD 4140_Pto. 01_Cert. 04'!K175</f>
        <v>0</v>
      </c>
      <c r="J175" s="141"/>
      <c r="K175" s="79">
        <f t="shared" si="91"/>
        <v>0</v>
      </c>
      <c r="L175" s="201">
        <f t="shared" si="92"/>
        <v>0</v>
      </c>
      <c r="M175" s="201">
        <f t="shared" si="93"/>
        <v>0</v>
      </c>
      <c r="N175" s="201">
        <f t="shared" si="94"/>
        <v>0</v>
      </c>
    </row>
    <row r="176" spans="1:14" s="57" customFormat="1" ht="13.8" outlineLevel="1" x14ac:dyDescent="0.3">
      <c r="A176" s="217">
        <v>24.05</v>
      </c>
      <c r="B176" s="218" t="s">
        <v>188</v>
      </c>
      <c r="C176" s="219" t="s">
        <v>184</v>
      </c>
      <c r="D176" s="220">
        <v>6</v>
      </c>
      <c r="E176" s="42">
        <v>696152</v>
      </c>
      <c r="F176" s="42">
        <f t="shared" si="54"/>
        <v>4176912</v>
      </c>
      <c r="G176" s="181"/>
      <c r="H176" s="32"/>
      <c r="I176" s="245">
        <f>+'SVD 4140_Pto. 01_Cert. 04'!K176</f>
        <v>0</v>
      </c>
      <c r="J176" s="141">
        <v>0.1</v>
      </c>
      <c r="K176" s="79">
        <f t="shared" si="91"/>
        <v>0.1</v>
      </c>
      <c r="L176" s="201">
        <f t="shared" si="92"/>
        <v>0</v>
      </c>
      <c r="M176" s="201">
        <f t="shared" si="93"/>
        <v>417691.2</v>
      </c>
      <c r="N176" s="201">
        <f t="shared" si="94"/>
        <v>417691.2</v>
      </c>
    </row>
    <row r="177" spans="1:14" s="57" customFormat="1" ht="13.8" outlineLevel="1" x14ac:dyDescent="0.3">
      <c r="A177" s="217">
        <v>24.06</v>
      </c>
      <c r="B177" s="218" t="s">
        <v>189</v>
      </c>
      <c r="C177" s="219" t="s">
        <v>184</v>
      </c>
      <c r="D177" s="220">
        <v>6</v>
      </c>
      <c r="E177" s="42">
        <v>452333</v>
      </c>
      <c r="F177" s="42">
        <f t="shared" si="54"/>
        <v>2713998</v>
      </c>
      <c r="G177" s="181"/>
      <c r="H177" s="32"/>
      <c r="I177" s="245">
        <f>+'SVD 4140_Pto. 01_Cert. 04'!K177</f>
        <v>0</v>
      </c>
      <c r="J177" s="141">
        <v>0.1</v>
      </c>
      <c r="K177" s="79">
        <f t="shared" si="91"/>
        <v>0.1</v>
      </c>
      <c r="L177" s="201">
        <f t="shared" si="92"/>
        <v>0</v>
      </c>
      <c r="M177" s="201">
        <f t="shared" si="93"/>
        <v>271399.8</v>
      </c>
      <c r="N177" s="201">
        <f t="shared" si="94"/>
        <v>271399.8</v>
      </c>
    </row>
    <row r="178" spans="1:14" s="57" customFormat="1" ht="13.8" outlineLevel="1" x14ac:dyDescent="0.3">
      <c r="A178" s="217">
        <v>24.07</v>
      </c>
      <c r="B178" s="218" t="s">
        <v>190</v>
      </c>
      <c r="C178" s="219" t="s">
        <v>28</v>
      </c>
      <c r="D178" s="220">
        <v>0</v>
      </c>
      <c r="E178" s="42">
        <v>0</v>
      </c>
      <c r="F178" s="42">
        <f t="shared" si="54"/>
        <v>0</v>
      </c>
      <c r="G178" s="181"/>
      <c r="H178" s="32"/>
      <c r="I178" s="245">
        <f>+'SVD 4140_Pto. 01_Cert. 04'!K178</f>
        <v>0</v>
      </c>
      <c r="J178" s="141"/>
      <c r="K178" s="79">
        <f t="shared" si="91"/>
        <v>0</v>
      </c>
      <c r="L178" s="201">
        <f t="shared" si="92"/>
        <v>0</v>
      </c>
      <c r="M178" s="201">
        <f t="shared" si="93"/>
        <v>0</v>
      </c>
      <c r="N178" s="201">
        <f t="shared" si="94"/>
        <v>0</v>
      </c>
    </row>
    <row r="179" spans="1:14" s="57" customFormat="1" ht="13.8" outlineLevel="1" x14ac:dyDescent="0.3">
      <c r="A179" s="217">
        <v>24.08</v>
      </c>
      <c r="B179" s="218" t="s">
        <v>191</v>
      </c>
      <c r="C179" s="219" t="s">
        <v>184</v>
      </c>
      <c r="D179" s="220">
        <v>6</v>
      </c>
      <c r="E179" s="42">
        <v>314221</v>
      </c>
      <c r="F179" s="42">
        <f t="shared" si="54"/>
        <v>1885326</v>
      </c>
      <c r="G179" s="181"/>
      <c r="H179" s="32"/>
      <c r="I179" s="245">
        <f>+'SVD 4140_Pto. 01_Cert. 04'!K179</f>
        <v>0</v>
      </c>
      <c r="J179" s="141">
        <v>0.1</v>
      </c>
      <c r="K179" s="79">
        <f t="shared" si="91"/>
        <v>0.1</v>
      </c>
      <c r="L179" s="201">
        <f t="shared" si="92"/>
        <v>0</v>
      </c>
      <c r="M179" s="201">
        <f t="shared" si="93"/>
        <v>188532.6</v>
      </c>
      <c r="N179" s="201">
        <f t="shared" si="94"/>
        <v>188532.6</v>
      </c>
    </row>
    <row r="180" spans="1:14" s="57" customFormat="1" ht="13.8" outlineLevel="1" x14ac:dyDescent="0.3">
      <c r="A180" s="217">
        <v>24.09</v>
      </c>
      <c r="B180" s="218" t="s">
        <v>192</v>
      </c>
      <c r="C180" s="219" t="s">
        <v>184</v>
      </c>
      <c r="D180" s="220">
        <v>4</v>
      </c>
      <c r="E180" s="42">
        <v>0</v>
      </c>
      <c r="F180" s="42">
        <f t="shared" si="54"/>
        <v>0</v>
      </c>
      <c r="G180" s="181"/>
      <c r="H180" s="32"/>
      <c r="I180" s="245">
        <f>+'SVD 4140_Pto. 01_Cert. 04'!K180</f>
        <v>0</v>
      </c>
      <c r="J180" s="141"/>
      <c r="K180" s="79">
        <f t="shared" si="91"/>
        <v>0</v>
      </c>
      <c r="L180" s="201">
        <f t="shared" si="92"/>
        <v>0</v>
      </c>
      <c r="M180" s="201">
        <f t="shared" si="93"/>
        <v>0</v>
      </c>
      <c r="N180" s="201">
        <f t="shared" si="94"/>
        <v>0</v>
      </c>
    </row>
    <row r="181" spans="1:14" s="57" customFormat="1" ht="13.8" outlineLevel="1" x14ac:dyDescent="0.3">
      <c r="A181" s="221">
        <v>24.1</v>
      </c>
      <c r="B181" s="222" t="s">
        <v>193</v>
      </c>
      <c r="C181" s="223" t="s">
        <v>184</v>
      </c>
      <c r="D181" s="224">
        <v>6</v>
      </c>
      <c r="E181" s="60">
        <v>314138</v>
      </c>
      <c r="F181" s="60">
        <f t="shared" si="54"/>
        <v>1884828</v>
      </c>
      <c r="G181" s="181"/>
      <c r="H181" s="32"/>
      <c r="I181" s="245">
        <f>+'SVD 4140_Pto. 01_Cert. 04'!K181</f>
        <v>0</v>
      </c>
      <c r="J181" s="141">
        <v>0.1</v>
      </c>
      <c r="K181" s="79">
        <f t="shared" si="91"/>
        <v>0.1</v>
      </c>
      <c r="L181" s="201">
        <f t="shared" si="92"/>
        <v>0</v>
      </c>
      <c r="M181" s="201">
        <f t="shared" si="93"/>
        <v>188482.80000000002</v>
      </c>
      <c r="N181" s="201">
        <f t="shared" si="94"/>
        <v>188482.80000000002</v>
      </c>
    </row>
    <row r="182" spans="1:14" s="57" customFormat="1" ht="13.8" x14ac:dyDescent="0.3">
      <c r="A182" s="27">
        <v>25</v>
      </c>
      <c r="B182" s="28" t="s">
        <v>194</v>
      </c>
      <c r="C182" s="189"/>
      <c r="D182" s="65"/>
      <c r="E182" s="65"/>
      <c r="F182" s="65"/>
      <c r="G182" s="31">
        <f>+SUM(F183:F184)</f>
        <v>32415288</v>
      </c>
      <c r="H182" s="32">
        <f>+G182/$G$185</f>
        <v>4.4063037718334433E-2</v>
      </c>
      <c r="I182" s="248"/>
      <c r="J182" s="206"/>
      <c r="K182" s="206"/>
      <c r="L182" s="206"/>
      <c r="M182" s="207"/>
      <c r="N182" s="208"/>
    </row>
    <row r="183" spans="1:14" s="57" customFormat="1" ht="13.8" outlineLevel="1" x14ac:dyDescent="0.3">
      <c r="A183" s="213">
        <v>25.01</v>
      </c>
      <c r="B183" s="214" t="s">
        <v>195</v>
      </c>
      <c r="C183" s="215" t="s">
        <v>184</v>
      </c>
      <c r="D183" s="216">
        <v>6</v>
      </c>
      <c r="E183" s="37">
        <v>4774106</v>
      </c>
      <c r="F183" s="37">
        <f t="shared" si="54"/>
        <v>28644636</v>
      </c>
      <c r="G183" s="181"/>
      <c r="H183" s="32"/>
      <c r="I183" s="245">
        <f>+'SVD 4140_Pto. 01_Cert. 04'!K183</f>
        <v>0.1</v>
      </c>
      <c r="J183" s="141">
        <v>0.1</v>
      </c>
      <c r="K183" s="79">
        <f t="shared" ref="K183:K184" si="95">+I183+J183</f>
        <v>0.2</v>
      </c>
      <c r="L183" s="201">
        <f t="shared" ref="L183:L184" si="96">+F183*I183</f>
        <v>2864463.6</v>
      </c>
      <c r="M183" s="201">
        <f t="shared" ref="M183:M184" si="97">+F183*J183</f>
        <v>2864463.6</v>
      </c>
      <c r="N183" s="201">
        <f t="shared" ref="N183:N184" si="98">+F183*K183</f>
        <v>5728927.2000000002</v>
      </c>
    </row>
    <row r="184" spans="1:14" s="57" customFormat="1" ht="13.8" outlineLevel="1" x14ac:dyDescent="0.3">
      <c r="A184" s="221">
        <v>25.02</v>
      </c>
      <c r="B184" s="222" t="s">
        <v>196</v>
      </c>
      <c r="C184" s="223" t="s">
        <v>184</v>
      </c>
      <c r="D184" s="224">
        <v>6</v>
      </c>
      <c r="E184" s="60">
        <v>628442</v>
      </c>
      <c r="F184" s="60">
        <f t="shared" si="54"/>
        <v>3770652</v>
      </c>
      <c r="G184" s="181"/>
      <c r="H184" s="32"/>
      <c r="I184" s="245">
        <f>+'SVD 4140_Pto. 01_Cert. 04'!K184</f>
        <v>0.1</v>
      </c>
      <c r="J184" s="141">
        <v>0.1</v>
      </c>
      <c r="K184" s="79">
        <f t="shared" si="95"/>
        <v>0.2</v>
      </c>
      <c r="L184" s="201">
        <f t="shared" si="96"/>
        <v>377065.2</v>
      </c>
      <c r="M184" s="201">
        <f t="shared" si="97"/>
        <v>377065.2</v>
      </c>
      <c r="N184" s="201">
        <f t="shared" si="98"/>
        <v>754130.4</v>
      </c>
    </row>
    <row r="185" spans="1:14" s="57" customFormat="1" ht="13.8" x14ac:dyDescent="0.3">
      <c r="A185" s="27"/>
      <c r="B185" s="28" t="s">
        <v>197</v>
      </c>
      <c r="C185" s="189"/>
      <c r="D185" s="65"/>
      <c r="E185" s="65"/>
      <c r="F185" s="65">
        <f>+SUM(F9:F184)</f>
        <v>735657133.01950002</v>
      </c>
      <c r="G185" s="31">
        <f>+SUM(G9:G184)</f>
        <v>735657133.01950002</v>
      </c>
      <c r="H185" s="32">
        <f>+SUM(H9:H184)</f>
        <v>1</v>
      </c>
      <c r="I185" s="205"/>
      <c r="J185" s="206"/>
      <c r="K185" s="206"/>
      <c r="L185" s="237">
        <f>+SUM(L10:L184)</f>
        <v>84193430.447349995</v>
      </c>
      <c r="M185" s="237">
        <f>+SUM(M10:M184)</f>
        <v>26529078.970100008</v>
      </c>
      <c r="N185" s="238">
        <f>+SUM(N10:N184)</f>
        <v>110722509.41745</v>
      </c>
    </row>
    <row r="186" spans="1:14" s="57" customFormat="1" ht="13.8" x14ac:dyDescent="0.3">
      <c r="A186" s="178"/>
      <c r="B186" s="145" t="s">
        <v>198</v>
      </c>
      <c r="C186" s="179"/>
      <c r="D186" s="180"/>
      <c r="E186" s="181"/>
      <c r="F186" s="181"/>
      <c r="G186" s="181"/>
      <c r="H186" s="32"/>
      <c r="L186" s="7"/>
      <c r="M186" s="170">
        <f>+M185/G185</f>
        <v>3.606174368378863E-2</v>
      </c>
      <c r="N186" s="170">
        <f>+N185/G185</f>
        <v>0.15050830672026541</v>
      </c>
    </row>
    <row r="187" spans="1:14" s="57" customFormat="1" ht="13.8" x14ac:dyDescent="0.3">
      <c r="A187" s="178"/>
      <c r="B187" s="145"/>
      <c r="C187" s="179"/>
      <c r="D187" s="180"/>
      <c r="E187" s="181"/>
      <c r="F187" s="181"/>
      <c r="G187" s="181"/>
      <c r="H187" s="32"/>
      <c r="L187" s="7"/>
      <c r="M187" s="170"/>
      <c r="N187" s="170"/>
    </row>
    <row r="188" spans="1:14" ht="13.8" x14ac:dyDescent="0.3">
      <c r="A188" s="27"/>
      <c r="B188" s="28" t="s">
        <v>216</v>
      </c>
      <c r="C188" s="29"/>
      <c r="D188" s="30"/>
      <c r="E188" s="30"/>
      <c r="F188" s="184"/>
      <c r="H188" s="252"/>
      <c r="J188" s="144"/>
      <c r="K188" s="144"/>
      <c r="L188" s="144"/>
      <c r="M188" s="144"/>
    </row>
    <row r="189" spans="1:14" ht="13.8" x14ac:dyDescent="0.3">
      <c r="A189" s="253">
        <v>4.0199999999999996</v>
      </c>
      <c r="B189" s="34" t="s">
        <v>20</v>
      </c>
      <c r="C189" s="254" t="s">
        <v>19</v>
      </c>
      <c r="D189" s="255">
        <v>-166</v>
      </c>
      <c r="E189" s="256">
        <f>+E11</f>
        <v>25172</v>
      </c>
      <c r="F189" s="36">
        <f>+E189*D189</f>
        <v>-4178552</v>
      </c>
      <c r="H189" s="257"/>
      <c r="I189" s="134">
        <f>+'SVD 4140_Pto. 01_Cert. 04'!K189</f>
        <v>0.9</v>
      </c>
      <c r="J189" s="249"/>
      <c r="K189" s="135">
        <f t="shared" ref="K189:K193" si="99">+I189+J189</f>
        <v>0.9</v>
      </c>
      <c r="L189" s="200">
        <f t="shared" ref="L189:L193" si="100">+F189*I189</f>
        <v>-3760696.8000000003</v>
      </c>
      <c r="M189" s="200">
        <f t="shared" ref="M189:M193" si="101">+F189*J189</f>
        <v>0</v>
      </c>
      <c r="N189" s="200">
        <f t="shared" ref="N189:N193" si="102">+F189*K189</f>
        <v>-3760696.8000000003</v>
      </c>
    </row>
    <row r="190" spans="1:14" ht="13.8" x14ac:dyDescent="0.3">
      <c r="A190" s="269">
        <v>7.02</v>
      </c>
      <c r="B190" s="270" t="s">
        <v>214</v>
      </c>
      <c r="C190" s="40" t="s">
        <v>19</v>
      </c>
      <c r="D190" s="38">
        <v>-166</v>
      </c>
      <c r="E190" s="271">
        <f>+E30</f>
        <v>22183</v>
      </c>
      <c r="F190" s="41">
        <f>+E190*D190</f>
        <v>-3682378</v>
      </c>
      <c r="H190" s="257"/>
      <c r="I190" s="136">
        <f>+'SVD 4140_Pto. 01_Cert. 04'!K190</f>
        <v>0</v>
      </c>
      <c r="J190" s="141"/>
      <c r="K190" s="79">
        <f t="shared" si="99"/>
        <v>0</v>
      </c>
      <c r="L190" s="201">
        <f t="shared" si="100"/>
        <v>0</v>
      </c>
      <c r="M190" s="201">
        <f t="shared" si="101"/>
        <v>0</v>
      </c>
      <c r="N190" s="201">
        <f t="shared" si="102"/>
        <v>0</v>
      </c>
    </row>
    <row r="191" spans="1:14" ht="13.8" x14ac:dyDescent="0.3">
      <c r="A191" s="269">
        <v>13.03</v>
      </c>
      <c r="B191" s="39" t="s">
        <v>219</v>
      </c>
      <c r="C191" s="40" t="s">
        <v>19</v>
      </c>
      <c r="D191" s="41">
        <v>-50</v>
      </c>
      <c r="E191" s="41">
        <f>+E73</f>
        <v>29881</v>
      </c>
      <c r="F191" s="41">
        <f>+E191*D191</f>
        <v>-1494050</v>
      </c>
      <c r="H191" s="257"/>
      <c r="I191" s="136">
        <f>+'SVD 4140_Pto. 01_Cert. 04'!K191</f>
        <v>0</v>
      </c>
      <c r="J191" s="141"/>
      <c r="K191" s="79">
        <f t="shared" si="99"/>
        <v>0</v>
      </c>
      <c r="L191" s="201">
        <f t="shared" si="100"/>
        <v>0</v>
      </c>
      <c r="M191" s="201">
        <f t="shared" si="101"/>
        <v>0</v>
      </c>
      <c r="N191" s="201">
        <f t="shared" si="102"/>
        <v>0</v>
      </c>
    </row>
    <row r="192" spans="1:14" ht="13.8" x14ac:dyDescent="0.3">
      <c r="A192" s="263">
        <v>18.03</v>
      </c>
      <c r="B192" s="264" t="s">
        <v>114</v>
      </c>
      <c r="C192" s="265" t="s">
        <v>47</v>
      </c>
      <c r="D192" s="266">
        <v>-7</v>
      </c>
      <c r="E192" s="267">
        <f>+E103</f>
        <v>57445</v>
      </c>
      <c r="F192" s="268">
        <f>+E192*D192</f>
        <v>-402115</v>
      </c>
      <c r="H192" s="257"/>
      <c r="I192" s="136">
        <f>+'SVD 4140_Pto. 01_Cert. 04'!K192</f>
        <v>0</v>
      </c>
      <c r="J192" s="141">
        <v>0.5</v>
      </c>
      <c r="K192" s="79">
        <f t="shared" si="99"/>
        <v>0.5</v>
      </c>
      <c r="L192" s="201">
        <f t="shared" si="100"/>
        <v>0</v>
      </c>
      <c r="M192" s="201">
        <f t="shared" si="101"/>
        <v>-201057.5</v>
      </c>
      <c r="N192" s="201">
        <f t="shared" si="102"/>
        <v>-201057.5</v>
      </c>
    </row>
    <row r="193" spans="1:17" ht="13.8" x14ac:dyDescent="0.3">
      <c r="A193" s="259"/>
      <c r="B193" s="260" t="s">
        <v>215</v>
      </c>
      <c r="C193" s="193" t="s">
        <v>47</v>
      </c>
      <c r="D193" s="261">
        <v>-7</v>
      </c>
      <c r="E193" s="258">
        <v>28344.047943536876</v>
      </c>
      <c r="F193" s="48">
        <f>+E193*D193</f>
        <v>-198408.33560475812</v>
      </c>
      <c r="H193" s="257"/>
      <c r="I193" s="137">
        <f>+'SVD 4140_Pto. 01_Cert. 04'!K193</f>
        <v>0</v>
      </c>
      <c r="J193" s="262"/>
      <c r="K193" s="138">
        <f t="shared" si="99"/>
        <v>0</v>
      </c>
      <c r="L193" s="202">
        <f t="shared" si="100"/>
        <v>0</v>
      </c>
      <c r="M193" s="202">
        <f t="shared" si="101"/>
        <v>0</v>
      </c>
      <c r="N193" s="202">
        <f t="shared" si="102"/>
        <v>0</v>
      </c>
    </row>
    <row r="194" spans="1:17" ht="12.75" customHeight="1" x14ac:dyDescent="0.3">
      <c r="I194" s="252"/>
      <c r="J194" s="252"/>
      <c r="K194" s="252"/>
      <c r="L194" s="252"/>
      <c r="M194" s="284">
        <f>+SUM(M189:M193)</f>
        <v>-201057.5</v>
      </c>
      <c r="N194" s="284">
        <f>+SUM(N189:N193)</f>
        <v>-3961754.3000000003</v>
      </c>
    </row>
    <row r="195" spans="1:17" ht="12.75" customHeight="1" x14ac:dyDescent="0.3">
      <c r="M195" s="57"/>
      <c r="N195" s="57"/>
    </row>
    <row r="196" spans="1:17" ht="12.75" customHeight="1" x14ac:dyDescent="0.3">
      <c r="A196" s="81"/>
      <c r="B196" s="68" t="s">
        <v>199</v>
      </c>
      <c r="C196" s="82"/>
      <c r="D196" s="83"/>
      <c r="E196" s="84"/>
      <c r="F196" s="85"/>
      <c r="G196" s="86"/>
      <c r="H196" s="86"/>
      <c r="I196" s="87"/>
      <c r="J196" s="88"/>
      <c r="K196" s="89" t="s">
        <v>200</v>
      </c>
      <c r="L196" s="90">
        <f>+J5</f>
        <v>5</v>
      </c>
      <c r="M196" s="91"/>
      <c r="N196" s="92">
        <f>+N5</f>
        <v>46080</v>
      </c>
    </row>
    <row r="197" spans="1:17" ht="12.75" customHeight="1" x14ac:dyDescent="0.3">
      <c r="A197" s="93"/>
      <c r="B197" s="68" t="s">
        <v>6</v>
      </c>
      <c r="C197" s="91"/>
      <c r="D197" s="94"/>
      <c r="E197" s="95"/>
      <c r="F197" s="86"/>
      <c r="G197" s="86"/>
      <c r="H197" s="86"/>
      <c r="I197" s="96"/>
      <c r="J197" s="97"/>
      <c r="K197" s="96"/>
      <c r="L197" s="68"/>
      <c r="M197" s="91" t="s">
        <v>201</v>
      </c>
      <c r="N197" s="98" t="s">
        <v>202</v>
      </c>
    </row>
    <row r="198" spans="1:17" ht="12.75" customHeight="1" x14ac:dyDescent="0.3">
      <c r="A198" s="146" t="s">
        <v>203</v>
      </c>
      <c r="B198" s="99" t="s">
        <v>204</v>
      </c>
      <c r="C198" s="100"/>
      <c r="D198" s="101"/>
      <c r="E198" s="102"/>
      <c r="F198" s="103"/>
      <c r="G198" s="104"/>
      <c r="H198" s="104"/>
      <c r="I198" s="105"/>
      <c r="J198" s="106"/>
      <c r="K198" s="105"/>
      <c r="L198" s="107"/>
      <c r="M198" s="107"/>
      <c r="N198" s="108">
        <f>+G185</f>
        <v>735657133.01950002</v>
      </c>
      <c r="P198" s="171"/>
      <c r="Q198" s="172"/>
    </row>
    <row r="199" spans="1:17" ht="12.75" customHeight="1" x14ac:dyDescent="0.3">
      <c r="A199" s="109" t="s">
        <v>205</v>
      </c>
      <c r="B199" s="110" t="s">
        <v>206</v>
      </c>
      <c r="C199" s="111"/>
      <c r="D199" s="112"/>
      <c r="E199" s="113"/>
      <c r="F199" s="114"/>
      <c r="G199" s="115"/>
      <c r="H199" s="115"/>
      <c r="I199" s="114"/>
      <c r="J199" s="116"/>
      <c r="K199" s="117"/>
      <c r="L199" s="118"/>
      <c r="M199" s="240">
        <v>0.4</v>
      </c>
      <c r="N199" s="119">
        <f>+M199*N198</f>
        <v>294262853.20780003</v>
      </c>
      <c r="P199" s="173"/>
      <c r="Q199" s="172"/>
    </row>
    <row r="200" spans="1:17" ht="12.75" customHeight="1" x14ac:dyDescent="0.3">
      <c r="A200" s="147" t="s">
        <v>207</v>
      </c>
      <c r="B200" s="120" t="s">
        <v>208</v>
      </c>
      <c r="C200" s="121"/>
      <c r="D200" s="122"/>
      <c r="E200" s="123"/>
      <c r="F200" s="124"/>
      <c r="G200" s="125"/>
      <c r="H200" s="125"/>
      <c r="I200" s="126"/>
      <c r="J200" s="127"/>
      <c r="K200" s="126"/>
      <c r="L200" s="128"/>
      <c r="M200" s="128"/>
      <c r="N200" s="129">
        <f>+M185</f>
        <v>26529078.970100008</v>
      </c>
      <c r="P200" s="171"/>
      <c r="Q200" s="174"/>
    </row>
    <row r="201" spans="1:17" ht="12.75" customHeight="1" x14ac:dyDescent="0.3">
      <c r="A201" s="148" t="s">
        <v>209</v>
      </c>
      <c r="B201" s="149" t="s">
        <v>210</v>
      </c>
      <c r="C201" s="150"/>
      <c r="D201" s="151"/>
      <c r="E201" s="152"/>
      <c r="F201" s="153"/>
      <c r="G201" s="154"/>
      <c r="H201" s="154"/>
      <c r="I201" s="155"/>
      <c r="J201" s="156"/>
      <c r="K201" s="155"/>
      <c r="L201" s="157"/>
      <c r="M201" s="158">
        <f>-M199</f>
        <v>-0.4</v>
      </c>
      <c r="N201" s="159">
        <f>+M201*N200</f>
        <v>-10611631.588040004</v>
      </c>
      <c r="P201" s="173"/>
      <c r="Q201" s="175"/>
    </row>
    <row r="202" spans="1:17" ht="12.75" customHeight="1" x14ac:dyDescent="0.3">
      <c r="A202" s="272" t="s">
        <v>211</v>
      </c>
      <c r="B202" s="273" t="s">
        <v>218</v>
      </c>
      <c r="C202" s="274"/>
      <c r="D202" s="275"/>
      <c r="E202" s="276"/>
      <c r="F202" s="277"/>
      <c r="G202" s="278"/>
      <c r="H202" s="278"/>
      <c r="I202" s="279"/>
      <c r="J202" s="280"/>
      <c r="K202" s="279"/>
      <c r="L202" s="281"/>
      <c r="M202" s="282"/>
      <c r="N202" s="283">
        <f>+M194</f>
        <v>-201057.5</v>
      </c>
      <c r="P202" s="173"/>
      <c r="Q202" s="175"/>
    </row>
    <row r="203" spans="1:17" ht="12.75" customHeight="1" x14ac:dyDescent="0.3">
      <c r="A203" s="160" t="s">
        <v>217</v>
      </c>
      <c r="B203" s="161" t="s">
        <v>212</v>
      </c>
      <c r="C203" s="162"/>
      <c r="D203" s="163"/>
      <c r="E203" s="164"/>
      <c r="F203" s="165"/>
      <c r="G203" s="165"/>
      <c r="H203" s="165"/>
      <c r="I203" s="165"/>
      <c r="J203" s="166"/>
      <c r="K203" s="167"/>
      <c r="L203" s="168"/>
      <c r="M203" s="168"/>
      <c r="N203" s="169">
        <f>+N200+N201+N202</f>
        <v>15716389.882060004</v>
      </c>
      <c r="P203" s="171"/>
      <c r="Q203" s="176"/>
    </row>
    <row r="204" spans="1:17" ht="12.75" customHeight="1" x14ac:dyDescent="0.3">
      <c r="A204" s="177"/>
      <c r="B204" s="2" t="s">
        <v>213</v>
      </c>
      <c r="C204" s="150"/>
      <c r="D204" s="151"/>
      <c r="E204" s="152"/>
      <c r="F204" s="153"/>
      <c r="G204" s="154"/>
      <c r="H204" s="154"/>
      <c r="I204" s="155"/>
      <c r="J204" s="156"/>
      <c r="K204" s="155"/>
      <c r="L204" s="157"/>
    </row>
  </sheetData>
  <mergeCells count="2">
    <mergeCell ref="I7:K7"/>
    <mergeCell ref="L7:N7"/>
  </mergeCells>
  <conditionalFormatting sqref="C3:C12">
    <cfRule type="cellIs" dxfId="104" priority="27" operator="equal">
      <formula>"x"</formula>
    </cfRule>
  </conditionalFormatting>
  <conditionalFormatting sqref="C18">
    <cfRule type="cellIs" dxfId="103" priority="25" operator="equal">
      <formula>"x"</formula>
    </cfRule>
  </conditionalFormatting>
  <conditionalFormatting sqref="C20:C29">
    <cfRule type="cellIs" dxfId="102" priority="24" operator="equal">
      <formula>"x"</formula>
    </cfRule>
  </conditionalFormatting>
  <conditionalFormatting sqref="C37">
    <cfRule type="cellIs" dxfId="101" priority="23" operator="equal">
      <formula>"x"</formula>
    </cfRule>
  </conditionalFormatting>
  <conditionalFormatting sqref="C42:C53">
    <cfRule type="cellIs" dxfId="100" priority="22" operator="equal">
      <formula>"x"</formula>
    </cfRule>
  </conditionalFormatting>
  <conditionalFormatting sqref="C56:C193">
    <cfRule type="cellIs" dxfId="99" priority="1" operator="equal">
      <formula>"x"</formula>
    </cfRule>
  </conditionalFormatting>
  <conditionalFormatting sqref="K10:K17 K19:K25 K27 K29:K36 K38:K45 K47:K50 K52:K55 K189:K193">
    <cfRule type="cellIs" dxfId="98" priority="26" operator="lessThan">
      <formula>1</formula>
    </cfRule>
  </conditionalFormatting>
  <conditionalFormatting sqref="K57:K63">
    <cfRule type="cellIs" dxfId="97" priority="20" operator="lessThan">
      <formula>1</formula>
    </cfRule>
  </conditionalFormatting>
  <conditionalFormatting sqref="K65:K69">
    <cfRule type="cellIs" dxfId="96" priority="19" operator="lessThan">
      <formula>1</formula>
    </cfRule>
  </conditionalFormatting>
  <conditionalFormatting sqref="K71:K74">
    <cfRule type="cellIs" dxfId="95" priority="18" operator="lessThan">
      <formula>1</formula>
    </cfRule>
  </conditionalFormatting>
  <conditionalFormatting sqref="K76:K82">
    <cfRule type="cellIs" dxfId="94" priority="17" operator="lessThan">
      <formula>1</formula>
    </cfRule>
  </conditionalFormatting>
  <conditionalFormatting sqref="K84:K92">
    <cfRule type="cellIs" dxfId="93" priority="16" operator="lessThan">
      <formula>1</formula>
    </cfRule>
  </conditionalFormatting>
  <conditionalFormatting sqref="K94">
    <cfRule type="cellIs" dxfId="92" priority="15" operator="lessThan">
      <formula>1</formula>
    </cfRule>
  </conditionalFormatting>
  <conditionalFormatting sqref="K96:K99">
    <cfRule type="cellIs" dxfId="91" priority="14" operator="lessThan">
      <formula>1</formula>
    </cfRule>
  </conditionalFormatting>
  <conditionalFormatting sqref="K101:K130">
    <cfRule type="cellIs" dxfId="90" priority="21" operator="lessThan">
      <formula>1</formula>
    </cfRule>
  </conditionalFormatting>
  <conditionalFormatting sqref="K133:K136">
    <cfRule type="cellIs" dxfId="89" priority="13" operator="lessThan">
      <formula>1</formula>
    </cfRule>
  </conditionalFormatting>
  <conditionalFormatting sqref="K138:K140 K142:K146">
    <cfRule type="cellIs" dxfId="88" priority="12" operator="lessThan">
      <formula>1</formula>
    </cfRule>
  </conditionalFormatting>
  <conditionalFormatting sqref="K148">
    <cfRule type="cellIs" dxfId="87" priority="11" operator="lessThan">
      <formula>1</formula>
    </cfRule>
  </conditionalFormatting>
  <conditionalFormatting sqref="K150:K153">
    <cfRule type="cellIs" dxfId="86" priority="10" operator="lessThan">
      <formula>1</formula>
    </cfRule>
  </conditionalFormatting>
  <conditionalFormatting sqref="K155">
    <cfRule type="cellIs" dxfId="85" priority="9" operator="lessThan">
      <formula>1</formula>
    </cfRule>
  </conditionalFormatting>
  <conditionalFormatting sqref="K157:K158">
    <cfRule type="cellIs" dxfId="84" priority="8" operator="lessThan">
      <formula>1</formula>
    </cfRule>
  </conditionalFormatting>
  <conditionalFormatting sqref="K160:K161">
    <cfRule type="cellIs" dxfId="83" priority="7" operator="lessThan">
      <formula>1</formula>
    </cfRule>
  </conditionalFormatting>
  <conditionalFormatting sqref="K163">
    <cfRule type="cellIs" dxfId="82" priority="6" operator="lessThan">
      <formula>1</formula>
    </cfRule>
  </conditionalFormatting>
  <conditionalFormatting sqref="K165:K166">
    <cfRule type="cellIs" dxfId="81" priority="5" operator="lessThan">
      <formula>1</formula>
    </cfRule>
  </conditionalFormatting>
  <conditionalFormatting sqref="K168:K170">
    <cfRule type="cellIs" dxfId="80" priority="4" operator="lessThan">
      <formula>1</formula>
    </cfRule>
  </conditionalFormatting>
  <conditionalFormatting sqref="K172:K181">
    <cfRule type="cellIs" dxfId="79" priority="3" operator="lessThan">
      <formula>1</formula>
    </cfRule>
  </conditionalFormatting>
  <conditionalFormatting sqref="K183:K184">
    <cfRule type="cellIs" dxfId="78" priority="2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/>
  <headerFooter>
    <oddFooter>&amp;C&amp;P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290C-B18E-4354-817E-1E83A5592B66}">
  <dimension ref="A1:S206"/>
  <sheetViews>
    <sheetView workbookViewId="0">
      <pane xSplit="4" ySplit="8" topLeftCell="E157" activePane="bottomRight" state="frozen"/>
      <selection pane="topRight" activeCell="E1" sqref="E1"/>
      <selection pane="bottomLeft" activeCell="A9" sqref="A9"/>
      <selection pane="bottomRight" activeCell="L185" sqref="L185"/>
    </sheetView>
  </sheetViews>
  <sheetFormatPr baseColWidth="10" defaultColWidth="11.5546875" defaultRowHeight="12.75" customHeight="1" outlineLevelRow="1" x14ac:dyDescent="0.3"/>
  <cols>
    <col min="1" max="1" width="6.5546875" style="1" bestFit="1" customWidth="1"/>
    <col min="2" max="2" width="88.109375" style="2" bestFit="1" customWidth="1"/>
    <col min="3" max="3" width="5.33203125" style="3" bestFit="1" customWidth="1"/>
    <col min="4" max="4" width="8.109375" style="4" bestFit="1" customWidth="1"/>
    <col min="5" max="5" width="11" style="5" bestFit="1" customWidth="1"/>
    <col min="6" max="6" width="11.6640625" style="5" bestFit="1" customWidth="1"/>
    <col min="7" max="7" width="12" style="26" bestFit="1" customWidth="1"/>
    <col min="8" max="8" width="7.33203125" style="7" bestFit="1" customWidth="1"/>
    <col min="9" max="9" width="11" style="7" bestFit="1" customWidth="1"/>
    <col min="10" max="14" width="13.33203125" style="7" customWidth="1"/>
    <col min="15" max="16" width="11.5546875" style="7"/>
    <col min="17" max="17" width="14.44140625" style="7" bestFit="1" customWidth="1"/>
    <col min="18" max="18" width="12.44140625" style="7" bestFit="1" customWidth="1"/>
    <col min="19" max="16384" width="11.5546875" style="7"/>
  </cols>
  <sheetData>
    <row r="1" spans="1:19" ht="12.75" customHeight="1" x14ac:dyDescent="0.3">
      <c r="F1" s="6" t="s">
        <v>0</v>
      </c>
      <c r="G1" s="6" t="s">
        <v>1</v>
      </c>
    </row>
    <row r="2" spans="1:19" ht="13.8" x14ac:dyDescent="0.3">
      <c r="E2" s="69"/>
      <c r="F2" s="9">
        <v>1005</v>
      </c>
      <c r="G2" s="9">
        <v>1170</v>
      </c>
    </row>
    <row r="3" spans="1:19" s="15" customFormat="1" ht="13.8" x14ac:dyDescent="0.25">
      <c r="A3" s="10"/>
      <c r="B3" s="11"/>
      <c r="C3" s="12"/>
      <c r="D3" s="13"/>
      <c r="E3" s="13"/>
      <c r="F3" s="13"/>
      <c r="G3" s="14"/>
    </row>
    <row r="4" spans="1:19" s="15" customFormat="1" ht="13.8" x14ac:dyDescent="0.25">
      <c r="A4" s="10"/>
      <c r="B4" s="11"/>
      <c r="C4" s="12"/>
      <c r="D4" s="13"/>
      <c r="E4" s="13"/>
      <c r="F4" s="16">
        <v>45628</v>
      </c>
      <c r="G4" s="14"/>
    </row>
    <row r="5" spans="1:19" s="15" customFormat="1" ht="13.8" x14ac:dyDescent="0.3">
      <c r="A5" s="10"/>
      <c r="B5" s="8" t="s">
        <v>2</v>
      </c>
      <c r="C5" s="12"/>
      <c r="D5" s="13"/>
      <c r="E5" s="17"/>
      <c r="F5" s="17"/>
      <c r="G5" s="14"/>
      <c r="I5" s="70" t="s">
        <v>3</v>
      </c>
      <c r="J5" s="242">
        <v>6</v>
      </c>
      <c r="K5" s="71"/>
      <c r="L5" s="72"/>
      <c r="M5" s="73"/>
      <c r="N5" s="241">
        <v>46108</v>
      </c>
    </row>
    <row r="6" spans="1:19" s="15" customFormat="1" ht="13.8" x14ac:dyDescent="0.25">
      <c r="A6" s="10"/>
      <c r="B6" s="8" t="s">
        <v>4</v>
      </c>
      <c r="C6" s="18"/>
      <c r="D6" s="19"/>
      <c r="E6" s="20"/>
      <c r="F6" s="20"/>
      <c r="G6" s="14"/>
      <c r="I6" s="74"/>
      <c r="J6" s="75"/>
      <c r="K6" s="74"/>
      <c r="L6" s="76"/>
      <c r="M6" s="76"/>
      <c r="N6" s="76"/>
    </row>
    <row r="7" spans="1:19" ht="13.8" x14ac:dyDescent="0.3">
      <c r="A7" s="21" t="s">
        <v>5</v>
      </c>
      <c r="B7" s="22" t="s">
        <v>6</v>
      </c>
      <c r="C7" s="23" t="s">
        <v>7</v>
      </c>
      <c r="D7" s="24" t="s">
        <v>8</v>
      </c>
      <c r="E7" s="25" t="s">
        <v>9</v>
      </c>
      <c r="F7" s="25" t="s">
        <v>10</v>
      </c>
      <c r="I7" s="297" t="s">
        <v>11</v>
      </c>
      <c r="J7" s="297"/>
      <c r="K7" s="297"/>
      <c r="L7" s="298" t="s">
        <v>12</v>
      </c>
      <c r="M7" s="298"/>
      <c r="N7" s="298"/>
    </row>
    <row r="8" spans="1:19" ht="13.8" x14ac:dyDescent="0.3">
      <c r="A8" s="182"/>
      <c r="B8" s="183" t="s">
        <v>13</v>
      </c>
      <c r="C8" s="29"/>
      <c r="D8" s="30"/>
      <c r="E8" s="30"/>
      <c r="F8" s="30"/>
      <c r="G8" s="184"/>
      <c r="H8" s="32"/>
      <c r="I8" s="77" t="s">
        <v>14</v>
      </c>
      <c r="J8" s="77" t="s">
        <v>15</v>
      </c>
      <c r="K8" s="77" t="s">
        <v>16</v>
      </c>
      <c r="L8" s="78" t="s">
        <v>14</v>
      </c>
      <c r="M8" s="78" t="s">
        <v>15</v>
      </c>
      <c r="N8" s="78" t="s">
        <v>16</v>
      </c>
    </row>
    <row r="9" spans="1:19" ht="13.8" x14ac:dyDescent="0.3">
      <c r="A9" s="27">
        <v>4</v>
      </c>
      <c r="B9" s="28" t="s">
        <v>17</v>
      </c>
      <c r="C9" s="189"/>
      <c r="D9" s="65"/>
      <c r="E9" s="65"/>
      <c r="F9" s="65"/>
      <c r="G9" s="31">
        <f>+SUM(F10:F17)</f>
        <v>54302889.68</v>
      </c>
      <c r="H9" s="32">
        <f>+G9/$G$185</f>
        <v>7.3815487191858167E-2</v>
      </c>
      <c r="I9" s="139"/>
      <c r="J9" s="140"/>
      <c r="K9" s="130"/>
      <c r="L9" s="130"/>
      <c r="M9" s="130"/>
      <c r="N9" s="66"/>
    </row>
    <row r="10" spans="1:19" ht="13.8" outlineLevel="1" x14ac:dyDescent="0.3">
      <c r="A10" s="33">
        <v>4.01</v>
      </c>
      <c r="B10" s="34" t="s">
        <v>18</v>
      </c>
      <c r="C10" s="35" t="s">
        <v>19</v>
      </c>
      <c r="D10" s="36">
        <v>819</v>
      </c>
      <c r="E10" s="37">
        <v>18993</v>
      </c>
      <c r="F10" s="37">
        <f>+D10*E10</f>
        <v>15555267</v>
      </c>
      <c r="G10" s="5"/>
      <c r="H10" s="32"/>
      <c r="I10" s="244">
        <f>+'SVD 4140_Pto. 01_Cert. 04'!K10</f>
        <v>0.55000000000000004</v>
      </c>
      <c r="J10" s="249">
        <v>0.3</v>
      </c>
      <c r="K10" s="135">
        <f t="shared" ref="K10:K55" si="0">+I10+J10</f>
        <v>0.85000000000000009</v>
      </c>
      <c r="L10" s="80">
        <f t="shared" ref="L10:L55" si="1">+F10*I10</f>
        <v>8555396.8500000015</v>
      </c>
      <c r="M10" s="80">
        <f t="shared" ref="M10:M55" si="2">+F10*J10</f>
        <v>4666580.0999999996</v>
      </c>
      <c r="N10" s="80">
        <f t="shared" ref="N10:N55" si="3">+F10*K10</f>
        <v>13221976.950000001</v>
      </c>
      <c r="P10" s="285"/>
      <c r="Q10" s="285"/>
    </row>
    <row r="11" spans="1:19" ht="16.5" customHeight="1" outlineLevel="1" x14ac:dyDescent="0.3">
      <c r="A11" s="38">
        <v>4.0199999999999996</v>
      </c>
      <c r="B11" s="39" t="s">
        <v>20</v>
      </c>
      <c r="C11" s="40" t="s">
        <v>19</v>
      </c>
      <c r="D11" s="41">
        <v>612</v>
      </c>
      <c r="E11" s="42">
        <v>25172</v>
      </c>
      <c r="F11" s="42">
        <f t="shared" ref="F11:F74" si="4">+D11*E11</f>
        <v>15405264</v>
      </c>
      <c r="G11" s="5"/>
      <c r="H11" s="32"/>
      <c r="I11" s="245">
        <f>+'SVD 4140_Pto. 01_Cert. 04'!K11</f>
        <v>0.5</v>
      </c>
      <c r="J11" s="141">
        <v>0.35</v>
      </c>
      <c r="K11" s="79">
        <f t="shared" si="0"/>
        <v>0.85</v>
      </c>
      <c r="L11" s="80">
        <f>+F11*I11</f>
        <v>7702632</v>
      </c>
      <c r="M11" s="80">
        <f t="shared" si="2"/>
        <v>5391842.3999999994</v>
      </c>
      <c r="N11" s="80">
        <f t="shared" si="3"/>
        <v>13094474.4</v>
      </c>
      <c r="P11" s="285"/>
      <c r="Q11" s="285"/>
      <c r="S11" s="243"/>
    </row>
    <row r="12" spans="1:19" ht="13.8" outlineLevel="1" x14ac:dyDescent="0.3">
      <c r="A12" s="38">
        <v>4.03</v>
      </c>
      <c r="B12" s="39" t="s">
        <v>21</v>
      </c>
      <c r="C12" s="43" t="s">
        <v>19</v>
      </c>
      <c r="D12" s="44">
        <v>636</v>
      </c>
      <c r="E12" s="42">
        <v>21109</v>
      </c>
      <c r="F12" s="42">
        <f t="shared" si="4"/>
        <v>13425324</v>
      </c>
      <c r="G12" s="5"/>
      <c r="H12" s="32"/>
      <c r="I12" s="245">
        <f>+'SVD 4140_Pto. 01_Cert. 04'!K12</f>
        <v>0.55000000000000004</v>
      </c>
      <c r="J12" s="141">
        <v>0.3</v>
      </c>
      <c r="K12" s="79">
        <f t="shared" si="0"/>
        <v>0.85000000000000009</v>
      </c>
      <c r="L12" s="80">
        <f t="shared" si="1"/>
        <v>7383928.2000000002</v>
      </c>
      <c r="M12" s="80">
        <f t="shared" si="2"/>
        <v>4027597.1999999997</v>
      </c>
      <c r="N12" s="80">
        <f t="shared" si="3"/>
        <v>11411525.4</v>
      </c>
      <c r="P12" s="285"/>
      <c r="Q12" s="285"/>
    </row>
    <row r="13" spans="1:19" ht="13.8" outlineLevel="1" x14ac:dyDescent="0.3">
      <c r="A13" s="38">
        <v>4.04</v>
      </c>
      <c r="B13" s="39" t="s">
        <v>22</v>
      </c>
      <c r="C13" s="40" t="s">
        <v>19</v>
      </c>
      <c r="D13" s="41">
        <v>195</v>
      </c>
      <c r="E13" s="42">
        <v>15092</v>
      </c>
      <c r="F13" s="42">
        <f t="shared" si="4"/>
        <v>2942940</v>
      </c>
      <c r="G13" s="5"/>
      <c r="H13" s="32"/>
      <c r="I13" s="245">
        <f>+'SVD 4140_Pto. 01_Cert. 04'!K13</f>
        <v>0.15</v>
      </c>
      <c r="J13" s="141"/>
      <c r="K13" s="79">
        <f t="shared" si="0"/>
        <v>0.15</v>
      </c>
      <c r="L13" s="80">
        <f t="shared" si="1"/>
        <v>441441</v>
      </c>
      <c r="M13" s="80">
        <f t="shared" si="2"/>
        <v>0</v>
      </c>
      <c r="N13" s="80">
        <f t="shared" si="3"/>
        <v>441441</v>
      </c>
    </row>
    <row r="14" spans="1:19" ht="13.8" outlineLevel="1" x14ac:dyDescent="0.3">
      <c r="A14" s="38">
        <v>4.05</v>
      </c>
      <c r="B14" s="39" t="s">
        <v>23</v>
      </c>
      <c r="C14" s="40" t="s">
        <v>19</v>
      </c>
      <c r="D14" s="41">
        <v>30.053999999999998</v>
      </c>
      <c r="E14" s="42">
        <v>67420</v>
      </c>
      <c r="F14" s="42">
        <f t="shared" si="4"/>
        <v>2026240.68</v>
      </c>
      <c r="G14" s="5"/>
      <c r="H14" s="32"/>
      <c r="I14" s="245">
        <f>+'SVD 4140_Pto. 01_Cert. 05'!K14</f>
        <v>0</v>
      </c>
      <c r="J14" s="136"/>
      <c r="K14" s="79">
        <f t="shared" si="0"/>
        <v>0</v>
      </c>
      <c r="L14" s="80">
        <f t="shared" si="1"/>
        <v>0</v>
      </c>
      <c r="M14" s="80">
        <f t="shared" si="2"/>
        <v>0</v>
      </c>
      <c r="N14" s="80">
        <f t="shared" si="3"/>
        <v>0</v>
      </c>
    </row>
    <row r="15" spans="1:19" ht="13.8" outlineLevel="1" x14ac:dyDescent="0.3">
      <c r="A15" s="38">
        <v>4.0599999999999996</v>
      </c>
      <c r="B15" s="39" t="s">
        <v>24</v>
      </c>
      <c r="C15" s="40" t="s">
        <v>19</v>
      </c>
      <c r="D15" s="41">
        <v>24</v>
      </c>
      <c r="E15" s="42">
        <v>54908</v>
      </c>
      <c r="F15" s="42">
        <f t="shared" si="4"/>
        <v>1317792</v>
      </c>
      <c r="G15" s="5"/>
      <c r="H15" s="32"/>
      <c r="I15" s="245">
        <f>+'SVD 4140_Pto. 01_Cert. 05'!K15</f>
        <v>0</v>
      </c>
      <c r="J15" s="136">
        <v>1</v>
      </c>
      <c r="K15" s="79">
        <f t="shared" si="0"/>
        <v>1</v>
      </c>
      <c r="L15" s="80">
        <f t="shared" si="1"/>
        <v>0</v>
      </c>
      <c r="M15" s="80">
        <f t="shared" si="2"/>
        <v>1317792</v>
      </c>
      <c r="N15" s="80">
        <f t="shared" si="3"/>
        <v>1317792</v>
      </c>
    </row>
    <row r="16" spans="1:19" ht="13.8" outlineLevel="1" x14ac:dyDescent="0.3">
      <c r="A16" s="38">
        <v>4.07</v>
      </c>
      <c r="B16" s="39" t="s">
        <v>25</v>
      </c>
      <c r="C16" s="40" t="s">
        <v>26</v>
      </c>
      <c r="D16" s="41">
        <v>81</v>
      </c>
      <c r="E16" s="42">
        <v>30989</v>
      </c>
      <c r="F16" s="42">
        <f t="shared" si="4"/>
        <v>2510109</v>
      </c>
      <c r="G16" s="5"/>
      <c r="H16" s="32"/>
      <c r="I16" s="245">
        <f>+'SVD 4140_Pto. 01_Cert. 05'!K16</f>
        <v>0</v>
      </c>
      <c r="J16" s="141">
        <v>0.75</v>
      </c>
      <c r="K16" s="79">
        <f t="shared" si="0"/>
        <v>0.75</v>
      </c>
      <c r="L16" s="80">
        <f t="shared" si="1"/>
        <v>0</v>
      </c>
      <c r="M16" s="80">
        <f t="shared" si="2"/>
        <v>1882581.75</v>
      </c>
      <c r="N16" s="80">
        <f t="shared" si="3"/>
        <v>1882581.75</v>
      </c>
    </row>
    <row r="17" spans="1:18" ht="13.8" outlineLevel="1" x14ac:dyDescent="0.3">
      <c r="A17" s="38">
        <v>4.08</v>
      </c>
      <c r="B17" s="39" t="s">
        <v>27</v>
      </c>
      <c r="C17" s="40" t="s">
        <v>28</v>
      </c>
      <c r="D17" s="41">
        <v>1</v>
      </c>
      <c r="E17" s="42">
        <v>1119953</v>
      </c>
      <c r="F17" s="42">
        <f t="shared" si="4"/>
        <v>1119953</v>
      </c>
      <c r="G17" s="5"/>
      <c r="H17" s="32"/>
      <c r="I17" s="245">
        <f>+'SVD 4140_Pto. 01_Cert. 05'!K17</f>
        <v>0.5</v>
      </c>
      <c r="J17" s="136"/>
      <c r="K17" s="79">
        <f t="shared" si="0"/>
        <v>0.5</v>
      </c>
      <c r="L17" s="80">
        <f t="shared" si="1"/>
        <v>559976.5</v>
      </c>
      <c r="M17" s="80">
        <f t="shared" si="2"/>
        <v>0</v>
      </c>
      <c r="N17" s="80">
        <f t="shared" si="3"/>
        <v>559976.5</v>
      </c>
    </row>
    <row r="18" spans="1:18" ht="13.8" x14ac:dyDescent="0.3">
      <c r="A18" s="27">
        <v>5</v>
      </c>
      <c r="B18" s="28" t="s">
        <v>29</v>
      </c>
      <c r="C18" s="189"/>
      <c r="D18" s="65"/>
      <c r="E18" s="65"/>
      <c r="F18" s="65"/>
      <c r="G18" s="31">
        <f>+SUM(F19:F25)</f>
        <v>35966419</v>
      </c>
      <c r="H18" s="32">
        <f>+G18/$G$185</f>
        <v>4.8890192707540352E-2</v>
      </c>
      <c r="I18" s="246"/>
      <c r="J18" s="140"/>
      <c r="K18" s="130"/>
      <c r="L18" s="130"/>
      <c r="M18" s="130"/>
      <c r="N18" s="66"/>
    </row>
    <row r="19" spans="1:18" ht="13.8" outlineLevel="1" x14ac:dyDescent="0.3">
      <c r="A19" s="33">
        <v>5.01</v>
      </c>
      <c r="B19" s="34" t="s">
        <v>30</v>
      </c>
      <c r="C19" s="35" t="s">
        <v>19</v>
      </c>
      <c r="D19" s="36">
        <v>139.05000000000001</v>
      </c>
      <c r="E19" s="37">
        <v>21800</v>
      </c>
      <c r="F19" s="37">
        <f t="shared" si="4"/>
        <v>3031290.0000000005</v>
      </c>
      <c r="G19" s="195"/>
      <c r="H19" s="32"/>
      <c r="I19" s="245">
        <f>+'SVD 4140_Pto. 01_Cert. 05'!K19</f>
        <v>0</v>
      </c>
      <c r="J19" s="134"/>
      <c r="K19" s="135">
        <f t="shared" ref="K19:K20" si="5">+I19+J19</f>
        <v>0</v>
      </c>
      <c r="L19" s="200">
        <f t="shared" ref="L19:L20" si="6">+F19*I19</f>
        <v>0</v>
      </c>
      <c r="M19" s="200">
        <f t="shared" ref="M19:M20" si="7">+F19*J19</f>
        <v>0</v>
      </c>
      <c r="N19" s="200">
        <f t="shared" ref="N19:N20" si="8">+F19*K19</f>
        <v>0</v>
      </c>
    </row>
    <row r="20" spans="1:18" ht="13.8" outlineLevel="1" x14ac:dyDescent="0.3">
      <c r="A20" s="190">
        <v>5.0199999999999996</v>
      </c>
      <c r="B20" s="191" t="s">
        <v>31</v>
      </c>
      <c r="C20" s="43" t="s">
        <v>19</v>
      </c>
      <c r="D20" s="44">
        <v>300</v>
      </c>
      <c r="E20" s="44">
        <v>5376</v>
      </c>
      <c r="F20" s="44">
        <f t="shared" si="4"/>
        <v>1612800</v>
      </c>
      <c r="G20" s="186"/>
      <c r="H20" s="32"/>
      <c r="I20" s="245">
        <f>+'SVD 4140_Pto. 01_Cert. 05'!K20</f>
        <v>0</v>
      </c>
      <c r="J20" s="136">
        <v>0.5</v>
      </c>
      <c r="K20" s="79">
        <f t="shared" si="5"/>
        <v>0.5</v>
      </c>
      <c r="L20" s="201">
        <f t="shared" si="6"/>
        <v>0</v>
      </c>
      <c r="M20" s="201">
        <f t="shared" si="7"/>
        <v>806400</v>
      </c>
      <c r="N20" s="201">
        <f t="shared" si="8"/>
        <v>806400</v>
      </c>
    </row>
    <row r="21" spans="1:18" ht="13.8" outlineLevel="1" x14ac:dyDescent="0.3">
      <c r="A21" s="38">
        <v>5.03</v>
      </c>
      <c r="B21" s="52" t="s">
        <v>32</v>
      </c>
      <c r="C21" s="49" t="s">
        <v>19</v>
      </c>
      <c r="D21" s="50">
        <v>48</v>
      </c>
      <c r="E21" s="42">
        <v>5376</v>
      </c>
      <c r="F21" s="42">
        <f t="shared" si="4"/>
        <v>258048</v>
      </c>
      <c r="G21" s="196"/>
      <c r="H21" s="32"/>
      <c r="I21" s="245">
        <f>+'SVD 4140_Pto. 01_Cert. 05'!K21</f>
        <v>0</v>
      </c>
      <c r="J21" s="136"/>
      <c r="K21" s="79">
        <f t="shared" si="0"/>
        <v>0</v>
      </c>
      <c r="L21" s="201">
        <f t="shared" si="1"/>
        <v>0</v>
      </c>
      <c r="M21" s="201">
        <f t="shared" si="2"/>
        <v>0</v>
      </c>
      <c r="N21" s="201">
        <f t="shared" si="3"/>
        <v>0</v>
      </c>
      <c r="R21" s="144"/>
    </row>
    <row r="22" spans="1:18" ht="13.8" outlineLevel="1" x14ac:dyDescent="0.3">
      <c r="A22" s="38">
        <v>5.04</v>
      </c>
      <c r="B22" s="39" t="s">
        <v>33</v>
      </c>
      <c r="C22" s="40" t="s">
        <v>19</v>
      </c>
      <c r="D22" s="50">
        <v>262</v>
      </c>
      <c r="E22" s="42">
        <v>4403</v>
      </c>
      <c r="F22" s="42">
        <f t="shared" si="4"/>
        <v>1153586</v>
      </c>
      <c r="G22" s="196"/>
      <c r="H22" s="32"/>
      <c r="I22" s="245">
        <f>+'SVD 4140_Pto. 01_Cert. 05'!K22</f>
        <v>0</v>
      </c>
      <c r="J22" s="136"/>
      <c r="K22" s="79">
        <f t="shared" si="0"/>
        <v>0</v>
      </c>
      <c r="L22" s="201">
        <f t="shared" si="1"/>
        <v>0</v>
      </c>
      <c r="M22" s="201">
        <f t="shared" si="2"/>
        <v>0</v>
      </c>
      <c r="N22" s="201">
        <f t="shared" si="3"/>
        <v>0</v>
      </c>
    </row>
    <row r="23" spans="1:18" ht="13.8" outlineLevel="1" x14ac:dyDescent="0.3">
      <c r="A23" s="38">
        <v>5.05</v>
      </c>
      <c r="B23" s="52" t="s">
        <v>34</v>
      </c>
      <c r="C23" s="49" t="s">
        <v>19</v>
      </c>
      <c r="D23" s="50">
        <v>510</v>
      </c>
      <c r="E23" s="42">
        <v>3578</v>
      </c>
      <c r="F23" s="42">
        <f t="shared" si="4"/>
        <v>1824780</v>
      </c>
      <c r="G23" s="196"/>
      <c r="H23" s="32"/>
      <c r="I23" s="245">
        <f>+'SVD 4140_Pto. 01_Cert. 05'!K23</f>
        <v>0</v>
      </c>
      <c r="J23" s="136"/>
      <c r="K23" s="79">
        <f t="shared" si="0"/>
        <v>0</v>
      </c>
      <c r="L23" s="201">
        <f t="shared" si="1"/>
        <v>0</v>
      </c>
      <c r="M23" s="201">
        <f t="shared" si="2"/>
        <v>0</v>
      </c>
      <c r="N23" s="201">
        <f t="shared" si="3"/>
        <v>0</v>
      </c>
    </row>
    <row r="24" spans="1:18" ht="13.8" outlineLevel="1" x14ac:dyDescent="0.3">
      <c r="A24" s="190">
        <v>5.0599999999999996</v>
      </c>
      <c r="B24" s="191" t="s">
        <v>35</v>
      </c>
      <c r="C24" s="43" t="s">
        <v>19</v>
      </c>
      <c r="D24" s="44">
        <v>510</v>
      </c>
      <c r="E24" s="44">
        <v>21800</v>
      </c>
      <c r="F24" s="44">
        <f t="shared" si="4"/>
        <v>11118000</v>
      </c>
      <c r="G24" s="186"/>
      <c r="H24" s="32"/>
      <c r="I24" s="245">
        <f>+'SVD 4140_Pto. 01_Cert. 05'!K24</f>
        <v>0</v>
      </c>
      <c r="J24" s="136"/>
      <c r="K24" s="79">
        <f t="shared" si="0"/>
        <v>0</v>
      </c>
      <c r="L24" s="201">
        <f t="shared" si="1"/>
        <v>0</v>
      </c>
      <c r="M24" s="201">
        <f t="shared" si="2"/>
        <v>0</v>
      </c>
      <c r="N24" s="201">
        <f t="shared" si="3"/>
        <v>0</v>
      </c>
    </row>
    <row r="25" spans="1:18" ht="13.8" outlineLevel="1" x14ac:dyDescent="0.3">
      <c r="A25" s="45">
        <v>5.07</v>
      </c>
      <c r="B25" s="192" t="s">
        <v>36</v>
      </c>
      <c r="C25" s="193" t="s">
        <v>28</v>
      </c>
      <c r="D25" s="194">
        <v>1</v>
      </c>
      <c r="E25" s="60">
        <v>16967915</v>
      </c>
      <c r="F25" s="60">
        <f t="shared" si="4"/>
        <v>16967915</v>
      </c>
      <c r="G25" s="197"/>
      <c r="H25" s="32"/>
      <c r="I25" s="245">
        <f>+'SVD 4140_Pto. 01_Cert. 05'!K25</f>
        <v>1</v>
      </c>
      <c r="J25" s="137"/>
      <c r="K25" s="138">
        <f t="shared" si="0"/>
        <v>1</v>
      </c>
      <c r="L25" s="202">
        <f t="shared" si="1"/>
        <v>16967915</v>
      </c>
      <c r="M25" s="202">
        <f t="shared" si="2"/>
        <v>0</v>
      </c>
      <c r="N25" s="202">
        <f t="shared" si="3"/>
        <v>16967915</v>
      </c>
    </row>
    <row r="26" spans="1:18" ht="13.8" x14ac:dyDescent="0.3">
      <c r="A26" s="27">
        <v>6</v>
      </c>
      <c r="B26" s="28" t="s">
        <v>37</v>
      </c>
      <c r="C26" s="189"/>
      <c r="D26" s="65"/>
      <c r="E26" s="65"/>
      <c r="F26" s="65"/>
      <c r="G26" s="31">
        <f>+SUM(F27)</f>
        <v>2433900</v>
      </c>
      <c r="H26" s="32">
        <f>+G26/$G$185</f>
        <v>3.3084706050630856E-3</v>
      </c>
      <c r="I26" s="246"/>
      <c r="J26" s="140"/>
      <c r="K26" s="130"/>
      <c r="L26" s="130"/>
      <c r="M26" s="130"/>
      <c r="N26" s="66"/>
    </row>
    <row r="27" spans="1:18" ht="13.8" outlineLevel="1" x14ac:dyDescent="0.3">
      <c r="A27" s="38">
        <v>6.02</v>
      </c>
      <c r="B27" s="51" t="s">
        <v>38</v>
      </c>
      <c r="C27" s="43" t="s">
        <v>26</v>
      </c>
      <c r="D27" s="44">
        <v>60</v>
      </c>
      <c r="E27" s="42">
        <v>40565</v>
      </c>
      <c r="F27" s="42">
        <f t="shared" si="4"/>
        <v>2433900</v>
      </c>
      <c r="G27" s="5"/>
      <c r="H27" s="32"/>
      <c r="I27" s="245">
        <f>+'SVD 4140_Pto. 01_Cert. 05'!K27</f>
        <v>0</v>
      </c>
      <c r="J27" s="136"/>
      <c r="K27" s="79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</row>
    <row r="28" spans="1:18" ht="13.8" x14ac:dyDescent="0.3">
      <c r="A28" s="27">
        <v>7</v>
      </c>
      <c r="B28" s="28" t="s">
        <v>39</v>
      </c>
      <c r="C28" s="189"/>
      <c r="D28" s="65"/>
      <c r="E28" s="65"/>
      <c r="F28" s="65"/>
      <c r="G28" s="31">
        <f>+SUM(F29:F36)</f>
        <v>136390555.29860002</v>
      </c>
      <c r="H28" s="32">
        <f>+G28/$G$185</f>
        <v>0.18539962324403197</v>
      </c>
      <c r="I28" s="246"/>
      <c r="J28" s="140"/>
      <c r="K28" s="130"/>
      <c r="L28" s="130"/>
      <c r="M28" s="130"/>
      <c r="N28" s="66"/>
    </row>
    <row r="29" spans="1:18" ht="13.8" outlineLevel="1" x14ac:dyDescent="0.3">
      <c r="A29" s="38">
        <v>7.01</v>
      </c>
      <c r="B29" s="51" t="s">
        <v>40</v>
      </c>
      <c r="C29" s="43" t="s">
        <v>19</v>
      </c>
      <c r="D29" s="44">
        <v>678.25199999999995</v>
      </c>
      <c r="E29" s="42">
        <v>16571</v>
      </c>
      <c r="F29" s="42">
        <f t="shared" si="4"/>
        <v>11239313.891999999</v>
      </c>
      <c r="G29" s="5"/>
      <c r="H29" s="32"/>
      <c r="I29" s="245">
        <f>+'SVD 4140_Pto. 01_Cert. 05'!K29</f>
        <v>0</v>
      </c>
      <c r="J29" s="136"/>
      <c r="K29" s="79">
        <f t="shared" si="0"/>
        <v>0</v>
      </c>
      <c r="L29" s="80">
        <f t="shared" si="1"/>
        <v>0</v>
      </c>
      <c r="M29" s="80">
        <f t="shared" si="2"/>
        <v>0</v>
      </c>
      <c r="N29" s="80">
        <f t="shared" si="3"/>
        <v>0</v>
      </c>
    </row>
    <row r="30" spans="1:18" ht="13.8" outlineLevel="1" x14ac:dyDescent="0.3">
      <c r="A30" s="38">
        <v>7.02</v>
      </c>
      <c r="B30" s="39" t="s">
        <v>41</v>
      </c>
      <c r="C30" s="49" t="s">
        <v>19</v>
      </c>
      <c r="D30" s="41">
        <v>876.08119999999985</v>
      </c>
      <c r="E30" s="42">
        <v>22183</v>
      </c>
      <c r="F30" s="42">
        <f t="shared" si="4"/>
        <v>19434109.259599999</v>
      </c>
      <c r="G30" s="5"/>
      <c r="H30" s="32"/>
      <c r="I30" s="245">
        <f>+'SVD 4140_Pto. 01_Cert. 05'!K30</f>
        <v>0</v>
      </c>
      <c r="J30" s="136"/>
      <c r="K30" s="79">
        <f t="shared" si="0"/>
        <v>0</v>
      </c>
      <c r="L30" s="80">
        <f t="shared" si="1"/>
        <v>0</v>
      </c>
      <c r="M30" s="80">
        <f t="shared" si="2"/>
        <v>0</v>
      </c>
      <c r="N30" s="80">
        <f t="shared" si="3"/>
        <v>0</v>
      </c>
    </row>
    <row r="31" spans="1:18" ht="13.8" outlineLevel="1" x14ac:dyDescent="0.3">
      <c r="A31" s="38">
        <v>7.03</v>
      </c>
      <c r="B31" s="39" t="s">
        <v>42</v>
      </c>
      <c r="C31" s="49" t="s">
        <v>26</v>
      </c>
      <c r="D31" s="41">
        <v>182</v>
      </c>
      <c r="E31" s="42">
        <v>10806</v>
      </c>
      <c r="F31" s="42">
        <f t="shared" si="4"/>
        <v>1966692</v>
      </c>
      <c r="G31" s="5"/>
      <c r="H31" s="32"/>
      <c r="I31" s="245">
        <f>+'SVD 4140_Pto. 01_Cert. 05'!K31</f>
        <v>0</v>
      </c>
      <c r="J31" s="136"/>
      <c r="K31" s="79">
        <f t="shared" si="0"/>
        <v>0</v>
      </c>
      <c r="L31" s="80">
        <f t="shared" si="1"/>
        <v>0</v>
      </c>
      <c r="M31" s="80">
        <f t="shared" si="2"/>
        <v>0</v>
      </c>
      <c r="N31" s="80">
        <f t="shared" si="3"/>
        <v>0</v>
      </c>
    </row>
    <row r="32" spans="1:18" ht="13.8" outlineLevel="1" x14ac:dyDescent="0.3">
      <c r="A32" s="38">
        <v>7.04</v>
      </c>
      <c r="B32" s="39" t="s">
        <v>43</v>
      </c>
      <c r="C32" s="49" t="s">
        <v>19</v>
      </c>
      <c r="D32" s="41">
        <v>995.85109999999997</v>
      </c>
      <c r="E32" s="42">
        <v>26530</v>
      </c>
      <c r="F32" s="42">
        <f t="shared" si="4"/>
        <v>26419929.682999998</v>
      </c>
      <c r="G32" s="5"/>
      <c r="H32" s="32"/>
      <c r="I32" s="245">
        <f>+'SVD 4140_Pto. 01_Cert. 05'!K32</f>
        <v>0.45</v>
      </c>
      <c r="J32" s="141"/>
      <c r="K32" s="79">
        <f t="shared" si="0"/>
        <v>0.45</v>
      </c>
      <c r="L32" s="80">
        <f t="shared" si="1"/>
        <v>11888968.357349999</v>
      </c>
      <c r="M32" s="80">
        <f t="shared" si="2"/>
        <v>0</v>
      </c>
      <c r="N32" s="80">
        <f t="shared" si="3"/>
        <v>11888968.357349999</v>
      </c>
    </row>
    <row r="33" spans="1:16" ht="13.8" outlineLevel="1" x14ac:dyDescent="0.3">
      <c r="A33" s="38">
        <v>7.05</v>
      </c>
      <c r="B33" s="39" t="s">
        <v>44</v>
      </c>
      <c r="C33" s="49" t="s">
        <v>19</v>
      </c>
      <c r="D33" s="41">
        <v>2514.8970000000013</v>
      </c>
      <c r="E33" s="42">
        <v>22566</v>
      </c>
      <c r="F33" s="42">
        <f t="shared" si="4"/>
        <v>56751165.702000029</v>
      </c>
      <c r="G33" s="5"/>
      <c r="H33" s="32"/>
      <c r="I33" s="245">
        <f>+'SVD 4140_Pto. 01_Cert. 05'!K33</f>
        <v>0.05</v>
      </c>
      <c r="J33" s="136"/>
      <c r="K33" s="79">
        <f t="shared" si="0"/>
        <v>0.05</v>
      </c>
      <c r="L33" s="80">
        <f t="shared" si="1"/>
        <v>2837558.2851000018</v>
      </c>
      <c r="M33" s="80">
        <f t="shared" si="2"/>
        <v>0</v>
      </c>
      <c r="N33" s="80">
        <f t="shared" si="3"/>
        <v>2837558.2851000018</v>
      </c>
    </row>
    <row r="34" spans="1:16" ht="13.8" outlineLevel="1" x14ac:dyDescent="0.3">
      <c r="A34" s="38">
        <v>7.06</v>
      </c>
      <c r="B34" s="39" t="s">
        <v>45</v>
      </c>
      <c r="C34" s="49" t="s">
        <v>26</v>
      </c>
      <c r="D34" s="41">
        <v>509.9</v>
      </c>
      <c r="E34" s="42">
        <v>12771</v>
      </c>
      <c r="F34" s="42">
        <f t="shared" si="4"/>
        <v>6511932.8999999994</v>
      </c>
      <c r="G34" s="5"/>
      <c r="H34" s="32"/>
      <c r="I34" s="245">
        <f>+'SVD 4140_Pto. 01_Cert. 05'!K34</f>
        <v>0.05</v>
      </c>
      <c r="J34" s="136"/>
      <c r="K34" s="79">
        <f t="shared" si="0"/>
        <v>0.05</v>
      </c>
      <c r="L34" s="80">
        <f t="shared" si="1"/>
        <v>325596.64500000002</v>
      </c>
      <c r="M34" s="80">
        <f t="shared" si="2"/>
        <v>0</v>
      </c>
      <c r="N34" s="80">
        <f t="shared" si="3"/>
        <v>325596.64500000002</v>
      </c>
    </row>
    <row r="35" spans="1:16" ht="13.8" outlineLevel="1" x14ac:dyDescent="0.3">
      <c r="A35" s="38">
        <v>7.07</v>
      </c>
      <c r="B35" s="39" t="s">
        <v>46</v>
      </c>
      <c r="C35" s="49" t="s">
        <v>47</v>
      </c>
      <c r="D35" s="41">
        <v>198</v>
      </c>
      <c r="E35" s="42">
        <v>14947</v>
      </c>
      <c r="F35" s="42">
        <f t="shared" si="4"/>
        <v>2959506</v>
      </c>
      <c r="G35" s="5"/>
      <c r="H35" s="32"/>
      <c r="I35" s="245">
        <f>+'SVD 4140_Pto. 01_Cert. 05'!K35</f>
        <v>0</v>
      </c>
      <c r="J35" s="136"/>
      <c r="K35" s="79">
        <f t="shared" si="0"/>
        <v>0</v>
      </c>
      <c r="L35" s="80">
        <f t="shared" si="1"/>
        <v>0</v>
      </c>
      <c r="M35" s="80">
        <f t="shared" si="2"/>
        <v>0</v>
      </c>
      <c r="N35" s="80">
        <f t="shared" si="3"/>
        <v>0</v>
      </c>
    </row>
    <row r="36" spans="1:16" ht="13.8" outlineLevel="1" x14ac:dyDescent="0.3">
      <c r="A36" s="38">
        <v>7.08</v>
      </c>
      <c r="B36" s="39" t="s">
        <v>48</v>
      </c>
      <c r="C36" s="49" t="s">
        <v>19</v>
      </c>
      <c r="D36" s="41">
        <v>670.322</v>
      </c>
      <c r="E36" s="42">
        <v>16571</v>
      </c>
      <c r="F36" s="42">
        <f t="shared" si="4"/>
        <v>11107905.862</v>
      </c>
      <c r="G36" s="5"/>
      <c r="H36" s="32"/>
      <c r="I36" s="245">
        <f>+'SVD 4140_Pto. 01_Cert. 05'!K36</f>
        <v>0</v>
      </c>
      <c r="J36" s="136"/>
      <c r="K36" s="79">
        <f t="shared" si="0"/>
        <v>0</v>
      </c>
      <c r="L36" s="80">
        <f t="shared" si="1"/>
        <v>0</v>
      </c>
      <c r="M36" s="80">
        <f t="shared" si="2"/>
        <v>0</v>
      </c>
      <c r="N36" s="80">
        <f t="shared" si="3"/>
        <v>0</v>
      </c>
    </row>
    <row r="37" spans="1:16" ht="13.8" x14ac:dyDescent="0.3">
      <c r="A37" s="27">
        <v>8</v>
      </c>
      <c r="B37" s="28" t="s">
        <v>49</v>
      </c>
      <c r="C37" s="189"/>
      <c r="D37" s="65"/>
      <c r="E37" s="65"/>
      <c r="F37" s="65"/>
      <c r="G37" s="31">
        <f>+SUM(F38:F45)</f>
        <v>44788107</v>
      </c>
      <c r="H37" s="32">
        <f>+G37/$G$185</f>
        <v>6.0881768135880775E-2</v>
      </c>
      <c r="I37" s="246"/>
      <c r="J37" s="140"/>
      <c r="K37" s="130"/>
      <c r="L37" s="130"/>
      <c r="M37" s="130"/>
      <c r="N37" s="66"/>
    </row>
    <row r="38" spans="1:16" ht="13.8" outlineLevel="1" x14ac:dyDescent="0.3">
      <c r="A38" s="33">
        <v>8.01</v>
      </c>
      <c r="B38" s="198" t="s">
        <v>50</v>
      </c>
      <c r="C38" s="61" t="s">
        <v>19</v>
      </c>
      <c r="D38" s="62">
        <v>104</v>
      </c>
      <c r="E38" s="37">
        <v>31920</v>
      </c>
      <c r="F38" s="37">
        <f t="shared" si="4"/>
        <v>3319680</v>
      </c>
      <c r="G38" s="5"/>
      <c r="H38" s="32"/>
      <c r="I38" s="245">
        <f>+'SVD 4140_Pto. 01_Cert. 05'!K38</f>
        <v>1</v>
      </c>
      <c r="J38" s="134"/>
      <c r="K38" s="135">
        <f t="shared" si="0"/>
        <v>1</v>
      </c>
      <c r="L38" s="200">
        <f t="shared" si="1"/>
        <v>3319680</v>
      </c>
      <c r="M38" s="200">
        <f t="shared" si="2"/>
        <v>0</v>
      </c>
      <c r="N38" s="200">
        <f t="shared" si="3"/>
        <v>3319680</v>
      </c>
    </row>
    <row r="39" spans="1:16" ht="13.8" outlineLevel="1" x14ac:dyDescent="0.3">
      <c r="A39" s="38">
        <v>8.02</v>
      </c>
      <c r="B39" s="52" t="s">
        <v>51</v>
      </c>
      <c r="C39" s="49" t="s">
        <v>19</v>
      </c>
      <c r="D39" s="50">
        <v>48</v>
      </c>
      <c r="E39" s="42">
        <v>37268</v>
      </c>
      <c r="F39" s="42">
        <f t="shared" si="4"/>
        <v>1788864</v>
      </c>
      <c r="G39" s="5"/>
      <c r="H39" s="32"/>
      <c r="I39" s="245">
        <f>+'SVD 4140_Pto. 01_Cert. 05'!K39</f>
        <v>0</v>
      </c>
      <c r="J39" s="136"/>
      <c r="K39" s="79">
        <f t="shared" si="0"/>
        <v>0</v>
      </c>
      <c r="L39" s="201">
        <f t="shared" si="1"/>
        <v>0</v>
      </c>
      <c r="M39" s="201">
        <f t="shared" si="2"/>
        <v>0</v>
      </c>
      <c r="N39" s="201">
        <f t="shared" si="3"/>
        <v>0</v>
      </c>
    </row>
    <row r="40" spans="1:16" ht="13.8" outlineLevel="1" x14ac:dyDescent="0.3">
      <c r="A40" s="38">
        <v>8.0299999999999994</v>
      </c>
      <c r="B40" s="52" t="s">
        <v>52</v>
      </c>
      <c r="C40" s="49" t="s">
        <v>19</v>
      </c>
      <c r="D40" s="50">
        <v>235</v>
      </c>
      <c r="E40" s="42">
        <v>32410</v>
      </c>
      <c r="F40" s="42">
        <f t="shared" si="4"/>
        <v>7616350</v>
      </c>
      <c r="G40" s="5"/>
      <c r="H40" s="32"/>
      <c r="I40" s="245">
        <f>+'SVD 4140_Pto. 01_Cert. 05'!K40</f>
        <v>0</v>
      </c>
      <c r="J40" s="136"/>
      <c r="K40" s="79">
        <f t="shared" si="0"/>
        <v>0</v>
      </c>
      <c r="L40" s="201">
        <f t="shared" si="1"/>
        <v>0</v>
      </c>
      <c r="M40" s="201">
        <f t="shared" si="2"/>
        <v>0</v>
      </c>
      <c r="N40" s="201">
        <f t="shared" si="3"/>
        <v>0</v>
      </c>
    </row>
    <row r="41" spans="1:16" ht="13.8" outlineLevel="1" x14ac:dyDescent="0.3">
      <c r="A41" s="38">
        <v>8.0399999999999991</v>
      </c>
      <c r="B41" s="39" t="s">
        <v>53</v>
      </c>
      <c r="C41" s="40" t="s">
        <v>19</v>
      </c>
      <c r="D41" s="50">
        <v>878</v>
      </c>
      <c r="E41" s="42">
        <v>19006</v>
      </c>
      <c r="F41" s="42">
        <f t="shared" si="4"/>
        <v>16687268</v>
      </c>
      <c r="G41" s="5"/>
      <c r="H41" s="32"/>
      <c r="I41" s="245">
        <f>+'SVD 4140_Pto. 01_Cert. 05'!K41</f>
        <v>0</v>
      </c>
      <c r="J41" s="136"/>
      <c r="K41" s="79">
        <f t="shared" si="0"/>
        <v>0</v>
      </c>
      <c r="L41" s="201">
        <f t="shared" si="1"/>
        <v>0</v>
      </c>
      <c r="M41" s="201">
        <f t="shared" si="2"/>
        <v>0</v>
      </c>
      <c r="N41" s="201">
        <f t="shared" si="3"/>
        <v>0</v>
      </c>
    </row>
    <row r="42" spans="1:16" ht="13.8" outlineLevel="1" x14ac:dyDescent="0.3">
      <c r="A42" s="190">
        <v>8.0500000000000007</v>
      </c>
      <c r="B42" s="191" t="s">
        <v>54</v>
      </c>
      <c r="C42" s="43" t="s">
        <v>19</v>
      </c>
      <c r="D42" s="44">
        <v>564</v>
      </c>
      <c r="E42" s="44">
        <v>12439</v>
      </c>
      <c r="F42" s="44">
        <f t="shared" si="4"/>
        <v>7015596</v>
      </c>
      <c r="G42" s="5"/>
      <c r="H42" s="32"/>
      <c r="I42" s="245">
        <f>+'SVD 4140_Pto. 01_Cert. 05'!K42</f>
        <v>0</v>
      </c>
      <c r="J42" s="239"/>
      <c r="K42" s="79">
        <f t="shared" si="0"/>
        <v>0</v>
      </c>
      <c r="L42" s="201">
        <f t="shared" si="1"/>
        <v>0</v>
      </c>
      <c r="M42" s="201">
        <f t="shared" si="2"/>
        <v>0</v>
      </c>
      <c r="N42" s="201">
        <f t="shared" si="3"/>
        <v>0</v>
      </c>
    </row>
    <row r="43" spans="1:16" ht="13.8" outlineLevel="1" x14ac:dyDescent="0.3">
      <c r="A43" s="38">
        <v>8.06</v>
      </c>
      <c r="B43" s="199" t="s">
        <v>55</v>
      </c>
      <c r="C43" s="40" t="s">
        <v>19</v>
      </c>
      <c r="D43" s="41">
        <v>438</v>
      </c>
      <c r="E43" s="42">
        <v>12439</v>
      </c>
      <c r="F43" s="42">
        <f t="shared" si="4"/>
        <v>5448282</v>
      </c>
      <c r="G43" s="5"/>
      <c r="I43" s="245">
        <f>+'SVD 4140_Pto. 01_Cert. 05'!K43</f>
        <v>0</v>
      </c>
      <c r="J43" s="136"/>
      <c r="K43" s="79">
        <f t="shared" si="0"/>
        <v>0</v>
      </c>
      <c r="L43" s="201">
        <f t="shared" si="1"/>
        <v>0</v>
      </c>
      <c r="M43" s="201">
        <f t="shared" si="2"/>
        <v>0</v>
      </c>
      <c r="N43" s="201">
        <f t="shared" si="3"/>
        <v>0</v>
      </c>
      <c r="P43" s="144"/>
    </row>
    <row r="44" spans="1:16" ht="13.8" outlineLevel="1" x14ac:dyDescent="0.3">
      <c r="A44" s="38">
        <v>8.07</v>
      </c>
      <c r="B44" s="199" t="s">
        <v>56</v>
      </c>
      <c r="C44" s="40" t="s">
        <v>28</v>
      </c>
      <c r="D44" s="41">
        <v>1</v>
      </c>
      <c r="E44" s="42">
        <v>2426924</v>
      </c>
      <c r="F44" s="42">
        <f t="shared" si="4"/>
        <v>2426924</v>
      </c>
      <c r="G44" s="5"/>
      <c r="I44" s="245">
        <f>+'SVD 4140_Pto. 01_Cert. 05'!K44</f>
        <v>0</v>
      </c>
      <c r="J44" s="136"/>
      <c r="K44" s="79">
        <f t="shared" si="0"/>
        <v>0</v>
      </c>
      <c r="L44" s="201">
        <f t="shared" si="1"/>
        <v>0</v>
      </c>
      <c r="M44" s="201">
        <f t="shared" si="2"/>
        <v>0</v>
      </c>
      <c r="N44" s="201">
        <f t="shared" si="3"/>
        <v>0</v>
      </c>
    </row>
    <row r="45" spans="1:16" ht="13.8" outlineLevel="1" x14ac:dyDescent="0.3">
      <c r="A45" s="45">
        <v>8.08</v>
      </c>
      <c r="B45" s="59" t="s">
        <v>57</v>
      </c>
      <c r="C45" s="47" t="s">
        <v>28</v>
      </c>
      <c r="D45" s="48">
        <v>1</v>
      </c>
      <c r="E45" s="60">
        <v>485143</v>
      </c>
      <c r="F45" s="60">
        <f t="shared" si="4"/>
        <v>485143</v>
      </c>
      <c r="G45" s="5"/>
      <c r="I45" s="245">
        <f>+'SVD 4140_Pto. 01_Cert. 05'!K45</f>
        <v>0</v>
      </c>
      <c r="J45" s="137"/>
      <c r="K45" s="138">
        <f t="shared" si="0"/>
        <v>0</v>
      </c>
      <c r="L45" s="202">
        <f t="shared" si="1"/>
        <v>0</v>
      </c>
      <c r="M45" s="202">
        <f t="shared" si="2"/>
        <v>0</v>
      </c>
      <c r="N45" s="202">
        <f t="shared" si="3"/>
        <v>0</v>
      </c>
    </row>
    <row r="46" spans="1:16" ht="13.8" x14ac:dyDescent="0.3">
      <c r="A46" s="27">
        <v>9</v>
      </c>
      <c r="B46" s="28" t="s">
        <v>58</v>
      </c>
      <c r="C46" s="189"/>
      <c r="D46" s="65"/>
      <c r="E46" s="65"/>
      <c r="F46" s="65"/>
      <c r="G46" s="31">
        <f>+SUM(F47:F50)</f>
        <v>5769056.5999999996</v>
      </c>
      <c r="H46" s="32">
        <f>+G46/$G$185</f>
        <v>7.8420453511011904E-3</v>
      </c>
      <c r="I46" s="246"/>
      <c r="J46" s="140"/>
      <c r="K46" s="130"/>
      <c r="L46" s="130"/>
      <c r="M46" s="130"/>
      <c r="N46" s="66"/>
    </row>
    <row r="47" spans="1:16" s="57" customFormat="1" ht="13.8" outlineLevel="1" x14ac:dyDescent="0.3">
      <c r="A47" s="38">
        <v>9.01</v>
      </c>
      <c r="B47" s="55" t="s">
        <v>59</v>
      </c>
      <c r="C47" s="56" t="s">
        <v>28</v>
      </c>
      <c r="D47" s="41">
        <v>1</v>
      </c>
      <c r="E47" s="42">
        <v>2024643</v>
      </c>
      <c r="F47" s="42">
        <f t="shared" si="4"/>
        <v>2024643</v>
      </c>
      <c r="G47" s="185"/>
      <c r="H47" s="32"/>
      <c r="I47" s="245">
        <f>+'SVD 4140_Pto. 01_Cert. 05'!K47</f>
        <v>0</v>
      </c>
      <c r="J47" s="141"/>
      <c r="K47" s="79">
        <f t="shared" si="0"/>
        <v>0</v>
      </c>
      <c r="L47" s="80">
        <f t="shared" si="1"/>
        <v>0</v>
      </c>
      <c r="M47" s="80">
        <f t="shared" si="2"/>
        <v>0</v>
      </c>
      <c r="N47" s="80">
        <f t="shared" si="3"/>
        <v>0</v>
      </c>
    </row>
    <row r="48" spans="1:16" s="57" customFormat="1" ht="13.8" outlineLevel="1" x14ac:dyDescent="0.3">
      <c r="A48" s="54">
        <v>9.02</v>
      </c>
      <c r="B48" s="55" t="s">
        <v>60</v>
      </c>
      <c r="C48" s="56" t="s">
        <v>26</v>
      </c>
      <c r="D48" s="41">
        <v>122</v>
      </c>
      <c r="E48" s="42">
        <v>18814</v>
      </c>
      <c r="F48" s="42">
        <f t="shared" si="4"/>
        <v>2295308</v>
      </c>
      <c r="G48" s="185"/>
      <c r="H48" s="32"/>
      <c r="I48" s="245">
        <f>+'SVD 4140_Pto. 01_Cert. 05'!K48</f>
        <v>0</v>
      </c>
      <c r="J48" s="141"/>
      <c r="K48" s="79">
        <f t="shared" si="0"/>
        <v>0</v>
      </c>
      <c r="L48" s="80">
        <f t="shared" si="1"/>
        <v>0</v>
      </c>
      <c r="M48" s="80">
        <f t="shared" si="2"/>
        <v>0</v>
      </c>
      <c r="N48" s="80">
        <f t="shared" si="3"/>
        <v>0</v>
      </c>
    </row>
    <row r="49" spans="1:14" s="57" customFormat="1" ht="13.8" outlineLevel="1" x14ac:dyDescent="0.3">
      <c r="A49" s="38">
        <v>9.0299999999999994</v>
      </c>
      <c r="B49" s="55" t="s">
        <v>61</v>
      </c>
      <c r="C49" s="56" t="s">
        <v>26</v>
      </c>
      <c r="D49" s="41">
        <v>155</v>
      </c>
      <c r="E49" s="42">
        <v>5376</v>
      </c>
      <c r="F49" s="42">
        <f t="shared" si="4"/>
        <v>833280</v>
      </c>
      <c r="G49" s="185"/>
      <c r="H49" s="32"/>
      <c r="I49" s="245">
        <f>+'SVD 4140_Pto. 01_Cert. 05'!K49</f>
        <v>0</v>
      </c>
      <c r="J49" s="141"/>
      <c r="K49" s="79">
        <f t="shared" si="0"/>
        <v>0</v>
      </c>
      <c r="L49" s="80">
        <f t="shared" si="1"/>
        <v>0</v>
      </c>
      <c r="M49" s="80">
        <f t="shared" si="2"/>
        <v>0</v>
      </c>
      <c r="N49" s="80">
        <f t="shared" si="3"/>
        <v>0</v>
      </c>
    </row>
    <row r="50" spans="1:14" s="57" customFormat="1" ht="13.8" outlineLevel="1" x14ac:dyDescent="0.3">
      <c r="A50" s="54">
        <v>9.0399999999999991</v>
      </c>
      <c r="B50" s="55" t="s">
        <v>62</v>
      </c>
      <c r="C50" s="56" t="s">
        <v>26</v>
      </c>
      <c r="D50" s="41">
        <v>31.200000000000003</v>
      </c>
      <c r="E50" s="42">
        <v>19738</v>
      </c>
      <c r="F50" s="42">
        <f t="shared" si="4"/>
        <v>615825.60000000009</v>
      </c>
      <c r="G50" s="185"/>
      <c r="H50" s="32"/>
      <c r="I50" s="245">
        <f>+'SVD 4140_Pto. 01_Cert. 05'!K50</f>
        <v>0</v>
      </c>
      <c r="J50" s="141"/>
      <c r="K50" s="79">
        <f t="shared" si="0"/>
        <v>0</v>
      </c>
      <c r="L50" s="80">
        <f t="shared" si="1"/>
        <v>0</v>
      </c>
      <c r="M50" s="80">
        <f t="shared" si="2"/>
        <v>0</v>
      </c>
      <c r="N50" s="80">
        <f t="shared" si="3"/>
        <v>0</v>
      </c>
    </row>
    <row r="51" spans="1:14" s="58" customFormat="1" ht="13.8" x14ac:dyDescent="0.3">
      <c r="A51" s="27">
        <v>10</v>
      </c>
      <c r="B51" s="28" t="s">
        <v>63</v>
      </c>
      <c r="C51" s="189"/>
      <c r="D51" s="65"/>
      <c r="E51" s="65"/>
      <c r="F51" s="65"/>
      <c r="G51" s="31">
        <f>+SUM(F52:F55)</f>
        <v>4669278</v>
      </c>
      <c r="H51" s="32">
        <f>+G51/$G$185</f>
        <v>6.3470845186193985E-3</v>
      </c>
      <c r="I51" s="246"/>
      <c r="J51" s="140"/>
      <c r="K51" s="130"/>
      <c r="L51" s="130"/>
      <c r="M51" s="130"/>
      <c r="N51" s="66"/>
    </row>
    <row r="52" spans="1:14" s="58" customFormat="1" ht="13.8" outlineLevel="1" x14ac:dyDescent="0.3">
      <c r="A52" s="33">
        <v>10.01</v>
      </c>
      <c r="B52" s="209" t="s">
        <v>64</v>
      </c>
      <c r="C52" s="210" t="s">
        <v>28</v>
      </c>
      <c r="D52" s="36">
        <v>0</v>
      </c>
      <c r="E52" s="37">
        <v>0</v>
      </c>
      <c r="F52" s="37">
        <f t="shared" si="4"/>
        <v>0</v>
      </c>
      <c r="G52" s="211"/>
      <c r="H52" s="32"/>
      <c r="I52" s="245">
        <f>+'SVD 4140_Pto. 01_Cert. 05'!K52</f>
        <v>0</v>
      </c>
      <c r="J52" s="142"/>
      <c r="K52" s="135">
        <f t="shared" ref="K52:K53" si="9">+I52+J52</f>
        <v>0</v>
      </c>
      <c r="L52" s="200">
        <f t="shared" ref="L52:L53" si="10">+F52*I52</f>
        <v>0</v>
      </c>
      <c r="M52" s="200">
        <f t="shared" ref="M52:M53" si="11">+F52*J52</f>
        <v>0</v>
      </c>
      <c r="N52" s="200">
        <f t="shared" ref="N52:N53" si="12">+F52*K52</f>
        <v>0</v>
      </c>
    </row>
    <row r="53" spans="1:14" ht="13.8" outlineLevel="1" x14ac:dyDescent="0.3">
      <c r="A53" s="190">
        <v>10.02</v>
      </c>
      <c r="B53" s="191" t="s">
        <v>65</v>
      </c>
      <c r="C53" s="43" t="s">
        <v>28</v>
      </c>
      <c r="D53" s="44">
        <v>1</v>
      </c>
      <c r="E53" s="44">
        <v>2199545</v>
      </c>
      <c r="F53" s="44">
        <f t="shared" si="4"/>
        <v>2199545</v>
      </c>
      <c r="G53" s="186"/>
      <c r="H53" s="32"/>
      <c r="I53" s="245">
        <f>+'SVD 4140_Pto. 01_Cert. 05'!K53</f>
        <v>0</v>
      </c>
      <c r="J53" s="236">
        <v>0.2</v>
      </c>
      <c r="K53" s="79">
        <f t="shared" si="9"/>
        <v>0.2</v>
      </c>
      <c r="L53" s="201">
        <f t="shared" si="10"/>
        <v>0</v>
      </c>
      <c r="M53" s="201">
        <f t="shared" si="11"/>
        <v>439909</v>
      </c>
      <c r="N53" s="201">
        <f t="shared" si="12"/>
        <v>439909</v>
      </c>
    </row>
    <row r="54" spans="1:14" s="63" customFormat="1" ht="13.8" outlineLevel="1" x14ac:dyDescent="0.3">
      <c r="A54" s="38">
        <v>10.029999999999999</v>
      </c>
      <c r="B54" s="39" t="s">
        <v>66</v>
      </c>
      <c r="C54" s="49" t="s">
        <v>67</v>
      </c>
      <c r="D54" s="50">
        <v>0</v>
      </c>
      <c r="E54" s="42">
        <v>0</v>
      </c>
      <c r="F54" s="42">
        <f t="shared" si="4"/>
        <v>0</v>
      </c>
      <c r="G54" s="186"/>
      <c r="I54" s="245">
        <f>+'SVD 4140_Pto. 01_Cert. 05'!K54</f>
        <v>0</v>
      </c>
      <c r="J54" s="236"/>
      <c r="K54" s="79">
        <f t="shared" si="0"/>
        <v>0</v>
      </c>
      <c r="L54" s="201">
        <f t="shared" si="1"/>
        <v>0</v>
      </c>
      <c r="M54" s="201">
        <f t="shared" si="2"/>
        <v>0</v>
      </c>
      <c r="N54" s="201">
        <f t="shared" si="3"/>
        <v>0</v>
      </c>
    </row>
    <row r="55" spans="1:14" s="63" customFormat="1" ht="13.8" outlineLevel="1" x14ac:dyDescent="0.3">
      <c r="A55" s="45">
        <v>10.039999999999999</v>
      </c>
      <c r="B55" s="46" t="s">
        <v>68</v>
      </c>
      <c r="C55" s="64" t="s">
        <v>47</v>
      </c>
      <c r="D55" s="53">
        <v>7</v>
      </c>
      <c r="E55" s="60">
        <v>352819</v>
      </c>
      <c r="F55" s="60">
        <f t="shared" si="4"/>
        <v>2469733</v>
      </c>
      <c r="G55" s="212"/>
      <c r="I55" s="245">
        <f>+'SVD 4140_Pto. 01_Cert. 05'!K55</f>
        <v>0</v>
      </c>
      <c r="J55" s="143"/>
      <c r="K55" s="138">
        <f t="shared" si="0"/>
        <v>0</v>
      </c>
      <c r="L55" s="202">
        <f t="shared" si="1"/>
        <v>0</v>
      </c>
      <c r="M55" s="202">
        <f t="shared" si="2"/>
        <v>0</v>
      </c>
      <c r="N55" s="202">
        <f t="shared" si="3"/>
        <v>0</v>
      </c>
    </row>
    <row r="56" spans="1:14" s="63" customFormat="1" ht="13.8" x14ac:dyDescent="0.3">
      <c r="A56" s="27">
        <v>11</v>
      </c>
      <c r="B56" s="28" t="s">
        <v>69</v>
      </c>
      <c r="C56" s="189"/>
      <c r="D56" s="65"/>
      <c r="E56" s="65"/>
      <c r="F56" s="65"/>
      <c r="G56" s="31">
        <f>+SUM(F57:F63)</f>
        <v>48040802</v>
      </c>
      <c r="H56" s="32">
        <f>+G56/$G$185</f>
        <v>6.5303250446056074E-2</v>
      </c>
      <c r="I56" s="247"/>
      <c r="J56" s="132"/>
      <c r="K56" s="132"/>
      <c r="L56" s="132"/>
      <c r="M56" s="132"/>
      <c r="N56" s="133"/>
    </row>
    <row r="57" spans="1:14" s="57" customFormat="1" ht="13.8" outlineLevel="1" x14ac:dyDescent="0.3">
      <c r="A57" s="213">
        <v>11.01</v>
      </c>
      <c r="B57" s="214" t="s">
        <v>70</v>
      </c>
      <c r="C57" s="215" t="s">
        <v>19</v>
      </c>
      <c r="D57" s="216">
        <v>30</v>
      </c>
      <c r="E57" s="37">
        <v>21948</v>
      </c>
      <c r="F57" s="37">
        <f t="shared" si="4"/>
        <v>658440</v>
      </c>
      <c r="G57" s="67"/>
      <c r="H57" s="32"/>
      <c r="I57" s="245">
        <f>+'SVD 4140_Pto. 01_Cert. 05'!K57</f>
        <v>0</v>
      </c>
      <c r="J57" s="142"/>
      <c r="K57" s="135">
        <f>+I57+J57</f>
        <v>0</v>
      </c>
      <c r="L57" s="200">
        <f t="shared" ref="L57:L63" si="13">+F57*I57</f>
        <v>0</v>
      </c>
      <c r="M57" s="200">
        <f>+F57*J57</f>
        <v>0</v>
      </c>
      <c r="N57" s="200">
        <f t="shared" ref="N57:N63" si="14">+F57*K57</f>
        <v>0</v>
      </c>
    </row>
    <row r="58" spans="1:14" s="57" customFormat="1" ht="13.8" outlineLevel="1" x14ac:dyDescent="0.3">
      <c r="A58" s="217">
        <v>11.02</v>
      </c>
      <c r="B58" s="218" t="s">
        <v>71</v>
      </c>
      <c r="C58" s="219" t="s">
        <v>19</v>
      </c>
      <c r="D58" s="220">
        <v>185</v>
      </c>
      <c r="E58" s="42">
        <v>21948</v>
      </c>
      <c r="F58" s="42">
        <f t="shared" si="4"/>
        <v>4060380</v>
      </c>
      <c r="G58" s="181"/>
      <c r="H58" s="32"/>
      <c r="I58" s="245">
        <f>+'SVD 4140_Pto. 01_Cert. 05'!K58</f>
        <v>0</v>
      </c>
      <c r="J58" s="236"/>
      <c r="K58" s="79">
        <f t="shared" ref="K58:K63" si="15">+I58+J58</f>
        <v>0</v>
      </c>
      <c r="L58" s="201">
        <f t="shared" si="13"/>
        <v>0</v>
      </c>
      <c r="M58" s="201">
        <f t="shared" ref="M58:M63" si="16">+F58*J58</f>
        <v>0</v>
      </c>
      <c r="N58" s="201">
        <f t="shared" si="14"/>
        <v>0</v>
      </c>
    </row>
    <row r="59" spans="1:14" s="57" customFormat="1" ht="13.8" outlineLevel="1" x14ac:dyDescent="0.3">
      <c r="A59" s="217">
        <v>11.03</v>
      </c>
      <c r="B59" s="218" t="s">
        <v>72</v>
      </c>
      <c r="C59" s="219" t="s">
        <v>19</v>
      </c>
      <c r="D59" s="220">
        <v>942</v>
      </c>
      <c r="E59" s="42">
        <v>21948</v>
      </c>
      <c r="F59" s="42">
        <f t="shared" si="4"/>
        <v>20675016</v>
      </c>
      <c r="G59" s="181"/>
      <c r="H59" s="32"/>
      <c r="I59" s="245">
        <f>+'SVD 4140_Pto. 01_Cert. 05'!K59</f>
        <v>0</v>
      </c>
      <c r="J59" s="236"/>
      <c r="K59" s="79">
        <f t="shared" si="15"/>
        <v>0</v>
      </c>
      <c r="L59" s="201">
        <f t="shared" si="13"/>
        <v>0</v>
      </c>
      <c r="M59" s="201">
        <f t="shared" si="16"/>
        <v>0</v>
      </c>
      <c r="N59" s="201">
        <f t="shared" si="14"/>
        <v>0</v>
      </c>
    </row>
    <row r="60" spans="1:14" s="57" customFormat="1" ht="13.8" outlineLevel="1" x14ac:dyDescent="0.3">
      <c r="A60" s="217">
        <v>11.04</v>
      </c>
      <c r="B60" s="218" t="s">
        <v>73</v>
      </c>
      <c r="C60" s="219" t="s">
        <v>19</v>
      </c>
      <c r="D60" s="220">
        <v>110</v>
      </c>
      <c r="E60" s="42">
        <v>25799</v>
      </c>
      <c r="F60" s="42">
        <f t="shared" si="4"/>
        <v>2837890</v>
      </c>
      <c r="G60" s="181"/>
      <c r="H60" s="32"/>
      <c r="I60" s="245">
        <f>+'SVD 4140_Pto. 01_Cert. 05'!K60</f>
        <v>0</v>
      </c>
      <c r="J60" s="236"/>
      <c r="K60" s="79">
        <f t="shared" si="15"/>
        <v>0</v>
      </c>
      <c r="L60" s="201">
        <f t="shared" si="13"/>
        <v>0</v>
      </c>
      <c r="M60" s="201">
        <f t="shared" si="16"/>
        <v>0</v>
      </c>
      <c r="N60" s="201">
        <f t="shared" si="14"/>
        <v>0</v>
      </c>
    </row>
    <row r="61" spans="1:14" s="57" customFormat="1" ht="13.8" outlineLevel="1" x14ac:dyDescent="0.3">
      <c r="A61" s="217">
        <v>11.05</v>
      </c>
      <c r="B61" s="218" t="s">
        <v>74</v>
      </c>
      <c r="C61" s="219" t="s">
        <v>19</v>
      </c>
      <c r="D61" s="220">
        <v>128</v>
      </c>
      <c r="E61" s="42">
        <v>16080</v>
      </c>
      <c r="F61" s="42">
        <f t="shared" si="4"/>
        <v>2058240</v>
      </c>
      <c r="G61" s="181"/>
      <c r="H61" s="32"/>
      <c r="I61" s="245">
        <f>+'SVD 4140_Pto. 01_Cert. 05'!K61</f>
        <v>0</v>
      </c>
      <c r="J61" s="236"/>
      <c r="K61" s="79">
        <f t="shared" si="15"/>
        <v>0</v>
      </c>
      <c r="L61" s="201">
        <f t="shared" si="13"/>
        <v>0</v>
      </c>
      <c r="M61" s="201">
        <f t="shared" si="16"/>
        <v>0</v>
      </c>
      <c r="N61" s="201">
        <f t="shared" si="14"/>
        <v>0</v>
      </c>
    </row>
    <row r="62" spans="1:14" s="57" customFormat="1" ht="13.8" outlineLevel="1" x14ac:dyDescent="0.3">
      <c r="A62" s="217">
        <v>11.06</v>
      </c>
      <c r="B62" s="218" t="s">
        <v>75</v>
      </c>
      <c r="C62" s="219" t="s">
        <v>19</v>
      </c>
      <c r="D62" s="220">
        <v>48</v>
      </c>
      <c r="E62" s="42">
        <v>21948</v>
      </c>
      <c r="F62" s="42">
        <f t="shared" si="4"/>
        <v>1053504</v>
      </c>
      <c r="G62" s="181"/>
      <c r="H62" s="32"/>
      <c r="I62" s="245">
        <f>+'SVD 4140_Pto. 01_Cert. 05'!K62</f>
        <v>0</v>
      </c>
      <c r="J62" s="236"/>
      <c r="K62" s="79">
        <f t="shared" si="15"/>
        <v>0</v>
      </c>
      <c r="L62" s="201">
        <f t="shared" si="13"/>
        <v>0</v>
      </c>
      <c r="M62" s="201">
        <f t="shared" si="16"/>
        <v>0</v>
      </c>
      <c r="N62" s="201">
        <f t="shared" si="14"/>
        <v>0</v>
      </c>
    </row>
    <row r="63" spans="1:14" s="57" customFormat="1" ht="13.8" outlineLevel="1" x14ac:dyDescent="0.3">
      <c r="A63" s="221">
        <v>11.07</v>
      </c>
      <c r="B63" s="222" t="s">
        <v>76</v>
      </c>
      <c r="C63" s="223" t="s">
        <v>19</v>
      </c>
      <c r="D63" s="224">
        <v>226</v>
      </c>
      <c r="E63" s="60">
        <v>73882</v>
      </c>
      <c r="F63" s="60">
        <f t="shared" si="4"/>
        <v>16697332</v>
      </c>
      <c r="G63" s="181"/>
      <c r="H63" s="32"/>
      <c r="I63" s="245">
        <f>+'SVD 4140_Pto. 01_Cert. 05'!K63</f>
        <v>0</v>
      </c>
      <c r="J63" s="143"/>
      <c r="K63" s="138">
        <f t="shared" si="15"/>
        <v>0</v>
      </c>
      <c r="L63" s="202">
        <f t="shared" si="13"/>
        <v>0</v>
      </c>
      <c r="M63" s="202">
        <f t="shared" si="16"/>
        <v>0</v>
      </c>
      <c r="N63" s="202">
        <f t="shared" si="14"/>
        <v>0</v>
      </c>
    </row>
    <row r="64" spans="1:14" s="57" customFormat="1" ht="13.8" x14ac:dyDescent="0.3">
      <c r="A64" s="27">
        <v>12</v>
      </c>
      <c r="B64" s="28" t="s">
        <v>77</v>
      </c>
      <c r="C64" s="189"/>
      <c r="D64" s="65"/>
      <c r="E64" s="65"/>
      <c r="F64" s="65"/>
      <c r="G64" s="31">
        <f>+SUM(F65:F69)</f>
        <v>11022518</v>
      </c>
      <c r="H64" s="32">
        <f>+G64/$G$185</f>
        <v>1.4983227247125499E-2</v>
      </c>
      <c r="I64" s="247"/>
      <c r="J64" s="132"/>
      <c r="K64" s="132"/>
      <c r="L64" s="132"/>
      <c r="M64" s="132"/>
      <c r="N64" s="133"/>
    </row>
    <row r="65" spans="1:14" s="57" customFormat="1" ht="13.8" outlineLevel="1" x14ac:dyDescent="0.3">
      <c r="A65" s="213">
        <v>12.01</v>
      </c>
      <c r="B65" s="214" t="s">
        <v>78</v>
      </c>
      <c r="C65" s="215" t="s">
        <v>26</v>
      </c>
      <c r="D65" s="216">
        <v>779</v>
      </c>
      <c r="E65" s="37">
        <v>7422</v>
      </c>
      <c r="F65" s="37">
        <f t="shared" si="4"/>
        <v>5781738</v>
      </c>
      <c r="G65" s="181"/>
      <c r="H65" s="32"/>
      <c r="I65" s="245">
        <f>+'SVD 4140_Pto. 01_Cert. 05'!K65</f>
        <v>0</v>
      </c>
      <c r="J65" s="142"/>
      <c r="K65" s="135">
        <f t="shared" ref="K65:K69" si="17">+I65+J65</f>
        <v>0</v>
      </c>
      <c r="L65" s="200">
        <f t="shared" ref="L65:L69" si="18">+F65*I65</f>
        <v>0</v>
      </c>
      <c r="M65" s="200">
        <f t="shared" ref="M65:M69" si="19">+F65*J65</f>
        <v>0</v>
      </c>
      <c r="N65" s="200">
        <f t="shared" ref="N65:N69" si="20">+F65*K65</f>
        <v>0</v>
      </c>
    </row>
    <row r="66" spans="1:14" s="57" customFormat="1" ht="13.8" outlineLevel="1" x14ac:dyDescent="0.3">
      <c r="A66" s="217">
        <v>12.02</v>
      </c>
      <c r="B66" s="218" t="s">
        <v>61</v>
      </c>
      <c r="C66" s="219" t="s">
        <v>26</v>
      </c>
      <c r="D66" s="220">
        <v>155</v>
      </c>
      <c r="E66" s="42">
        <v>5376</v>
      </c>
      <c r="F66" s="42">
        <f t="shared" si="4"/>
        <v>833280</v>
      </c>
      <c r="G66" s="181"/>
      <c r="H66" s="32"/>
      <c r="I66" s="245">
        <f>+'SVD 4140_Pto. 01_Cert. 05'!K66</f>
        <v>0</v>
      </c>
      <c r="J66" s="236"/>
      <c r="K66" s="79">
        <f t="shared" si="17"/>
        <v>0</v>
      </c>
      <c r="L66" s="201">
        <f t="shared" si="18"/>
        <v>0</v>
      </c>
      <c r="M66" s="201">
        <f t="shared" si="19"/>
        <v>0</v>
      </c>
      <c r="N66" s="201">
        <f t="shared" si="20"/>
        <v>0</v>
      </c>
    </row>
    <row r="67" spans="1:14" s="57" customFormat="1" ht="13.8" outlineLevel="1" x14ac:dyDescent="0.3">
      <c r="A67" s="217">
        <v>12.03</v>
      </c>
      <c r="B67" s="218" t="s">
        <v>79</v>
      </c>
      <c r="C67" s="219" t="s">
        <v>26</v>
      </c>
      <c r="D67" s="220">
        <v>37</v>
      </c>
      <c r="E67" s="42">
        <v>7052</v>
      </c>
      <c r="F67" s="42">
        <f t="shared" si="4"/>
        <v>260924</v>
      </c>
      <c r="G67" s="181"/>
      <c r="H67" s="32"/>
      <c r="I67" s="245">
        <f>+'SVD 4140_Pto. 01_Cert. 05'!K67</f>
        <v>0</v>
      </c>
      <c r="J67" s="236"/>
      <c r="K67" s="79">
        <f t="shared" si="17"/>
        <v>0</v>
      </c>
      <c r="L67" s="201">
        <f t="shared" si="18"/>
        <v>0</v>
      </c>
      <c r="M67" s="201">
        <f t="shared" si="19"/>
        <v>0</v>
      </c>
      <c r="N67" s="201">
        <f t="shared" si="20"/>
        <v>0</v>
      </c>
    </row>
    <row r="68" spans="1:14" s="57" customFormat="1" ht="13.8" outlineLevel="1" x14ac:dyDescent="0.3">
      <c r="A68" s="217">
        <v>12.04</v>
      </c>
      <c r="B68" s="218" t="s">
        <v>80</v>
      </c>
      <c r="C68" s="219" t="s">
        <v>26</v>
      </c>
      <c r="D68" s="220">
        <v>433</v>
      </c>
      <c r="E68" s="42">
        <v>7052</v>
      </c>
      <c r="F68" s="42">
        <f t="shared" si="4"/>
        <v>3053516</v>
      </c>
      <c r="G68" s="181"/>
      <c r="H68" s="32"/>
      <c r="I68" s="245">
        <f>+'SVD 4140_Pto. 01_Cert. 05'!K68</f>
        <v>0</v>
      </c>
      <c r="J68" s="236"/>
      <c r="K68" s="79">
        <f t="shared" si="17"/>
        <v>0</v>
      </c>
      <c r="L68" s="201">
        <f t="shared" si="18"/>
        <v>0</v>
      </c>
      <c r="M68" s="201">
        <f t="shared" si="19"/>
        <v>0</v>
      </c>
      <c r="N68" s="201">
        <f t="shared" si="20"/>
        <v>0</v>
      </c>
    </row>
    <row r="69" spans="1:14" s="57" customFormat="1" ht="13.8" outlineLevel="1" x14ac:dyDescent="0.3">
      <c r="A69" s="221">
        <v>12.05</v>
      </c>
      <c r="B69" s="222" t="s">
        <v>81</v>
      </c>
      <c r="C69" s="223" t="s">
        <v>26</v>
      </c>
      <c r="D69" s="224">
        <v>155</v>
      </c>
      <c r="E69" s="60">
        <v>7052</v>
      </c>
      <c r="F69" s="60">
        <f t="shared" si="4"/>
        <v>1093060</v>
      </c>
      <c r="G69" s="181"/>
      <c r="H69" s="32"/>
      <c r="I69" s="245">
        <f>+'SVD 4140_Pto. 01_Cert. 05'!K69</f>
        <v>0</v>
      </c>
      <c r="J69" s="143"/>
      <c r="K69" s="138">
        <f t="shared" si="17"/>
        <v>0</v>
      </c>
      <c r="L69" s="202">
        <f t="shared" si="18"/>
        <v>0</v>
      </c>
      <c r="M69" s="202">
        <f t="shared" si="19"/>
        <v>0</v>
      </c>
      <c r="N69" s="202">
        <f t="shared" si="20"/>
        <v>0</v>
      </c>
    </row>
    <row r="70" spans="1:14" s="57" customFormat="1" ht="13.8" x14ac:dyDescent="0.3">
      <c r="A70" s="27">
        <v>13</v>
      </c>
      <c r="B70" s="28" t="s">
        <v>82</v>
      </c>
      <c r="C70" s="189"/>
      <c r="D70" s="65"/>
      <c r="E70" s="65"/>
      <c r="F70" s="65"/>
      <c r="G70" s="31">
        <f>+SUM(F71:F74)</f>
        <v>19433086.480999999</v>
      </c>
      <c r="H70" s="32">
        <f>+G70/$G$185</f>
        <v>2.641595603272005E-2</v>
      </c>
      <c r="I70" s="247"/>
      <c r="J70" s="132"/>
      <c r="K70" s="132"/>
      <c r="L70" s="132"/>
      <c r="M70" s="132"/>
      <c r="N70" s="133"/>
    </row>
    <row r="71" spans="1:14" s="57" customFormat="1" ht="13.8" outlineLevel="1" x14ac:dyDescent="0.3">
      <c r="A71" s="213">
        <v>13.01</v>
      </c>
      <c r="B71" s="214" t="s">
        <v>83</v>
      </c>
      <c r="C71" s="215" t="s">
        <v>19</v>
      </c>
      <c r="D71" s="216">
        <v>511</v>
      </c>
      <c r="E71" s="37">
        <v>25799</v>
      </c>
      <c r="F71" s="37">
        <f t="shared" si="4"/>
        <v>13183289</v>
      </c>
      <c r="G71" s="181"/>
      <c r="H71" s="32"/>
      <c r="I71" s="245">
        <f>+'SVD 4140_Pto. 01_Cert. 05'!K71</f>
        <v>0</v>
      </c>
      <c r="J71" s="142"/>
      <c r="K71" s="135">
        <f t="shared" ref="K71:K74" si="21">+I71+J71</f>
        <v>0</v>
      </c>
      <c r="L71" s="200">
        <f t="shared" ref="L71:L74" si="22">+F71*I71</f>
        <v>0</v>
      </c>
      <c r="M71" s="200">
        <f t="shared" ref="M71:M74" si="23">+F71*J71</f>
        <v>0</v>
      </c>
      <c r="N71" s="200">
        <f t="shared" ref="N71:N74" si="24">+F71*K71</f>
        <v>0</v>
      </c>
    </row>
    <row r="72" spans="1:14" s="57" customFormat="1" ht="13.8" outlineLevel="1" x14ac:dyDescent="0.3">
      <c r="A72" s="217">
        <v>13.02</v>
      </c>
      <c r="B72" s="218" t="s">
        <v>84</v>
      </c>
      <c r="C72" s="219" t="s">
        <v>19</v>
      </c>
      <c r="D72" s="220">
        <v>40</v>
      </c>
      <c r="E72" s="42">
        <v>25799</v>
      </c>
      <c r="F72" s="42">
        <f t="shared" si="4"/>
        <v>1031960</v>
      </c>
      <c r="G72" s="181"/>
      <c r="H72" s="32"/>
      <c r="I72" s="245">
        <f>+'SVD 4140_Pto. 01_Cert. 05'!K72</f>
        <v>0</v>
      </c>
      <c r="J72" s="236"/>
      <c r="K72" s="79">
        <f t="shared" si="21"/>
        <v>0</v>
      </c>
      <c r="L72" s="201">
        <f t="shared" si="22"/>
        <v>0</v>
      </c>
      <c r="M72" s="201">
        <f t="shared" si="23"/>
        <v>0</v>
      </c>
      <c r="N72" s="201">
        <f t="shared" si="24"/>
        <v>0</v>
      </c>
    </row>
    <row r="73" spans="1:14" s="57" customFormat="1" ht="13.8" outlineLevel="1" x14ac:dyDescent="0.3">
      <c r="A73" s="217">
        <v>13.03</v>
      </c>
      <c r="B73" s="218" t="s">
        <v>85</v>
      </c>
      <c r="C73" s="219" t="s">
        <v>19</v>
      </c>
      <c r="D73" s="220">
        <v>147.60100000000003</v>
      </c>
      <c r="E73" s="42">
        <v>29881</v>
      </c>
      <c r="F73" s="42">
        <f t="shared" si="4"/>
        <v>4410465.4810000006</v>
      </c>
      <c r="G73" s="181"/>
      <c r="H73" s="32"/>
      <c r="I73" s="245">
        <f>+'SVD 4140_Pto. 01_Cert. 05'!K73</f>
        <v>0</v>
      </c>
      <c r="J73" s="236"/>
      <c r="K73" s="79">
        <f t="shared" si="21"/>
        <v>0</v>
      </c>
      <c r="L73" s="201">
        <f t="shared" si="22"/>
        <v>0</v>
      </c>
      <c r="M73" s="201">
        <f t="shared" si="23"/>
        <v>0</v>
      </c>
      <c r="N73" s="201">
        <f t="shared" si="24"/>
        <v>0</v>
      </c>
    </row>
    <row r="74" spans="1:14" s="57" customFormat="1" ht="13.8" outlineLevel="1" x14ac:dyDescent="0.3">
      <c r="A74" s="221">
        <v>13.04</v>
      </c>
      <c r="B74" s="222" t="s">
        <v>86</v>
      </c>
      <c r="C74" s="223" t="s">
        <v>47</v>
      </c>
      <c r="D74" s="224">
        <v>41</v>
      </c>
      <c r="E74" s="60">
        <v>19692</v>
      </c>
      <c r="F74" s="60">
        <f t="shared" si="4"/>
        <v>807372</v>
      </c>
      <c r="G74" s="181"/>
      <c r="H74" s="32"/>
      <c r="I74" s="245">
        <f>+'SVD 4140_Pto. 01_Cert. 05'!K74</f>
        <v>0</v>
      </c>
      <c r="J74" s="143"/>
      <c r="K74" s="138">
        <f t="shared" si="21"/>
        <v>0</v>
      </c>
      <c r="L74" s="202">
        <f t="shared" si="22"/>
        <v>0</v>
      </c>
      <c r="M74" s="202">
        <f t="shared" si="23"/>
        <v>0</v>
      </c>
      <c r="N74" s="202">
        <f t="shared" si="24"/>
        <v>0</v>
      </c>
    </row>
    <row r="75" spans="1:14" s="57" customFormat="1" ht="13.8" x14ac:dyDescent="0.3">
      <c r="A75" s="27">
        <v>14</v>
      </c>
      <c r="B75" s="28" t="s">
        <v>87</v>
      </c>
      <c r="C75" s="189"/>
      <c r="D75" s="65"/>
      <c r="E75" s="65"/>
      <c r="F75" s="65"/>
      <c r="G75" s="31">
        <f>+SUM(F76:F82)</f>
        <v>50296168.959899999</v>
      </c>
      <c r="H75" s="32">
        <f>+G75/$G$185</f>
        <v>6.8369035930447242E-2</v>
      </c>
      <c r="I75" s="247"/>
      <c r="J75" s="132"/>
      <c r="K75" s="132"/>
      <c r="L75" s="132"/>
      <c r="M75" s="132"/>
      <c r="N75" s="133"/>
    </row>
    <row r="76" spans="1:14" s="57" customFormat="1" ht="13.8" outlineLevel="1" x14ac:dyDescent="0.3">
      <c r="A76" s="213">
        <v>14.01</v>
      </c>
      <c r="B76" s="214" t="s">
        <v>88</v>
      </c>
      <c r="C76" s="215" t="s">
        <v>19</v>
      </c>
      <c r="D76" s="216">
        <v>334.91519999999997</v>
      </c>
      <c r="E76" s="37">
        <v>29270</v>
      </c>
      <c r="F76" s="37">
        <f t="shared" ref="F76:F139" si="25">+D76*E76</f>
        <v>9802967.9039999992</v>
      </c>
      <c r="G76" s="181"/>
      <c r="H76" s="32"/>
      <c r="I76" s="245">
        <f>+'SVD 4140_Pto. 01_Cert. 05'!K76</f>
        <v>0</v>
      </c>
      <c r="J76" s="142">
        <v>0.05</v>
      </c>
      <c r="K76" s="135">
        <f t="shared" ref="K76:K82" si="26">+I76+J76</f>
        <v>0.05</v>
      </c>
      <c r="L76" s="200">
        <f t="shared" ref="L76:L82" si="27">+F76*I76</f>
        <v>0</v>
      </c>
      <c r="M76" s="200">
        <f t="shared" ref="M76:M82" si="28">+F76*J76</f>
        <v>490148.39519999997</v>
      </c>
      <c r="N76" s="200">
        <f t="shared" ref="N76:N82" si="29">+F76*K76</f>
        <v>490148.39519999997</v>
      </c>
    </row>
    <row r="77" spans="1:14" s="57" customFormat="1" ht="13.8" outlineLevel="1" x14ac:dyDescent="0.3">
      <c r="A77" s="217">
        <v>14.02</v>
      </c>
      <c r="B77" s="218" t="s">
        <v>89</v>
      </c>
      <c r="C77" s="219" t="s">
        <v>19</v>
      </c>
      <c r="D77" s="220">
        <v>280.3913</v>
      </c>
      <c r="E77" s="42">
        <v>33967</v>
      </c>
      <c r="F77" s="42">
        <f t="shared" si="25"/>
        <v>9524051.2871000003</v>
      </c>
      <c r="G77" s="181"/>
      <c r="H77" s="32"/>
      <c r="I77" s="245">
        <f>+'SVD 4140_Pto. 01_Cert. 05'!K77</f>
        <v>0</v>
      </c>
      <c r="J77" s="236">
        <v>0.05</v>
      </c>
      <c r="K77" s="79">
        <f t="shared" si="26"/>
        <v>0.05</v>
      </c>
      <c r="L77" s="201">
        <f t="shared" si="27"/>
        <v>0</v>
      </c>
      <c r="M77" s="201">
        <f t="shared" si="28"/>
        <v>476202.56435500004</v>
      </c>
      <c r="N77" s="201">
        <f t="shared" si="29"/>
        <v>476202.56435500004</v>
      </c>
    </row>
    <row r="78" spans="1:14" s="57" customFormat="1" ht="13.8" outlineLevel="1" x14ac:dyDescent="0.3">
      <c r="A78" s="217">
        <v>14.03</v>
      </c>
      <c r="B78" s="218" t="s">
        <v>90</v>
      </c>
      <c r="C78" s="219" t="s">
        <v>26</v>
      </c>
      <c r="D78" s="220">
        <v>60.8</v>
      </c>
      <c r="E78" s="42">
        <v>29270</v>
      </c>
      <c r="F78" s="42">
        <f t="shared" si="25"/>
        <v>1779616</v>
      </c>
      <c r="G78" s="181"/>
      <c r="H78" s="32"/>
      <c r="I78" s="245">
        <f>+'SVD 4140_Pto. 01_Cert. 05'!K78</f>
        <v>0</v>
      </c>
      <c r="J78" s="236">
        <v>0.05</v>
      </c>
      <c r="K78" s="79">
        <f t="shared" si="26"/>
        <v>0.05</v>
      </c>
      <c r="L78" s="201">
        <f t="shared" si="27"/>
        <v>0</v>
      </c>
      <c r="M78" s="201">
        <f t="shared" si="28"/>
        <v>88980.800000000003</v>
      </c>
      <c r="N78" s="201">
        <f t="shared" si="29"/>
        <v>88980.800000000003</v>
      </c>
    </row>
    <row r="79" spans="1:14" s="57" customFormat="1" ht="13.8" outlineLevel="1" x14ac:dyDescent="0.3">
      <c r="A79" s="217">
        <v>14.04</v>
      </c>
      <c r="B79" s="218" t="s">
        <v>91</v>
      </c>
      <c r="C79" s="219" t="s">
        <v>26</v>
      </c>
      <c r="D79" s="220">
        <v>1058.3799999999997</v>
      </c>
      <c r="E79" s="42">
        <v>7873</v>
      </c>
      <c r="F79" s="42">
        <f t="shared" si="25"/>
        <v>8332625.7399999974</v>
      </c>
      <c r="G79" s="181"/>
      <c r="H79" s="32"/>
      <c r="I79" s="245">
        <f>+'SVD 4140_Pto. 01_Cert. 05'!K79</f>
        <v>0</v>
      </c>
      <c r="J79" s="236"/>
      <c r="K79" s="79">
        <f t="shared" si="26"/>
        <v>0</v>
      </c>
      <c r="L79" s="201">
        <f t="shared" si="27"/>
        <v>0</v>
      </c>
      <c r="M79" s="201">
        <f t="shared" si="28"/>
        <v>0</v>
      </c>
      <c r="N79" s="201">
        <f t="shared" si="29"/>
        <v>0</v>
      </c>
    </row>
    <row r="80" spans="1:14" s="57" customFormat="1" ht="13.8" outlineLevel="1" x14ac:dyDescent="0.3">
      <c r="A80" s="217">
        <v>14.05</v>
      </c>
      <c r="B80" s="218" t="s">
        <v>92</v>
      </c>
      <c r="C80" s="219" t="s">
        <v>19</v>
      </c>
      <c r="D80" s="220">
        <v>504.12220000000002</v>
      </c>
      <c r="E80" s="42">
        <v>23364</v>
      </c>
      <c r="F80" s="42">
        <f t="shared" si="25"/>
        <v>11778311.080800001</v>
      </c>
      <c r="G80" s="181"/>
      <c r="H80" s="32"/>
      <c r="I80" s="245">
        <f>+'SVD 4140_Pto. 01_Cert. 05'!K80</f>
        <v>0</v>
      </c>
      <c r="J80" s="236"/>
      <c r="K80" s="79">
        <f t="shared" si="26"/>
        <v>0</v>
      </c>
      <c r="L80" s="201">
        <f t="shared" si="27"/>
        <v>0</v>
      </c>
      <c r="M80" s="201">
        <f t="shared" si="28"/>
        <v>0</v>
      </c>
      <c r="N80" s="201">
        <f t="shared" si="29"/>
        <v>0</v>
      </c>
    </row>
    <row r="81" spans="1:14" s="57" customFormat="1" ht="13.8" outlineLevel="1" x14ac:dyDescent="0.3">
      <c r="A81" s="217">
        <v>14.06</v>
      </c>
      <c r="B81" s="218" t="s">
        <v>93</v>
      </c>
      <c r="C81" s="219" t="s">
        <v>26</v>
      </c>
      <c r="D81" s="220">
        <v>555.99</v>
      </c>
      <c r="E81" s="42">
        <v>12771</v>
      </c>
      <c r="F81" s="42">
        <f t="shared" si="25"/>
        <v>7100548.29</v>
      </c>
      <c r="G81" s="181"/>
      <c r="H81" s="32"/>
      <c r="I81" s="245">
        <f>+'SVD 4140_Pto. 01_Cert. 05'!K81</f>
        <v>0</v>
      </c>
      <c r="J81" s="236"/>
      <c r="K81" s="79">
        <f t="shared" si="26"/>
        <v>0</v>
      </c>
      <c r="L81" s="201">
        <f t="shared" si="27"/>
        <v>0</v>
      </c>
      <c r="M81" s="201">
        <f t="shared" si="28"/>
        <v>0</v>
      </c>
      <c r="N81" s="201">
        <f t="shared" si="29"/>
        <v>0</v>
      </c>
    </row>
    <row r="82" spans="1:14" s="57" customFormat="1" ht="13.8" outlineLevel="1" x14ac:dyDescent="0.3">
      <c r="A82" s="221">
        <v>14.07</v>
      </c>
      <c r="B82" s="222" t="s">
        <v>94</v>
      </c>
      <c r="C82" s="223" t="s">
        <v>19</v>
      </c>
      <c r="D82" s="224">
        <v>429.07780000000002</v>
      </c>
      <c r="E82" s="60">
        <v>4610</v>
      </c>
      <c r="F82" s="60">
        <f t="shared" si="25"/>
        <v>1978048.6580000001</v>
      </c>
      <c r="G82" s="181"/>
      <c r="H82" s="32"/>
      <c r="I82" s="245">
        <f>+'SVD 4140_Pto. 01_Cert. 05'!K82</f>
        <v>0</v>
      </c>
      <c r="J82" s="236"/>
      <c r="K82" s="79">
        <f t="shared" si="26"/>
        <v>0</v>
      </c>
      <c r="L82" s="201">
        <f t="shared" si="27"/>
        <v>0</v>
      </c>
      <c r="M82" s="201">
        <f t="shared" si="28"/>
        <v>0</v>
      </c>
      <c r="N82" s="201">
        <f t="shared" si="29"/>
        <v>0</v>
      </c>
    </row>
    <row r="83" spans="1:14" s="57" customFormat="1" ht="13.8" x14ac:dyDescent="0.3">
      <c r="A83" s="27">
        <v>15</v>
      </c>
      <c r="B83" s="28" t="s">
        <v>95</v>
      </c>
      <c r="C83" s="189"/>
      <c r="D83" s="65"/>
      <c r="E83" s="65"/>
      <c r="F83" s="65"/>
      <c r="G83" s="31">
        <f>+SUM(F84:F92)</f>
        <v>0</v>
      </c>
      <c r="H83" s="32">
        <f>+G83/$G$185</f>
        <v>0</v>
      </c>
      <c r="I83" s="247"/>
      <c r="J83" s="132"/>
      <c r="K83" s="132"/>
      <c r="L83" s="132"/>
      <c r="M83" s="132"/>
      <c r="N83" s="133"/>
    </row>
    <row r="84" spans="1:14" s="57" customFormat="1" ht="13.8" outlineLevel="1" x14ac:dyDescent="0.3">
      <c r="A84" s="213">
        <v>15.01</v>
      </c>
      <c r="B84" s="214" t="s">
        <v>96</v>
      </c>
      <c r="C84" s="215" t="s">
        <v>19</v>
      </c>
      <c r="D84" s="216">
        <v>2670</v>
      </c>
      <c r="E84" s="37">
        <v>0</v>
      </c>
      <c r="F84" s="37">
        <f t="shared" si="25"/>
        <v>0</v>
      </c>
      <c r="G84" s="181"/>
      <c r="H84" s="32"/>
      <c r="I84" s="245">
        <f>+'SVD 4140_Pto. 01_Cert. 05'!K84</f>
        <v>0</v>
      </c>
      <c r="J84" s="142"/>
      <c r="K84" s="135">
        <f t="shared" ref="K84:K92" si="30">+I84+J84</f>
        <v>0</v>
      </c>
      <c r="L84" s="200">
        <f t="shared" ref="L84:L92" si="31">+F84*I84</f>
        <v>0</v>
      </c>
      <c r="M84" s="200">
        <f t="shared" ref="M84:M92" si="32">+F84*J84</f>
        <v>0</v>
      </c>
      <c r="N84" s="200">
        <f t="shared" ref="N84:N92" si="33">+F84*K84</f>
        <v>0</v>
      </c>
    </row>
    <row r="85" spans="1:14" s="57" customFormat="1" ht="13.8" outlineLevel="1" x14ac:dyDescent="0.3">
      <c r="A85" s="217">
        <v>15.02</v>
      </c>
      <c r="B85" s="218" t="s">
        <v>97</v>
      </c>
      <c r="C85" s="219" t="s">
        <v>19</v>
      </c>
      <c r="D85" s="220">
        <v>961</v>
      </c>
      <c r="E85" s="42">
        <v>0</v>
      </c>
      <c r="F85" s="42">
        <f t="shared" si="25"/>
        <v>0</v>
      </c>
      <c r="G85" s="181"/>
      <c r="H85" s="32"/>
      <c r="I85" s="245">
        <f>+'SVD 4140_Pto. 01_Cert. 05'!K85</f>
        <v>0</v>
      </c>
      <c r="J85" s="236"/>
      <c r="K85" s="79">
        <f t="shared" si="30"/>
        <v>0</v>
      </c>
      <c r="L85" s="201">
        <f t="shared" si="31"/>
        <v>0</v>
      </c>
      <c r="M85" s="201">
        <f t="shared" si="32"/>
        <v>0</v>
      </c>
      <c r="N85" s="201">
        <f t="shared" si="33"/>
        <v>0</v>
      </c>
    </row>
    <row r="86" spans="1:14" s="57" customFormat="1" ht="13.8" outlineLevel="1" x14ac:dyDescent="0.3">
      <c r="A86" s="217">
        <v>15.03</v>
      </c>
      <c r="B86" s="218" t="s">
        <v>98</v>
      </c>
      <c r="C86" s="219" t="s">
        <v>19</v>
      </c>
      <c r="D86" s="220">
        <v>518</v>
      </c>
      <c r="E86" s="42">
        <v>0</v>
      </c>
      <c r="F86" s="42">
        <f t="shared" si="25"/>
        <v>0</v>
      </c>
      <c r="G86" s="181"/>
      <c r="H86" s="32"/>
      <c r="I86" s="245">
        <f>+'SVD 4140_Pto. 01_Cert. 05'!K86</f>
        <v>0</v>
      </c>
      <c r="J86" s="236"/>
      <c r="K86" s="79">
        <f t="shared" si="30"/>
        <v>0</v>
      </c>
      <c r="L86" s="201">
        <f t="shared" si="31"/>
        <v>0</v>
      </c>
      <c r="M86" s="201">
        <f t="shared" si="32"/>
        <v>0</v>
      </c>
      <c r="N86" s="201">
        <f t="shared" si="33"/>
        <v>0</v>
      </c>
    </row>
    <row r="87" spans="1:14" s="57" customFormat="1" ht="13.8" outlineLevel="1" x14ac:dyDescent="0.3">
      <c r="A87" s="217">
        <v>15.04</v>
      </c>
      <c r="B87" s="218" t="s">
        <v>99</v>
      </c>
      <c r="C87" s="219" t="s">
        <v>19</v>
      </c>
      <c r="D87" s="220">
        <v>612</v>
      </c>
      <c r="E87" s="42">
        <v>0</v>
      </c>
      <c r="F87" s="42">
        <f t="shared" si="25"/>
        <v>0</v>
      </c>
      <c r="G87" s="181"/>
      <c r="H87" s="32"/>
      <c r="I87" s="245">
        <f>+'SVD 4140_Pto. 01_Cert. 05'!K87</f>
        <v>0</v>
      </c>
      <c r="J87" s="236"/>
      <c r="K87" s="79">
        <f t="shared" si="30"/>
        <v>0</v>
      </c>
      <c r="L87" s="201">
        <f t="shared" si="31"/>
        <v>0</v>
      </c>
      <c r="M87" s="201">
        <f t="shared" si="32"/>
        <v>0</v>
      </c>
      <c r="N87" s="201">
        <f t="shared" si="33"/>
        <v>0</v>
      </c>
    </row>
    <row r="88" spans="1:14" s="57" customFormat="1" ht="13.8" outlineLevel="1" x14ac:dyDescent="0.3">
      <c r="A88" s="217">
        <v>15.05</v>
      </c>
      <c r="B88" s="218" t="s">
        <v>100</v>
      </c>
      <c r="C88" s="219" t="s">
        <v>19</v>
      </c>
      <c r="D88" s="220">
        <v>422</v>
      </c>
      <c r="E88" s="42">
        <v>0</v>
      </c>
      <c r="F88" s="42">
        <f t="shared" si="25"/>
        <v>0</v>
      </c>
      <c r="G88" s="181"/>
      <c r="H88" s="32"/>
      <c r="I88" s="245">
        <f>+'SVD 4140_Pto. 01_Cert. 05'!K88</f>
        <v>0</v>
      </c>
      <c r="J88" s="236"/>
      <c r="K88" s="79">
        <f t="shared" si="30"/>
        <v>0</v>
      </c>
      <c r="L88" s="201">
        <f t="shared" si="31"/>
        <v>0</v>
      </c>
      <c r="M88" s="201">
        <f t="shared" si="32"/>
        <v>0</v>
      </c>
      <c r="N88" s="201">
        <f t="shared" si="33"/>
        <v>0</v>
      </c>
    </row>
    <row r="89" spans="1:14" s="57" customFormat="1" ht="13.8" outlineLevel="1" x14ac:dyDescent="0.3">
      <c r="A89" s="217">
        <v>15.07</v>
      </c>
      <c r="B89" s="218" t="s">
        <v>101</v>
      </c>
      <c r="C89" s="219" t="s">
        <v>19</v>
      </c>
      <c r="D89" s="220">
        <v>678.25199999999995</v>
      </c>
      <c r="E89" s="42">
        <v>0</v>
      </c>
      <c r="F89" s="42">
        <f t="shared" si="25"/>
        <v>0</v>
      </c>
      <c r="G89" s="181"/>
      <c r="H89" s="32"/>
      <c r="I89" s="245">
        <f>+'SVD 4140_Pto. 01_Cert. 05'!K89</f>
        <v>0</v>
      </c>
      <c r="J89" s="236"/>
      <c r="K89" s="79">
        <f t="shared" si="30"/>
        <v>0</v>
      </c>
      <c r="L89" s="201">
        <f t="shared" si="31"/>
        <v>0</v>
      </c>
      <c r="M89" s="201">
        <f t="shared" si="32"/>
        <v>0</v>
      </c>
      <c r="N89" s="201">
        <f t="shared" si="33"/>
        <v>0</v>
      </c>
    </row>
    <row r="90" spans="1:14" s="57" customFormat="1" ht="13.8" outlineLevel="1" x14ac:dyDescent="0.3">
      <c r="A90" s="217">
        <v>15.08</v>
      </c>
      <c r="B90" s="218" t="s">
        <v>102</v>
      </c>
      <c r="C90" s="219" t="s">
        <v>19</v>
      </c>
      <c r="D90" s="220">
        <v>728.48019999999985</v>
      </c>
      <c r="E90" s="42">
        <v>0</v>
      </c>
      <c r="F90" s="42">
        <f t="shared" si="25"/>
        <v>0</v>
      </c>
      <c r="G90" s="181"/>
      <c r="H90" s="32"/>
      <c r="I90" s="245">
        <f>+'SVD 4140_Pto. 01_Cert. 05'!K90</f>
        <v>0</v>
      </c>
      <c r="J90" s="236"/>
      <c r="K90" s="79">
        <f t="shared" si="30"/>
        <v>0</v>
      </c>
      <c r="L90" s="201">
        <f t="shared" si="31"/>
        <v>0</v>
      </c>
      <c r="M90" s="201">
        <f t="shared" si="32"/>
        <v>0</v>
      </c>
      <c r="N90" s="201">
        <f t="shared" si="33"/>
        <v>0</v>
      </c>
    </row>
    <row r="91" spans="1:14" s="57" customFormat="1" ht="13.8" outlineLevel="1" x14ac:dyDescent="0.3">
      <c r="A91" s="217">
        <v>15.09</v>
      </c>
      <c r="B91" s="218" t="s">
        <v>103</v>
      </c>
      <c r="C91" s="219" t="s">
        <v>67</v>
      </c>
      <c r="D91" s="220">
        <v>76</v>
      </c>
      <c r="E91" s="42">
        <v>0</v>
      </c>
      <c r="F91" s="42">
        <f t="shared" si="25"/>
        <v>0</v>
      </c>
      <c r="G91" s="181"/>
      <c r="H91" s="32"/>
      <c r="I91" s="245">
        <f>+'SVD 4140_Pto. 01_Cert. 05'!K91</f>
        <v>0</v>
      </c>
      <c r="J91" s="236"/>
      <c r="K91" s="79">
        <f t="shared" si="30"/>
        <v>0</v>
      </c>
      <c r="L91" s="201">
        <f t="shared" si="31"/>
        <v>0</v>
      </c>
      <c r="M91" s="201">
        <f t="shared" si="32"/>
        <v>0</v>
      </c>
      <c r="N91" s="201">
        <f t="shared" si="33"/>
        <v>0</v>
      </c>
    </row>
    <row r="92" spans="1:14" s="57" customFormat="1" ht="13.8" outlineLevel="1" x14ac:dyDescent="0.3">
      <c r="A92" s="221">
        <v>15.1</v>
      </c>
      <c r="B92" s="222" t="s">
        <v>104</v>
      </c>
      <c r="C92" s="223" t="s">
        <v>28</v>
      </c>
      <c r="D92" s="224">
        <v>1</v>
      </c>
      <c r="E92" s="60">
        <v>0</v>
      </c>
      <c r="F92" s="60">
        <f t="shared" si="25"/>
        <v>0</v>
      </c>
      <c r="G92" s="181"/>
      <c r="H92" s="32"/>
      <c r="I92" s="245">
        <f>+'SVD 4140_Pto. 01_Cert. 05'!K92</f>
        <v>0</v>
      </c>
      <c r="J92" s="236"/>
      <c r="K92" s="79">
        <f t="shared" si="30"/>
        <v>0</v>
      </c>
      <c r="L92" s="201">
        <f t="shared" si="31"/>
        <v>0</v>
      </c>
      <c r="M92" s="201">
        <f t="shared" si="32"/>
        <v>0</v>
      </c>
      <c r="N92" s="201">
        <f t="shared" si="33"/>
        <v>0</v>
      </c>
    </row>
    <row r="93" spans="1:14" s="57" customFormat="1" ht="13.8" x14ac:dyDescent="0.3">
      <c r="A93" s="27">
        <v>16</v>
      </c>
      <c r="B93" s="28" t="s">
        <v>105</v>
      </c>
      <c r="C93" s="189"/>
      <c r="D93" s="65"/>
      <c r="E93" s="65"/>
      <c r="F93" s="65"/>
      <c r="G93" s="31">
        <f>+SUM(F94)</f>
        <v>0</v>
      </c>
      <c r="H93" s="32">
        <f>+G93/$G$185</f>
        <v>0</v>
      </c>
      <c r="I93" s="248"/>
      <c r="J93" s="206"/>
      <c r="K93" s="206"/>
      <c r="L93" s="207"/>
      <c r="M93" s="207"/>
      <c r="N93" s="208"/>
    </row>
    <row r="94" spans="1:14" s="57" customFormat="1" ht="13.8" outlineLevel="1" x14ac:dyDescent="0.3">
      <c r="A94" s="188"/>
      <c r="B94" s="187"/>
      <c r="C94" s="179"/>
      <c r="D94" s="180"/>
      <c r="E94" s="181">
        <v>0</v>
      </c>
      <c r="F94" s="181">
        <f t="shared" si="25"/>
        <v>0</v>
      </c>
      <c r="G94" s="181"/>
      <c r="H94" s="32"/>
      <c r="I94" s="245">
        <f>+'SVD 4140_Pto. 01_Cert. 05'!K94</f>
        <v>0</v>
      </c>
      <c r="J94" s="203"/>
      <c r="K94" s="204">
        <f t="shared" ref="K94" si="34">+I94+J94</f>
        <v>0</v>
      </c>
      <c r="L94" s="80">
        <f t="shared" ref="L94" si="35">+F94*I94</f>
        <v>0</v>
      </c>
      <c r="M94" s="80">
        <f t="shared" ref="M94" si="36">+F94*J94</f>
        <v>0</v>
      </c>
      <c r="N94" s="80">
        <f t="shared" ref="N94" si="37">+F94*K94</f>
        <v>0</v>
      </c>
    </row>
    <row r="95" spans="1:14" s="57" customFormat="1" ht="13.8" x14ac:dyDescent="0.3">
      <c r="A95" s="27">
        <v>17</v>
      </c>
      <c r="B95" s="28" t="s">
        <v>106</v>
      </c>
      <c r="C95" s="189"/>
      <c r="D95" s="65"/>
      <c r="E95" s="65"/>
      <c r="F95" s="65"/>
      <c r="G95" s="31">
        <f>+SUM(F96:F99)</f>
        <v>7258243</v>
      </c>
      <c r="H95" s="32">
        <f>+G95/$G$185</f>
        <v>9.8663394592649264E-3</v>
      </c>
      <c r="I95" s="248"/>
      <c r="J95" s="206"/>
      <c r="K95" s="206"/>
      <c r="L95" s="207"/>
      <c r="M95" s="207"/>
      <c r="N95" s="208"/>
    </row>
    <row r="96" spans="1:14" s="57" customFormat="1" ht="13.8" outlineLevel="1" x14ac:dyDescent="0.3">
      <c r="A96" s="213">
        <v>17.010000000000002</v>
      </c>
      <c r="B96" s="214" t="s">
        <v>107</v>
      </c>
      <c r="C96" s="215" t="s">
        <v>47</v>
      </c>
      <c r="D96" s="216">
        <v>47</v>
      </c>
      <c r="E96" s="37">
        <v>64232</v>
      </c>
      <c r="F96" s="37">
        <f t="shared" si="25"/>
        <v>3018904</v>
      </c>
      <c r="G96" s="181"/>
      <c r="H96" s="32"/>
      <c r="I96" s="245">
        <f>+'SVD 4140_Pto. 01_Cert. 05'!K96</f>
        <v>0.35</v>
      </c>
      <c r="J96" s="203">
        <v>0.25</v>
      </c>
      <c r="K96" s="204">
        <f t="shared" ref="K96:K99" si="38">+I96+J96</f>
        <v>0.6</v>
      </c>
      <c r="L96" s="80">
        <f t="shared" ref="L96:L99" si="39">+F96*I96</f>
        <v>1056616.3999999999</v>
      </c>
      <c r="M96" s="80">
        <f t="shared" ref="M96:M99" si="40">+F96*J96</f>
        <v>754726</v>
      </c>
      <c r="N96" s="80">
        <f t="shared" ref="N96:N99" si="41">+F96*K96</f>
        <v>1811342.4</v>
      </c>
    </row>
    <row r="97" spans="1:14" s="57" customFormat="1" ht="13.8" outlineLevel="1" x14ac:dyDescent="0.3">
      <c r="A97" s="217">
        <v>17.02</v>
      </c>
      <c r="B97" s="218" t="s">
        <v>108</v>
      </c>
      <c r="C97" s="219" t="s">
        <v>47</v>
      </c>
      <c r="D97" s="220">
        <v>23</v>
      </c>
      <c r="E97" s="42">
        <v>64232</v>
      </c>
      <c r="F97" s="42">
        <f t="shared" si="25"/>
        <v>1477336</v>
      </c>
      <c r="G97" s="181"/>
      <c r="H97" s="32"/>
      <c r="I97" s="245">
        <f>+'SVD 4140_Pto. 01_Cert. 05'!K97</f>
        <v>0.38</v>
      </c>
      <c r="J97" s="136">
        <v>0.47</v>
      </c>
      <c r="K97" s="79">
        <f t="shared" si="38"/>
        <v>0.85</v>
      </c>
      <c r="L97" s="80">
        <f t="shared" si="39"/>
        <v>561387.68000000005</v>
      </c>
      <c r="M97" s="80">
        <f t="shared" si="40"/>
        <v>694347.91999999993</v>
      </c>
      <c r="N97" s="80">
        <f t="shared" si="41"/>
        <v>1255735.5999999999</v>
      </c>
    </row>
    <row r="98" spans="1:14" s="57" customFormat="1" ht="13.8" outlineLevel="1" x14ac:dyDescent="0.3">
      <c r="A98" s="217">
        <v>17.03</v>
      </c>
      <c r="B98" s="218" t="s">
        <v>109</v>
      </c>
      <c r="C98" s="219" t="s">
        <v>47</v>
      </c>
      <c r="D98" s="220">
        <v>51</v>
      </c>
      <c r="E98" s="42">
        <v>41296</v>
      </c>
      <c r="F98" s="42">
        <f t="shared" si="25"/>
        <v>2106096</v>
      </c>
      <c r="G98" s="181"/>
      <c r="H98" s="32"/>
      <c r="I98" s="245">
        <f>+'SVD 4140_Pto. 01_Cert. 05'!K98</f>
        <v>0.4</v>
      </c>
      <c r="J98" s="136">
        <v>0.3</v>
      </c>
      <c r="K98" s="79">
        <f t="shared" si="38"/>
        <v>0.7</v>
      </c>
      <c r="L98" s="80">
        <f t="shared" si="39"/>
        <v>842438.4</v>
      </c>
      <c r="M98" s="80">
        <f t="shared" si="40"/>
        <v>631828.79999999993</v>
      </c>
      <c r="N98" s="80">
        <f t="shared" si="41"/>
        <v>1474267.2</v>
      </c>
    </row>
    <row r="99" spans="1:14" s="57" customFormat="1" ht="13.8" outlineLevel="1" x14ac:dyDescent="0.3">
      <c r="A99" s="221">
        <v>17.04</v>
      </c>
      <c r="B99" s="222" t="s">
        <v>110</v>
      </c>
      <c r="C99" s="223" t="s">
        <v>47</v>
      </c>
      <c r="D99" s="224">
        <v>7</v>
      </c>
      <c r="E99" s="60">
        <v>93701</v>
      </c>
      <c r="F99" s="60">
        <f t="shared" si="25"/>
        <v>655907</v>
      </c>
      <c r="G99" s="181"/>
      <c r="H99" s="32"/>
      <c r="I99" s="245">
        <f>+'SVD 4140_Pto. 01_Cert. 05'!K99</f>
        <v>0</v>
      </c>
      <c r="J99" s="136"/>
      <c r="K99" s="79">
        <f t="shared" si="38"/>
        <v>0</v>
      </c>
      <c r="L99" s="80">
        <f t="shared" si="39"/>
        <v>0</v>
      </c>
      <c r="M99" s="80">
        <f t="shared" si="40"/>
        <v>0</v>
      </c>
      <c r="N99" s="80">
        <f t="shared" si="41"/>
        <v>0</v>
      </c>
    </row>
    <row r="100" spans="1:14" s="57" customFormat="1" ht="13.8" x14ac:dyDescent="0.3">
      <c r="A100" s="27">
        <v>18</v>
      </c>
      <c r="B100" s="28" t="s">
        <v>111</v>
      </c>
      <c r="C100" s="189"/>
      <c r="D100" s="65"/>
      <c r="E100" s="65"/>
      <c r="F100" s="65"/>
      <c r="G100" s="31">
        <f>+SUM(F101:F130)</f>
        <v>99277732</v>
      </c>
      <c r="H100" s="32">
        <f>+G100/$G$185</f>
        <v>0.13495109004450917</v>
      </c>
      <c r="I100" s="248"/>
      <c r="J100" s="206"/>
      <c r="K100" s="206"/>
      <c r="L100" s="207"/>
      <c r="M100" s="207"/>
      <c r="N100" s="208"/>
    </row>
    <row r="101" spans="1:14" s="57" customFormat="1" ht="13.8" outlineLevel="1" x14ac:dyDescent="0.3">
      <c r="A101" s="213">
        <v>18.010000000000002</v>
      </c>
      <c r="B101" s="214" t="s">
        <v>112</v>
      </c>
      <c r="C101" s="215" t="s">
        <v>47</v>
      </c>
      <c r="D101" s="216">
        <v>392</v>
      </c>
      <c r="E101" s="37">
        <v>59948</v>
      </c>
      <c r="F101" s="37">
        <f t="shared" si="25"/>
        <v>23499616</v>
      </c>
      <c r="G101" s="181"/>
      <c r="H101" s="32"/>
      <c r="I101" s="245">
        <f>+'SVD 4140_Pto. 01_Cert. 05'!K101</f>
        <v>0.45</v>
      </c>
      <c r="J101" s="134"/>
      <c r="K101" s="135">
        <f t="shared" ref="K101:K130" si="42">+I101+J101</f>
        <v>0.45</v>
      </c>
      <c r="L101" s="200">
        <f t="shared" ref="L101:L130" si="43">+F101*I101</f>
        <v>10574827.200000001</v>
      </c>
      <c r="M101" s="200">
        <f t="shared" ref="M101:M130" si="44">+F101*J101</f>
        <v>0</v>
      </c>
      <c r="N101" s="200">
        <f t="shared" ref="N101:N130" si="45">+F101*K101</f>
        <v>10574827.200000001</v>
      </c>
    </row>
    <row r="102" spans="1:14" s="57" customFormat="1" ht="13.8" outlineLevel="1" x14ac:dyDescent="0.3">
      <c r="A102" s="217">
        <v>18.02</v>
      </c>
      <c r="B102" s="218" t="s">
        <v>113</v>
      </c>
      <c r="C102" s="219" t="s">
        <v>47</v>
      </c>
      <c r="D102" s="220">
        <v>19</v>
      </c>
      <c r="E102" s="42">
        <v>59948</v>
      </c>
      <c r="F102" s="42">
        <f t="shared" si="25"/>
        <v>1139012</v>
      </c>
      <c r="G102" s="181"/>
      <c r="H102" s="32"/>
      <c r="I102" s="245">
        <f>+'SVD 4140_Pto. 01_Cert. 05'!K102</f>
        <v>0.3</v>
      </c>
      <c r="J102" s="136">
        <v>0.05</v>
      </c>
      <c r="K102" s="79">
        <f t="shared" si="42"/>
        <v>0.35</v>
      </c>
      <c r="L102" s="201">
        <f t="shared" si="43"/>
        <v>341703.6</v>
      </c>
      <c r="M102" s="201">
        <f t="shared" si="44"/>
        <v>56950.600000000006</v>
      </c>
      <c r="N102" s="201">
        <f t="shared" si="45"/>
        <v>398654.19999999995</v>
      </c>
    </row>
    <row r="103" spans="1:14" s="57" customFormat="1" ht="13.8" outlineLevel="1" x14ac:dyDescent="0.3">
      <c r="A103" s="217">
        <v>18.03</v>
      </c>
      <c r="B103" s="218" t="s">
        <v>114</v>
      </c>
      <c r="C103" s="219" t="s">
        <v>47</v>
      </c>
      <c r="D103" s="220">
        <v>349</v>
      </c>
      <c r="E103" s="42">
        <v>57445</v>
      </c>
      <c r="F103" s="42">
        <f t="shared" si="25"/>
        <v>20048305</v>
      </c>
      <c r="G103" s="181"/>
      <c r="H103" s="32"/>
      <c r="I103" s="245">
        <f>+'SVD 4140_Pto. 01_Cert. 05'!K103</f>
        <v>0.3</v>
      </c>
      <c r="J103" s="136">
        <v>0.05</v>
      </c>
      <c r="K103" s="79">
        <f t="shared" si="42"/>
        <v>0.35</v>
      </c>
      <c r="L103" s="201">
        <f t="shared" si="43"/>
        <v>6014491.5</v>
      </c>
      <c r="M103" s="201">
        <f t="shared" si="44"/>
        <v>1002415.25</v>
      </c>
      <c r="N103" s="201">
        <f t="shared" si="45"/>
        <v>7016906.75</v>
      </c>
    </row>
    <row r="104" spans="1:14" s="57" customFormat="1" ht="13.8" outlineLevel="1" x14ac:dyDescent="0.3">
      <c r="A104" s="217">
        <v>18.04</v>
      </c>
      <c r="B104" s="218" t="s">
        <v>115</v>
      </c>
      <c r="C104" s="219" t="s">
        <v>47</v>
      </c>
      <c r="D104" s="220">
        <v>35</v>
      </c>
      <c r="E104" s="42">
        <v>64480</v>
      </c>
      <c r="F104" s="42">
        <f t="shared" si="25"/>
        <v>2256800</v>
      </c>
      <c r="G104" s="181"/>
      <c r="H104" s="32"/>
      <c r="I104" s="245">
        <f>+'SVD 4140_Pto. 01_Cert. 05'!K104</f>
        <v>0.3</v>
      </c>
      <c r="J104" s="141">
        <v>0.05</v>
      </c>
      <c r="K104" s="79">
        <f t="shared" si="42"/>
        <v>0.35</v>
      </c>
      <c r="L104" s="201">
        <f t="shared" si="43"/>
        <v>677040</v>
      </c>
      <c r="M104" s="201">
        <f t="shared" si="44"/>
        <v>112840</v>
      </c>
      <c r="N104" s="201">
        <f t="shared" si="45"/>
        <v>789880</v>
      </c>
    </row>
    <row r="105" spans="1:14" s="57" customFormat="1" ht="13.8" outlineLevel="1" x14ac:dyDescent="0.3">
      <c r="A105" s="217">
        <v>18.05</v>
      </c>
      <c r="B105" s="218" t="s">
        <v>116</v>
      </c>
      <c r="C105" s="219" t="s">
        <v>47</v>
      </c>
      <c r="D105" s="220">
        <v>16</v>
      </c>
      <c r="E105" s="42">
        <v>57445</v>
      </c>
      <c r="F105" s="42">
        <f t="shared" si="25"/>
        <v>919120</v>
      </c>
      <c r="G105" s="181"/>
      <c r="H105" s="32"/>
      <c r="I105" s="245">
        <f>+'SVD 4140_Pto. 01_Cert. 05'!K105</f>
        <v>0.1</v>
      </c>
      <c r="J105" s="141">
        <v>0.25</v>
      </c>
      <c r="K105" s="79">
        <f t="shared" si="42"/>
        <v>0.35</v>
      </c>
      <c r="L105" s="201">
        <f t="shared" si="43"/>
        <v>91912</v>
      </c>
      <c r="M105" s="201">
        <f t="shared" si="44"/>
        <v>229780</v>
      </c>
      <c r="N105" s="201">
        <f t="shared" si="45"/>
        <v>321692</v>
      </c>
    </row>
    <row r="106" spans="1:14" s="57" customFormat="1" ht="13.8" outlineLevel="1" x14ac:dyDescent="0.3">
      <c r="A106" s="217">
        <v>18.059999999999999</v>
      </c>
      <c r="B106" s="218" t="s">
        <v>117</v>
      </c>
      <c r="C106" s="219" t="s">
        <v>47</v>
      </c>
      <c r="D106" s="220">
        <v>16</v>
      </c>
      <c r="E106" s="42">
        <v>57445</v>
      </c>
      <c r="F106" s="42">
        <f t="shared" si="25"/>
        <v>919120</v>
      </c>
      <c r="G106" s="181"/>
      <c r="H106" s="32"/>
      <c r="I106" s="245">
        <f>+'SVD 4140_Pto. 01_Cert. 05'!K106</f>
        <v>0.30000000000000004</v>
      </c>
      <c r="J106" s="141">
        <v>0.05</v>
      </c>
      <c r="K106" s="79">
        <f t="shared" si="42"/>
        <v>0.35000000000000003</v>
      </c>
      <c r="L106" s="201">
        <f t="shared" si="43"/>
        <v>275736.00000000006</v>
      </c>
      <c r="M106" s="201">
        <f t="shared" si="44"/>
        <v>45956</v>
      </c>
      <c r="N106" s="201">
        <f t="shared" si="45"/>
        <v>321692.00000000006</v>
      </c>
    </row>
    <row r="107" spans="1:14" s="57" customFormat="1" ht="13.8" outlineLevel="1" x14ac:dyDescent="0.3">
      <c r="A107" s="217">
        <v>18.07</v>
      </c>
      <c r="B107" s="218" t="s">
        <v>118</v>
      </c>
      <c r="C107" s="219" t="s">
        <v>47</v>
      </c>
      <c r="D107" s="220">
        <v>46</v>
      </c>
      <c r="E107" s="42">
        <v>43213</v>
      </c>
      <c r="F107" s="42">
        <f t="shared" si="25"/>
        <v>1987798</v>
      </c>
      <c r="G107" s="181"/>
      <c r="H107" s="32"/>
      <c r="I107" s="245">
        <f>+'SVD 4140_Pto. 01_Cert. 05'!K107</f>
        <v>0.3</v>
      </c>
      <c r="J107" s="141">
        <v>0.05</v>
      </c>
      <c r="K107" s="79">
        <f t="shared" si="42"/>
        <v>0.35</v>
      </c>
      <c r="L107" s="201">
        <f t="shared" si="43"/>
        <v>596339.4</v>
      </c>
      <c r="M107" s="201">
        <f t="shared" si="44"/>
        <v>99389.900000000009</v>
      </c>
      <c r="N107" s="201">
        <f t="shared" si="45"/>
        <v>695729.29999999993</v>
      </c>
    </row>
    <row r="108" spans="1:14" s="57" customFormat="1" ht="13.8" outlineLevel="1" x14ac:dyDescent="0.3">
      <c r="A108" s="217">
        <v>18.079999999999998</v>
      </c>
      <c r="B108" s="218" t="s">
        <v>119</v>
      </c>
      <c r="C108" s="219" t="s">
        <v>47</v>
      </c>
      <c r="D108" s="220">
        <v>17</v>
      </c>
      <c r="E108" s="42">
        <v>43213</v>
      </c>
      <c r="F108" s="42">
        <f t="shared" si="25"/>
        <v>734621</v>
      </c>
      <c r="G108" s="181"/>
      <c r="H108" s="32"/>
      <c r="I108" s="245">
        <f>+'SVD 4140_Pto. 01_Cert. 05'!K108</f>
        <v>0.3</v>
      </c>
      <c r="J108" s="136">
        <v>0.05</v>
      </c>
      <c r="K108" s="79">
        <f t="shared" si="42"/>
        <v>0.35</v>
      </c>
      <c r="L108" s="201">
        <f t="shared" si="43"/>
        <v>220386.3</v>
      </c>
      <c r="M108" s="201">
        <f t="shared" si="44"/>
        <v>36731.050000000003</v>
      </c>
      <c r="N108" s="201">
        <f t="shared" si="45"/>
        <v>257117.34999999998</v>
      </c>
    </row>
    <row r="109" spans="1:14" s="57" customFormat="1" ht="13.8" outlineLevel="1" x14ac:dyDescent="0.3">
      <c r="A109" s="217">
        <v>18.09</v>
      </c>
      <c r="B109" s="218" t="s">
        <v>120</v>
      </c>
      <c r="C109" s="219" t="s">
        <v>47</v>
      </c>
      <c r="D109" s="220">
        <v>11</v>
      </c>
      <c r="E109" s="42">
        <v>43213</v>
      </c>
      <c r="F109" s="42">
        <f t="shared" si="25"/>
        <v>475343</v>
      </c>
      <c r="G109" s="181"/>
      <c r="H109" s="32"/>
      <c r="I109" s="245">
        <f>+'SVD 4140_Pto. 01_Cert. 05'!K109</f>
        <v>0.65</v>
      </c>
      <c r="J109" s="141"/>
      <c r="K109" s="79">
        <f t="shared" si="42"/>
        <v>0.65</v>
      </c>
      <c r="L109" s="201">
        <f t="shared" si="43"/>
        <v>308972.95</v>
      </c>
      <c r="M109" s="201">
        <f t="shared" si="44"/>
        <v>0</v>
      </c>
      <c r="N109" s="201">
        <f t="shared" si="45"/>
        <v>308972.95</v>
      </c>
    </row>
    <row r="110" spans="1:14" s="57" customFormat="1" ht="13.8" outlineLevel="1" x14ac:dyDescent="0.3">
      <c r="A110" s="217">
        <v>18.100000000000001</v>
      </c>
      <c r="B110" s="218" t="s">
        <v>121</v>
      </c>
      <c r="C110" s="219" t="s">
        <v>47</v>
      </c>
      <c r="D110" s="220">
        <v>1</v>
      </c>
      <c r="E110" s="42">
        <v>2365100</v>
      </c>
      <c r="F110" s="42">
        <f t="shared" si="25"/>
        <v>2365100</v>
      </c>
      <c r="G110" s="181"/>
      <c r="H110" s="32"/>
      <c r="I110" s="245">
        <f>+'SVD 4140_Pto. 01_Cert. 05'!K110</f>
        <v>0</v>
      </c>
      <c r="J110" s="141"/>
      <c r="K110" s="79">
        <f t="shared" si="42"/>
        <v>0</v>
      </c>
      <c r="L110" s="201">
        <f t="shared" si="43"/>
        <v>0</v>
      </c>
      <c r="M110" s="201">
        <f t="shared" si="44"/>
        <v>0</v>
      </c>
      <c r="N110" s="201">
        <f t="shared" si="45"/>
        <v>0</v>
      </c>
    </row>
    <row r="111" spans="1:14" s="57" customFormat="1" ht="13.8" outlineLevel="1" x14ac:dyDescent="0.3">
      <c r="A111" s="217">
        <v>18.11</v>
      </c>
      <c r="B111" s="218" t="s">
        <v>122</v>
      </c>
      <c r="C111" s="219" t="s">
        <v>47</v>
      </c>
      <c r="D111" s="220">
        <v>1</v>
      </c>
      <c r="E111" s="42">
        <v>1112140</v>
      </c>
      <c r="F111" s="42">
        <f t="shared" si="25"/>
        <v>1112140</v>
      </c>
      <c r="G111" s="181"/>
      <c r="H111" s="32"/>
      <c r="I111" s="245">
        <f>+'SVD 4140_Pto. 01_Cert. 05'!K111</f>
        <v>0</v>
      </c>
      <c r="J111" s="136"/>
      <c r="K111" s="79">
        <f t="shared" si="42"/>
        <v>0</v>
      </c>
      <c r="L111" s="201">
        <f t="shared" si="43"/>
        <v>0</v>
      </c>
      <c r="M111" s="201">
        <f t="shared" si="44"/>
        <v>0</v>
      </c>
      <c r="N111" s="201">
        <f t="shared" si="45"/>
        <v>0</v>
      </c>
    </row>
    <row r="112" spans="1:14" s="57" customFormat="1" ht="13.8" outlineLevel="1" x14ac:dyDescent="0.3">
      <c r="A112" s="217">
        <v>18.12</v>
      </c>
      <c r="B112" s="218" t="s">
        <v>123</v>
      </c>
      <c r="C112" s="219" t="s">
        <v>47</v>
      </c>
      <c r="D112" s="220">
        <v>1</v>
      </c>
      <c r="E112" s="42">
        <v>669004</v>
      </c>
      <c r="F112" s="42">
        <f t="shared" si="25"/>
        <v>669004</v>
      </c>
      <c r="G112" s="181"/>
      <c r="H112" s="32"/>
      <c r="I112" s="245">
        <f>+'SVD 4140_Pto. 01_Cert. 05'!K112</f>
        <v>0</v>
      </c>
      <c r="J112" s="136"/>
      <c r="K112" s="79">
        <f t="shared" si="42"/>
        <v>0</v>
      </c>
      <c r="L112" s="201">
        <f t="shared" si="43"/>
        <v>0</v>
      </c>
      <c r="M112" s="201">
        <f t="shared" si="44"/>
        <v>0</v>
      </c>
      <c r="N112" s="201">
        <f t="shared" si="45"/>
        <v>0</v>
      </c>
    </row>
    <row r="113" spans="1:14" s="57" customFormat="1" ht="13.8" outlineLevel="1" x14ac:dyDescent="0.3">
      <c r="A113" s="217">
        <v>18.13</v>
      </c>
      <c r="B113" s="218" t="s">
        <v>124</v>
      </c>
      <c r="C113" s="219" t="s">
        <v>47</v>
      </c>
      <c r="D113" s="220">
        <v>1</v>
      </c>
      <c r="E113" s="42">
        <v>970259</v>
      </c>
      <c r="F113" s="42">
        <f t="shared" si="25"/>
        <v>970259</v>
      </c>
      <c r="G113" s="181"/>
      <c r="H113" s="32"/>
      <c r="I113" s="245">
        <f>+'SVD 4140_Pto. 01_Cert. 05'!K113</f>
        <v>0</v>
      </c>
      <c r="J113" s="141"/>
      <c r="K113" s="79">
        <f t="shared" si="42"/>
        <v>0</v>
      </c>
      <c r="L113" s="201">
        <f t="shared" si="43"/>
        <v>0</v>
      </c>
      <c r="M113" s="201">
        <f t="shared" si="44"/>
        <v>0</v>
      </c>
      <c r="N113" s="201">
        <f t="shared" si="45"/>
        <v>0</v>
      </c>
    </row>
    <row r="114" spans="1:14" s="57" customFormat="1" ht="13.8" outlineLevel="1" x14ac:dyDescent="0.3">
      <c r="A114" s="217">
        <v>18.14</v>
      </c>
      <c r="B114" s="218" t="s">
        <v>125</v>
      </c>
      <c r="C114" s="219" t="s">
        <v>47</v>
      </c>
      <c r="D114" s="220">
        <v>1</v>
      </c>
      <c r="E114" s="42">
        <v>507898</v>
      </c>
      <c r="F114" s="42">
        <f t="shared" si="25"/>
        <v>507898</v>
      </c>
      <c r="G114" s="181"/>
      <c r="H114" s="32"/>
      <c r="I114" s="245">
        <f>+'SVD 4140_Pto. 01_Cert. 05'!K114</f>
        <v>0</v>
      </c>
      <c r="J114" s="136"/>
      <c r="K114" s="79">
        <f t="shared" si="42"/>
        <v>0</v>
      </c>
      <c r="L114" s="201">
        <f t="shared" si="43"/>
        <v>0</v>
      </c>
      <c r="M114" s="201">
        <f t="shared" si="44"/>
        <v>0</v>
      </c>
      <c r="N114" s="201">
        <f t="shared" si="45"/>
        <v>0</v>
      </c>
    </row>
    <row r="115" spans="1:14" s="57" customFormat="1" ht="13.8" outlineLevel="1" x14ac:dyDescent="0.3">
      <c r="A115" s="217">
        <v>18.149999999999999</v>
      </c>
      <c r="B115" s="218" t="s">
        <v>126</v>
      </c>
      <c r="C115" s="219" t="s">
        <v>47</v>
      </c>
      <c r="D115" s="220">
        <v>7</v>
      </c>
      <c r="E115" s="42">
        <v>507898</v>
      </c>
      <c r="F115" s="42">
        <f t="shared" si="25"/>
        <v>3555286</v>
      </c>
      <c r="G115" s="181"/>
      <c r="H115" s="32"/>
      <c r="I115" s="245">
        <f>+'SVD 4140_Pto. 01_Cert. 05'!K115</f>
        <v>0.05</v>
      </c>
      <c r="J115" s="136"/>
      <c r="K115" s="79">
        <f t="shared" si="42"/>
        <v>0.05</v>
      </c>
      <c r="L115" s="201">
        <f t="shared" si="43"/>
        <v>177764.30000000002</v>
      </c>
      <c r="M115" s="201">
        <f t="shared" si="44"/>
        <v>0</v>
      </c>
      <c r="N115" s="201">
        <f t="shared" si="45"/>
        <v>177764.30000000002</v>
      </c>
    </row>
    <row r="116" spans="1:14" s="57" customFormat="1" ht="13.8" outlineLevel="1" x14ac:dyDescent="0.3">
      <c r="A116" s="217">
        <v>18.16</v>
      </c>
      <c r="B116" s="218" t="s">
        <v>127</v>
      </c>
      <c r="C116" s="219" t="s">
        <v>47</v>
      </c>
      <c r="D116" s="220">
        <v>9</v>
      </c>
      <c r="E116" s="42">
        <v>595498</v>
      </c>
      <c r="F116" s="42">
        <f t="shared" si="25"/>
        <v>5359482</v>
      </c>
      <c r="G116" s="181"/>
      <c r="H116" s="32"/>
      <c r="I116" s="245">
        <f>+'SVD 4140_Pto. 01_Cert. 05'!K116</f>
        <v>0.05</v>
      </c>
      <c r="J116" s="141"/>
      <c r="K116" s="79">
        <f t="shared" si="42"/>
        <v>0.05</v>
      </c>
      <c r="L116" s="201">
        <f t="shared" si="43"/>
        <v>267974.10000000003</v>
      </c>
      <c r="M116" s="201">
        <f t="shared" si="44"/>
        <v>0</v>
      </c>
      <c r="N116" s="201">
        <f t="shared" si="45"/>
        <v>267974.10000000003</v>
      </c>
    </row>
    <row r="117" spans="1:14" s="57" customFormat="1" ht="13.8" outlineLevel="1" x14ac:dyDescent="0.3">
      <c r="A117" s="217">
        <v>18.170000000000002</v>
      </c>
      <c r="B117" s="218" t="s">
        <v>128</v>
      </c>
      <c r="C117" s="219" t="s">
        <v>28</v>
      </c>
      <c r="D117" s="220">
        <v>1</v>
      </c>
      <c r="E117" s="42">
        <v>9502264</v>
      </c>
      <c r="F117" s="42">
        <f t="shared" si="25"/>
        <v>9502264</v>
      </c>
      <c r="G117" s="181"/>
      <c r="H117" s="32"/>
      <c r="I117" s="245">
        <f>+'SVD 4140_Pto. 01_Cert. 05'!K117</f>
        <v>0</v>
      </c>
      <c r="J117" s="136"/>
      <c r="K117" s="79">
        <f t="shared" si="42"/>
        <v>0</v>
      </c>
      <c r="L117" s="201">
        <f t="shared" si="43"/>
        <v>0</v>
      </c>
      <c r="M117" s="201">
        <f t="shared" si="44"/>
        <v>0</v>
      </c>
      <c r="N117" s="201">
        <f t="shared" si="45"/>
        <v>0</v>
      </c>
    </row>
    <row r="118" spans="1:14" s="57" customFormat="1" ht="13.8" outlineLevel="1" x14ac:dyDescent="0.3">
      <c r="A118" s="217">
        <v>18.18</v>
      </c>
      <c r="B118" s="218" t="s">
        <v>129</v>
      </c>
      <c r="C118" s="219" t="s">
        <v>28</v>
      </c>
      <c r="D118" s="220">
        <v>1</v>
      </c>
      <c r="E118" s="42">
        <v>1878534</v>
      </c>
      <c r="F118" s="42">
        <f t="shared" si="25"/>
        <v>1878534</v>
      </c>
      <c r="G118" s="181"/>
      <c r="H118" s="32"/>
      <c r="I118" s="245">
        <f>+'SVD 4140_Pto. 01_Cert. 05'!K118</f>
        <v>0</v>
      </c>
      <c r="J118" s="136"/>
      <c r="K118" s="79">
        <f t="shared" si="42"/>
        <v>0</v>
      </c>
      <c r="L118" s="201">
        <f t="shared" si="43"/>
        <v>0</v>
      </c>
      <c r="M118" s="201">
        <f t="shared" si="44"/>
        <v>0</v>
      </c>
      <c r="N118" s="201">
        <f t="shared" si="45"/>
        <v>0</v>
      </c>
    </row>
    <row r="119" spans="1:14" s="57" customFormat="1" ht="13.8" outlineLevel="1" x14ac:dyDescent="0.3">
      <c r="A119" s="217">
        <v>18.190000000000001</v>
      </c>
      <c r="B119" s="218" t="s">
        <v>130</v>
      </c>
      <c r="C119" s="219" t="s">
        <v>28</v>
      </c>
      <c r="D119" s="220">
        <v>1</v>
      </c>
      <c r="E119" s="42">
        <v>1878534</v>
      </c>
      <c r="F119" s="42">
        <f t="shared" si="25"/>
        <v>1878534</v>
      </c>
      <c r="G119" s="181"/>
      <c r="H119" s="32"/>
      <c r="I119" s="245">
        <f>+'SVD 4140_Pto. 01_Cert. 05'!K119</f>
        <v>0</v>
      </c>
      <c r="J119" s="141"/>
      <c r="K119" s="79">
        <f t="shared" si="42"/>
        <v>0</v>
      </c>
      <c r="L119" s="201">
        <f t="shared" si="43"/>
        <v>0</v>
      </c>
      <c r="M119" s="201">
        <f t="shared" si="44"/>
        <v>0</v>
      </c>
      <c r="N119" s="201">
        <f t="shared" si="45"/>
        <v>0</v>
      </c>
    </row>
    <row r="120" spans="1:14" s="57" customFormat="1" ht="13.8" outlineLevel="1" x14ac:dyDescent="0.3">
      <c r="A120" s="217">
        <v>18.2</v>
      </c>
      <c r="B120" s="218" t="s">
        <v>131</v>
      </c>
      <c r="C120" s="219" t="s">
        <v>47</v>
      </c>
      <c r="D120" s="220">
        <v>33</v>
      </c>
      <c r="E120" s="42">
        <v>14235</v>
      </c>
      <c r="F120" s="42">
        <f t="shared" si="25"/>
        <v>469755</v>
      </c>
      <c r="G120" s="181"/>
      <c r="H120" s="32"/>
      <c r="I120" s="245">
        <f>+'SVD 4140_Pto. 01_Cert. 05'!K120</f>
        <v>0</v>
      </c>
      <c r="J120" s="136"/>
      <c r="K120" s="79">
        <f t="shared" si="42"/>
        <v>0</v>
      </c>
      <c r="L120" s="201">
        <f t="shared" si="43"/>
        <v>0</v>
      </c>
      <c r="M120" s="201">
        <f t="shared" si="44"/>
        <v>0</v>
      </c>
      <c r="N120" s="201">
        <f t="shared" si="45"/>
        <v>0</v>
      </c>
    </row>
    <row r="121" spans="1:14" s="57" customFormat="1" ht="13.8" outlineLevel="1" x14ac:dyDescent="0.3">
      <c r="A121" s="217">
        <v>18.21</v>
      </c>
      <c r="B121" s="218" t="s">
        <v>132</v>
      </c>
      <c r="C121" s="219" t="s">
        <v>47</v>
      </c>
      <c r="D121" s="220">
        <v>150</v>
      </c>
      <c r="E121" s="42">
        <v>9276</v>
      </c>
      <c r="F121" s="42">
        <f t="shared" si="25"/>
        <v>1391400</v>
      </c>
      <c r="G121" s="181"/>
      <c r="H121" s="32"/>
      <c r="I121" s="245">
        <f>+'SVD 4140_Pto. 01_Cert. 05'!K121</f>
        <v>0</v>
      </c>
      <c r="J121" s="136"/>
      <c r="K121" s="79">
        <f t="shared" si="42"/>
        <v>0</v>
      </c>
      <c r="L121" s="201">
        <f t="shared" si="43"/>
        <v>0</v>
      </c>
      <c r="M121" s="201">
        <f t="shared" si="44"/>
        <v>0</v>
      </c>
      <c r="N121" s="201">
        <f t="shared" si="45"/>
        <v>0</v>
      </c>
    </row>
    <row r="122" spans="1:14" s="57" customFormat="1" ht="13.8" outlineLevel="1" x14ac:dyDescent="0.3">
      <c r="A122" s="217">
        <v>18.22</v>
      </c>
      <c r="B122" s="218" t="s">
        <v>133</v>
      </c>
      <c r="C122" s="219" t="s">
        <v>47</v>
      </c>
      <c r="D122" s="220">
        <v>16</v>
      </c>
      <c r="E122" s="42">
        <v>9276</v>
      </c>
      <c r="F122" s="42">
        <f t="shared" si="25"/>
        <v>148416</v>
      </c>
      <c r="G122" s="181"/>
      <c r="H122" s="32"/>
      <c r="I122" s="245">
        <f>+'SVD 4140_Pto. 01_Cert. 05'!K122</f>
        <v>0</v>
      </c>
      <c r="J122" s="141"/>
      <c r="K122" s="79">
        <f t="shared" si="42"/>
        <v>0</v>
      </c>
      <c r="L122" s="201">
        <f t="shared" si="43"/>
        <v>0</v>
      </c>
      <c r="M122" s="201">
        <f t="shared" si="44"/>
        <v>0</v>
      </c>
      <c r="N122" s="201">
        <f t="shared" si="45"/>
        <v>0</v>
      </c>
    </row>
    <row r="123" spans="1:14" s="57" customFormat="1" ht="13.8" outlineLevel="1" x14ac:dyDescent="0.3">
      <c r="A123" s="217">
        <v>18.23</v>
      </c>
      <c r="B123" s="218" t="s">
        <v>134</v>
      </c>
      <c r="C123" s="219" t="s">
        <v>47</v>
      </c>
      <c r="D123" s="220">
        <v>349</v>
      </c>
      <c r="E123" s="42">
        <v>9276</v>
      </c>
      <c r="F123" s="42">
        <f t="shared" si="25"/>
        <v>3237324</v>
      </c>
      <c r="G123" s="181"/>
      <c r="H123" s="32"/>
      <c r="I123" s="245">
        <f>+'SVD 4140_Pto. 01_Cert. 05'!K123</f>
        <v>0</v>
      </c>
      <c r="J123" s="136"/>
      <c r="K123" s="79">
        <f t="shared" si="42"/>
        <v>0</v>
      </c>
      <c r="L123" s="201">
        <f t="shared" si="43"/>
        <v>0</v>
      </c>
      <c r="M123" s="201">
        <f t="shared" si="44"/>
        <v>0</v>
      </c>
      <c r="N123" s="201">
        <f t="shared" si="45"/>
        <v>0</v>
      </c>
    </row>
    <row r="124" spans="1:14" s="57" customFormat="1" ht="13.8" outlineLevel="1" x14ac:dyDescent="0.3">
      <c r="A124" s="217">
        <v>18.239999999999998</v>
      </c>
      <c r="B124" s="218" t="s">
        <v>135</v>
      </c>
      <c r="C124" s="219" t="s">
        <v>47</v>
      </c>
      <c r="D124" s="220">
        <v>27</v>
      </c>
      <c r="E124" s="42">
        <v>22326</v>
      </c>
      <c r="F124" s="42">
        <f t="shared" si="25"/>
        <v>602802</v>
      </c>
      <c r="G124" s="181"/>
      <c r="H124" s="32"/>
      <c r="I124" s="245">
        <f>+'SVD 4140_Pto. 01_Cert. 05'!K124</f>
        <v>0</v>
      </c>
      <c r="J124" s="136"/>
      <c r="K124" s="79">
        <f t="shared" si="42"/>
        <v>0</v>
      </c>
      <c r="L124" s="201">
        <f t="shared" si="43"/>
        <v>0</v>
      </c>
      <c r="M124" s="201">
        <f t="shared" si="44"/>
        <v>0</v>
      </c>
      <c r="N124" s="201">
        <f t="shared" si="45"/>
        <v>0</v>
      </c>
    </row>
    <row r="125" spans="1:14" s="57" customFormat="1" ht="13.8" outlineLevel="1" x14ac:dyDescent="0.3">
      <c r="A125" s="217">
        <v>18.25</v>
      </c>
      <c r="B125" s="218" t="s">
        <v>136</v>
      </c>
      <c r="C125" s="219" t="s">
        <v>47</v>
      </c>
      <c r="D125" s="220">
        <v>16</v>
      </c>
      <c r="E125" s="42">
        <v>14235</v>
      </c>
      <c r="F125" s="42">
        <f t="shared" si="25"/>
        <v>227760</v>
      </c>
      <c r="G125" s="181"/>
      <c r="H125" s="32"/>
      <c r="I125" s="245">
        <f>+'SVD 4140_Pto. 01_Cert. 05'!K125</f>
        <v>0</v>
      </c>
      <c r="J125" s="141"/>
      <c r="K125" s="79">
        <f t="shared" si="42"/>
        <v>0</v>
      </c>
      <c r="L125" s="201">
        <f t="shared" si="43"/>
        <v>0</v>
      </c>
      <c r="M125" s="201">
        <f t="shared" si="44"/>
        <v>0</v>
      </c>
      <c r="N125" s="201">
        <f t="shared" si="45"/>
        <v>0</v>
      </c>
    </row>
    <row r="126" spans="1:14" s="57" customFormat="1" ht="27.6" outlineLevel="1" x14ac:dyDescent="0.3">
      <c r="A126" s="217">
        <v>18.260000000000002</v>
      </c>
      <c r="B126" s="218" t="s">
        <v>137</v>
      </c>
      <c r="C126" s="219" t="s">
        <v>47</v>
      </c>
      <c r="D126" s="220">
        <v>137</v>
      </c>
      <c r="E126" s="42">
        <v>14235</v>
      </c>
      <c r="F126" s="42">
        <f t="shared" si="25"/>
        <v>1950195</v>
      </c>
      <c r="G126" s="181"/>
      <c r="H126" s="32"/>
      <c r="I126" s="245">
        <f>+'SVD 4140_Pto. 01_Cert. 05'!K126</f>
        <v>0</v>
      </c>
      <c r="J126" s="136"/>
      <c r="K126" s="79">
        <f t="shared" si="42"/>
        <v>0</v>
      </c>
      <c r="L126" s="201">
        <f t="shared" si="43"/>
        <v>0</v>
      </c>
      <c r="M126" s="201">
        <f t="shared" si="44"/>
        <v>0</v>
      </c>
      <c r="N126" s="201">
        <f t="shared" si="45"/>
        <v>0</v>
      </c>
    </row>
    <row r="127" spans="1:14" s="57" customFormat="1" ht="13.8" outlineLevel="1" x14ac:dyDescent="0.3">
      <c r="A127" s="217">
        <v>18.27</v>
      </c>
      <c r="B127" s="218" t="s">
        <v>138</v>
      </c>
      <c r="C127" s="219" t="s">
        <v>47</v>
      </c>
      <c r="D127" s="220">
        <v>1</v>
      </c>
      <c r="E127" s="42">
        <v>14235</v>
      </c>
      <c r="F127" s="42">
        <f t="shared" si="25"/>
        <v>14235</v>
      </c>
      <c r="G127" s="181"/>
      <c r="H127" s="32"/>
      <c r="I127" s="245">
        <f>+'SVD 4140_Pto. 01_Cert. 05'!K127</f>
        <v>0</v>
      </c>
      <c r="J127" s="136"/>
      <c r="K127" s="79">
        <f t="shared" si="42"/>
        <v>0</v>
      </c>
      <c r="L127" s="201">
        <f t="shared" si="43"/>
        <v>0</v>
      </c>
      <c r="M127" s="201">
        <f t="shared" si="44"/>
        <v>0</v>
      </c>
      <c r="N127" s="201">
        <f t="shared" si="45"/>
        <v>0</v>
      </c>
    </row>
    <row r="128" spans="1:14" s="57" customFormat="1" ht="13.8" outlineLevel="1" x14ac:dyDescent="0.3">
      <c r="A128" s="217">
        <v>18.28</v>
      </c>
      <c r="B128" s="218" t="s">
        <v>139</v>
      </c>
      <c r="C128" s="219" t="s">
        <v>28</v>
      </c>
      <c r="D128" s="220">
        <v>1</v>
      </c>
      <c r="E128" s="42">
        <v>9332982</v>
      </c>
      <c r="F128" s="42">
        <f t="shared" si="25"/>
        <v>9332982</v>
      </c>
      <c r="G128" s="181"/>
      <c r="H128" s="32"/>
      <c r="I128" s="245">
        <f>+'SVD 4140_Pto. 01_Cert. 05'!K128</f>
        <v>0</v>
      </c>
      <c r="J128" s="141"/>
      <c r="K128" s="79">
        <f t="shared" si="42"/>
        <v>0</v>
      </c>
      <c r="L128" s="201">
        <f t="shared" si="43"/>
        <v>0</v>
      </c>
      <c r="M128" s="201">
        <f t="shared" si="44"/>
        <v>0</v>
      </c>
      <c r="N128" s="201">
        <f t="shared" si="45"/>
        <v>0</v>
      </c>
    </row>
    <row r="129" spans="1:14" s="57" customFormat="1" ht="13.8" outlineLevel="1" x14ac:dyDescent="0.3">
      <c r="A129" s="217">
        <v>18.29</v>
      </c>
      <c r="B129" s="218" t="s">
        <v>140</v>
      </c>
      <c r="C129" s="219" t="s">
        <v>28</v>
      </c>
      <c r="D129" s="220">
        <v>1</v>
      </c>
      <c r="E129" s="42">
        <v>1998778</v>
      </c>
      <c r="F129" s="42">
        <f t="shared" si="25"/>
        <v>1998778</v>
      </c>
      <c r="G129" s="181"/>
      <c r="H129" s="32"/>
      <c r="I129" s="245">
        <f>+'SVD 4140_Pto. 01_Cert. 05'!K129</f>
        <v>0</v>
      </c>
      <c r="J129" s="136"/>
      <c r="K129" s="79">
        <f t="shared" si="42"/>
        <v>0</v>
      </c>
      <c r="L129" s="201">
        <f t="shared" si="43"/>
        <v>0</v>
      </c>
      <c r="M129" s="201">
        <f t="shared" si="44"/>
        <v>0</v>
      </c>
      <c r="N129" s="201">
        <f t="shared" si="45"/>
        <v>0</v>
      </c>
    </row>
    <row r="130" spans="1:14" s="57" customFormat="1" ht="13.8" outlineLevel="1" x14ac:dyDescent="0.3">
      <c r="A130" s="221">
        <v>18.3</v>
      </c>
      <c r="B130" s="222" t="s">
        <v>141</v>
      </c>
      <c r="C130" s="223" t="s">
        <v>28</v>
      </c>
      <c r="D130" s="224">
        <v>1</v>
      </c>
      <c r="E130" s="60">
        <v>125849</v>
      </c>
      <c r="F130" s="60">
        <f t="shared" si="25"/>
        <v>125849</v>
      </c>
      <c r="G130" s="181"/>
      <c r="H130" s="32"/>
      <c r="I130" s="245">
        <f>+'SVD 4140_Pto. 01_Cert. 05'!K130</f>
        <v>0</v>
      </c>
      <c r="J130" s="136"/>
      <c r="K130" s="79">
        <f t="shared" si="42"/>
        <v>0</v>
      </c>
      <c r="L130" s="201">
        <f t="shared" si="43"/>
        <v>0</v>
      </c>
      <c r="M130" s="201">
        <f t="shared" si="44"/>
        <v>0</v>
      </c>
      <c r="N130" s="201">
        <f t="shared" si="45"/>
        <v>0</v>
      </c>
    </row>
    <row r="131" spans="1:14" s="57" customFormat="1" ht="13.8" outlineLevel="1" x14ac:dyDescent="0.3">
      <c r="A131" s="225">
        <v>19</v>
      </c>
      <c r="B131" s="226" t="s">
        <v>142</v>
      </c>
      <c r="C131" s="227"/>
      <c r="D131" s="228"/>
      <c r="E131" s="229"/>
      <c r="F131" s="230"/>
      <c r="G131" s="181"/>
      <c r="H131" s="32"/>
      <c r="I131" s="248"/>
      <c r="J131" s="206"/>
      <c r="K131" s="206"/>
      <c r="L131" s="207"/>
      <c r="M131" s="207"/>
      <c r="N131" s="208"/>
    </row>
    <row r="132" spans="1:14" s="57" customFormat="1" ht="13.8" x14ac:dyDescent="0.3">
      <c r="A132" s="27"/>
      <c r="B132" s="28" t="s">
        <v>143</v>
      </c>
      <c r="C132" s="189"/>
      <c r="D132" s="65"/>
      <c r="E132" s="65"/>
      <c r="F132" s="65"/>
      <c r="G132" s="31">
        <f>+SUM(F133:F136)</f>
        <v>21161055</v>
      </c>
      <c r="H132" s="32">
        <f>+G132/$G$185</f>
        <v>2.8764833575587834E-2</v>
      </c>
      <c r="I132" s="248"/>
      <c r="J132" s="206"/>
      <c r="K132" s="206"/>
      <c r="L132" s="207"/>
      <c r="M132" s="207"/>
      <c r="N132" s="208"/>
    </row>
    <row r="133" spans="1:14" s="57" customFormat="1" ht="13.8" outlineLevel="1" x14ac:dyDescent="0.3">
      <c r="A133" s="213">
        <v>19.010000000000002</v>
      </c>
      <c r="B133" s="214" t="s">
        <v>144</v>
      </c>
      <c r="C133" s="215" t="s">
        <v>28</v>
      </c>
      <c r="D133" s="216">
        <v>1</v>
      </c>
      <c r="E133" s="37">
        <v>7236758</v>
      </c>
      <c r="F133" s="37">
        <f t="shared" si="25"/>
        <v>7236758</v>
      </c>
      <c r="G133" s="181"/>
      <c r="H133" s="32"/>
      <c r="I133" s="245">
        <f>+'SVD 4140_Pto. 01_Cert. 05'!K133</f>
        <v>0.2</v>
      </c>
      <c r="J133" s="249"/>
      <c r="K133" s="135">
        <f t="shared" ref="K133:K136" si="46">+I133+J133</f>
        <v>0.2</v>
      </c>
      <c r="L133" s="200">
        <f t="shared" ref="L133:L136" si="47">+F133*I133</f>
        <v>1447351.6</v>
      </c>
      <c r="M133" s="200">
        <f t="shared" ref="M133:M136" si="48">+F133*J133</f>
        <v>0</v>
      </c>
      <c r="N133" s="200">
        <f t="shared" ref="N133:N136" si="49">+F133*K133</f>
        <v>1447351.6</v>
      </c>
    </row>
    <row r="134" spans="1:14" s="57" customFormat="1" ht="13.8" outlineLevel="1" x14ac:dyDescent="0.3">
      <c r="A134" s="217">
        <v>19.02</v>
      </c>
      <c r="B134" s="218" t="s">
        <v>145</v>
      </c>
      <c r="C134" s="219" t="s">
        <v>28</v>
      </c>
      <c r="D134" s="220">
        <v>1</v>
      </c>
      <c r="E134" s="42">
        <v>1001516</v>
      </c>
      <c r="F134" s="42">
        <f t="shared" si="25"/>
        <v>1001516</v>
      </c>
      <c r="G134" s="181"/>
      <c r="H134" s="32"/>
      <c r="I134" s="245">
        <f>+'SVD 4140_Pto. 01_Cert. 05'!K134</f>
        <v>0</v>
      </c>
      <c r="J134" s="136"/>
      <c r="K134" s="79">
        <f t="shared" si="46"/>
        <v>0</v>
      </c>
      <c r="L134" s="201">
        <f t="shared" si="47"/>
        <v>0</v>
      </c>
      <c r="M134" s="201">
        <f t="shared" si="48"/>
        <v>0</v>
      </c>
      <c r="N134" s="201">
        <f t="shared" si="49"/>
        <v>0</v>
      </c>
    </row>
    <row r="135" spans="1:14" s="57" customFormat="1" ht="13.8" outlineLevel="1" x14ac:dyDescent="0.3">
      <c r="A135" s="217">
        <v>19.03</v>
      </c>
      <c r="B135" s="218" t="s">
        <v>146</v>
      </c>
      <c r="C135" s="219" t="s">
        <v>28</v>
      </c>
      <c r="D135" s="220">
        <v>1</v>
      </c>
      <c r="E135" s="42">
        <v>8787491</v>
      </c>
      <c r="F135" s="42">
        <f t="shared" si="25"/>
        <v>8787491</v>
      </c>
      <c r="G135" s="181"/>
      <c r="H135" s="32"/>
      <c r="I135" s="245">
        <f>+'SVD 4140_Pto. 01_Cert. 05'!K135</f>
        <v>0.1</v>
      </c>
      <c r="J135" s="141">
        <v>0.25</v>
      </c>
      <c r="K135" s="79">
        <f t="shared" si="46"/>
        <v>0.35</v>
      </c>
      <c r="L135" s="201">
        <f t="shared" si="47"/>
        <v>878749.10000000009</v>
      </c>
      <c r="M135" s="201">
        <f t="shared" si="48"/>
        <v>2196872.75</v>
      </c>
      <c r="N135" s="201">
        <f t="shared" si="49"/>
        <v>3075621.8499999996</v>
      </c>
    </row>
    <row r="136" spans="1:14" s="57" customFormat="1" ht="13.8" outlineLevel="1" x14ac:dyDescent="0.3">
      <c r="A136" s="221">
        <v>19.04</v>
      </c>
      <c r="B136" s="222" t="s">
        <v>147</v>
      </c>
      <c r="C136" s="223" t="s">
        <v>28</v>
      </c>
      <c r="D136" s="224">
        <v>1</v>
      </c>
      <c r="E136" s="60">
        <v>4135290</v>
      </c>
      <c r="F136" s="60">
        <f t="shared" si="25"/>
        <v>4135290</v>
      </c>
      <c r="G136" s="181"/>
      <c r="H136" s="32"/>
      <c r="I136" s="245">
        <f>+'SVD 4140_Pto. 01_Cert. 05'!K136</f>
        <v>0.2</v>
      </c>
      <c r="J136" s="141">
        <v>0.1</v>
      </c>
      <c r="K136" s="79">
        <f t="shared" si="46"/>
        <v>0.30000000000000004</v>
      </c>
      <c r="L136" s="201">
        <f t="shared" si="47"/>
        <v>827058</v>
      </c>
      <c r="M136" s="201">
        <f t="shared" si="48"/>
        <v>413529</v>
      </c>
      <c r="N136" s="201">
        <f t="shared" si="49"/>
        <v>1240587.0000000002</v>
      </c>
    </row>
    <row r="137" spans="1:14" s="57" customFormat="1" ht="13.8" x14ac:dyDescent="0.3">
      <c r="A137" s="27"/>
      <c r="B137" s="28" t="s">
        <v>148</v>
      </c>
      <c r="C137" s="189"/>
      <c r="D137" s="65"/>
      <c r="E137" s="65"/>
      <c r="F137" s="65"/>
      <c r="G137" s="31">
        <f>+SUM(F138:F140)</f>
        <v>6551951</v>
      </c>
      <c r="H137" s="32">
        <f>+G137/$G$185</f>
        <v>8.9062563331746124E-3</v>
      </c>
      <c r="I137" s="248"/>
      <c r="J137" s="206"/>
      <c r="K137" s="206"/>
      <c r="L137" s="206"/>
      <c r="M137" s="207"/>
      <c r="N137" s="208"/>
    </row>
    <row r="138" spans="1:14" s="57" customFormat="1" ht="13.8" outlineLevel="1" x14ac:dyDescent="0.3">
      <c r="A138" s="213">
        <v>19.05</v>
      </c>
      <c r="B138" s="214" t="s">
        <v>149</v>
      </c>
      <c r="C138" s="215" t="s">
        <v>28</v>
      </c>
      <c r="D138" s="216">
        <v>1</v>
      </c>
      <c r="E138" s="37">
        <v>2675380</v>
      </c>
      <c r="F138" s="37">
        <f t="shared" si="25"/>
        <v>2675380</v>
      </c>
      <c r="G138" s="181"/>
      <c r="H138" s="32"/>
      <c r="I138" s="245">
        <f>+'SVD 4140_Pto. 01_Cert. 05'!K138</f>
        <v>0.5</v>
      </c>
      <c r="J138" s="249"/>
      <c r="K138" s="135">
        <f t="shared" ref="K138:K140" si="50">+I138+J138</f>
        <v>0.5</v>
      </c>
      <c r="L138" s="200">
        <f t="shared" ref="L138:L140" si="51">+F138*I138</f>
        <v>1337690</v>
      </c>
      <c r="M138" s="200">
        <f t="shared" ref="M138:M140" si="52">+F138*J138</f>
        <v>0</v>
      </c>
      <c r="N138" s="200">
        <f t="shared" ref="N138:N140" si="53">+F138*K138</f>
        <v>1337690</v>
      </c>
    </row>
    <row r="139" spans="1:14" s="57" customFormat="1" ht="13.8" outlineLevel="1" x14ac:dyDescent="0.3">
      <c r="A139" s="217">
        <v>19.059999999999999</v>
      </c>
      <c r="B139" s="218" t="s">
        <v>150</v>
      </c>
      <c r="C139" s="219" t="s">
        <v>28</v>
      </c>
      <c r="D139" s="220">
        <v>1</v>
      </c>
      <c r="E139" s="42">
        <v>3057577</v>
      </c>
      <c r="F139" s="42">
        <f t="shared" si="25"/>
        <v>3057577</v>
      </c>
      <c r="G139" s="181"/>
      <c r="H139" s="32"/>
      <c r="I139" s="245">
        <f>+'SVD 4140_Pto. 01_Cert. 05'!K139</f>
        <v>0.5</v>
      </c>
      <c r="J139" s="136">
        <v>0.2</v>
      </c>
      <c r="K139" s="79">
        <f t="shared" si="50"/>
        <v>0.7</v>
      </c>
      <c r="L139" s="201">
        <f t="shared" si="51"/>
        <v>1528788.5</v>
      </c>
      <c r="M139" s="201">
        <f t="shared" si="52"/>
        <v>611515.4</v>
      </c>
      <c r="N139" s="201">
        <f t="shared" si="53"/>
        <v>2140303.9</v>
      </c>
    </row>
    <row r="140" spans="1:14" s="57" customFormat="1" ht="13.8" outlineLevel="1" x14ac:dyDescent="0.3">
      <c r="A140" s="221">
        <v>19.07</v>
      </c>
      <c r="B140" s="222" t="s">
        <v>151</v>
      </c>
      <c r="C140" s="223" t="s">
        <v>28</v>
      </c>
      <c r="D140" s="224">
        <v>1</v>
      </c>
      <c r="E140" s="60">
        <v>818994</v>
      </c>
      <c r="F140" s="60">
        <f t="shared" ref="F140:F184" si="54">+D140*E140</f>
        <v>818994</v>
      </c>
      <c r="G140" s="181"/>
      <c r="H140" s="32"/>
      <c r="I140" s="245">
        <f>+'SVD 4140_Pto. 01_Cert. 05'!K140</f>
        <v>0</v>
      </c>
      <c r="J140" s="136"/>
      <c r="K140" s="79">
        <f t="shared" si="50"/>
        <v>0</v>
      </c>
      <c r="L140" s="201">
        <f t="shared" si="51"/>
        <v>0</v>
      </c>
      <c r="M140" s="201">
        <f t="shared" si="52"/>
        <v>0</v>
      </c>
      <c r="N140" s="201">
        <f t="shared" si="53"/>
        <v>0</v>
      </c>
    </row>
    <row r="141" spans="1:14" s="57" customFormat="1" ht="13.8" x14ac:dyDescent="0.3">
      <c r="A141" s="27"/>
      <c r="B141" s="28" t="s">
        <v>152</v>
      </c>
      <c r="C141" s="189"/>
      <c r="D141" s="65"/>
      <c r="E141" s="65"/>
      <c r="F141" s="65"/>
      <c r="G141" s="31">
        <f>+SUM(F142:F146)</f>
        <v>37004103</v>
      </c>
      <c r="H141" s="32">
        <f>+G141/$G$185</f>
        <v>5.0300746555826753E-2</v>
      </c>
      <c r="I141" s="248"/>
      <c r="J141" s="206"/>
      <c r="K141" s="206"/>
      <c r="L141" s="206"/>
      <c r="M141" s="207"/>
      <c r="N141" s="208"/>
    </row>
    <row r="142" spans="1:14" s="57" customFormat="1" ht="13.8" outlineLevel="1" x14ac:dyDescent="0.3">
      <c r="A142" s="213">
        <v>19.079999999999998</v>
      </c>
      <c r="B142" s="214" t="s">
        <v>153</v>
      </c>
      <c r="C142" s="215" t="s">
        <v>28</v>
      </c>
      <c r="D142" s="216">
        <v>1</v>
      </c>
      <c r="E142" s="37">
        <v>3750416</v>
      </c>
      <c r="F142" s="37">
        <f t="shared" si="54"/>
        <v>3750416</v>
      </c>
      <c r="G142" s="181"/>
      <c r="H142" s="32"/>
      <c r="I142" s="245">
        <f>+'SVD 4140_Pto. 01_Cert. 05'!K142</f>
        <v>0</v>
      </c>
      <c r="J142" s="134"/>
      <c r="K142" s="135">
        <f t="shared" ref="K142:K146" si="55">+I142+J142</f>
        <v>0</v>
      </c>
      <c r="L142" s="200">
        <f t="shared" ref="L142:L146" si="56">+F142*I142</f>
        <v>0</v>
      </c>
      <c r="M142" s="200">
        <f t="shared" ref="M142:M146" si="57">+F142*J142</f>
        <v>0</v>
      </c>
      <c r="N142" s="200">
        <f t="shared" ref="N142:N146" si="58">+F142*K142</f>
        <v>0</v>
      </c>
    </row>
    <row r="143" spans="1:14" s="57" customFormat="1" ht="13.8" outlineLevel="1" x14ac:dyDescent="0.3">
      <c r="A143" s="217">
        <v>19.09</v>
      </c>
      <c r="B143" s="218" t="s">
        <v>154</v>
      </c>
      <c r="C143" s="219" t="s">
        <v>28</v>
      </c>
      <c r="D143" s="220">
        <v>1</v>
      </c>
      <c r="E143" s="42">
        <v>7500832</v>
      </c>
      <c r="F143" s="42">
        <f t="shared" si="54"/>
        <v>7500832</v>
      </c>
      <c r="G143" s="181"/>
      <c r="H143" s="32"/>
      <c r="I143" s="245">
        <f>+'SVD 4140_Pto. 01_Cert. 05'!K143</f>
        <v>0</v>
      </c>
      <c r="J143" s="136"/>
      <c r="K143" s="79">
        <f t="shared" si="55"/>
        <v>0</v>
      </c>
      <c r="L143" s="201">
        <f t="shared" si="56"/>
        <v>0</v>
      </c>
      <c r="M143" s="201">
        <f t="shared" si="57"/>
        <v>0</v>
      </c>
      <c r="N143" s="201">
        <f t="shared" si="58"/>
        <v>0</v>
      </c>
    </row>
    <row r="144" spans="1:14" s="57" customFormat="1" ht="13.8" outlineLevel="1" x14ac:dyDescent="0.3">
      <c r="A144" s="217">
        <v>19.100000000000001</v>
      </c>
      <c r="B144" s="218" t="s">
        <v>155</v>
      </c>
      <c r="C144" s="219" t="s">
        <v>28</v>
      </c>
      <c r="D144" s="220">
        <v>1</v>
      </c>
      <c r="E144" s="42">
        <v>1750194</v>
      </c>
      <c r="F144" s="42">
        <f t="shared" si="54"/>
        <v>1750194</v>
      </c>
      <c r="G144" s="181"/>
      <c r="H144" s="32"/>
      <c r="I144" s="245">
        <f>+'SVD 4140_Pto. 01_Cert. 05'!K144</f>
        <v>0</v>
      </c>
      <c r="J144" s="136"/>
      <c r="K144" s="79">
        <f t="shared" si="55"/>
        <v>0</v>
      </c>
      <c r="L144" s="201">
        <f t="shared" si="56"/>
        <v>0</v>
      </c>
      <c r="M144" s="201">
        <f t="shared" si="57"/>
        <v>0</v>
      </c>
      <c r="N144" s="201">
        <f t="shared" si="58"/>
        <v>0</v>
      </c>
    </row>
    <row r="145" spans="1:14" s="57" customFormat="1" ht="13.8" outlineLevel="1" x14ac:dyDescent="0.3">
      <c r="A145" s="217">
        <v>19.11</v>
      </c>
      <c r="B145" s="218" t="s">
        <v>156</v>
      </c>
      <c r="C145" s="219" t="s">
        <v>28</v>
      </c>
      <c r="D145" s="220">
        <v>1</v>
      </c>
      <c r="E145" s="42">
        <v>14001552</v>
      </c>
      <c r="F145" s="42">
        <f t="shared" si="54"/>
        <v>14001552</v>
      </c>
      <c r="G145" s="181"/>
      <c r="H145" s="32"/>
      <c r="I145" s="245">
        <f>+'SVD 4140_Pto. 01_Cert. 05'!K145</f>
        <v>0.30000000000000004</v>
      </c>
      <c r="J145" s="141">
        <v>0.05</v>
      </c>
      <c r="K145" s="79">
        <f t="shared" si="55"/>
        <v>0.35000000000000003</v>
      </c>
      <c r="L145" s="201">
        <f t="shared" si="56"/>
        <v>4200465.6000000006</v>
      </c>
      <c r="M145" s="201">
        <f t="shared" si="57"/>
        <v>700077.60000000009</v>
      </c>
      <c r="N145" s="201">
        <f t="shared" si="58"/>
        <v>4900543.2</v>
      </c>
    </row>
    <row r="146" spans="1:14" s="57" customFormat="1" ht="13.8" outlineLevel="1" x14ac:dyDescent="0.3">
      <c r="A146" s="221">
        <v>19.12</v>
      </c>
      <c r="B146" s="222" t="s">
        <v>157</v>
      </c>
      <c r="C146" s="223" t="s">
        <v>28</v>
      </c>
      <c r="D146" s="224">
        <v>1</v>
      </c>
      <c r="E146" s="60">
        <v>10001109</v>
      </c>
      <c r="F146" s="60">
        <f t="shared" si="54"/>
        <v>10001109</v>
      </c>
      <c r="G146" s="181"/>
      <c r="H146" s="32"/>
      <c r="I146" s="245">
        <f>+'SVD 4140_Pto. 01_Cert. 05'!K146</f>
        <v>0</v>
      </c>
      <c r="J146" s="141"/>
      <c r="K146" s="79">
        <f t="shared" si="55"/>
        <v>0</v>
      </c>
      <c r="L146" s="201">
        <f t="shared" si="56"/>
        <v>0</v>
      </c>
      <c r="M146" s="201">
        <f t="shared" si="57"/>
        <v>0</v>
      </c>
      <c r="N146" s="201">
        <f t="shared" si="58"/>
        <v>0</v>
      </c>
    </row>
    <row r="147" spans="1:14" s="57" customFormat="1" ht="13.8" x14ac:dyDescent="0.3">
      <c r="A147" s="27"/>
      <c r="B147" s="28" t="s">
        <v>158</v>
      </c>
      <c r="C147" s="189"/>
      <c r="D147" s="65"/>
      <c r="E147" s="65"/>
      <c r="F147" s="65"/>
      <c r="G147" s="31">
        <f>+SUM(F148)</f>
        <v>2047485</v>
      </c>
      <c r="H147" s="32">
        <f>+G147/$G$185</f>
        <v>2.7832055289073467E-3</v>
      </c>
      <c r="I147" s="248"/>
      <c r="J147" s="206"/>
      <c r="K147" s="206"/>
      <c r="L147" s="206"/>
      <c r="M147" s="207"/>
      <c r="N147" s="208"/>
    </row>
    <row r="148" spans="1:14" s="57" customFormat="1" ht="13.8" outlineLevel="1" x14ac:dyDescent="0.3">
      <c r="A148" s="231">
        <v>19.13</v>
      </c>
      <c r="B148" s="232" t="s">
        <v>159</v>
      </c>
      <c r="C148" s="233" t="s">
        <v>28</v>
      </c>
      <c r="D148" s="234">
        <v>1</v>
      </c>
      <c r="E148" s="235">
        <v>2047485</v>
      </c>
      <c r="F148" s="235">
        <f t="shared" si="54"/>
        <v>2047485</v>
      </c>
      <c r="G148" s="181"/>
      <c r="H148" s="32"/>
      <c r="I148" s="245">
        <f>+'SVD 4140_Pto. 01_Cert. 05'!K148</f>
        <v>0.2</v>
      </c>
      <c r="J148" s="134">
        <v>0.15</v>
      </c>
      <c r="K148" s="135">
        <f t="shared" ref="K148" si="59">+I148+J148</f>
        <v>0.35</v>
      </c>
      <c r="L148" s="200">
        <f t="shared" ref="L148" si="60">+F148*I148</f>
        <v>409497</v>
      </c>
      <c r="M148" s="200">
        <f t="shared" ref="M148" si="61">+F148*J148</f>
        <v>307122.75</v>
      </c>
      <c r="N148" s="200">
        <f t="shared" ref="N148" si="62">+F148*K148</f>
        <v>716619.75</v>
      </c>
    </row>
    <row r="149" spans="1:14" s="57" customFormat="1" ht="13.8" x14ac:dyDescent="0.3">
      <c r="A149" s="27"/>
      <c r="B149" s="28" t="s">
        <v>160</v>
      </c>
      <c r="C149" s="189"/>
      <c r="D149" s="65"/>
      <c r="E149" s="65"/>
      <c r="F149" s="65"/>
      <c r="G149" s="31">
        <f>+SUM(F150:F153)</f>
        <v>32512648</v>
      </c>
      <c r="H149" s="32">
        <f>+G149/$G$185</f>
        <v>4.4195381979852545E-2</v>
      </c>
      <c r="I149" s="248"/>
      <c r="J149" s="206"/>
      <c r="K149" s="206"/>
      <c r="L149" s="206"/>
      <c r="M149" s="207"/>
      <c r="N149" s="208"/>
    </row>
    <row r="150" spans="1:14" s="57" customFormat="1" ht="13.8" outlineLevel="1" x14ac:dyDescent="0.3">
      <c r="A150" s="213">
        <v>19.14</v>
      </c>
      <c r="B150" s="214" t="s">
        <v>161</v>
      </c>
      <c r="C150" s="215" t="s">
        <v>28</v>
      </c>
      <c r="D150" s="216">
        <v>1</v>
      </c>
      <c r="E150" s="37">
        <v>15888634</v>
      </c>
      <c r="F150" s="37">
        <f t="shared" si="54"/>
        <v>15888634</v>
      </c>
      <c r="G150" s="181"/>
      <c r="H150" s="32"/>
      <c r="I150" s="245">
        <f>+'SVD 4140_Pto. 01_Cert. 05'!K150</f>
        <v>0</v>
      </c>
      <c r="J150" s="134"/>
      <c r="K150" s="135">
        <f t="shared" ref="K150:K153" si="63">+I150+J150</f>
        <v>0</v>
      </c>
      <c r="L150" s="200">
        <f t="shared" ref="L150:L153" si="64">+F150*I150</f>
        <v>0</v>
      </c>
      <c r="M150" s="200">
        <f t="shared" ref="M150:M153" si="65">+F150*J150</f>
        <v>0</v>
      </c>
      <c r="N150" s="200">
        <f t="shared" ref="N150:N153" si="66">+F150*K150</f>
        <v>0</v>
      </c>
    </row>
    <row r="151" spans="1:14" s="57" customFormat="1" ht="13.8" outlineLevel="1" x14ac:dyDescent="0.3">
      <c r="A151" s="217">
        <v>19.149999999999999</v>
      </c>
      <c r="B151" s="218" t="s">
        <v>162</v>
      </c>
      <c r="C151" s="219" t="s">
        <v>28</v>
      </c>
      <c r="D151" s="220">
        <v>1</v>
      </c>
      <c r="E151" s="42">
        <v>6190377</v>
      </c>
      <c r="F151" s="42">
        <f t="shared" si="54"/>
        <v>6190377</v>
      </c>
      <c r="G151" s="181"/>
      <c r="H151" s="32"/>
      <c r="I151" s="245">
        <f>+'SVD 4140_Pto. 01_Cert. 05'!K151</f>
        <v>0</v>
      </c>
      <c r="J151" s="136"/>
      <c r="K151" s="79">
        <f t="shared" si="63"/>
        <v>0</v>
      </c>
      <c r="L151" s="201">
        <f t="shared" si="64"/>
        <v>0</v>
      </c>
      <c r="M151" s="201">
        <f t="shared" si="65"/>
        <v>0</v>
      </c>
      <c r="N151" s="201">
        <f t="shared" si="66"/>
        <v>0</v>
      </c>
    </row>
    <row r="152" spans="1:14" s="57" customFormat="1" ht="13.8" outlineLevel="1" x14ac:dyDescent="0.3">
      <c r="A152" s="217">
        <v>19.16</v>
      </c>
      <c r="B152" s="218" t="s">
        <v>163</v>
      </c>
      <c r="C152" s="219" t="s">
        <v>28</v>
      </c>
      <c r="D152" s="220">
        <v>1</v>
      </c>
      <c r="E152" s="42">
        <v>4952302</v>
      </c>
      <c r="F152" s="42">
        <f t="shared" si="54"/>
        <v>4952302</v>
      </c>
      <c r="G152" s="181"/>
      <c r="H152" s="32"/>
      <c r="I152" s="245">
        <f>+'SVD 4140_Pto. 01_Cert. 05'!K152</f>
        <v>0</v>
      </c>
      <c r="J152" s="136"/>
      <c r="K152" s="79">
        <f t="shared" si="63"/>
        <v>0</v>
      </c>
      <c r="L152" s="201">
        <f t="shared" si="64"/>
        <v>0</v>
      </c>
      <c r="M152" s="201">
        <f t="shared" si="65"/>
        <v>0</v>
      </c>
      <c r="N152" s="201">
        <f t="shared" si="66"/>
        <v>0</v>
      </c>
    </row>
    <row r="153" spans="1:14" s="57" customFormat="1" ht="13.8" outlineLevel="1" x14ac:dyDescent="0.3">
      <c r="A153" s="221">
        <v>19.170000000000002</v>
      </c>
      <c r="B153" s="222" t="s">
        <v>164</v>
      </c>
      <c r="C153" s="223" t="s">
        <v>28</v>
      </c>
      <c r="D153" s="224">
        <v>1</v>
      </c>
      <c r="E153" s="60">
        <v>5481335</v>
      </c>
      <c r="F153" s="60">
        <f t="shared" si="54"/>
        <v>5481335</v>
      </c>
      <c r="G153" s="181"/>
      <c r="H153" s="32"/>
      <c r="I153" s="245">
        <f>+'SVD 4140_Pto. 01_Cert. 05'!K153</f>
        <v>0</v>
      </c>
      <c r="J153" s="141"/>
      <c r="K153" s="79">
        <f t="shared" si="63"/>
        <v>0</v>
      </c>
      <c r="L153" s="201">
        <f t="shared" si="64"/>
        <v>0</v>
      </c>
      <c r="M153" s="201">
        <f t="shared" si="65"/>
        <v>0</v>
      </c>
      <c r="N153" s="201">
        <f t="shared" si="66"/>
        <v>0</v>
      </c>
    </row>
    <row r="154" spans="1:14" s="57" customFormat="1" ht="13.8" x14ac:dyDescent="0.3">
      <c r="A154" s="27"/>
      <c r="B154" s="28" t="s">
        <v>165</v>
      </c>
      <c r="C154" s="189"/>
      <c r="D154" s="65"/>
      <c r="E154" s="65"/>
      <c r="F154" s="65"/>
      <c r="G154" s="31">
        <f>+SUM(F155)</f>
        <v>5206701</v>
      </c>
      <c r="H154" s="32">
        <f>+G154/$G$185</f>
        <v>7.0776191330180257E-3</v>
      </c>
      <c r="I154" s="248"/>
      <c r="J154" s="206"/>
      <c r="K154" s="206"/>
      <c r="L154" s="206"/>
      <c r="M154" s="207"/>
      <c r="N154" s="208"/>
    </row>
    <row r="155" spans="1:14" s="57" customFormat="1" ht="13.8" outlineLevel="1" x14ac:dyDescent="0.3">
      <c r="A155" s="231">
        <v>19.170000000000002</v>
      </c>
      <c r="B155" s="232" t="s">
        <v>166</v>
      </c>
      <c r="C155" s="233" t="s">
        <v>28</v>
      </c>
      <c r="D155" s="234">
        <v>1</v>
      </c>
      <c r="E155" s="235">
        <v>5206701</v>
      </c>
      <c r="F155" s="235">
        <f t="shared" si="54"/>
        <v>5206701</v>
      </c>
      <c r="G155" s="181"/>
      <c r="H155" s="32"/>
      <c r="I155" s="245">
        <f>+'SVD 4140_Pto. 01_Cert. 05'!K155</f>
        <v>0</v>
      </c>
      <c r="J155" s="134"/>
      <c r="K155" s="135">
        <f t="shared" ref="K155" si="67">+I155+J155</f>
        <v>0</v>
      </c>
      <c r="L155" s="200">
        <f t="shared" ref="L155" si="68">+F155*I155</f>
        <v>0</v>
      </c>
      <c r="M155" s="200">
        <f t="shared" ref="M155" si="69">+F155*J155</f>
        <v>0</v>
      </c>
      <c r="N155" s="200">
        <f t="shared" ref="N155" si="70">+F155*K155</f>
        <v>0</v>
      </c>
    </row>
    <row r="156" spans="1:14" s="57" customFormat="1" ht="13.8" x14ac:dyDescent="0.3">
      <c r="A156" s="27"/>
      <c r="B156" s="28" t="s">
        <v>167</v>
      </c>
      <c r="C156" s="189"/>
      <c r="D156" s="65"/>
      <c r="E156" s="65"/>
      <c r="F156" s="65"/>
      <c r="G156" s="31">
        <f>+SUM(F157:F158)</f>
        <v>20260948</v>
      </c>
      <c r="H156" s="32">
        <f>+G156/$G$185</f>
        <v>2.7541292119114061E-2</v>
      </c>
      <c r="I156" s="248"/>
      <c r="J156" s="206"/>
      <c r="K156" s="206"/>
      <c r="L156" s="206"/>
      <c r="M156" s="207"/>
      <c r="N156" s="208"/>
    </row>
    <row r="157" spans="1:14" s="57" customFormat="1" ht="13.8" outlineLevel="1" x14ac:dyDescent="0.3">
      <c r="A157" s="213">
        <v>19.18</v>
      </c>
      <c r="B157" s="214" t="s">
        <v>168</v>
      </c>
      <c r="C157" s="215" t="s">
        <v>28</v>
      </c>
      <c r="D157" s="216">
        <v>1</v>
      </c>
      <c r="E157" s="37">
        <v>16584566</v>
      </c>
      <c r="F157" s="37">
        <f t="shared" si="54"/>
        <v>16584566</v>
      </c>
      <c r="G157" s="181"/>
      <c r="H157" s="32"/>
      <c r="I157" s="245">
        <f>+'SVD 4140_Pto. 01_Cert. 05'!K157</f>
        <v>0.15</v>
      </c>
      <c r="J157" s="134">
        <v>0.2</v>
      </c>
      <c r="K157" s="135">
        <f t="shared" ref="K157:K158" si="71">+I157+J157</f>
        <v>0.35</v>
      </c>
      <c r="L157" s="200">
        <f t="shared" ref="L157:L158" si="72">+F157*I157</f>
        <v>2487684.9</v>
      </c>
      <c r="M157" s="200">
        <f t="shared" ref="M157:M158" si="73">+F157*J157</f>
        <v>3316913.2</v>
      </c>
      <c r="N157" s="200">
        <f t="shared" ref="N157:N158" si="74">+F157*K157</f>
        <v>5804598.0999999996</v>
      </c>
    </row>
    <row r="158" spans="1:14" s="57" customFormat="1" ht="13.8" outlineLevel="1" x14ac:dyDescent="0.3">
      <c r="A158" s="221">
        <v>19.190000000000001</v>
      </c>
      <c r="B158" s="222" t="s">
        <v>169</v>
      </c>
      <c r="C158" s="223" t="s">
        <v>28</v>
      </c>
      <c r="D158" s="224">
        <v>1</v>
      </c>
      <c r="E158" s="60">
        <v>3676382</v>
      </c>
      <c r="F158" s="60">
        <f t="shared" si="54"/>
        <v>3676382</v>
      </c>
      <c r="G158" s="181"/>
      <c r="H158" s="32"/>
      <c r="I158" s="245">
        <f>+'SVD 4140_Pto. 01_Cert. 05'!K158</f>
        <v>0.2</v>
      </c>
      <c r="J158" s="141">
        <v>0.1</v>
      </c>
      <c r="K158" s="79">
        <f t="shared" si="71"/>
        <v>0.30000000000000004</v>
      </c>
      <c r="L158" s="201">
        <f t="shared" si="72"/>
        <v>735276.4</v>
      </c>
      <c r="M158" s="201">
        <f t="shared" si="73"/>
        <v>367638.2</v>
      </c>
      <c r="N158" s="201">
        <f t="shared" si="74"/>
        <v>1102914.6000000001</v>
      </c>
    </row>
    <row r="159" spans="1:14" s="57" customFormat="1" ht="13.8" x14ac:dyDescent="0.3">
      <c r="A159" s="27">
        <v>20</v>
      </c>
      <c r="B159" s="28" t="s">
        <v>170</v>
      </c>
      <c r="C159" s="189"/>
      <c r="D159" s="65"/>
      <c r="E159" s="65"/>
      <c r="F159" s="65"/>
      <c r="G159" s="31">
        <f>+SUM(F160:F161)</f>
        <v>35197776</v>
      </c>
      <c r="H159" s="32">
        <f>+G159/$G$185</f>
        <v>4.7845354065325175E-2</v>
      </c>
      <c r="I159" s="248"/>
      <c r="J159" s="206"/>
      <c r="K159" s="206"/>
      <c r="L159" s="206"/>
      <c r="M159" s="207"/>
      <c r="N159" s="208"/>
    </row>
    <row r="160" spans="1:14" s="57" customFormat="1" ht="13.8" outlineLevel="1" x14ac:dyDescent="0.3">
      <c r="A160" s="213">
        <v>20.010000000000002</v>
      </c>
      <c r="B160" s="214" t="s">
        <v>171</v>
      </c>
      <c r="C160" s="215" t="s">
        <v>47</v>
      </c>
      <c r="D160" s="216">
        <v>36</v>
      </c>
      <c r="E160" s="37">
        <v>740165</v>
      </c>
      <c r="F160" s="37">
        <f t="shared" si="54"/>
        <v>26645940</v>
      </c>
      <c r="G160" s="181"/>
      <c r="H160" s="32"/>
      <c r="I160" s="245">
        <f>+'SVD 4140_Pto. 01_Cert. 05'!K160</f>
        <v>0</v>
      </c>
      <c r="J160" s="134">
        <v>0.35</v>
      </c>
      <c r="K160" s="135">
        <f t="shared" ref="K160:K161" si="75">+I160+J160</f>
        <v>0.35</v>
      </c>
      <c r="L160" s="200">
        <f t="shared" ref="L160:L161" si="76">+F160*I160</f>
        <v>0</v>
      </c>
      <c r="M160" s="200">
        <f t="shared" ref="M160:M161" si="77">+F160*J160</f>
        <v>9326079</v>
      </c>
      <c r="N160" s="200">
        <f t="shared" ref="N160:N161" si="78">+F160*K160</f>
        <v>9326079</v>
      </c>
    </row>
    <row r="161" spans="1:14" s="57" customFormat="1" ht="13.8" outlineLevel="1" x14ac:dyDescent="0.3">
      <c r="A161" s="221">
        <v>20.02</v>
      </c>
      <c r="B161" s="222" t="s">
        <v>172</v>
      </c>
      <c r="C161" s="223" t="s">
        <v>47</v>
      </c>
      <c r="D161" s="224">
        <v>36</v>
      </c>
      <c r="E161" s="60">
        <v>237551</v>
      </c>
      <c r="F161" s="60">
        <f t="shared" si="54"/>
        <v>8551836</v>
      </c>
      <c r="G161" s="181"/>
      <c r="H161" s="32"/>
      <c r="I161" s="245">
        <f>+'SVD 4140_Pto. 01_Cert. 05'!K161</f>
        <v>0</v>
      </c>
      <c r="J161" s="141"/>
      <c r="K161" s="79">
        <f t="shared" si="75"/>
        <v>0</v>
      </c>
      <c r="L161" s="201">
        <f t="shared" si="76"/>
        <v>0</v>
      </c>
      <c r="M161" s="201">
        <f t="shared" si="77"/>
        <v>0</v>
      </c>
      <c r="N161" s="201">
        <f t="shared" si="78"/>
        <v>0</v>
      </c>
    </row>
    <row r="162" spans="1:14" s="57" customFormat="1" ht="13.8" x14ac:dyDescent="0.3">
      <c r="A162" s="27">
        <v>21</v>
      </c>
      <c r="B162" s="28" t="s">
        <v>173</v>
      </c>
      <c r="C162" s="189"/>
      <c r="D162" s="65"/>
      <c r="E162" s="65"/>
      <c r="F162" s="65"/>
      <c r="G162" s="31">
        <f>+SUM(F163)</f>
        <v>0</v>
      </c>
      <c r="H162" s="32">
        <f>+G162/$G$185</f>
        <v>0</v>
      </c>
      <c r="I162" s="248"/>
      <c r="J162" s="206"/>
      <c r="K162" s="206"/>
      <c r="L162" s="206"/>
      <c r="M162" s="207"/>
      <c r="N162" s="208"/>
    </row>
    <row r="163" spans="1:14" s="57" customFormat="1" ht="13.8" outlineLevel="1" x14ac:dyDescent="0.3">
      <c r="A163" s="231">
        <v>21.01</v>
      </c>
      <c r="B163" s="232" t="s">
        <v>174</v>
      </c>
      <c r="C163" s="233" t="s">
        <v>28</v>
      </c>
      <c r="D163" s="234">
        <v>0</v>
      </c>
      <c r="E163" s="235">
        <v>0</v>
      </c>
      <c r="F163" s="235">
        <f t="shared" si="54"/>
        <v>0</v>
      </c>
      <c r="G163" s="181"/>
      <c r="H163" s="32"/>
      <c r="I163" s="245">
        <f>+'SVD 4140_Pto. 01_Cert. 05'!K163</f>
        <v>0</v>
      </c>
      <c r="J163" s="134"/>
      <c r="K163" s="135">
        <f t="shared" ref="K163" si="79">+I163+J163</f>
        <v>0</v>
      </c>
      <c r="L163" s="200">
        <f t="shared" ref="L163" si="80">+F163*I163</f>
        <v>0</v>
      </c>
      <c r="M163" s="200">
        <f t="shared" ref="M163" si="81">+F163*J163</f>
        <v>0</v>
      </c>
      <c r="N163" s="200">
        <f t="shared" ref="N163" si="82">+F163*K163</f>
        <v>0</v>
      </c>
    </row>
    <row r="164" spans="1:14" s="57" customFormat="1" ht="13.8" x14ac:dyDescent="0.3">
      <c r="A164" s="27">
        <v>22</v>
      </c>
      <c r="B164" s="28" t="s">
        <v>175</v>
      </c>
      <c r="C164" s="189"/>
      <c r="D164" s="65"/>
      <c r="E164" s="65"/>
      <c r="F164" s="65"/>
      <c r="G164" s="31">
        <f>+SUM(F165:F166)</f>
        <v>2671152</v>
      </c>
      <c r="H164" s="32">
        <f>+G164/$G$185</f>
        <v>3.630974104792913E-3</v>
      </c>
      <c r="I164" s="248"/>
      <c r="J164" s="206"/>
      <c r="K164" s="206"/>
      <c r="L164" s="206"/>
      <c r="M164" s="207"/>
      <c r="N164" s="208"/>
    </row>
    <row r="165" spans="1:14" s="57" customFormat="1" ht="13.8" outlineLevel="1" x14ac:dyDescent="0.3">
      <c r="A165" s="213">
        <v>22.01</v>
      </c>
      <c r="B165" s="214" t="s">
        <v>176</v>
      </c>
      <c r="C165" s="215" t="s">
        <v>47</v>
      </c>
      <c r="D165" s="216">
        <v>16</v>
      </c>
      <c r="E165" s="37">
        <v>80944</v>
      </c>
      <c r="F165" s="37">
        <f t="shared" si="54"/>
        <v>1295104</v>
      </c>
      <c r="G165" s="181"/>
      <c r="H165" s="32"/>
      <c r="I165" s="245">
        <f>+'SVD 4140_Pto. 01_Cert. 05'!K165</f>
        <v>0</v>
      </c>
      <c r="J165" s="141"/>
      <c r="K165" s="79">
        <f t="shared" ref="K165:K166" si="83">+I165+J165</f>
        <v>0</v>
      </c>
      <c r="L165" s="201">
        <f t="shared" ref="L165:L166" si="84">+F165*I165</f>
        <v>0</v>
      </c>
      <c r="M165" s="201">
        <f t="shared" ref="M165:M166" si="85">+F165*J165</f>
        <v>0</v>
      </c>
      <c r="N165" s="201">
        <f t="shared" ref="N165:N166" si="86">+F165*K165</f>
        <v>0</v>
      </c>
    </row>
    <row r="166" spans="1:14" s="57" customFormat="1" ht="13.8" outlineLevel="1" x14ac:dyDescent="0.3">
      <c r="A166" s="221">
        <v>22.02</v>
      </c>
      <c r="B166" s="222" t="s">
        <v>177</v>
      </c>
      <c r="C166" s="223" t="s">
        <v>47</v>
      </c>
      <c r="D166" s="224">
        <v>17</v>
      </c>
      <c r="E166" s="60">
        <v>80944</v>
      </c>
      <c r="F166" s="60">
        <f t="shared" si="54"/>
        <v>1376048</v>
      </c>
      <c r="G166" s="181"/>
      <c r="H166" s="32"/>
      <c r="I166" s="245">
        <f>+'SVD 4140_Pto. 01_Cert. 05'!K166</f>
        <v>0</v>
      </c>
      <c r="J166" s="141"/>
      <c r="K166" s="79">
        <f t="shared" si="83"/>
        <v>0</v>
      </c>
      <c r="L166" s="201">
        <f t="shared" si="84"/>
        <v>0</v>
      </c>
      <c r="M166" s="201">
        <f t="shared" si="85"/>
        <v>0</v>
      </c>
      <c r="N166" s="201">
        <f t="shared" si="86"/>
        <v>0</v>
      </c>
    </row>
    <row r="167" spans="1:14" s="57" customFormat="1" ht="13.8" x14ac:dyDescent="0.3">
      <c r="A167" s="27">
        <v>23</v>
      </c>
      <c r="B167" s="28" t="s">
        <v>178</v>
      </c>
      <c r="C167" s="189"/>
      <c r="D167" s="65"/>
      <c r="E167" s="65"/>
      <c r="F167" s="65"/>
      <c r="G167" s="31">
        <f>+SUM(F168:F170)</f>
        <v>4668180</v>
      </c>
      <c r="H167" s="32">
        <f>+G167/$G$185</f>
        <v>6.3455919754892946E-3</v>
      </c>
      <c r="I167" s="248"/>
      <c r="J167" s="206"/>
      <c r="K167" s="206"/>
      <c r="L167" s="206"/>
      <c r="M167" s="207"/>
      <c r="N167" s="208"/>
    </row>
    <row r="168" spans="1:14" s="57" customFormat="1" ht="13.8" outlineLevel="1" x14ac:dyDescent="0.3">
      <c r="A168" s="213">
        <v>23.01</v>
      </c>
      <c r="B168" s="214" t="s">
        <v>179</v>
      </c>
      <c r="C168" s="215" t="s">
        <v>28</v>
      </c>
      <c r="D168" s="216">
        <v>7</v>
      </c>
      <c r="E168" s="37">
        <v>446402</v>
      </c>
      <c r="F168" s="37">
        <f t="shared" si="54"/>
        <v>3124814</v>
      </c>
      <c r="G168" s="181"/>
      <c r="H168" s="32"/>
      <c r="I168" s="245">
        <f>+'SVD 4140_Pto. 01_Cert. 05'!K168</f>
        <v>0.1</v>
      </c>
      <c r="J168" s="134"/>
      <c r="K168" s="135">
        <f t="shared" ref="K168:K170" si="87">+I168+J168</f>
        <v>0.1</v>
      </c>
      <c r="L168" s="200">
        <f t="shared" ref="L168:L170" si="88">+F168*I168</f>
        <v>312481.40000000002</v>
      </c>
      <c r="M168" s="200">
        <f t="shared" ref="M168:M170" si="89">+F168*J168</f>
        <v>0</v>
      </c>
      <c r="N168" s="200">
        <f t="shared" ref="N168:N170" si="90">+F168*K168</f>
        <v>312481.40000000002</v>
      </c>
    </row>
    <row r="169" spans="1:14" s="57" customFormat="1" ht="13.8" outlineLevel="1" x14ac:dyDescent="0.3">
      <c r="A169" s="217">
        <v>23.02</v>
      </c>
      <c r="B169" s="218" t="s">
        <v>180</v>
      </c>
      <c r="C169" s="219" t="s">
        <v>28</v>
      </c>
      <c r="D169" s="220">
        <v>1</v>
      </c>
      <c r="E169" s="42">
        <v>672060</v>
      </c>
      <c r="F169" s="42">
        <f t="shared" si="54"/>
        <v>672060</v>
      </c>
      <c r="G169" s="181"/>
      <c r="H169" s="32"/>
      <c r="I169" s="245">
        <f>+'SVD 4140_Pto. 01_Cert. 05'!K169</f>
        <v>0</v>
      </c>
      <c r="J169" s="141"/>
      <c r="K169" s="79">
        <f t="shared" si="87"/>
        <v>0</v>
      </c>
      <c r="L169" s="201">
        <f t="shared" si="88"/>
        <v>0</v>
      </c>
      <c r="M169" s="201">
        <f t="shared" si="89"/>
        <v>0</v>
      </c>
      <c r="N169" s="201">
        <f t="shared" si="90"/>
        <v>0</v>
      </c>
    </row>
    <row r="170" spans="1:14" s="57" customFormat="1" ht="13.8" outlineLevel="1" x14ac:dyDescent="0.3">
      <c r="A170" s="221">
        <v>23.03</v>
      </c>
      <c r="B170" s="222" t="s">
        <v>181</v>
      </c>
      <c r="C170" s="223" t="s">
        <v>28</v>
      </c>
      <c r="D170" s="224">
        <v>1</v>
      </c>
      <c r="E170" s="60">
        <v>871306</v>
      </c>
      <c r="F170" s="60">
        <f t="shared" si="54"/>
        <v>871306</v>
      </c>
      <c r="G170" s="181"/>
      <c r="H170" s="32"/>
      <c r="I170" s="245">
        <f>+'SVD 4140_Pto. 01_Cert. 05'!K170</f>
        <v>0</v>
      </c>
      <c r="J170" s="141"/>
      <c r="K170" s="79">
        <f t="shared" si="87"/>
        <v>0</v>
      </c>
      <c r="L170" s="201">
        <f t="shared" si="88"/>
        <v>0</v>
      </c>
      <c r="M170" s="201">
        <f t="shared" si="89"/>
        <v>0</v>
      </c>
      <c r="N170" s="201">
        <f t="shared" si="90"/>
        <v>0</v>
      </c>
    </row>
    <row r="171" spans="1:14" s="57" customFormat="1" ht="13.8" x14ac:dyDescent="0.3">
      <c r="A171" s="27">
        <v>24</v>
      </c>
      <c r="B171" s="28" t="s">
        <v>182</v>
      </c>
      <c r="C171" s="189"/>
      <c r="D171" s="65"/>
      <c r="E171" s="65"/>
      <c r="F171" s="65"/>
      <c r="G171" s="31">
        <f>+SUM(F172:F181)</f>
        <v>16311090</v>
      </c>
      <c r="H171" s="32">
        <f>+G171/$G$185</f>
        <v>2.2172135996359112E-2</v>
      </c>
      <c r="I171" s="248"/>
      <c r="J171" s="206"/>
      <c r="K171" s="206"/>
      <c r="L171" s="206"/>
      <c r="M171" s="207"/>
      <c r="N171" s="208"/>
    </row>
    <row r="172" spans="1:14" s="57" customFormat="1" ht="13.8" outlineLevel="1" x14ac:dyDescent="0.3">
      <c r="A172" s="213">
        <v>24.01</v>
      </c>
      <c r="B172" s="214" t="s">
        <v>183</v>
      </c>
      <c r="C172" s="215" t="s">
        <v>184</v>
      </c>
      <c r="D172" s="216">
        <v>6</v>
      </c>
      <c r="E172" s="37">
        <v>753138</v>
      </c>
      <c r="F172" s="37">
        <f t="shared" si="54"/>
        <v>4518828</v>
      </c>
      <c r="G172" s="181"/>
      <c r="H172" s="32"/>
      <c r="I172" s="245">
        <f>+'SVD 4140_Pto. 01_Cert. 05'!K172</f>
        <v>0.2</v>
      </c>
      <c r="J172" s="134">
        <v>0.1</v>
      </c>
      <c r="K172" s="135">
        <f t="shared" ref="K172:K181" si="91">+I172+J172</f>
        <v>0.30000000000000004</v>
      </c>
      <c r="L172" s="200">
        <f t="shared" ref="L172:L181" si="92">+F172*I172</f>
        <v>903765.60000000009</v>
      </c>
      <c r="M172" s="200">
        <f t="shared" ref="M172:M181" si="93">+F172*J172</f>
        <v>451882.80000000005</v>
      </c>
      <c r="N172" s="200">
        <f t="shared" ref="N172:N181" si="94">+F172*K172</f>
        <v>1355648.4000000001</v>
      </c>
    </row>
    <row r="173" spans="1:14" s="57" customFormat="1" ht="13.8" outlineLevel="1" x14ac:dyDescent="0.3">
      <c r="A173" s="217">
        <v>24.02</v>
      </c>
      <c r="B173" s="218" t="s">
        <v>185</v>
      </c>
      <c r="C173" s="219" t="s">
        <v>184</v>
      </c>
      <c r="D173" s="220"/>
      <c r="E173" s="42">
        <v>1944871</v>
      </c>
      <c r="F173" s="42">
        <f t="shared" si="54"/>
        <v>0</v>
      </c>
      <c r="G173" s="181"/>
      <c r="H173" s="32"/>
      <c r="I173" s="245">
        <f>+'SVD 4140_Pto. 01_Cert. 05'!K173</f>
        <v>0</v>
      </c>
      <c r="J173" s="141"/>
      <c r="K173" s="79">
        <f t="shared" si="91"/>
        <v>0</v>
      </c>
      <c r="L173" s="201">
        <f t="shared" si="92"/>
        <v>0</v>
      </c>
      <c r="M173" s="201">
        <f t="shared" si="93"/>
        <v>0</v>
      </c>
      <c r="N173" s="201">
        <f t="shared" si="94"/>
        <v>0</v>
      </c>
    </row>
    <row r="174" spans="1:14" s="57" customFormat="1" ht="13.8" outlineLevel="1" x14ac:dyDescent="0.3">
      <c r="A174" s="217">
        <v>24.03</v>
      </c>
      <c r="B174" s="218" t="s">
        <v>186</v>
      </c>
      <c r="C174" s="219" t="s">
        <v>184</v>
      </c>
      <c r="D174" s="220">
        <v>6</v>
      </c>
      <c r="E174" s="42">
        <v>188533</v>
      </c>
      <c r="F174" s="42">
        <f t="shared" si="54"/>
        <v>1131198</v>
      </c>
      <c r="G174" s="181"/>
      <c r="H174" s="32"/>
      <c r="I174" s="245">
        <f>+'SVD 4140_Pto. 01_Cert. 05'!K174</f>
        <v>0.2</v>
      </c>
      <c r="J174" s="141">
        <v>0.1</v>
      </c>
      <c r="K174" s="79">
        <f t="shared" si="91"/>
        <v>0.30000000000000004</v>
      </c>
      <c r="L174" s="201">
        <f t="shared" si="92"/>
        <v>226239.6</v>
      </c>
      <c r="M174" s="201">
        <f t="shared" si="93"/>
        <v>113119.8</v>
      </c>
      <c r="N174" s="201">
        <f t="shared" si="94"/>
        <v>339359.4</v>
      </c>
    </row>
    <row r="175" spans="1:14" s="57" customFormat="1" ht="13.8" outlineLevel="1" x14ac:dyDescent="0.3">
      <c r="A175" s="217">
        <v>24.04</v>
      </c>
      <c r="B175" s="218" t="s">
        <v>187</v>
      </c>
      <c r="C175" s="219" t="s">
        <v>28</v>
      </c>
      <c r="D175" s="220"/>
      <c r="E175" s="42">
        <v>4606562</v>
      </c>
      <c r="F175" s="42">
        <f t="shared" si="54"/>
        <v>0</v>
      </c>
      <c r="G175" s="181"/>
      <c r="H175" s="32"/>
      <c r="I175" s="245">
        <f>+'SVD 4140_Pto. 01_Cert. 05'!K175</f>
        <v>0</v>
      </c>
      <c r="J175" s="141"/>
      <c r="K175" s="79">
        <f t="shared" si="91"/>
        <v>0</v>
      </c>
      <c r="L175" s="201">
        <f t="shared" si="92"/>
        <v>0</v>
      </c>
      <c r="M175" s="201">
        <f t="shared" si="93"/>
        <v>0</v>
      </c>
      <c r="N175" s="201">
        <f t="shared" si="94"/>
        <v>0</v>
      </c>
    </row>
    <row r="176" spans="1:14" s="57" customFormat="1" ht="13.8" outlineLevel="1" x14ac:dyDescent="0.3">
      <c r="A176" s="217">
        <v>24.05</v>
      </c>
      <c r="B176" s="218" t="s">
        <v>188</v>
      </c>
      <c r="C176" s="219" t="s">
        <v>184</v>
      </c>
      <c r="D176" s="220">
        <v>6</v>
      </c>
      <c r="E176" s="42">
        <v>696152</v>
      </c>
      <c r="F176" s="42">
        <f t="shared" si="54"/>
        <v>4176912</v>
      </c>
      <c r="G176" s="181"/>
      <c r="H176" s="32"/>
      <c r="I176" s="245">
        <f>+'SVD 4140_Pto. 01_Cert. 05'!K176</f>
        <v>0.1</v>
      </c>
      <c r="J176" s="141">
        <v>0.1</v>
      </c>
      <c r="K176" s="79">
        <f t="shared" si="91"/>
        <v>0.2</v>
      </c>
      <c r="L176" s="201">
        <f t="shared" si="92"/>
        <v>417691.2</v>
      </c>
      <c r="M176" s="201">
        <f t="shared" si="93"/>
        <v>417691.2</v>
      </c>
      <c r="N176" s="201">
        <f t="shared" si="94"/>
        <v>835382.4</v>
      </c>
    </row>
    <row r="177" spans="1:14" s="57" customFormat="1" ht="13.8" outlineLevel="1" x14ac:dyDescent="0.3">
      <c r="A177" s="217">
        <v>24.06</v>
      </c>
      <c r="B177" s="218" t="s">
        <v>189</v>
      </c>
      <c r="C177" s="219" t="s">
        <v>184</v>
      </c>
      <c r="D177" s="220">
        <v>6</v>
      </c>
      <c r="E177" s="42">
        <v>452333</v>
      </c>
      <c r="F177" s="42">
        <f t="shared" si="54"/>
        <v>2713998</v>
      </c>
      <c r="G177" s="181"/>
      <c r="H177" s="32"/>
      <c r="I177" s="245">
        <f>+'SVD 4140_Pto. 01_Cert. 05'!K177</f>
        <v>0.1</v>
      </c>
      <c r="J177" s="141">
        <v>0.1</v>
      </c>
      <c r="K177" s="79">
        <f t="shared" si="91"/>
        <v>0.2</v>
      </c>
      <c r="L177" s="201">
        <f t="shared" si="92"/>
        <v>271399.8</v>
      </c>
      <c r="M177" s="201">
        <f t="shared" si="93"/>
        <v>271399.8</v>
      </c>
      <c r="N177" s="201">
        <f t="shared" si="94"/>
        <v>542799.6</v>
      </c>
    </row>
    <row r="178" spans="1:14" s="57" customFormat="1" ht="13.8" outlineLevel="1" x14ac:dyDescent="0.3">
      <c r="A178" s="217">
        <v>24.07</v>
      </c>
      <c r="B178" s="218" t="s">
        <v>190</v>
      </c>
      <c r="C178" s="219" t="s">
        <v>28</v>
      </c>
      <c r="D178" s="220">
        <v>0</v>
      </c>
      <c r="E178" s="42">
        <v>0</v>
      </c>
      <c r="F178" s="42">
        <f t="shared" si="54"/>
        <v>0</v>
      </c>
      <c r="G178" s="181"/>
      <c r="H178" s="32"/>
      <c r="I178" s="245">
        <f>+'SVD 4140_Pto. 01_Cert. 05'!K178</f>
        <v>0</v>
      </c>
      <c r="J178" s="141"/>
      <c r="K178" s="79">
        <f t="shared" si="91"/>
        <v>0</v>
      </c>
      <c r="L178" s="201">
        <f t="shared" si="92"/>
        <v>0</v>
      </c>
      <c r="M178" s="201">
        <f t="shared" si="93"/>
        <v>0</v>
      </c>
      <c r="N178" s="201">
        <f t="shared" si="94"/>
        <v>0</v>
      </c>
    </row>
    <row r="179" spans="1:14" s="57" customFormat="1" ht="13.8" outlineLevel="1" x14ac:dyDescent="0.3">
      <c r="A179" s="217">
        <v>24.08</v>
      </c>
      <c r="B179" s="218" t="s">
        <v>191</v>
      </c>
      <c r="C179" s="219" t="s">
        <v>184</v>
      </c>
      <c r="D179" s="220">
        <v>6</v>
      </c>
      <c r="E179" s="42">
        <v>314221</v>
      </c>
      <c r="F179" s="42">
        <f t="shared" si="54"/>
        <v>1885326</v>
      </c>
      <c r="G179" s="181"/>
      <c r="H179" s="32"/>
      <c r="I179" s="245">
        <f>+'SVD 4140_Pto. 01_Cert. 05'!K179</f>
        <v>0.1</v>
      </c>
      <c r="J179" s="141">
        <v>0.1</v>
      </c>
      <c r="K179" s="79">
        <f t="shared" si="91"/>
        <v>0.2</v>
      </c>
      <c r="L179" s="201">
        <f t="shared" si="92"/>
        <v>188532.6</v>
      </c>
      <c r="M179" s="201">
        <f t="shared" si="93"/>
        <v>188532.6</v>
      </c>
      <c r="N179" s="201">
        <f t="shared" si="94"/>
        <v>377065.2</v>
      </c>
    </row>
    <row r="180" spans="1:14" s="57" customFormat="1" ht="13.8" outlineLevel="1" x14ac:dyDescent="0.3">
      <c r="A180" s="217">
        <v>24.09</v>
      </c>
      <c r="B180" s="218" t="s">
        <v>192</v>
      </c>
      <c r="C180" s="219" t="s">
        <v>184</v>
      </c>
      <c r="D180" s="220">
        <v>4</v>
      </c>
      <c r="E180" s="42">
        <v>0</v>
      </c>
      <c r="F180" s="42">
        <f t="shared" si="54"/>
        <v>0</v>
      </c>
      <c r="G180" s="181"/>
      <c r="H180" s="32"/>
      <c r="I180" s="245">
        <f>+'SVD 4140_Pto. 01_Cert. 05'!K180</f>
        <v>0</v>
      </c>
      <c r="J180" s="141"/>
      <c r="K180" s="79">
        <f t="shared" si="91"/>
        <v>0</v>
      </c>
      <c r="L180" s="201">
        <f t="shared" si="92"/>
        <v>0</v>
      </c>
      <c r="M180" s="201">
        <f t="shared" si="93"/>
        <v>0</v>
      </c>
      <c r="N180" s="201">
        <f t="shared" si="94"/>
        <v>0</v>
      </c>
    </row>
    <row r="181" spans="1:14" s="57" customFormat="1" ht="13.8" outlineLevel="1" x14ac:dyDescent="0.3">
      <c r="A181" s="221">
        <v>24.1</v>
      </c>
      <c r="B181" s="222" t="s">
        <v>193</v>
      </c>
      <c r="C181" s="223" t="s">
        <v>184</v>
      </c>
      <c r="D181" s="224">
        <v>6</v>
      </c>
      <c r="E181" s="60">
        <v>314138</v>
      </c>
      <c r="F181" s="60">
        <f t="shared" si="54"/>
        <v>1884828</v>
      </c>
      <c r="G181" s="181"/>
      <c r="H181" s="32"/>
      <c r="I181" s="245">
        <f>+'SVD 4140_Pto. 01_Cert. 05'!K181</f>
        <v>0.1</v>
      </c>
      <c r="J181" s="141">
        <v>0.1</v>
      </c>
      <c r="K181" s="79">
        <f t="shared" si="91"/>
        <v>0.2</v>
      </c>
      <c r="L181" s="201">
        <f t="shared" si="92"/>
        <v>188482.80000000002</v>
      </c>
      <c r="M181" s="201">
        <f t="shared" si="93"/>
        <v>188482.80000000002</v>
      </c>
      <c r="N181" s="201">
        <f t="shared" si="94"/>
        <v>376965.60000000003</v>
      </c>
    </row>
    <row r="182" spans="1:14" s="57" customFormat="1" ht="13.8" x14ac:dyDescent="0.3">
      <c r="A182" s="27">
        <v>25</v>
      </c>
      <c r="B182" s="28" t="s">
        <v>194</v>
      </c>
      <c r="C182" s="189"/>
      <c r="D182" s="65"/>
      <c r="E182" s="65"/>
      <c r="F182" s="65"/>
      <c r="G182" s="31">
        <f>+SUM(F183:F184)</f>
        <v>32415288</v>
      </c>
      <c r="H182" s="32">
        <f>+G182/$G$185</f>
        <v>4.4063037718334433E-2</v>
      </c>
      <c r="I182" s="248"/>
      <c r="J182" s="206"/>
      <c r="K182" s="206"/>
      <c r="L182" s="206"/>
      <c r="M182" s="207"/>
      <c r="N182" s="208"/>
    </row>
    <row r="183" spans="1:14" s="57" customFormat="1" ht="13.8" outlineLevel="1" x14ac:dyDescent="0.3">
      <c r="A183" s="213">
        <v>25.01</v>
      </c>
      <c r="B183" s="214" t="s">
        <v>195</v>
      </c>
      <c r="C183" s="215" t="s">
        <v>184</v>
      </c>
      <c r="D183" s="216">
        <v>6</v>
      </c>
      <c r="E183" s="37">
        <v>4774106</v>
      </c>
      <c r="F183" s="37">
        <f t="shared" si="54"/>
        <v>28644636</v>
      </c>
      <c r="G183" s="181"/>
      <c r="H183" s="32"/>
      <c r="I183" s="245">
        <f>+'SVD 4140_Pto. 01_Cert. 05'!K183</f>
        <v>0.2</v>
      </c>
      <c r="J183" s="141">
        <v>0.1</v>
      </c>
      <c r="K183" s="79">
        <f t="shared" ref="K183:K184" si="95">+I183+J183</f>
        <v>0.30000000000000004</v>
      </c>
      <c r="L183" s="201">
        <f t="shared" ref="L183:L184" si="96">+F183*I183</f>
        <v>5728927.2000000002</v>
      </c>
      <c r="M183" s="201">
        <f t="shared" ref="M183:M184" si="97">+F183*J183</f>
        <v>2864463.6</v>
      </c>
      <c r="N183" s="201">
        <f t="shared" ref="N183:N184" si="98">+F183*K183</f>
        <v>8593390.8000000007</v>
      </c>
    </row>
    <row r="184" spans="1:14" s="57" customFormat="1" ht="13.8" outlineLevel="1" x14ac:dyDescent="0.3">
      <c r="A184" s="221">
        <v>25.02</v>
      </c>
      <c r="B184" s="222" t="s">
        <v>196</v>
      </c>
      <c r="C184" s="223" t="s">
        <v>184</v>
      </c>
      <c r="D184" s="224">
        <v>6</v>
      </c>
      <c r="E184" s="60">
        <v>628442</v>
      </c>
      <c r="F184" s="60">
        <f t="shared" si="54"/>
        <v>3770652</v>
      </c>
      <c r="G184" s="181"/>
      <c r="H184" s="32"/>
      <c r="I184" s="245">
        <f>+'SVD 4140_Pto. 01_Cert. 05'!K184</f>
        <v>0.2</v>
      </c>
      <c r="J184" s="141">
        <v>0.1</v>
      </c>
      <c r="K184" s="79">
        <f t="shared" si="95"/>
        <v>0.30000000000000004</v>
      </c>
      <c r="L184" s="201">
        <f t="shared" si="96"/>
        <v>754130.4</v>
      </c>
      <c r="M184" s="201">
        <f t="shared" si="97"/>
        <v>377065.2</v>
      </c>
      <c r="N184" s="201">
        <f t="shared" si="98"/>
        <v>1131195.6000000001</v>
      </c>
    </row>
    <row r="185" spans="1:14" s="57" customFormat="1" ht="13.8" x14ac:dyDescent="0.3">
      <c r="A185" s="27"/>
      <c r="B185" s="28" t="s">
        <v>197</v>
      </c>
      <c r="C185" s="189"/>
      <c r="D185" s="65"/>
      <c r="E185" s="65"/>
      <c r="F185" s="65">
        <f>+SUM(F9:F184)</f>
        <v>735657133.01950002</v>
      </c>
      <c r="G185" s="31">
        <f>+SUM(G9:G184)</f>
        <v>735657133.01950002</v>
      </c>
      <c r="H185" s="32">
        <f>+SUM(H9:H184)</f>
        <v>1</v>
      </c>
      <c r="I185" s="205"/>
      <c r="J185" s="206"/>
      <c r="K185" s="206"/>
      <c r="L185" s="237">
        <f>+SUM(L10:L184)</f>
        <v>104834894.36744998</v>
      </c>
      <c r="M185" s="237">
        <f>+SUM(M10:M184)</f>
        <v>45365385.429554999</v>
      </c>
      <c r="N185" s="238">
        <f>+SUM(N10:N184)</f>
        <v>150200279.79700497</v>
      </c>
    </row>
    <row r="186" spans="1:14" s="57" customFormat="1" ht="13.8" x14ac:dyDescent="0.3">
      <c r="A186" s="178"/>
      <c r="B186" s="145" t="s">
        <v>198</v>
      </c>
      <c r="C186" s="179"/>
      <c r="D186" s="180"/>
      <c r="E186" s="181"/>
      <c r="F186" s="181"/>
      <c r="G186" s="181"/>
      <c r="H186" s="32"/>
      <c r="L186" s="7"/>
      <c r="M186" s="170">
        <f>+M185/G185</f>
        <v>6.1666479387419329E-2</v>
      </c>
      <c r="N186" s="170">
        <f>+N185/G185</f>
        <v>0.20417158082938566</v>
      </c>
    </row>
    <row r="187" spans="1:14" s="57" customFormat="1" ht="13.8" x14ac:dyDescent="0.3">
      <c r="A187" s="178"/>
      <c r="B187" s="145"/>
      <c r="C187" s="179"/>
      <c r="D187" s="180"/>
      <c r="E187" s="181"/>
      <c r="F187" s="181"/>
      <c r="G187" s="181"/>
      <c r="H187" s="32"/>
      <c r="L187" s="7"/>
      <c r="M187" s="170"/>
      <c r="N187" s="170"/>
    </row>
    <row r="188" spans="1:14" ht="13.8" x14ac:dyDescent="0.3">
      <c r="A188" s="27"/>
      <c r="B188" s="28" t="s">
        <v>216</v>
      </c>
      <c r="C188" s="29"/>
      <c r="D188" s="30"/>
      <c r="E188" s="30"/>
      <c r="F188" s="184"/>
      <c r="G188" s="31">
        <f>+SUM(F189:F193)</f>
        <v>-9955503.3356047589</v>
      </c>
      <c r="H188" s="252"/>
      <c r="J188" s="144"/>
      <c r="K188" s="144"/>
      <c r="L188" s="144"/>
      <c r="M188" s="144"/>
    </row>
    <row r="189" spans="1:14" ht="13.8" x14ac:dyDescent="0.3">
      <c r="A189" s="253">
        <v>4.0199999999999996</v>
      </c>
      <c r="B189" s="34" t="s">
        <v>20</v>
      </c>
      <c r="C189" s="35" t="s">
        <v>19</v>
      </c>
      <c r="D189" s="33">
        <v>-166</v>
      </c>
      <c r="E189" s="256">
        <f>+E11</f>
        <v>25172</v>
      </c>
      <c r="F189" s="36">
        <f>+E189*D189</f>
        <v>-4178552</v>
      </c>
      <c r="H189" s="257"/>
      <c r="I189" s="134">
        <f>+'SVD 4140_Pto. 01_Cert. 04'!K189</f>
        <v>0.9</v>
      </c>
      <c r="J189" s="249"/>
      <c r="K189" s="135">
        <f t="shared" ref="K189:K193" si="99">+I189+J189</f>
        <v>0.9</v>
      </c>
      <c r="L189" s="200">
        <f t="shared" ref="L189:L193" si="100">+F189*I189</f>
        <v>-3760696.8000000003</v>
      </c>
      <c r="M189" s="200">
        <f t="shared" ref="M189:M193" si="101">+F189*J189</f>
        <v>0</v>
      </c>
      <c r="N189" s="200">
        <f t="shared" ref="N189:N193" si="102">+F189*K189</f>
        <v>-3760696.8000000003</v>
      </c>
    </row>
    <row r="190" spans="1:14" ht="13.8" x14ac:dyDescent="0.3">
      <c r="A190" s="269">
        <v>7.02</v>
      </c>
      <c r="B190" s="270" t="s">
        <v>214</v>
      </c>
      <c r="C190" s="40" t="s">
        <v>19</v>
      </c>
      <c r="D190" s="38">
        <v>-166</v>
      </c>
      <c r="E190" s="271">
        <f>+E30</f>
        <v>22183</v>
      </c>
      <c r="F190" s="41">
        <f>+E190*D190</f>
        <v>-3682378</v>
      </c>
      <c r="H190" s="257"/>
      <c r="I190" s="136">
        <f>+'SVD 4140_Pto. 01_Cert. 04'!K190</f>
        <v>0</v>
      </c>
      <c r="J190" s="141"/>
      <c r="K190" s="79">
        <f t="shared" si="99"/>
        <v>0</v>
      </c>
      <c r="L190" s="201">
        <f t="shared" si="100"/>
        <v>0</v>
      </c>
      <c r="M190" s="201">
        <f t="shared" si="101"/>
        <v>0</v>
      </c>
      <c r="N190" s="201">
        <f t="shared" si="102"/>
        <v>0</v>
      </c>
    </row>
    <row r="191" spans="1:14" ht="13.8" x14ac:dyDescent="0.3">
      <c r="A191" s="269">
        <v>13.03</v>
      </c>
      <c r="B191" s="39" t="s">
        <v>219</v>
      </c>
      <c r="C191" s="40" t="s">
        <v>19</v>
      </c>
      <c r="D191" s="41">
        <v>-50</v>
      </c>
      <c r="E191" s="41">
        <f>+E73</f>
        <v>29881</v>
      </c>
      <c r="F191" s="41">
        <f>+E191*D191</f>
        <v>-1494050</v>
      </c>
      <c r="H191" s="257"/>
      <c r="I191" s="136">
        <f>+'SVD 4140_Pto. 01_Cert. 04'!K191</f>
        <v>0</v>
      </c>
      <c r="J191" s="141"/>
      <c r="K191" s="79">
        <f t="shared" si="99"/>
        <v>0</v>
      </c>
      <c r="L191" s="201">
        <f t="shared" si="100"/>
        <v>0</v>
      </c>
      <c r="M191" s="201">
        <f t="shared" si="101"/>
        <v>0</v>
      </c>
      <c r="N191" s="201">
        <f t="shared" si="102"/>
        <v>0</v>
      </c>
    </row>
    <row r="192" spans="1:14" ht="13.8" x14ac:dyDescent="0.3">
      <c r="A192" s="263">
        <v>18.03</v>
      </c>
      <c r="B192" s="264" t="s">
        <v>114</v>
      </c>
      <c r="C192" s="265" t="s">
        <v>47</v>
      </c>
      <c r="D192" s="266">
        <v>-7</v>
      </c>
      <c r="E192" s="267">
        <f>+E103</f>
        <v>57445</v>
      </c>
      <c r="F192" s="268">
        <f>+E192*D192</f>
        <v>-402115</v>
      </c>
      <c r="H192" s="257"/>
      <c r="I192" s="136">
        <f>+'SVD 4140_Pto. 01_Cert. 04'!K192</f>
        <v>0</v>
      </c>
      <c r="J192" s="141"/>
      <c r="K192" s="79">
        <f t="shared" si="99"/>
        <v>0</v>
      </c>
      <c r="L192" s="201">
        <f t="shared" si="100"/>
        <v>0</v>
      </c>
      <c r="M192" s="201">
        <f t="shared" si="101"/>
        <v>0</v>
      </c>
      <c r="N192" s="201">
        <f t="shared" si="102"/>
        <v>0</v>
      </c>
    </row>
    <row r="193" spans="1:17" ht="13.8" x14ac:dyDescent="0.3">
      <c r="A193" s="259"/>
      <c r="B193" s="260" t="s">
        <v>215</v>
      </c>
      <c r="C193" s="193" t="s">
        <v>47</v>
      </c>
      <c r="D193" s="261">
        <v>-7</v>
      </c>
      <c r="E193" s="258">
        <v>28344.047943536876</v>
      </c>
      <c r="F193" s="48">
        <f>+E193*D193</f>
        <v>-198408.33560475812</v>
      </c>
      <c r="H193" s="257"/>
      <c r="I193" s="137">
        <f>+'SVD 4140_Pto. 01_Cert. 04'!K193</f>
        <v>0</v>
      </c>
      <c r="J193" s="262"/>
      <c r="K193" s="138">
        <f t="shared" si="99"/>
        <v>0</v>
      </c>
      <c r="L193" s="202">
        <f t="shared" si="100"/>
        <v>0</v>
      </c>
      <c r="M193" s="202">
        <f t="shared" si="101"/>
        <v>0</v>
      </c>
      <c r="N193" s="202">
        <f t="shared" si="102"/>
        <v>0</v>
      </c>
    </row>
    <row r="194" spans="1:17" ht="12.75" customHeight="1" x14ac:dyDescent="0.3">
      <c r="I194" s="252"/>
      <c r="J194" s="252"/>
      <c r="K194" s="252"/>
      <c r="L194" s="252"/>
      <c r="M194" s="284">
        <f>+SUM(M189:M193)</f>
        <v>0</v>
      </c>
      <c r="N194" s="284">
        <f>+SUM(N189:N193)</f>
        <v>-3760696.8000000003</v>
      </c>
    </row>
    <row r="195" spans="1:17" ht="12.75" customHeight="1" x14ac:dyDescent="0.3">
      <c r="M195" s="57"/>
      <c r="N195" s="57"/>
    </row>
    <row r="196" spans="1:17" ht="12.75" customHeight="1" x14ac:dyDescent="0.3">
      <c r="A196" s="81"/>
      <c r="B196" s="68" t="s">
        <v>199</v>
      </c>
      <c r="C196" s="82"/>
      <c r="D196" s="83"/>
      <c r="E196" s="84"/>
      <c r="F196" s="85"/>
      <c r="G196" s="86"/>
      <c r="H196" s="86"/>
      <c r="I196" s="87"/>
      <c r="J196" s="88"/>
      <c r="K196" s="89" t="s">
        <v>200</v>
      </c>
      <c r="L196" s="90">
        <f>+J5</f>
        <v>6</v>
      </c>
      <c r="M196" s="91"/>
      <c r="N196" s="92">
        <f>+N5</f>
        <v>46108</v>
      </c>
    </row>
    <row r="197" spans="1:17" ht="12.75" customHeight="1" x14ac:dyDescent="0.3">
      <c r="A197" s="93"/>
      <c r="B197" s="68" t="s">
        <v>6</v>
      </c>
      <c r="C197" s="91"/>
      <c r="D197" s="94"/>
      <c r="E197" s="95"/>
      <c r="F197" s="86"/>
      <c r="G197" s="86"/>
      <c r="H197" s="86"/>
      <c r="I197" s="96"/>
      <c r="J197" s="97"/>
      <c r="K197" s="96"/>
      <c r="L197" s="68"/>
      <c r="M197" s="91" t="s">
        <v>201</v>
      </c>
      <c r="N197" s="98" t="s">
        <v>202</v>
      </c>
    </row>
    <row r="198" spans="1:17" ht="12.75" customHeight="1" x14ac:dyDescent="0.3">
      <c r="A198" s="146" t="s">
        <v>203</v>
      </c>
      <c r="B198" s="99" t="s">
        <v>204</v>
      </c>
      <c r="C198" s="100"/>
      <c r="D198" s="101"/>
      <c r="E198" s="102"/>
      <c r="F198" s="103"/>
      <c r="G198" s="104"/>
      <c r="H198" s="104"/>
      <c r="I198" s="105"/>
      <c r="J198" s="106"/>
      <c r="K198" s="105"/>
      <c r="L198" s="107"/>
      <c r="M198" s="107"/>
      <c r="N198" s="108">
        <f>+G185</f>
        <v>735657133.01950002</v>
      </c>
      <c r="P198" s="171"/>
      <c r="Q198" s="172"/>
    </row>
    <row r="199" spans="1:17" ht="12.75" customHeight="1" x14ac:dyDescent="0.3">
      <c r="A199" s="109" t="s">
        <v>205</v>
      </c>
      <c r="B199" s="110" t="s">
        <v>206</v>
      </c>
      <c r="C199" s="111"/>
      <c r="D199" s="112"/>
      <c r="E199" s="113"/>
      <c r="F199" s="114"/>
      <c r="G199" s="115"/>
      <c r="H199" s="115"/>
      <c r="I199" s="114"/>
      <c r="J199" s="116"/>
      <c r="K199" s="117"/>
      <c r="L199" s="118"/>
      <c r="M199" s="240">
        <v>0.4</v>
      </c>
      <c r="N199" s="119">
        <f>+M199*N198</f>
        <v>294262853.20780003</v>
      </c>
      <c r="P199" s="173"/>
      <c r="Q199" s="172"/>
    </row>
    <row r="200" spans="1:17" ht="12.75" customHeight="1" x14ac:dyDescent="0.3">
      <c r="A200" s="147" t="s">
        <v>207</v>
      </c>
      <c r="B200" s="120" t="s">
        <v>208</v>
      </c>
      <c r="C200" s="121"/>
      <c r="D200" s="122"/>
      <c r="E200" s="123"/>
      <c r="F200" s="124"/>
      <c r="G200" s="125"/>
      <c r="H200" s="125"/>
      <c r="I200" s="126"/>
      <c r="J200" s="127"/>
      <c r="K200" s="126"/>
      <c r="L200" s="128"/>
      <c r="M200" s="128"/>
      <c r="N200" s="129">
        <f>+M185</f>
        <v>45365385.429554999</v>
      </c>
      <c r="P200" s="171"/>
      <c r="Q200" s="174"/>
    </row>
    <row r="201" spans="1:17" ht="12.75" customHeight="1" x14ac:dyDescent="0.3">
      <c r="A201" s="148" t="s">
        <v>209</v>
      </c>
      <c r="B201" s="149" t="s">
        <v>210</v>
      </c>
      <c r="C201" s="150"/>
      <c r="D201" s="151"/>
      <c r="E201" s="152"/>
      <c r="F201" s="153"/>
      <c r="G201" s="154"/>
      <c r="H201" s="154"/>
      <c r="I201" s="155"/>
      <c r="J201" s="156"/>
      <c r="K201" s="155"/>
      <c r="L201" s="157"/>
      <c r="M201" s="158">
        <f>-M199</f>
        <v>-0.4</v>
      </c>
      <c r="N201" s="159">
        <f>+M201*N200</f>
        <v>-18146154.171822</v>
      </c>
      <c r="P201" s="173"/>
      <c r="Q201" s="175"/>
    </row>
    <row r="202" spans="1:17" ht="12.75" customHeight="1" x14ac:dyDescent="0.3">
      <c r="A202" s="147" t="s">
        <v>211</v>
      </c>
      <c r="B202" s="120" t="s">
        <v>218</v>
      </c>
      <c r="C202" s="121"/>
      <c r="D202" s="122"/>
      <c r="E202" s="123"/>
      <c r="F202" s="124"/>
      <c r="G202" s="125"/>
      <c r="H202" s="125"/>
      <c r="I202" s="126"/>
      <c r="J202" s="127"/>
      <c r="K202" s="126"/>
      <c r="L202" s="128"/>
      <c r="M202" s="128"/>
      <c r="N202" s="129">
        <f>+M194</f>
        <v>0</v>
      </c>
      <c r="P202" s="173"/>
      <c r="Q202" s="175"/>
    </row>
    <row r="203" spans="1:17" ht="12.75" customHeight="1" x14ac:dyDescent="0.3">
      <c r="A203" s="286" t="s">
        <v>217</v>
      </c>
      <c r="B203" s="287" t="s">
        <v>212</v>
      </c>
      <c r="C203" s="288"/>
      <c r="D203" s="289"/>
      <c r="E203" s="290"/>
      <c r="F203" s="291"/>
      <c r="G203" s="291"/>
      <c r="H203" s="291"/>
      <c r="I203" s="291"/>
      <c r="J203" s="292"/>
      <c r="K203" s="293"/>
      <c r="L203" s="294"/>
      <c r="M203" s="294"/>
      <c r="N203" s="295">
        <f>+N200+N201+N202</f>
        <v>27219231.257732999</v>
      </c>
      <c r="P203" s="171"/>
      <c r="Q203" s="176"/>
    </row>
    <row r="204" spans="1:17" ht="12.75" customHeight="1" x14ac:dyDescent="0.3">
      <c r="A204" s="177"/>
      <c r="B204" s="2" t="s">
        <v>213</v>
      </c>
      <c r="C204" s="150"/>
      <c r="D204" s="151"/>
      <c r="E204" s="152"/>
      <c r="F204" s="153"/>
      <c r="G204" s="154"/>
      <c r="H204" s="154"/>
      <c r="I204" s="155"/>
      <c r="J204" s="156"/>
      <c r="K204" s="155"/>
      <c r="L204" s="157"/>
    </row>
    <row r="206" spans="1:17" ht="12.75" customHeight="1" x14ac:dyDescent="0.3">
      <c r="N206" s="144"/>
    </row>
  </sheetData>
  <mergeCells count="2">
    <mergeCell ref="I7:K7"/>
    <mergeCell ref="L7:N7"/>
  </mergeCells>
  <conditionalFormatting sqref="C3:C12 C56:C193">
    <cfRule type="cellIs" dxfId="77" priority="27" operator="equal">
      <formula>"x"</formula>
    </cfRule>
  </conditionalFormatting>
  <conditionalFormatting sqref="C18">
    <cfRule type="cellIs" dxfId="76" priority="25" operator="equal">
      <formula>"x"</formula>
    </cfRule>
  </conditionalFormatting>
  <conditionalFormatting sqref="C20:C29">
    <cfRule type="cellIs" dxfId="75" priority="24" operator="equal">
      <formula>"x"</formula>
    </cfRule>
  </conditionalFormatting>
  <conditionalFormatting sqref="C37">
    <cfRule type="cellIs" dxfId="74" priority="23" operator="equal">
      <formula>"x"</formula>
    </cfRule>
  </conditionalFormatting>
  <conditionalFormatting sqref="C42:C53">
    <cfRule type="cellIs" dxfId="73" priority="22" operator="equal">
      <formula>"x"</formula>
    </cfRule>
  </conditionalFormatting>
  <conditionalFormatting sqref="K10:K17 K19:K25 K27 K29:K36 K38:K45 K47:K50 K52:K55 K189:K193">
    <cfRule type="cellIs" dxfId="72" priority="26" operator="lessThan">
      <formula>1</formula>
    </cfRule>
  </conditionalFormatting>
  <conditionalFormatting sqref="K57:K63">
    <cfRule type="cellIs" dxfId="71" priority="20" operator="lessThan">
      <formula>1</formula>
    </cfRule>
  </conditionalFormatting>
  <conditionalFormatting sqref="K65:K69">
    <cfRule type="cellIs" dxfId="70" priority="19" operator="lessThan">
      <formula>1</formula>
    </cfRule>
  </conditionalFormatting>
  <conditionalFormatting sqref="K71:K74">
    <cfRule type="cellIs" dxfId="69" priority="18" operator="lessThan">
      <formula>1</formula>
    </cfRule>
  </conditionalFormatting>
  <conditionalFormatting sqref="K76:K82">
    <cfRule type="cellIs" dxfId="68" priority="17" operator="lessThan">
      <formula>1</formula>
    </cfRule>
  </conditionalFormatting>
  <conditionalFormatting sqref="K84:K92">
    <cfRule type="cellIs" dxfId="67" priority="16" operator="lessThan">
      <formula>1</formula>
    </cfRule>
  </conditionalFormatting>
  <conditionalFormatting sqref="K94">
    <cfRule type="cellIs" dxfId="66" priority="15" operator="lessThan">
      <formula>1</formula>
    </cfRule>
  </conditionalFormatting>
  <conditionalFormatting sqref="K96:K99">
    <cfRule type="cellIs" dxfId="65" priority="14" operator="lessThan">
      <formula>1</formula>
    </cfRule>
  </conditionalFormatting>
  <conditionalFormatting sqref="K101:K130">
    <cfRule type="cellIs" dxfId="64" priority="21" operator="lessThan">
      <formula>1</formula>
    </cfRule>
  </conditionalFormatting>
  <conditionalFormatting sqref="K133:K136">
    <cfRule type="cellIs" dxfId="63" priority="13" operator="lessThan">
      <formula>1</formula>
    </cfRule>
  </conditionalFormatting>
  <conditionalFormatting sqref="K138:K140 K142:K146">
    <cfRule type="cellIs" dxfId="62" priority="12" operator="lessThan">
      <formula>1</formula>
    </cfRule>
  </conditionalFormatting>
  <conditionalFormatting sqref="K148">
    <cfRule type="cellIs" dxfId="61" priority="11" operator="lessThan">
      <formula>1</formula>
    </cfRule>
  </conditionalFormatting>
  <conditionalFormatting sqref="K150:K153">
    <cfRule type="cellIs" dxfId="60" priority="10" operator="lessThan">
      <formula>1</formula>
    </cfRule>
  </conditionalFormatting>
  <conditionalFormatting sqref="K155">
    <cfRule type="cellIs" dxfId="59" priority="9" operator="lessThan">
      <formula>1</formula>
    </cfRule>
  </conditionalFormatting>
  <conditionalFormatting sqref="K157:K158">
    <cfRule type="cellIs" dxfId="58" priority="8" operator="lessThan">
      <formula>1</formula>
    </cfRule>
  </conditionalFormatting>
  <conditionalFormatting sqref="K160:K161">
    <cfRule type="cellIs" dxfId="57" priority="7" operator="lessThan">
      <formula>1</formula>
    </cfRule>
  </conditionalFormatting>
  <conditionalFormatting sqref="K163">
    <cfRule type="cellIs" dxfId="56" priority="6" operator="lessThan">
      <formula>1</formula>
    </cfRule>
  </conditionalFormatting>
  <conditionalFormatting sqref="K165:K166">
    <cfRule type="cellIs" dxfId="55" priority="5" operator="lessThan">
      <formula>1</formula>
    </cfRule>
  </conditionalFormatting>
  <conditionalFormatting sqref="K168:K170">
    <cfRule type="cellIs" dxfId="54" priority="4" operator="lessThan">
      <formula>1</formula>
    </cfRule>
  </conditionalFormatting>
  <conditionalFormatting sqref="K172:K181">
    <cfRule type="cellIs" dxfId="53" priority="3" operator="lessThan">
      <formula>1</formula>
    </cfRule>
  </conditionalFormatting>
  <conditionalFormatting sqref="K183:K184">
    <cfRule type="cellIs" dxfId="52" priority="2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/>
  <headerFooter>
    <oddFooter>&amp;C&amp;P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0CAB-E1C5-4F06-905C-7FDBD8DFB248}">
  <dimension ref="A1:S206"/>
  <sheetViews>
    <sheetView workbookViewId="0">
      <pane xSplit="4" ySplit="8" topLeftCell="E154" activePane="bottomRight" state="frozen"/>
      <selection pane="topRight" activeCell="E1" sqref="E1"/>
      <selection pane="bottomLeft" activeCell="A9" sqref="A9"/>
      <selection pane="bottomRight" activeCell="J172" sqref="J172:J181"/>
    </sheetView>
  </sheetViews>
  <sheetFormatPr baseColWidth="10" defaultColWidth="11.5546875" defaultRowHeight="12.75" customHeight="1" outlineLevelRow="1" x14ac:dyDescent="0.3"/>
  <cols>
    <col min="1" max="1" width="6.5546875" style="1" bestFit="1" customWidth="1"/>
    <col min="2" max="2" width="88.109375" style="2" bestFit="1" customWidth="1"/>
    <col min="3" max="3" width="5.33203125" style="3" bestFit="1" customWidth="1"/>
    <col min="4" max="4" width="8.109375" style="4" bestFit="1" customWidth="1"/>
    <col min="5" max="5" width="11" style="5" bestFit="1" customWidth="1"/>
    <col min="6" max="6" width="11.6640625" style="5" bestFit="1" customWidth="1"/>
    <col min="7" max="7" width="12" style="26" bestFit="1" customWidth="1"/>
    <col min="8" max="8" width="7.33203125" style="7" bestFit="1" customWidth="1"/>
    <col min="9" max="9" width="11" style="7" bestFit="1" customWidth="1"/>
    <col min="10" max="14" width="13.33203125" style="7" customWidth="1"/>
    <col min="15" max="16" width="11.5546875" style="7"/>
    <col min="17" max="17" width="14.44140625" style="7" bestFit="1" customWidth="1"/>
    <col min="18" max="18" width="12.44140625" style="7" bestFit="1" customWidth="1"/>
    <col min="19" max="16384" width="11.5546875" style="7"/>
  </cols>
  <sheetData>
    <row r="1" spans="1:19" ht="12.75" customHeight="1" x14ac:dyDescent="0.3">
      <c r="F1" s="6" t="s">
        <v>0</v>
      </c>
      <c r="G1" s="6" t="s">
        <v>1</v>
      </c>
    </row>
    <row r="2" spans="1:19" ht="13.8" x14ac:dyDescent="0.3">
      <c r="E2" s="69"/>
      <c r="F2" s="9">
        <v>1005</v>
      </c>
      <c r="G2" s="9">
        <v>1170</v>
      </c>
    </row>
    <row r="3" spans="1:19" s="15" customFormat="1" ht="13.8" x14ac:dyDescent="0.25">
      <c r="A3" s="10"/>
      <c r="B3" s="11"/>
      <c r="C3" s="12"/>
      <c r="D3" s="13"/>
      <c r="E3" s="13"/>
      <c r="F3" s="13"/>
      <c r="G3" s="14"/>
    </row>
    <row r="4" spans="1:19" s="15" customFormat="1" ht="13.8" x14ac:dyDescent="0.25">
      <c r="A4" s="10"/>
      <c r="B4" s="11"/>
      <c r="C4" s="12"/>
      <c r="D4" s="13"/>
      <c r="E4" s="13"/>
      <c r="F4" s="16">
        <v>45628</v>
      </c>
      <c r="G4" s="14"/>
    </row>
    <row r="5" spans="1:19" s="15" customFormat="1" ht="13.8" x14ac:dyDescent="0.3">
      <c r="A5" s="10"/>
      <c r="B5" s="8" t="s">
        <v>2</v>
      </c>
      <c r="C5" s="12"/>
      <c r="D5" s="13"/>
      <c r="E5" s="17"/>
      <c r="F5" s="17"/>
      <c r="G5" s="14"/>
      <c r="I5" s="70" t="s">
        <v>3</v>
      </c>
      <c r="J5" s="242">
        <v>7</v>
      </c>
      <c r="K5" s="71"/>
      <c r="L5" s="72"/>
      <c r="M5" s="73"/>
      <c r="N5" s="241">
        <v>46141</v>
      </c>
    </row>
    <row r="6" spans="1:19" s="15" customFormat="1" ht="13.8" x14ac:dyDescent="0.25">
      <c r="A6" s="10"/>
      <c r="B6" s="8" t="s">
        <v>4</v>
      </c>
      <c r="C6" s="18"/>
      <c r="D6" s="19"/>
      <c r="E6" s="20"/>
      <c r="F6" s="20"/>
      <c r="G6" s="14"/>
      <c r="I6" s="74"/>
      <c r="J6" s="75"/>
      <c r="K6" s="74"/>
      <c r="L6" s="76"/>
      <c r="M6" s="76"/>
      <c r="N6" s="76"/>
    </row>
    <row r="7" spans="1:19" ht="13.8" x14ac:dyDescent="0.3">
      <c r="A7" s="21" t="s">
        <v>5</v>
      </c>
      <c r="B7" s="22" t="s">
        <v>6</v>
      </c>
      <c r="C7" s="23" t="s">
        <v>7</v>
      </c>
      <c r="D7" s="24" t="s">
        <v>8</v>
      </c>
      <c r="E7" s="25" t="s">
        <v>9</v>
      </c>
      <c r="F7" s="25" t="s">
        <v>10</v>
      </c>
      <c r="I7" s="297" t="s">
        <v>11</v>
      </c>
      <c r="J7" s="297"/>
      <c r="K7" s="297"/>
      <c r="L7" s="298" t="s">
        <v>12</v>
      </c>
      <c r="M7" s="298"/>
      <c r="N7" s="298"/>
    </row>
    <row r="8" spans="1:19" ht="13.8" x14ac:dyDescent="0.3">
      <c r="A8" s="182"/>
      <c r="B8" s="183" t="s">
        <v>13</v>
      </c>
      <c r="C8" s="29"/>
      <c r="D8" s="30"/>
      <c r="E8" s="30"/>
      <c r="F8" s="30"/>
      <c r="G8" s="184"/>
      <c r="H8" s="32"/>
      <c r="I8" s="77" t="s">
        <v>14</v>
      </c>
      <c r="J8" s="77" t="s">
        <v>15</v>
      </c>
      <c r="K8" s="77" t="s">
        <v>16</v>
      </c>
      <c r="L8" s="78" t="s">
        <v>14</v>
      </c>
      <c r="M8" s="78" t="s">
        <v>15</v>
      </c>
      <c r="N8" s="78" t="s">
        <v>16</v>
      </c>
    </row>
    <row r="9" spans="1:19" ht="13.8" x14ac:dyDescent="0.3">
      <c r="A9" s="27">
        <v>4</v>
      </c>
      <c r="B9" s="28" t="s">
        <v>17</v>
      </c>
      <c r="C9" s="189"/>
      <c r="D9" s="65"/>
      <c r="E9" s="65"/>
      <c r="F9" s="65"/>
      <c r="G9" s="31">
        <f>+SUM(F10:F17)</f>
        <v>54302889.68</v>
      </c>
      <c r="H9" s="32">
        <f>+G9/$G$185</f>
        <v>7.3815487191858167E-2</v>
      </c>
      <c r="I9" s="139"/>
      <c r="J9" s="140"/>
      <c r="K9" s="130"/>
      <c r="L9" s="130"/>
      <c r="M9" s="130"/>
      <c r="N9" s="66"/>
    </row>
    <row r="10" spans="1:19" ht="13.8" outlineLevel="1" x14ac:dyDescent="0.3">
      <c r="A10" s="33">
        <v>4.01</v>
      </c>
      <c r="B10" s="34" t="s">
        <v>18</v>
      </c>
      <c r="C10" s="35" t="s">
        <v>19</v>
      </c>
      <c r="D10" s="36">
        <v>819</v>
      </c>
      <c r="E10" s="37">
        <v>18993</v>
      </c>
      <c r="F10" s="37">
        <f>+D10*E10</f>
        <v>15555267</v>
      </c>
      <c r="G10" s="5"/>
      <c r="H10" s="32"/>
      <c r="I10" s="244">
        <f>+'SVD 4140_Pto. 01_Cert. 06'!K10</f>
        <v>0.85000000000000009</v>
      </c>
      <c r="J10" s="249"/>
      <c r="K10" s="135">
        <f t="shared" ref="K10:K55" si="0">+I10+J10</f>
        <v>0.85000000000000009</v>
      </c>
      <c r="L10" s="80">
        <f t="shared" ref="L10:L55" si="1">+F10*I10</f>
        <v>13221976.950000001</v>
      </c>
      <c r="M10" s="80">
        <f t="shared" ref="M10:M55" si="2">+F10*J10</f>
        <v>0</v>
      </c>
      <c r="N10" s="80">
        <f t="shared" ref="N10:N55" si="3">+F10*K10</f>
        <v>13221976.950000001</v>
      </c>
      <c r="P10" s="285"/>
      <c r="Q10" s="285"/>
    </row>
    <row r="11" spans="1:19" ht="16.5" customHeight="1" outlineLevel="1" x14ac:dyDescent="0.3">
      <c r="A11" s="38">
        <v>4.0199999999999996</v>
      </c>
      <c r="B11" s="39" t="s">
        <v>20</v>
      </c>
      <c r="C11" s="40" t="s">
        <v>19</v>
      </c>
      <c r="D11" s="41">
        <v>612</v>
      </c>
      <c r="E11" s="42">
        <v>25172</v>
      </c>
      <c r="F11" s="42">
        <f t="shared" ref="F11:F74" si="4">+D11*E11</f>
        <v>15405264</v>
      </c>
      <c r="G11" s="5"/>
      <c r="H11" s="32"/>
      <c r="I11" s="245">
        <f>+'SVD 4140_Pto. 01_Cert. 06'!K11</f>
        <v>0.85</v>
      </c>
      <c r="J11" s="141"/>
      <c r="K11" s="79">
        <f t="shared" si="0"/>
        <v>0.85</v>
      </c>
      <c r="L11" s="80">
        <f>+F11*I11</f>
        <v>13094474.4</v>
      </c>
      <c r="M11" s="80">
        <f t="shared" si="2"/>
        <v>0</v>
      </c>
      <c r="N11" s="80">
        <f t="shared" si="3"/>
        <v>13094474.4</v>
      </c>
      <c r="P11" s="285"/>
      <c r="Q11" s="285"/>
      <c r="S11" s="243"/>
    </row>
    <row r="12" spans="1:19" ht="13.8" outlineLevel="1" x14ac:dyDescent="0.3">
      <c r="A12" s="38">
        <v>4.03</v>
      </c>
      <c r="B12" s="39" t="s">
        <v>21</v>
      </c>
      <c r="C12" s="43" t="s">
        <v>19</v>
      </c>
      <c r="D12" s="44">
        <v>636</v>
      </c>
      <c r="E12" s="42">
        <v>21109</v>
      </c>
      <c r="F12" s="42">
        <f t="shared" si="4"/>
        <v>13425324</v>
      </c>
      <c r="G12" s="5"/>
      <c r="H12" s="32"/>
      <c r="I12" s="245">
        <f>+'SVD 4140_Pto. 01_Cert. 06'!K12</f>
        <v>0.85000000000000009</v>
      </c>
      <c r="J12" s="141"/>
      <c r="K12" s="79">
        <f t="shared" si="0"/>
        <v>0.85000000000000009</v>
      </c>
      <c r="L12" s="80">
        <f t="shared" si="1"/>
        <v>11411525.4</v>
      </c>
      <c r="M12" s="80">
        <f t="shared" si="2"/>
        <v>0</v>
      </c>
      <c r="N12" s="80">
        <f t="shared" si="3"/>
        <v>11411525.4</v>
      </c>
      <c r="P12" s="285"/>
      <c r="Q12" s="285"/>
    </row>
    <row r="13" spans="1:19" ht="13.8" outlineLevel="1" x14ac:dyDescent="0.3">
      <c r="A13" s="38">
        <v>4.04</v>
      </c>
      <c r="B13" s="39" t="s">
        <v>22</v>
      </c>
      <c r="C13" s="40" t="s">
        <v>19</v>
      </c>
      <c r="D13" s="41">
        <v>195</v>
      </c>
      <c r="E13" s="42">
        <v>15092</v>
      </c>
      <c r="F13" s="42">
        <f t="shared" si="4"/>
        <v>2942940</v>
      </c>
      <c r="G13" s="5"/>
      <c r="H13" s="32"/>
      <c r="I13" s="245">
        <f>+'SVD 4140_Pto. 01_Cert. 06'!K13</f>
        <v>0.15</v>
      </c>
      <c r="J13" s="141"/>
      <c r="K13" s="79">
        <f t="shared" si="0"/>
        <v>0.15</v>
      </c>
      <c r="L13" s="80">
        <f t="shared" si="1"/>
        <v>441441</v>
      </c>
      <c r="M13" s="80">
        <f t="shared" si="2"/>
        <v>0</v>
      </c>
      <c r="N13" s="80">
        <f t="shared" si="3"/>
        <v>441441</v>
      </c>
    </row>
    <row r="14" spans="1:19" ht="13.8" outlineLevel="1" x14ac:dyDescent="0.3">
      <c r="A14" s="38">
        <v>4.05</v>
      </c>
      <c r="B14" s="39" t="s">
        <v>23</v>
      </c>
      <c r="C14" s="40" t="s">
        <v>19</v>
      </c>
      <c r="D14" s="41">
        <v>30.053999999999998</v>
      </c>
      <c r="E14" s="42">
        <v>67420</v>
      </c>
      <c r="F14" s="42">
        <f t="shared" si="4"/>
        <v>2026240.68</v>
      </c>
      <c r="G14" s="5"/>
      <c r="H14" s="32"/>
      <c r="I14" s="245">
        <f>+'SVD 4140_Pto. 01_Cert. 06'!K14</f>
        <v>0</v>
      </c>
      <c r="J14" s="136"/>
      <c r="K14" s="79">
        <f t="shared" si="0"/>
        <v>0</v>
      </c>
      <c r="L14" s="80">
        <f t="shared" si="1"/>
        <v>0</v>
      </c>
      <c r="M14" s="80">
        <f t="shared" si="2"/>
        <v>0</v>
      </c>
      <c r="N14" s="80">
        <f t="shared" si="3"/>
        <v>0</v>
      </c>
    </row>
    <row r="15" spans="1:19" ht="13.8" outlineLevel="1" x14ac:dyDescent="0.3">
      <c r="A15" s="38">
        <v>4.0599999999999996</v>
      </c>
      <c r="B15" s="39" t="s">
        <v>24</v>
      </c>
      <c r="C15" s="40" t="s">
        <v>19</v>
      </c>
      <c r="D15" s="41">
        <v>24</v>
      </c>
      <c r="E15" s="42">
        <v>54908</v>
      </c>
      <c r="F15" s="42">
        <f t="shared" si="4"/>
        <v>1317792</v>
      </c>
      <c r="G15" s="5"/>
      <c r="H15" s="32"/>
      <c r="I15" s="245">
        <f>+'SVD 4140_Pto. 01_Cert. 06'!K15</f>
        <v>1</v>
      </c>
      <c r="J15" s="136"/>
      <c r="K15" s="79">
        <f t="shared" si="0"/>
        <v>1</v>
      </c>
      <c r="L15" s="80">
        <f t="shared" si="1"/>
        <v>1317792</v>
      </c>
      <c r="M15" s="80">
        <f t="shared" si="2"/>
        <v>0</v>
      </c>
      <c r="N15" s="80">
        <f t="shared" si="3"/>
        <v>1317792</v>
      </c>
    </row>
    <row r="16" spans="1:19" ht="13.8" outlineLevel="1" x14ac:dyDescent="0.3">
      <c r="A16" s="38">
        <v>4.07</v>
      </c>
      <c r="B16" s="39" t="s">
        <v>25</v>
      </c>
      <c r="C16" s="40" t="s">
        <v>26</v>
      </c>
      <c r="D16" s="41">
        <v>81</v>
      </c>
      <c r="E16" s="42">
        <v>30989</v>
      </c>
      <c r="F16" s="42">
        <f t="shared" si="4"/>
        <v>2510109</v>
      </c>
      <c r="G16" s="5"/>
      <c r="H16" s="32"/>
      <c r="I16" s="245">
        <f>+'SVD 4140_Pto. 01_Cert. 06'!K16</f>
        <v>0.75</v>
      </c>
      <c r="J16" s="141">
        <v>0.15</v>
      </c>
      <c r="K16" s="79">
        <f t="shared" si="0"/>
        <v>0.9</v>
      </c>
      <c r="L16" s="80">
        <f t="shared" si="1"/>
        <v>1882581.75</v>
      </c>
      <c r="M16" s="80">
        <f t="shared" si="2"/>
        <v>376516.35</v>
      </c>
      <c r="N16" s="80">
        <f t="shared" si="3"/>
        <v>2259098.1</v>
      </c>
    </row>
    <row r="17" spans="1:18" ht="13.8" outlineLevel="1" x14ac:dyDescent="0.3">
      <c r="A17" s="38">
        <v>4.08</v>
      </c>
      <c r="B17" s="39" t="s">
        <v>27</v>
      </c>
      <c r="C17" s="40" t="s">
        <v>28</v>
      </c>
      <c r="D17" s="41">
        <v>1</v>
      </c>
      <c r="E17" s="42">
        <v>1119953</v>
      </c>
      <c r="F17" s="42">
        <f t="shared" si="4"/>
        <v>1119953</v>
      </c>
      <c r="G17" s="5"/>
      <c r="H17" s="32"/>
      <c r="I17" s="245">
        <f>+'SVD 4140_Pto. 01_Cert. 06'!K17</f>
        <v>0.5</v>
      </c>
      <c r="J17" s="136"/>
      <c r="K17" s="79">
        <f t="shared" si="0"/>
        <v>0.5</v>
      </c>
      <c r="L17" s="80">
        <f t="shared" si="1"/>
        <v>559976.5</v>
      </c>
      <c r="M17" s="80">
        <f t="shared" si="2"/>
        <v>0</v>
      </c>
      <c r="N17" s="80">
        <f t="shared" si="3"/>
        <v>559976.5</v>
      </c>
    </row>
    <row r="18" spans="1:18" ht="13.8" x14ac:dyDescent="0.3">
      <c r="A18" s="27">
        <v>5</v>
      </c>
      <c r="B18" s="28" t="s">
        <v>29</v>
      </c>
      <c r="C18" s="189"/>
      <c r="D18" s="65"/>
      <c r="E18" s="65"/>
      <c r="F18" s="65"/>
      <c r="G18" s="31">
        <f>+SUM(F19:F25)</f>
        <v>35966419</v>
      </c>
      <c r="H18" s="32">
        <f>+G18/$G$185</f>
        <v>4.8890192707540352E-2</v>
      </c>
      <c r="I18" s="246"/>
      <c r="J18" s="140"/>
      <c r="K18" s="130"/>
      <c r="L18" s="130"/>
      <c r="M18" s="130"/>
      <c r="N18" s="66"/>
    </row>
    <row r="19" spans="1:18" ht="13.8" outlineLevel="1" x14ac:dyDescent="0.3">
      <c r="A19" s="33">
        <v>5.01</v>
      </c>
      <c r="B19" s="34" t="s">
        <v>30</v>
      </c>
      <c r="C19" s="35" t="s">
        <v>19</v>
      </c>
      <c r="D19" s="36">
        <v>139.05000000000001</v>
      </c>
      <c r="E19" s="37">
        <v>21800</v>
      </c>
      <c r="F19" s="37">
        <f t="shared" si="4"/>
        <v>3031290.0000000005</v>
      </c>
      <c r="G19" s="195"/>
      <c r="H19" s="32"/>
      <c r="I19" s="245">
        <f>+'SVD 4140_Pto. 01_Cert. 06'!K19</f>
        <v>0</v>
      </c>
      <c r="J19" s="134"/>
      <c r="K19" s="135">
        <f t="shared" ref="K19:K20" si="5">+I19+J19</f>
        <v>0</v>
      </c>
      <c r="L19" s="200">
        <f t="shared" ref="L19:L20" si="6">+F19*I19</f>
        <v>0</v>
      </c>
      <c r="M19" s="200">
        <f t="shared" ref="M19:M20" si="7">+F19*J19</f>
        <v>0</v>
      </c>
      <c r="N19" s="200">
        <f t="shared" ref="N19:N20" si="8">+F19*K19</f>
        <v>0</v>
      </c>
    </row>
    <row r="20" spans="1:18" ht="13.8" outlineLevel="1" x14ac:dyDescent="0.3">
      <c r="A20" s="190">
        <v>5.0199999999999996</v>
      </c>
      <c r="B20" s="191" t="s">
        <v>31</v>
      </c>
      <c r="C20" s="43" t="s">
        <v>19</v>
      </c>
      <c r="D20" s="44">
        <v>300</v>
      </c>
      <c r="E20" s="44">
        <v>5376</v>
      </c>
      <c r="F20" s="44">
        <f t="shared" si="4"/>
        <v>1612800</v>
      </c>
      <c r="G20" s="186"/>
      <c r="H20" s="32"/>
      <c r="I20" s="245">
        <f>+'SVD 4140_Pto. 01_Cert. 06'!K20</f>
        <v>0.5</v>
      </c>
      <c r="J20" s="250">
        <v>0.25</v>
      </c>
      <c r="K20" s="79">
        <f t="shared" si="5"/>
        <v>0.75</v>
      </c>
      <c r="L20" s="201">
        <f t="shared" si="6"/>
        <v>806400</v>
      </c>
      <c r="M20" s="201">
        <f t="shared" si="7"/>
        <v>403200</v>
      </c>
      <c r="N20" s="201">
        <f t="shared" si="8"/>
        <v>1209600</v>
      </c>
    </row>
    <row r="21" spans="1:18" ht="13.8" outlineLevel="1" x14ac:dyDescent="0.3">
      <c r="A21" s="38">
        <v>5.03</v>
      </c>
      <c r="B21" s="52" t="s">
        <v>32</v>
      </c>
      <c r="C21" s="49" t="s">
        <v>19</v>
      </c>
      <c r="D21" s="50">
        <v>48</v>
      </c>
      <c r="E21" s="42">
        <v>5376</v>
      </c>
      <c r="F21" s="42">
        <f t="shared" si="4"/>
        <v>258048</v>
      </c>
      <c r="G21" s="196"/>
      <c r="H21" s="32"/>
      <c r="I21" s="245">
        <f>+'SVD 4140_Pto. 01_Cert. 06'!K21</f>
        <v>0</v>
      </c>
      <c r="J21" s="136"/>
      <c r="K21" s="79">
        <f t="shared" si="0"/>
        <v>0</v>
      </c>
      <c r="L21" s="201">
        <f t="shared" si="1"/>
        <v>0</v>
      </c>
      <c r="M21" s="201">
        <f t="shared" si="2"/>
        <v>0</v>
      </c>
      <c r="N21" s="201">
        <f t="shared" si="3"/>
        <v>0</v>
      </c>
      <c r="R21" s="144"/>
    </row>
    <row r="22" spans="1:18" ht="13.8" outlineLevel="1" x14ac:dyDescent="0.3">
      <c r="A22" s="38">
        <v>5.04</v>
      </c>
      <c r="B22" s="39" t="s">
        <v>33</v>
      </c>
      <c r="C22" s="40" t="s">
        <v>19</v>
      </c>
      <c r="D22" s="50">
        <v>262</v>
      </c>
      <c r="E22" s="42">
        <v>4403</v>
      </c>
      <c r="F22" s="42">
        <f t="shared" si="4"/>
        <v>1153586</v>
      </c>
      <c r="G22" s="196"/>
      <c r="H22" s="32"/>
      <c r="I22" s="245">
        <f>+'SVD 4140_Pto. 01_Cert. 06'!K22</f>
        <v>0</v>
      </c>
      <c r="J22" s="136"/>
      <c r="K22" s="79">
        <f t="shared" si="0"/>
        <v>0</v>
      </c>
      <c r="L22" s="201">
        <f t="shared" si="1"/>
        <v>0</v>
      </c>
      <c r="M22" s="201">
        <f t="shared" si="2"/>
        <v>0</v>
      </c>
      <c r="N22" s="201">
        <f t="shared" si="3"/>
        <v>0</v>
      </c>
    </row>
    <row r="23" spans="1:18" ht="13.8" outlineLevel="1" x14ac:dyDescent="0.3">
      <c r="A23" s="38">
        <v>5.05</v>
      </c>
      <c r="B23" s="52" t="s">
        <v>34</v>
      </c>
      <c r="C23" s="49" t="s">
        <v>19</v>
      </c>
      <c r="D23" s="50">
        <v>510</v>
      </c>
      <c r="E23" s="42">
        <v>3578</v>
      </c>
      <c r="F23" s="42">
        <f t="shared" si="4"/>
        <v>1824780</v>
      </c>
      <c r="G23" s="196"/>
      <c r="H23" s="32"/>
      <c r="I23" s="245">
        <f>+'SVD 4140_Pto. 01_Cert. 06'!K23</f>
        <v>0</v>
      </c>
      <c r="J23" s="136"/>
      <c r="K23" s="79">
        <f t="shared" si="0"/>
        <v>0</v>
      </c>
      <c r="L23" s="201">
        <f t="shared" si="1"/>
        <v>0</v>
      </c>
      <c r="M23" s="201">
        <f t="shared" si="2"/>
        <v>0</v>
      </c>
      <c r="N23" s="201">
        <f t="shared" si="3"/>
        <v>0</v>
      </c>
    </row>
    <row r="24" spans="1:18" ht="13.8" outlineLevel="1" x14ac:dyDescent="0.3">
      <c r="A24" s="190">
        <v>5.0599999999999996</v>
      </c>
      <c r="B24" s="191" t="s">
        <v>35</v>
      </c>
      <c r="C24" s="43" t="s">
        <v>19</v>
      </c>
      <c r="D24" s="44">
        <v>510</v>
      </c>
      <c r="E24" s="44">
        <v>21800</v>
      </c>
      <c r="F24" s="44">
        <f t="shared" si="4"/>
        <v>11118000</v>
      </c>
      <c r="G24" s="186"/>
      <c r="H24" s="32"/>
      <c r="I24" s="245">
        <f>+'SVD 4140_Pto. 01_Cert. 06'!K24</f>
        <v>0</v>
      </c>
      <c r="J24" s="136"/>
      <c r="K24" s="79">
        <f t="shared" si="0"/>
        <v>0</v>
      </c>
      <c r="L24" s="201">
        <f t="shared" si="1"/>
        <v>0</v>
      </c>
      <c r="M24" s="201">
        <f t="shared" si="2"/>
        <v>0</v>
      </c>
      <c r="N24" s="201">
        <f t="shared" si="3"/>
        <v>0</v>
      </c>
    </row>
    <row r="25" spans="1:18" ht="13.8" outlineLevel="1" x14ac:dyDescent="0.3">
      <c r="A25" s="45">
        <v>5.07</v>
      </c>
      <c r="B25" s="192" t="s">
        <v>36</v>
      </c>
      <c r="C25" s="193" t="s">
        <v>28</v>
      </c>
      <c r="D25" s="194">
        <v>1</v>
      </c>
      <c r="E25" s="60">
        <v>16967915</v>
      </c>
      <c r="F25" s="60">
        <f t="shared" si="4"/>
        <v>16967915</v>
      </c>
      <c r="G25" s="197"/>
      <c r="H25" s="32"/>
      <c r="I25" s="245">
        <f>+'SVD 4140_Pto. 01_Cert. 06'!K25</f>
        <v>1</v>
      </c>
      <c r="J25" s="137"/>
      <c r="K25" s="138">
        <f t="shared" si="0"/>
        <v>1</v>
      </c>
      <c r="L25" s="202">
        <f t="shared" si="1"/>
        <v>16967915</v>
      </c>
      <c r="M25" s="202">
        <f t="shared" si="2"/>
        <v>0</v>
      </c>
      <c r="N25" s="202">
        <f t="shared" si="3"/>
        <v>16967915</v>
      </c>
    </row>
    <row r="26" spans="1:18" ht="13.8" x14ac:dyDescent="0.3">
      <c r="A26" s="27">
        <v>6</v>
      </c>
      <c r="B26" s="28" t="s">
        <v>37</v>
      </c>
      <c r="C26" s="189"/>
      <c r="D26" s="65"/>
      <c r="E26" s="65"/>
      <c r="F26" s="65"/>
      <c r="G26" s="31">
        <f>+SUM(F27)</f>
        <v>2433900</v>
      </c>
      <c r="H26" s="32">
        <f>+G26/$G$185</f>
        <v>3.3084706050630856E-3</v>
      </c>
      <c r="I26" s="246"/>
      <c r="J26" s="140"/>
      <c r="K26" s="130"/>
      <c r="L26" s="130"/>
      <c r="M26" s="130"/>
      <c r="N26" s="66"/>
    </row>
    <row r="27" spans="1:18" ht="13.8" outlineLevel="1" x14ac:dyDescent="0.3">
      <c r="A27" s="38">
        <v>6.02</v>
      </c>
      <c r="B27" s="51" t="s">
        <v>38</v>
      </c>
      <c r="C27" s="43" t="s">
        <v>26</v>
      </c>
      <c r="D27" s="44">
        <v>60</v>
      </c>
      <c r="E27" s="42">
        <v>40565</v>
      </c>
      <c r="F27" s="42">
        <f t="shared" si="4"/>
        <v>2433900</v>
      </c>
      <c r="G27" s="5"/>
      <c r="H27" s="32"/>
      <c r="I27" s="245">
        <f>+'SVD 4140_Pto. 01_Cert. 06'!K27</f>
        <v>0</v>
      </c>
      <c r="J27" s="136"/>
      <c r="K27" s="79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</row>
    <row r="28" spans="1:18" ht="13.8" x14ac:dyDescent="0.3">
      <c r="A28" s="27">
        <v>7</v>
      </c>
      <c r="B28" s="28" t="s">
        <v>39</v>
      </c>
      <c r="C28" s="189"/>
      <c r="D28" s="65"/>
      <c r="E28" s="65"/>
      <c r="F28" s="65"/>
      <c r="G28" s="31">
        <f>+SUM(F29:F36)</f>
        <v>136390555.29860002</v>
      </c>
      <c r="H28" s="32">
        <f>+G28/$G$185</f>
        <v>0.18539962324403197</v>
      </c>
      <c r="I28" s="246"/>
      <c r="J28" s="140"/>
      <c r="K28" s="130"/>
      <c r="L28" s="130"/>
      <c r="M28" s="130"/>
      <c r="N28" s="66"/>
    </row>
    <row r="29" spans="1:18" ht="13.8" outlineLevel="1" x14ac:dyDescent="0.3">
      <c r="A29" s="38">
        <v>7.01</v>
      </c>
      <c r="B29" s="51" t="s">
        <v>40</v>
      </c>
      <c r="C29" s="43" t="s">
        <v>19</v>
      </c>
      <c r="D29" s="44">
        <v>678.25199999999995</v>
      </c>
      <c r="E29" s="42">
        <v>16571</v>
      </c>
      <c r="F29" s="42">
        <f t="shared" si="4"/>
        <v>11239313.891999999</v>
      </c>
      <c r="G29" s="5"/>
      <c r="H29" s="32"/>
      <c r="I29" s="245">
        <f>+'SVD 4140_Pto. 01_Cert. 06'!K29</f>
        <v>0</v>
      </c>
      <c r="J29" s="136">
        <v>0.05</v>
      </c>
      <c r="K29" s="79">
        <f t="shared" si="0"/>
        <v>0.05</v>
      </c>
      <c r="L29" s="80">
        <f t="shared" si="1"/>
        <v>0</v>
      </c>
      <c r="M29" s="80">
        <f t="shared" si="2"/>
        <v>561965.69459999993</v>
      </c>
      <c r="N29" s="80">
        <f t="shared" si="3"/>
        <v>561965.69459999993</v>
      </c>
    </row>
    <row r="30" spans="1:18" ht="13.8" outlineLevel="1" x14ac:dyDescent="0.3">
      <c r="A30" s="38">
        <v>7.02</v>
      </c>
      <c r="B30" s="39" t="s">
        <v>41</v>
      </c>
      <c r="C30" s="49" t="s">
        <v>19</v>
      </c>
      <c r="D30" s="41">
        <v>876.08119999999985</v>
      </c>
      <c r="E30" s="42">
        <v>22183</v>
      </c>
      <c r="F30" s="42">
        <f t="shared" si="4"/>
        <v>19434109.259599999</v>
      </c>
      <c r="G30" s="5"/>
      <c r="H30" s="32"/>
      <c r="I30" s="245">
        <f>+'SVD 4140_Pto. 01_Cert. 06'!K30</f>
        <v>0</v>
      </c>
      <c r="J30" s="136">
        <v>0.5</v>
      </c>
      <c r="K30" s="79">
        <f t="shared" si="0"/>
        <v>0.5</v>
      </c>
      <c r="L30" s="80">
        <f t="shared" si="1"/>
        <v>0</v>
      </c>
      <c r="M30" s="80">
        <f t="shared" si="2"/>
        <v>9717054.6297999993</v>
      </c>
      <c r="N30" s="80">
        <f t="shared" si="3"/>
        <v>9717054.6297999993</v>
      </c>
      <c r="P30" s="285"/>
    </row>
    <row r="31" spans="1:18" ht="13.8" outlineLevel="1" x14ac:dyDescent="0.3">
      <c r="A31" s="38">
        <v>7.03</v>
      </c>
      <c r="B31" s="39" t="s">
        <v>42</v>
      </c>
      <c r="C31" s="49" t="s">
        <v>26</v>
      </c>
      <c r="D31" s="41">
        <v>182</v>
      </c>
      <c r="E31" s="42">
        <v>10806</v>
      </c>
      <c r="F31" s="42">
        <f t="shared" si="4"/>
        <v>1966692</v>
      </c>
      <c r="G31" s="5"/>
      <c r="H31" s="32"/>
      <c r="I31" s="245">
        <f>+'SVD 4140_Pto. 01_Cert. 06'!K31</f>
        <v>0</v>
      </c>
      <c r="J31" s="136">
        <v>0.5</v>
      </c>
      <c r="K31" s="79">
        <f t="shared" si="0"/>
        <v>0.5</v>
      </c>
      <c r="L31" s="80">
        <f t="shared" si="1"/>
        <v>0</v>
      </c>
      <c r="M31" s="80">
        <f t="shared" si="2"/>
        <v>983346</v>
      </c>
      <c r="N31" s="80">
        <f t="shared" si="3"/>
        <v>983346</v>
      </c>
    </row>
    <row r="32" spans="1:18" ht="13.8" outlineLevel="1" x14ac:dyDescent="0.3">
      <c r="A32" s="38">
        <v>7.04</v>
      </c>
      <c r="B32" s="39" t="s">
        <v>43</v>
      </c>
      <c r="C32" s="49" t="s">
        <v>19</v>
      </c>
      <c r="D32" s="41">
        <v>995.85109999999997</v>
      </c>
      <c r="E32" s="42">
        <v>26530</v>
      </c>
      <c r="F32" s="42">
        <f t="shared" si="4"/>
        <v>26419929.682999998</v>
      </c>
      <c r="G32" s="5"/>
      <c r="H32" s="32"/>
      <c r="I32" s="245">
        <f>+'SVD 4140_Pto. 01_Cert. 06'!K32</f>
        <v>0.45</v>
      </c>
      <c r="J32" s="141"/>
      <c r="K32" s="79">
        <f t="shared" si="0"/>
        <v>0.45</v>
      </c>
      <c r="L32" s="80">
        <f t="shared" si="1"/>
        <v>11888968.357349999</v>
      </c>
      <c r="M32" s="80">
        <f t="shared" si="2"/>
        <v>0</v>
      </c>
      <c r="N32" s="80">
        <f t="shared" si="3"/>
        <v>11888968.357349999</v>
      </c>
    </row>
    <row r="33" spans="1:16" ht="13.8" outlineLevel="1" x14ac:dyDescent="0.3">
      <c r="A33" s="38">
        <v>7.05</v>
      </c>
      <c r="B33" s="39" t="s">
        <v>44</v>
      </c>
      <c r="C33" s="49" t="s">
        <v>19</v>
      </c>
      <c r="D33" s="41">
        <v>2514.8970000000013</v>
      </c>
      <c r="E33" s="42">
        <v>22566</v>
      </c>
      <c r="F33" s="42">
        <f t="shared" si="4"/>
        <v>56751165.702000029</v>
      </c>
      <c r="G33" s="5"/>
      <c r="H33" s="32"/>
      <c r="I33" s="245">
        <f>+'SVD 4140_Pto. 01_Cert. 06'!K33</f>
        <v>0.05</v>
      </c>
      <c r="J33" s="136">
        <v>0.15</v>
      </c>
      <c r="K33" s="79">
        <f t="shared" si="0"/>
        <v>0.2</v>
      </c>
      <c r="L33" s="80">
        <f t="shared" si="1"/>
        <v>2837558.2851000018</v>
      </c>
      <c r="M33" s="80">
        <f t="shared" si="2"/>
        <v>8512674.8553000037</v>
      </c>
      <c r="N33" s="80">
        <f t="shared" si="3"/>
        <v>11350233.140400007</v>
      </c>
    </row>
    <row r="34" spans="1:16" ht="13.8" outlineLevel="1" x14ac:dyDescent="0.3">
      <c r="A34" s="38">
        <v>7.06</v>
      </c>
      <c r="B34" s="39" t="s">
        <v>45</v>
      </c>
      <c r="C34" s="49" t="s">
        <v>26</v>
      </c>
      <c r="D34" s="41">
        <v>509.9</v>
      </c>
      <c r="E34" s="42">
        <v>12771</v>
      </c>
      <c r="F34" s="42">
        <f t="shared" si="4"/>
        <v>6511932.8999999994</v>
      </c>
      <c r="G34" s="5"/>
      <c r="H34" s="32"/>
      <c r="I34" s="245">
        <f>+'SVD 4140_Pto. 01_Cert. 06'!K34</f>
        <v>0.05</v>
      </c>
      <c r="J34" s="136">
        <v>0.15</v>
      </c>
      <c r="K34" s="79">
        <f t="shared" si="0"/>
        <v>0.2</v>
      </c>
      <c r="L34" s="80">
        <f t="shared" si="1"/>
        <v>325596.64500000002</v>
      </c>
      <c r="M34" s="80">
        <f t="shared" si="2"/>
        <v>976789.93499999982</v>
      </c>
      <c r="N34" s="80">
        <f t="shared" si="3"/>
        <v>1302386.58</v>
      </c>
    </row>
    <row r="35" spans="1:16" ht="13.8" outlineLevel="1" x14ac:dyDescent="0.3">
      <c r="A35" s="38">
        <v>7.07</v>
      </c>
      <c r="B35" s="39" t="s">
        <v>46</v>
      </c>
      <c r="C35" s="49" t="s">
        <v>47</v>
      </c>
      <c r="D35" s="41">
        <v>198</v>
      </c>
      <c r="E35" s="42">
        <v>14947</v>
      </c>
      <c r="F35" s="42">
        <f t="shared" si="4"/>
        <v>2959506</v>
      </c>
      <c r="G35" s="5"/>
      <c r="H35" s="32"/>
      <c r="I35" s="245">
        <f>+'SVD 4140_Pto. 01_Cert. 06'!K35</f>
        <v>0</v>
      </c>
      <c r="J35" s="136">
        <v>0.15</v>
      </c>
      <c r="K35" s="79">
        <f t="shared" si="0"/>
        <v>0.15</v>
      </c>
      <c r="L35" s="80">
        <f t="shared" si="1"/>
        <v>0</v>
      </c>
      <c r="M35" s="80">
        <f t="shared" si="2"/>
        <v>443925.89999999997</v>
      </c>
      <c r="N35" s="80">
        <f t="shared" si="3"/>
        <v>443925.89999999997</v>
      </c>
    </row>
    <row r="36" spans="1:16" ht="13.8" outlineLevel="1" x14ac:dyDescent="0.3">
      <c r="A36" s="38">
        <v>7.08</v>
      </c>
      <c r="B36" s="39" t="s">
        <v>48</v>
      </c>
      <c r="C36" s="49" t="s">
        <v>19</v>
      </c>
      <c r="D36" s="41">
        <v>670.322</v>
      </c>
      <c r="E36" s="42">
        <v>16571</v>
      </c>
      <c r="F36" s="42">
        <f t="shared" si="4"/>
        <v>11107905.862</v>
      </c>
      <c r="G36" s="5"/>
      <c r="H36" s="32"/>
      <c r="I36" s="245">
        <f>+'SVD 4140_Pto. 01_Cert. 06'!K36</f>
        <v>0</v>
      </c>
      <c r="J36" s="136">
        <v>0.15</v>
      </c>
      <c r="K36" s="79">
        <f t="shared" si="0"/>
        <v>0.15</v>
      </c>
      <c r="L36" s="80">
        <f t="shared" si="1"/>
        <v>0</v>
      </c>
      <c r="M36" s="80">
        <f t="shared" si="2"/>
        <v>1666185.8792999999</v>
      </c>
      <c r="N36" s="80">
        <f t="shared" si="3"/>
        <v>1666185.8792999999</v>
      </c>
    </row>
    <row r="37" spans="1:16" ht="13.8" x14ac:dyDescent="0.3">
      <c r="A37" s="27">
        <v>8</v>
      </c>
      <c r="B37" s="28" t="s">
        <v>49</v>
      </c>
      <c r="C37" s="189"/>
      <c r="D37" s="65"/>
      <c r="E37" s="65"/>
      <c r="F37" s="65"/>
      <c r="G37" s="31">
        <f>+SUM(F38:F45)</f>
        <v>44788107</v>
      </c>
      <c r="H37" s="32">
        <f>+G37/$G$185</f>
        <v>6.0881768135880775E-2</v>
      </c>
      <c r="I37" s="246"/>
      <c r="J37" s="140"/>
      <c r="K37" s="130"/>
      <c r="L37" s="130"/>
      <c r="M37" s="130"/>
      <c r="N37" s="66"/>
    </row>
    <row r="38" spans="1:16" ht="13.8" outlineLevel="1" x14ac:dyDescent="0.3">
      <c r="A38" s="33">
        <v>8.01</v>
      </c>
      <c r="B38" s="198" t="s">
        <v>50</v>
      </c>
      <c r="C38" s="61" t="s">
        <v>19</v>
      </c>
      <c r="D38" s="62">
        <v>104</v>
      </c>
      <c r="E38" s="37">
        <v>31920</v>
      </c>
      <c r="F38" s="37">
        <f t="shared" si="4"/>
        <v>3319680</v>
      </c>
      <c r="G38" s="5"/>
      <c r="H38" s="32"/>
      <c r="I38" s="245">
        <f>+'SVD 4140_Pto. 01_Cert. 06'!K38</f>
        <v>1</v>
      </c>
      <c r="J38" s="134"/>
      <c r="K38" s="135">
        <f t="shared" si="0"/>
        <v>1</v>
      </c>
      <c r="L38" s="200">
        <f t="shared" si="1"/>
        <v>3319680</v>
      </c>
      <c r="M38" s="200">
        <f t="shared" si="2"/>
        <v>0</v>
      </c>
      <c r="N38" s="200">
        <f t="shared" si="3"/>
        <v>3319680</v>
      </c>
    </row>
    <row r="39" spans="1:16" ht="13.8" outlineLevel="1" x14ac:dyDescent="0.3">
      <c r="A39" s="38">
        <v>8.02</v>
      </c>
      <c r="B39" s="52" t="s">
        <v>51</v>
      </c>
      <c r="C39" s="49" t="s">
        <v>19</v>
      </c>
      <c r="D39" s="50">
        <v>48</v>
      </c>
      <c r="E39" s="42">
        <v>37268</v>
      </c>
      <c r="F39" s="42">
        <f t="shared" si="4"/>
        <v>1788864</v>
      </c>
      <c r="G39" s="5"/>
      <c r="H39" s="32"/>
      <c r="I39" s="245">
        <f>+'SVD 4140_Pto. 01_Cert. 06'!K39</f>
        <v>0</v>
      </c>
      <c r="J39" s="136"/>
      <c r="K39" s="79">
        <f t="shared" si="0"/>
        <v>0</v>
      </c>
      <c r="L39" s="201">
        <f t="shared" si="1"/>
        <v>0</v>
      </c>
      <c r="M39" s="201">
        <f t="shared" si="2"/>
        <v>0</v>
      </c>
      <c r="N39" s="201">
        <f t="shared" si="3"/>
        <v>0</v>
      </c>
    </row>
    <row r="40" spans="1:16" ht="13.8" outlineLevel="1" x14ac:dyDescent="0.3">
      <c r="A40" s="38">
        <v>8.0299999999999994</v>
      </c>
      <c r="B40" s="52" t="s">
        <v>52</v>
      </c>
      <c r="C40" s="49" t="s">
        <v>19</v>
      </c>
      <c r="D40" s="50">
        <v>235</v>
      </c>
      <c r="E40" s="42">
        <v>32410</v>
      </c>
      <c r="F40" s="42">
        <f t="shared" si="4"/>
        <v>7616350</v>
      </c>
      <c r="G40" s="5"/>
      <c r="H40" s="32"/>
      <c r="I40" s="245">
        <f>+'SVD 4140_Pto. 01_Cert. 06'!K40</f>
        <v>0</v>
      </c>
      <c r="J40" s="136"/>
      <c r="K40" s="79">
        <f t="shared" si="0"/>
        <v>0</v>
      </c>
      <c r="L40" s="201">
        <f t="shared" si="1"/>
        <v>0</v>
      </c>
      <c r="M40" s="201">
        <f t="shared" si="2"/>
        <v>0</v>
      </c>
      <c r="N40" s="201">
        <f t="shared" si="3"/>
        <v>0</v>
      </c>
    </row>
    <row r="41" spans="1:16" ht="13.8" outlineLevel="1" x14ac:dyDescent="0.3">
      <c r="A41" s="38">
        <v>8.0399999999999991</v>
      </c>
      <c r="B41" s="39" t="s">
        <v>53</v>
      </c>
      <c r="C41" s="40" t="s">
        <v>19</v>
      </c>
      <c r="D41" s="50">
        <v>878</v>
      </c>
      <c r="E41" s="42">
        <v>19006</v>
      </c>
      <c r="F41" s="42">
        <f t="shared" si="4"/>
        <v>16687268</v>
      </c>
      <c r="G41" s="5"/>
      <c r="H41" s="32"/>
      <c r="I41" s="245">
        <f>+'SVD 4140_Pto. 01_Cert. 06'!K41</f>
        <v>0</v>
      </c>
      <c r="J41" s="136"/>
      <c r="K41" s="79">
        <f t="shared" si="0"/>
        <v>0</v>
      </c>
      <c r="L41" s="201">
        <f t="shared" si="1"/>
        <v>0</v>
      </c>
      <c r="M41" s="201">
        <f t="shared" si="2"/>
        <v>0</v>
      </c>
      <c r="N41" s="201">
        <f t="shared" si="3"/>
        <v>0</v>
      </c>
    </row>
    <row r="42" spans="1:16" ht="13.8" outlineLevel="1" x14ac:dyDescent="0.3">
      <c r="A42" s="190">
        <v>8.0500000000000007</v>
      </c>
      <c r="B42" s="191" t="s">
        <v>54</v>
      </c>
      <c r="C42" s="43" t="s">
        <v>19</v>
      </c>
      <c r="D42" s="44">
        <v>564</v>
      </c>
      <c r="E42" s="44">
        <v>12439</v>
      </c>
      <c r="F42" s="44">
        <f t="shared" si="4"/>
        <v>7015596</v>
      </c>
      <c r="G42" s="5"/>
      <c r="H42" s="32"/>
      <c r="I42" s="245">
        <f>+'SVD 4140_Pto. 01_Cert. 06'!K42</f>
        <v>0</v>
      </c>
      <c r="J42" s="239"/>
      <c r="K42" s="79">
        <f t="shared" si="0"/>
        <v>0</v>
      </c>
      <c r="L42" s="201">
        <f t="shared" si="1"/>
        <v>0</v>
      </c>
      <c r="M42" s="201">
        <f t="shared" si="2"/>
        <v>0</v>
      </c>
      <c r="N42" s="201">
        <f t="shared" si="3"/>
        <v>0</v>
      </c>
    </row>
    <row r="43" spans="1:16" ht="13.8" outlineLevel="1" x14ac:dyDescent="0.3">
      <c r="A43" s="38">
        <v>8.06</v>
      </c>
      <c r="B43" s="199" t="s">
        <v>55</v>
      </c>
      <c r="C43" s="40" t="s">
        <v>19</v>
      </c>
      <c r="D43" s="41">
        <v>438</v>
      </c>
      <c r="E43" s="42">
        <v>12439</v>
      </c>
      <c r="F43" s="42">
        <f t="shared" si="4"/>
        <v>5448282</v>
      </c>
      <c r="G43" s="5"/>
      <c r="I43" s="245">
        <f>+'SVD 4140_Pto. 01_Cert. 06'!K43</f>
        <v>0</v>
      </c>
      <c r="J43" s="136"/>
      <c r="K43" s="79">
        <f t="shared" si="0"/>
        <v>0</v>
      </c>
      <c r="L43" s="201">
        <f t="shared" si="1"/>
        <v>0</v>
      </c>
      <c r="M43" s="201">
        <f t="shared" si="2"/>
        <v>0</v>
      </c>
      <c r="N43" s="201">
        <f t="shared" si="3"/>
        <v>0</v>
      </c>
      <c r="P43" s="144"/>
    </row>
    <row r="44" spans="1:16" ht="13.8" outlineLevel="1" x14ac:dyDescent="0.3">
      <c r="A44" s="38">
        <v>8.07</v>
      </c>
      <c r="B44" s="199" t="s">
        <v>56</v>
      </c>
      <c r="C44" s="40" t="s">
        <v>28</v>
      </c>
      <c r="D44" s="41">
        <v>1</v>
      </c>
      <c r="E44" s="42">
        <v>2426924</v>
      </c>
      <c r="F44" s="42">
        <f t="shared" si="4"/>
        <v>2426924</v>
      </c>
      <c r="G44" s="5"/>
      <c r="I44" s="245">
        <f>+'SVD 4140_Pto. 01_Cert. 06'!K44</f>
        <v>0</v>
      </c>
      <c r="J44" s="136"/>
      <c r="K44" s="79">
        <f t="shared" si="0"/>
        <v>0</v>
      </c>
      <c r="L44" s="201">
        <f t="shared" si="1"/>
        <v>0</v>
      </c>
      <c r="M44" s="201">
        <f t="shared" si="2"/>
        <v>0</v>
      </c>
      <c r="N44" s="201">
        <f t="shared" si="3"/>
        <v>0</v>
      </c>
    </row>
    <row r="45" spans="1:16" ht="13.8" outlineLevel="1" x14ac:dyDescent="0.3">
      <c r="A45" s="45">
        <v>8.08</v>
      </c>
      <c r="B45" s="59" t="s">
        <v>57</v>
      </c>
      <c r="C45" s="47" t="s">
        <v>28</v>
      </c>
      <c r="D45" s="48">
        <v>1</v>
      </c>
      <c r="E45" s="60">
        <v>485143</v>
      </c>
      <c r="F45" s="60">
        <f t="shared" si="4"/>
        <v>485143</v>
      </c>
      <c r="G45" s="5"/>
      <c r="I45" s="245">
        <f>+'SVD 4140_Pto. 01_Cert. 06'!K45</f>
        <v>0</v>
      </c>
      <c r="J45" s="137"/>
      <c r="K45" s="138">
        <f t="shared" si="0"/>
        <v>0</v>
      </c>
      <c r="L45" s="202">
        <f t="shared" si="1"/>
        <v>0</v>
      </c>
      <c r="M45" s="202">
        <f t="shared" si="2"/>
        <v>0</v>
      </c>
      <c r="N45" s="202">
        <f t="shared" si="3"/>
        <v>0</v>
      </c>
    </row>
    <row r="46" spans="1:16" ht="13.8" x14ac:dyDescent="0.3">
      <c r="A46" s="27">
        <v>9</v>
      </c>
      <c r="B46" s="28" t="s">
        <v>58</v>
      </c>
      <c r="C46" s="189"/>
      <c r="D46" s="65"/>
      <c r="E46" s="65"/>
      <c r="F46" s="65"/>
      <c r="G46" s="31">
        <f>+SUM(F47:F50)</f>
        <v>5769056.5999999996</v>
      </c>
      <c r="H46" s="32">
        <f>+G46/$G$185</f>
        <v>7.8420453511011904E-3</v>
      </c>
      <c r="I46" s="246"/>
      <c r="J46" s="140"/>
      <c r="K46" s="130"/>
      <c r="L46" s="130"/>
      <c r="M46" s="130"/>
      <c r="N46" s="66"/>
    </row>
    <row r="47" spans="1:16" s="57" customFormat="1" ht="13.8" outlineLevel="1" x14ac:dyDescent="0.3">
      <c r="A47" s="38">
        <v>9.01</v>
      </c>
      <c r="B47" s="55" t="s">
        <v>59</v>
      </c>
      <c r="C47" s="56" t="s">
        <v>28</v>
      </c>
      <c r="D47" s="41">
        <v>1</v>
      </c>
      <c r="E47" s="42">
        <v>2024643</v>
      </c>
      <c r="F47" s="42">
        <f t="shared" si="4"/>
        <v>2024643</v>
      </c>
      <c r="G47" s="185"/>
      <c r="H47" s="32"/>
      <c r="I47" s="245">
        <f>+'SVD 4140_Pto. 01_Cert. 06'!K47</f>
        <v>0</v>
      </c>
      <c r="J47" s="141"/>
      <c r="K47" s="79">
        <f t="shared" si="0"/>
        <v>0</v>
      </c>
      <c r="L47" s="80">
        <f t="shared" si="1"/>
        <v>0</v>
      </c>
      <c r="M47" s="80">
        <f t="shared" si="2"/>
        <v>0</v>
      </c>
      <c r="N47" s="80">
        <f t="shared" si="3"/>
        <v>0</v>
      </c>
    </row>
    <row r="48" spans="1:16" s="57" customFormat="1" ht="13.8" outlineLevel="1" x14ac:dyDescent="0.3">
      <c r="A48" s="54">
        <v>9.02</v>
      </c>
      <c r="B48" s="55" t="s">
        <v>60</v>
      </c>
      <c r="C48" s="56" t="s">
        <v>26</v>
      </c>
      <c r="D48" s="41">
        <v>122</v>
      </c>
      <c r="E48" s="42">
        <v>18814</v>
      </c>
      <c r="F48" s="42">
        <f t="shared" si="4"/>
        <v>2295308</v>
      </c>
      <c r="G48" s="185"/>
      <c r="H48" s="32"/>
      <c r="I48" s="245">
        <f>+'SVD 4140_Pto. 01_Cert. 06'!K48</f>
        <v>0</v>
      </c>
      <c r="J48" s="141"/>
      <c r="K48" s="79">
        <f t="shared" si="0"/>
        <v>0</v>
      </c>
      <c r="L48" s="80">
        <f t="shared" si="1"/>
        <v>0</v>
      </c>
      <c r="M48" s="80">
        <f t="shared" si="2"/>
        <v>0</v>
      </c>
      <c r="N48" s="80">
        <f t="shared" si="3"/>
        <v>0</v>
      </c>
    </row>
    <row r="49" spans="1:14" s="57" customFormat="1" ht="13.8" outlineLevel="1" x14ac:dyDescent="0.3">
      <c r="A49" s="38">
        <v>9.0299999999999994</v>
      </c>
      <c r="B49" s="55" t="s">
        <v>61</v>
      </c>
      <c r="C49" s="56" t="s">
        <v>26</v>
      </c>
      <c r="D49" s="41">
        <v>155</v>
      </c>
      <c r="E49" s="42">
        <v>5376</v>
      </c>
      <c r="F49" s="42">
        <f t="shared" si="4"/>
        <v>833280</v>
      </c>
      <c r="G49" s="185"/>
      <c r="H49" s="32"/>
      <c r="I49" s="245">
        <f>+'SVD 4140_Pto. 01_Cert. 06'!K49</f>
        <v>0</v>
      </c>
      <c r="J49" s="141"/>
      <c r="K49" s="79">
        <f t="shared" si="0"/>
        <v>0</v>
      </c>
      <c r="L49" s="80">
        <f t="shared" si="1"/>
        <v>0</v>
      </c>
      <c r="M49" s="80">
        <f t="shared" si="2"/>
        <v>0</v>
      </c>
      <c r="N49" s="80">
        <f t="shared" si="3"/>
        <v>0</v>
      </c>
    </row>
    <row r="50" spans="1:14" s="57" customFormat="1" ht="13.8" outlineLevel="1" x14ac:dyDescent="0.3">
      <c r="A50" s="54">
        <v>9.0399999999999991</v>
      </c>
      <c r="B50" s="55" t="s">
        <v>62</v>
      </c>
      <c r="C50" s="56" t="s">
        <v>26</v>
      </c>
      <c r="D50" s="41">
        <v>31.200000000000003</v>
      </c>
      <c r="E50" s="42">
        <v>19738</v>
      </c>
      <c r="F50" s="42">
        <f t="shared" si="4"/>
        <v>615825.60000000009</v>
      </c>
      <c r="G50" s="185"/>
      <c r="H50" s="32"/>
      <c r="I50" s="245">
        <f>+'SVD 4140_Pto. 01_Cert. 06'!K50</f>
        <v>0</v>
      </c>
      <c r="J50" s="141"/>
      <c r="K50" s="79">
        <f t="shared" si="0"/>
        <v>0</v>
      </c>
      <c r="L50" s="80">
        <f t="shared" si="1"/>
        <v>0</v>
      </c>
      <c r="M50" s="80">
        <f t="shared" si="2"/>
        <v>0</v>
      </c>
      <c r="N50" s="80">
        <f t="shared" si="3"/>
        <v>0</v>
      </c>
    </row>
    <row r="51" spans="1:14" s="58" customFormat="1" ht="13.8" x14ac:dyDescent="0.3">
      <c r="A51" s="27">
        <v>10</v>
      </c>
      <c r="B51" s="28" t="s">
        <v>63</v>
      </c>
      <c r="C51" s="189"/>
      <c r="D51" s="65"/>
      <c r="E51" s="65"/>
      <c r="F51" s="65"/>
      <c r="G51" s="31">
        <f>+SUM(F52:F55)</f>
        <v>4669278</v>
      </c>
      <c r="H51" s="32">
        <f>+G51/$G$185</f>
        <v>6.3470845186193985E-3</v>
      </c>
      <c r="I51" s="246"/>
      <c r="J51" s="140"/>
      <c r="K51" s="130"/>
      <c r="L51" s="130"/>
      <c r="M51" s="130"/>
      <c r="N51" s="66"/>
    </row>
    <row r="52" spans="1:14" s="58" customFormat="1" ht="13.8" outlineLevel="1" x14ac:dyDescent="0.3">
      <c r="A52" s="33">
        <v>10.01</v>
      </c>
      <c r="B52" s="209" t="s">
        <v>64</v>
      </c>
      <c r="C52" s="210" t="s">
        <v>28</v>
      </c>
      <c r="D52" s="36">
        <v>0</v>
      </c>
      <c r="E52" s="37">
        <v>0</v>
      </c>
      <c r="F52" s="37">
        <f t="shared" si="4"/>
        <v>0</v>
      </c>
      <c r="G52" s="211"/>
      <c r="H52" s="32"/>
      <c r="I52" s="245">
        <f>+'SVD 4140_Pto. 01_Cert. 06'!K52</f>
        <v>0</v>
      </c>
      <c r="J52" s="142"/>
      <c r="K52" s="135">
        <f t="shared" ref="K52:K53" si="9">+I52+J52</f>
        <v>0</v>
      </c>
      <c r="L52" s="200">
        <f t="shared" ref="L52:L53" si="10">+F52*I52</f>
        <v>0</v>
      </c>
      <c r="M52" s="200">
        <f t="shared" ref="M52:M53" si="11">+F52*J52</f>
        <v>0</v>
      </c>
      <c r="N52" s="200">
        <f t="shared" ref="N52:N53" si="12">+F52*K52</f>
        <v>0</v>
      </c>
    </row>
    <row r="53" spans="1:14" ht="13.8" outlineLevel="1" x14ac:dyDescent="0.3">
      <c r="A53" s="190">
        <v>10.02</v>
      </c>
      <c r="B53" s="191" t="s">
        <v>65</v>
      </c>
      <c r="C53" s="43" t="s">
        <v>28</v>
      </c>
      <c r="D53" s="44">
        <v>1</v>
      </c>
      <c r="E53" s="44">
        <v>2199545</v>
      </c>
      <c r="F53" s="44">
        <f t="shared" si="4"/>
        <v>2199545</v>
      </c>
      <c r="G53" s="186"/>
      <c r="H53" s="32"/>
      <c r="I53" s="245">
        <f>+'SVD 4140_Pto. 01_Cert. 06'!K53</f>
        <v>0.2</v>
      </c>
      <c r="J53" s="236">
        <v>0.3</v>
      </c>
      <c r="K53" s="79">
        <f t="shared" si="9"/>
        <v>0.5</v>
      </c>
      <c r="L53" s="201">
        <f t="shared" si="10"/>
        <v>439909</v>
      </c>
      <c r="M53" s="201">
        <f t="shared" si="11"/>
        <v>659863.5</v>
      </c>
      <c r="N53" s="201">
        <f t="shared" si="12"/>
        <v>1099772.5</v>
      </c>
    </row>
    <row r="54" spans="1:14" s="63" customFormat="1" ht="13.8" outlineLevel="1" x14ac:dyDescent="0.3">
      <c r="A54" s="38">
        <v>10.029999999999999</v>
      </c>
      <c r="B54" s="39" t="s">
        <v>66</v>
      </c>
      <c r="C54" s="49" t="s">
        <v>67</v>
      </c>
      <c r="D54" s="50">
        <v>0</v>
      </c>
      <c r="E54" s="42">
        <v>0</v>
      </c>
      <c r="F54" s="42">
        <f t="shared" si="4"/>
        <v>0</v>
      </c>
      <c r="G54" s="186"/>
      <c r="I54" s="245">
        <f>+'SVD 4140_Pto. 01_Cert. 06'!K54</f>
        <v>0</v>
      </c>
      <c r="J54" s="236"/>
      <c r="K54" s="79">
        <f t="shared" si="0"/>
        <v>0</v>
      </c>
      <c r="L54" s="201">
        <f t="shared" si="1"/>
        <v>0</v>
      </c>
      <c r="M54" s="201">
        <f t="shared" si="2"/>
        <v>0</v>
      </c>
      <c r="N54" s="201">
        <f t="shared" si="3"/>
        <v>0</v>
      </c>
    </row>
    <row r="55" spans="1:14" s="63" customFormat="1" ht="13.8" outlineLevel="1" x14ac:dyDescent="0.3">
      <c r="A55" s="45">
        <v>10.039999999999999</v>
      </c>
      <c r="B55" s="46" t="s">
        <v>68</v>
      </c>
      <c r="C55" s="64" t="s">
        <v>47</v>
      </c>
      <c r="D55" s="53">
        <v>7</v>
      </c>
      <c r="E55" s="60">
        <v>352819</v>
      </c>
      <c r="F55" s="60">
        <f t="shared" si="4"/>
        <v>2469733</v>
      </c>
      <c r="G55" s="212"/>
      <c r="I55" s="245">
        <f>+'SVD 4140_Pto. 01_Cert. 06'!K55</f>
        <v>0</v>
      </c>
      <c r="J55" s="143"/>
      <c r="K55" s="138">
        <f t="shared" si="0"/>
        <v>0</v>
      </c>
      <c r="L55" s="202">
        <f t="shared" si="1"/>
        <v>0</v>
      </c>
      <c r="M55" s="202">
        <f t="shared" si="2"/>
        <v>0</v>
      </c>
      <c r="N55" s="202">
        <f t="shared" si="3"/>
        <v>0</v>
      </c>
    </row>
    <row r="56" spans="1:14" s="63" customFormat="1" ht="13.8" x14ac:dyDescent="0.3">
      <c r="A56" s="27">
        <v>11</v>
      </c>
      <c r="B56" s="28" t="s">
        <v>69</v>
      </c>
      <c r="C56" s="189"/>
      <c r="D56" s="65"/>
      <c r="E56" s="65"/>
      <c r="F56" s="65"/>
      <c r="G56" s="31">
        <f>+SUM(F57:F63)</f>
        <v>48040802</v>
      </c>
      <c r="H56" s="32">
        <f>+G56/$G$185</f>
        <v>6.5303250446056074E-2</v>
      </c>
      <c r="I56" s="247"/>
      <c r="J56" s="132"/>
      <c r="K56" s="132"/>
      <c r="L56" s="132"/>
      <c r="M56" s="132"/>
      <c r="N56" s="133"/>
    </row>
    <row r="57" spans="1:14" s="57" customFormat="1" ht="13.8" outlineLevel="1" x14ac:dyDescent="0.3">
      <c r="A57" s="213">
        <v>11.01</v>
      </c>
      <c r="B57" s="214" t="s">
        <v>70</v>
      </c>
      <c r="C57" s="215" t="s">
        <v>19</v>
      </c>
      <c r="D57" s="216">
        <v>30</v>
      </c>
      <c r="E57" s="37">
        <v>21948</v>
      </c>
      <c r="F57" s="37">
        <f t="shared" si="4"/>
        <v>658440</v>
      </c>
      <c r="G57" s="67"/>
      <c r="H57" s="32"/>
      <c r="I57" s="245">
        <f>+'SVD 4140_Pto. 01_Cert. 06'!K57</f>
        <v>0</v>
      </c>
      <c r="J57" s="142"/>
      <c r="K57" s="135">
        <f>+I57+J57</f>
        <v>0</v>
      </c>
      <c r="L57" s="200">
        <f t="shared" ref="L57:L63" si="13">+F57*I57</f>
        <v>0</v>
      </c>
      <c r="M57" s="200">
        <f>+F57*J57</f>
        <v>0</v>
      </c>
      <c r="N57" s="200">
        <f t="shared" ref="N57:N63" si="14">+F57*K57</f>
        <v>0</v>
      </c>
    </row>
    <row r="58" spans="1:14" s="57" customFormat="1" ht="13.8" outlineLevel="1" x14ac:dyDescent="0.3">
      <c r="A58" s="217">
        <v>11.02</v>
      </c>
      <c r="B58" s="218" t="s">
        <v>71</v>
      </c>
      <c r="C58" s="219" t="s">
        <v>19</v>
      </c>
      <c r="D58" s="220">
        <v>185</v>
      </c>
      <c r="E58" s="42">
        <v>21948</v>
      </c>
      <c r="F58" s="42">
        <f t="shared" si="4"/>
        <v>4060380</v>
      </c>
      <c r="G58" s="181"/>
      <c r="H58" s="32"/>
      <c r="I58" s="245">
        <f>+'SVD 4140_Pto. 01_Cert. 06'!K58</f>
        <v>0</v>
      </c>
      <c r="J58" s="236"/>
      <c r="K58" s="79">
        <f t="shared" ref="K58:K63" si="15">+I58+J58</f>
        <v>0</v>
      </c>
      <c r="L58" s="201">
        <f t="shared" si="13"/>
        <v>0</v>
      </c>
      <c r="M58" s="201">
        <f t="shared" ref="M58:M63" si="16">+F58*J58</f>
        <v>0</v>
      </c>
      <c r="N58" s="201">
        <f t="shared" si="14"/>
        <v>0</v>
      </c>
    </row>
    <row r="59" spans="1:14" s="57" customFormat="1" ht="13.8" outlineLevel="1" x14ac:dyDescent="0.3">
      <c r="A59" s="217">
        <v>11.03</v>
      </c>
      <c r="B59" s="218" t="s">
        <v>72</v>
      </c>
      <c r="C59" s="219" t="s">
        <v>19</v>
      </c>
      <c r="D59" s="220">
        <v>942</v>
      </c>
      <c r="E59" s="42">
        <v>21948</v>
      </c>
      <c r="F59" s="42">
        <f t="shared" si="4"/>
        <v>20675016</v>
      </c>
      <c r="G59" s="181"/>
      <c r="H59" s="32"/>
      <c r="I59" s="245">
        <f>+'SVD 4140_Pto. 01_Cert. 06'!K59</f>
        <v>0</v>
      </c>
      <c r="J59" s="236"/>
      <c r="K59" s="79">
        <f t="shared" si="15"/>
        <v>0</v>
      </c>
      <c r="L59" s="201">
        <f t="shared" si="13"/>
        <v>0</v>
      </c>
      <c r="M59" s="201">
        <f t="shared" si="16"/>
        <v>0</v>
      </c>
      <c r="N59" s="201">
        <f t="shared" si="14"/>
        <v>0</v>
      </c>
    </row>
    <row r="60" spans="1:14" s="57" customFormat="1" ht="13.8" outlineLevel="1" x14ac:dyDescent="0.3">
      <c r="A60" s="217">
        <v>11.04</v>
      </c>
      <c r="B60" s="218" t="s">
        <v>73</v>
      </c>
      <c r="C60" s="219" t="s">
        <v>19</v>
      </c>
      <c r="D60" s="220">
        <v>110</v>
      </c>
      <c r="E60" s="42">
        <v>25799</v>
      </c>
      <c r="F60" s="42">
        <f t="shared" si="4"/>
        <v>2837890</v>
      </c>
      <c r="G60" s="181"/>
      <c r="H60" s="32"/>
      <c r="I60" s="245">
        <f>+'SVD 4140_Pto. 01_Cert. 06'!K60</f>
        <v>0</v>
      </c>
      <c r="J60" s="236"/>
      <c r="K60" s="79">
        <f t="shared" si="15"/>
        <v>0</v>
      </c>
      <c r="L60" s="201">
        <f t="shared" si="13"/>
        <v>0</v>
      </c>
      <c r="M60" s="201">
        <f t="shared" si="16"/>
        <v>0</v>
      </c>
      <c r="N60" s="201">
        <f t="shared" si="14"/>
        <v>0</v>
      </c>
    </row>
    <row r="61" spans="1:14" s="57" customFormat="1" ht="13.8" outlineLevel="1" x14ac:dyDescent="0.3">
      <c r="A61" s="217">
        <v>11.05</v>
      </c>
      <c r="B61" s="218" t="s">
        <v>74</v>
      </c>
      <c r="C61" s="219" t="s">
        <v>19</v>
      </c>
      <c r="D61" s="220">
        <v>128</v>
      </c>
      <c r="E61" s="42">
        <v>16080</v>
      </c>
      <c r="F61" s="42">
        <f t="shared" si="4"/>
        <v>2058240</v>
      </c>
      <c r="G61" s="181"/>
      <c r="H61" s="32"/>
      <c r="I61" s="245">
        <f>+'SVD 4140_Pto. 01_Cert. 06'!K61</f>
        <v>0</v>
      </c>
      <c r="J61" s="236"/>
      <c r="K61" s="79">
        <f t="shared" si="15"/>
        <v>0</v>
      </c>
      <c r="L61" s="201">
        <f t="shared" si="13"/>
        <v>0</v>
      </c>
      <c r="M61" s="201">
        <f t="shared" si="16"/>
        <v>0</v>
      </c>
      <c r="N61" s="201">
        <f t="shared" si="14"/>
        <v>0</v>
      </c>
    </row>
    <row r="62" spans="1:14" s="57" customFormat="1" ht="13.8" outlineLevel="1" x14ac:dyDescent="0.3">
      <c r="A62" s="217">
        <v>11.06</v>
      </c>
      <c r="B62" s="218" t="s">
        <v>75</v>
      </c>
      <c r="C62" s="219" t="s">
        <v>19</v>
      </c>
      <c r="D62" s="220">
        <v>48</v>
      </c>
      <c r="E62" s="42">
        <v>21948</v>
      </c>
      <c r="F62" s="42">
        <f t="shared" si="4"/>
        <v>1053504</v>
      </c>
      <c r="G62" s="181"/>
      <c r="H62" s="32"/>
      <c r="I62" s="245">
        <f>+'SVD 4140_Pto. 01_Cert. 06'!K62</f>
        <v>0</v>
      </c>
      <c r="J62" s="236"/>
      <c r="K62" s="79">
        <f t="shared" si="15"/>
        <v>0</v>
      </c>
      <c r="L62" s="201">
        <f t="shared" si="13"/>
        <v>0</v>
      </c>
      <c r="M62" s="201">
        <f t="shared" si="16"/>
        <v>0</v>
      </c>
      <c r="N62" s="201">
        <f t="shared" si="14"/>
        <v>0</v>
      </c>
    </row>
    <row r="63" spans="1:14" s="57" customFormat="1" ht="13.8" outlineLevel="1" x14ac:dyDescent="0.3">
      <c r="A63" s="221">
        <v>11.07</v>
      </c>
      <c r="B63" s="222" t="s">
        <v>76</v>
      </c>
      <c r="C63" s="223" t="s">
        <v>19</v>
      </c>
      <c r="D63" s="224">
        <v>226</v>
      </c>
      <c r="E63" s="60">
        <v>73882</v>
      </c>
      <c r="F63" s="60">
        <f t="shared" si="4"/>
        <v>16697332</v>
      </c>
      <c r="G63" s="181"/>
      <c r="H63" s="32"/>
      <c r="I63" s="245">
        <f>+'SVD 4140_Pto. 01_Cert. 06'!K63</f>
        <v>0</v>
      </c>
      <c r="J63" s="143">
        <v>1</v>
      </c>
      <c r="K63" s="138">
        <f t="shared" si="15"/>
        <v>1</v>
      </c>
      <c r="L63" s="202">
        <f t="shared" si="13"/>
        <v>0</v>
      </c>
      <c r="M63" s="202">
        <f t="shared" si="16"/>
        <v>16697332</v>
      </c>
      <c r="N63" s="202">
        <f t="shared" si="14"/>
        <v>16697332</v>
      </c>
    </row>
    <row r="64" spans="1:14" s="57" customFormat="1" ht="13.8" x14ac:dyDescent="0.3">
      <c r="A64" s="27">
        <v>12</v>
      </c>
      <c r="B64" s="28" t="s">
        <v>77</v>
      </c>
      <c r="C64" s="189"/>
      <c r="D64" s="65"/>
      <c r="E64" s="65"/>
      <c r="F64" s="65"/>
      <c r="G64" s="31">
        <f>+SUM(F65:F69)</f>
        <v>11022518</v>
      </c>
      <c r="H64" s="32">
        <f>+G64/$G$185</f>
        <v>1.4983227247125499E-2</v>
      </c>
      <c r="I64" s="247"/>
      <c r="J64" s="132"/>
      <c r="K64" s="132"/>
      <c r="L64" s="132"/>
      <c r="M64" s="132"/>
      <c r="N64" s="133"/>
    </row>
    <row r="65" spans="1:14" s="57" customFormat="1" ht="13.8" outlineLevel="1" x14ac:dyDescent="0.3">
      <c r="A65" s="213">
        <v>12.01</v>
      </c>
      <c r="B65" s="214" t="s">
        <v>78</v>
      </c>
      <c r="C65" s="215" t="s">
        <v>26</v>
      </c>
      <c r="D65" s="216">
        <v>779</v>
      </c>
      <c r="E65" s="37">
        <v>7422</v>
      </c>
      <c r="F65" s="37">
        <f t="shared" si="4"/>
        <v>5781738</v>
      </c>
      <c r="G65" s="181"/>
      <c r="H65" s="32"/>
      <c r="I65" s="245">
        <f>+'SVD 4140_Pto. 01_Cert. 06'!K65</f>
        <v>0</v>
      </c>
      <c r="J65" s="142"/>
      <c r="K65" s="135">
        <f t="shared" ref="K65:K69" si="17">+I65+J65</f>
        <v>0</v>
      </c>
      <c r="L65" s="200">
        <f t="shared" ref="L65:L69" si="18">+F65*I65</f>
        <v>0</v>
      </c>
      <c r="M65" s="200">
        <f t="shared" ref="M65:M69" si="19">+F65*J65</f>
        <v>0</v>
      </c>
      <c r="N65" s="200">
        <f t="shared" ref="N65:N69" si="20">+F65*K65</f>
        <v>0</v>
      </c>
    </row>
    <row r="66" spans="1:14" s="57" customFormat="1" ht="13.8" outlineLevel="1" x14ac:dyDescent="0.3">
      <c r="A66" s="217">
        <v>12.02</v>
      </c>
      <c r="B66" s="218" t="s">
        <v>61</v>
      </c>
      <c r="C66" s="219" t="s">
        <v>26</v>
      </c>
      <c r="D66" s="220">
        <v>155</v>
      </c>
      <c r="E66" s="42">
        <v>5376</v>
      </c>
      <c r="F66" s="42">
        <f t="shared" si="4"/>
        <v>833280</v>
      </c>
      <c r="G66" s="181"/>
      <c r="H66" s="32"/>
      <c r="I66" s="245">
        <f>+'SVD 4140_Pto. 01_Cert. 06'!K66</f>
        <v>0</v>
      </c>
      <c r="J66" s="236"/>
      <c r="K66" s="79">
        <f t="shared" si="17"/>
        <v>0</v>
      </c>
      <c r="L66" s="201">
        <f t="shared" si="18"/>
        <v>0</v>
      </c>
      <c r="M66" s="201">
        <f t="shared" si="19"/>
        <v>0</v>
      </c>
      <c r="N66" s="201">
        <f t="shared" si="20"/>
        <v>0</v>
      </c>
    </row>
    <row r="67" spans="1:14" s="57" customFormat="1" ht="13.8" outlineLevel="1" x14ac:dyDescent="0.3">
      <c r="A67" s="217">
        <v>12.03</v>
      </c>
      <c r="B67" s="218" t="s">
        <v>79</v>
      </c>
      <c r="C67" s="219" t="s">
        <v>26</v>
      </c>
      <c r="D67" s="220">
        <v>37</v>
      </c>
      <c r="E67" s="42">
        <v>7052</v>
      </c>
      <c r="F67" s="42">
        <f t="shared" si="4"/>
        <v>260924</v>
      </c>
      <c r="G67" s="181"/>
      <c r="H67" s="32"/>
      <c r="I67" s="245">
        <f>+'SVD 4140_Pto. 01_Cert. 06'!K67</f>
        <v>0</v>
      </c>
      <c r="J67" s="236"/>
      <c r="K67" s="79">
        <f t="shared" si="17"/>
        <v>0</v>
      </c>
      <c r="L67" s="201">
        <f t="shared" si="18"/>
        <v>0</v>
      </c>
      <c r="M67" s="201">
        <f t="shared" si="19"/>
        <v>0</v>
      </c>
      <c r="N67" s="201">
        <f t="shared" si="20"/>
        <v>0</v>
      </c>
    </row>
    <row r="68" spans="1:14" s="57" customFormat="1" ht="13.8" outlineLevel="1" x14ac:dyDescent="0.3">
      <c r="A68" s="217">
        <v>12.04</v>
      </c>
      <c r="B68" s="218" t="s">
        <v>80</v>
      </c>
      <c r="C68" s="219" t="s">
        <v>26</v>
      </c>
      <c r="D68" s="220">
        <v>433</v>
      </c>
      <c r="E68" s="42">
        <v>7052</v>
      </c>
      <c r="F68" s="42">
        <f t="shared" si="4"/>
        <v>3053516</v>
      </c>
      <c r="G68" s="181"/>
      <c r="H68" s="32"/>
      <c r="I68" s="245">
        <f>+'SVD 4140_Pto. 01_Cert. 06'!K68</f>
        <v>0</v>
      </c>
      <c r="J68" s="236"/>
      <c r="K68" s="79">
        <f t="shared" si="17"/>
        <v>0</v>
      </c>
      <c r="L68" s="201">
        <f t="shared" si="18"/>
        <v>0</v>
      </c>
      <c r="M68" s="201">
        <f t="shared" si="19"/>
        <v>0</v>
      </c>
      <c r="N68" s="201">
        <f t="shared" si="20"/>
        <v>0</v>
      </c>
    </row>
    <row r="69" spans="1:14" s="57" customFormat="1" ht="13.8" outlineLevel="1" x14ac:dyDescent="0.3">
      <c r="A69" s="221">
        <v>12.05</v>
      </c>
      <c r="B69" s="222" t="s">
        <v>81</v>
      </c>
      <c r="C69" s="223" t="s">
        <v>26</v>
      </c>
      <c r="D69" s="224">
        <v>155</v>
      </c>
      <c r="E69" s="60">
        <v>7052</v>
      </c>
      <c r="F69" s="60">
        <f t="shared" si="4"/>
        <v>1093060</v>
      </c>
      <c r="G69" s="181"/>
      <c r="H69" s="32"/>
      <c r="I69" s="245">
        <f>+'SVD 4140_Pto. 01_Cert. 06'!K69</f>
        <v>0</v>
      </c>
      <c r="J69" s="143"/>
      <c r="K69" s="138">
        <f t="shared" si="17"/>
        <v>0</v>
      </c>
      <c r="L69" s="202">
        <f t="shared" si="18"/>
        <v>0</v>
      </c>
      <c r="M69" s="202">
        <f t="shared" si="19"/>
        <v>0</v>
      </c>
      <c r="N69" s="202">
        <f t="shared" si="20"/>
        <v>0</v>
      </c>
    </row>
    <row r="70" spans="1:14" s="57" customFormat="1" ht="13.8" x14ac:dyDescent="0.3">
      <c r="A70" s="27">
        <v>13</v>
      </c>
      <c r="B70" s="28" t="s">
        <v>82</v>
      </c>
      <c r="C70" s="189"/>
      <c r="D70" s="65"/>
      <c r="E70" s="65"/>
      <c r="F70" s="65"/>
      <c r="G70" s="31">
        <f>+SUM(F71:F74)</f>
        <v>19433086.480999999</v>
      </c>
      <c r="H70" s="32">
        <f>+G70/$G$185</f>
        <v>2.641595603272005E-2</v>
      </c>
      <c r="I70" s="247"/>
      <c r="J70" s="132"/>
      <c r="K70" s="132"/>
      <c r="L70" s="132"/>
      <c r="M70" s="132"/>
      <c r="N70" s="133"/>
    </row>
    <row r="71" spans="1:14" s="57" customFormat="1" ht="13.8" outlineLevel="1" x14ac:dyDescent="0.3">
      <c r="A71" s="213">
        <v>13.01</v>
      </c>
      <c r="B71" s="214" t="s">
        <v>83</v>
      </c>
      <c r="C71" s="215" t="s">
        <v>19</v>
      </c>
      <c r="D71" s="216">
        <v>511</v>
      </c>
      <c r="E71" s="37">
        <v>25799</v>
      </c>
      <c r="F71" s="37">
        <f t="shared" si="4"/>
        <v>13183289</v>
      </c>
      <c r="G71" s="181"/>
      <c r="H71" s="32"/>
      <c r="I71" s="245">
        <f>+'SVD 4140_Pto. 01_Cert. 06'!K71</f>
        <v>0</v>
      </c>
      <c r="J71" s="142"/>
      <c r="K71" s="135">
        <f t="shared" ref="K71:K74" si="21">+I71+J71</f>
        <v>0</v>
      </c>
      <c r="L71" s="200">
        <f t="shared" ref="L71:L74" si="22">+F71*I71</f>
        <v>0</v>
      </c>
      <c r="M71" s="200">
        <f t="shared" ref="M71:M74" si="23">+F71*J71</f>
        <v>0</v>
      </c>
      <c r="N71" s="200">
        <f t="shared" ref="N71:N74" si="24">+F71*K71</f>
        <v>0</v>
      </c>
    </row>
    <row r="72" spans="1:14" s="57" customFormat="1" ht="13.8" outlineLevel="1" x14ac:dyDescent="0.3">
      <c r="A72" s="217">
        <v>13.02</v>
      </c>
      <c r="B72" s="218" t="s">
        <v>84</v>
      </c>
      <c r="C72" s="219" t="s">
        <v>19</v>
      </c>
      <c r="D72" s="220">
        <v>40</v>
      </c>
      <c r="E72" s="42">
        <v>25799</v>
      </c>
      <c r="F72" s="42">
        <f t="shared" si="4"/>
        <v>1031960</v>
      </c>
      <c r="G72" s="181"/>
      <c r="H72" s="32"/>
      <c r="I72" s="245">
        <f>+'SVD 4140_Pto. 01_Cert. 06'!K72</f>
        <v>0</v>
      </c>
      <c r="J72" s="236"/>
      <c r="K72" s="79">
        <f t="shared" si="21"/>
        <v>0</v>
      </c>
      <c r="L72" s="201">
        <f t="shared" si="22"/>
        <v>0</v>
      </c>
      <c r="M72" s="201">
        <f t="shared" si="23"/>
        <v>0</v>
      </c>
      <c r="N72" s="201">
        <f t="shared" si="24"/>
        <v>0</v>
      </c>
    </row>
    <row r="73" spans="1:14" s="57" customFormat="1" ht="13.8" outlineLevel="1" x14ac:dyDescent="0.3">
      <c r="A73" s="217">
        <v>13.03</v>
      </c>
      <c r="B73" s="218" t="s">
        <v>85</v>
      </c>
      <c r="C73" s="219" t="s">
        <v>19</v>
      </c>
      <c r="D73" s="220">
        <v>147.60100000000003</v>
      </c>
      <c r="E73" s="42">
        <v>29881</v>
      </c>
      <c r="F73" s="42">
        <f t="shared" si="4"/>
        <v>4410465.4810000006</v>
      </c>
      <c r="G73" s="181"/>
      <c r="H73" s="32"/>
      <c r="I73" s="245">
        <f>+'SVD 4140_Pto. 01_Cert. 06'!K73</f>
        <v>0</v>
      </c>
      <c r="J73" s="236"/>
      <c r="K73" s="79">
        <f t="shared" si="21"/>
        <v>0</v>
      </c>
      <c r="L73" s="201">
        <f t="shared" si="22"/>
        <v>0</v>
      </c>
      <c r="M73" s="201">
        <f t="shared" si="23"/>
        <v>0</v>
      </c>
      <c r="N73" s="201">
        <f t="shared" si="24"/>
        <v>0</v>
      </c>
    </row>
    <row r="74" spans="1:14" s="57" customFormat="1" ht="13.8" outlineLevel="1" x14ac:dyDescent="0.3">
      <c r="A74" s="221">
        <v>13.04</v>
      </c>
      <c r="B74" s="222" t="s">
        <v>86</v>
      </c>
      <c r="C74" s="223" t="s">
        <v>47</v>
      </c>
      <c r="D74" s="224">
        <v>41</v>
      </c>
      <c r="E74" s="60">
        <v>19692</v>
      </c>
      <c r="F74" s="60">
        <f t="shared" si="4"/>
        <v>807372</v>
      </c>
      <c r="G74" s="181"/>
      <c r="H74" s="32"/>
      <c r="I74" s="245">
        <f>+'SVD 4140_Pto. 01_Cert. 06'!K74</f>
        <v>0</v>
      </c>
      <c r="J74" s="143"/>
      <c r="K74" s="138">
        <f t="shared" si="21"/>
        <v>0</v>
      </c>
      <c r="L74" s="202">
        <f t="shared" si="22"/>
        <v>0</v>
      </c>
      <c r="M74" s="202">
        <f t="shared" si="23"/>
        <v>0</v>
      </c>
      <c r="N74" s="202">
        <f t="shared" si="24"/>
        <v>0</v>
      </c>
    </row>
    <row r="75" spans="1:14" s="57" customFormat="1" ht="13.8" x14ac:dyDescent="0.3">
      <c r="A75" s="27">
        <v>14</v>
      </c>
      <c r="B75" s="28" t="s">
        <v>87</v>
      </c>
      <c r="C75" s="189"/>
      <c r="D75" s="65"/>
      <c r="E75" s="65"/>
      <c r="F75" s="65"/>
      <c r="G75" s="31">
        <f>+SUM(F76:F82)</f>
        <v>50296168.959899999</v>
      </c>
      <c r="H75" s="32">
        <f>+G75/$G$185</f>
        <v>6.8369035930447242E-2</v>
      </c>
      <c r="I75" s="247"/>
      <c r="J75" s="132"/>
      <c r="K75" s="132"/>
      <c r="L75" s="132"/>
      <c r="M75" s="132"/>
      <c r="N75" s="133"/>
    </row>
    <row r="76" spans="1:14" s="57" customFormat="1" ht="13.8" outlineLevel="1" x14ac:dyDescent="0.3">
      <c r="A76" s="213">
        <v>14.01</v>
      </c>
      <c r="B76" s="214" t="s">
        <v>88</v>
      </c>
      <c r="C76" s="215" t="s">
        <v>19</v>
      </c>
      <c r="D76" s="216">
        <v>334.91519999999997</v>
      </c>
      <c r="E76" s="37">
        <v>29270</v>
      </c>
      <c r="F76" s="37">
        <f t="shared" ref="F76:F139" si="25">+D76*E76</f>
        <v>9802967.9039999992</v>
      </c>
      <c r="G76" s="181"/>
      <c r="H76" s="32"/>
      <c r="I76" s="245">
        <f>+'SVD 4140_Pto. 01_Cert. 06'!K76</f>
        <v>0.05</v>
      </c>
      <c r="J76" s="142">
        <v>0.15</v>
      </c>
      <c r="K76" s="135">
        <f t="shared" ref="K76:K82" si="26">+I76+J76</f>
        <v>0.2</v>
      </c>
      <c r="L76" s="200">
        <f t="shared" ref="L76:L82" si="27">+F76*I76</f>
        <v>490148.39519999997</v>
      </c>
      <c r="M76" s="200">
        <f t="shared" ref="M76:M82" si="28">+F76*J76</f>
        <v>1470445.1855999997</v>
      </c>
      <c r="N76" s="200">
        <f t="shared" ref="N76:N82" si="29">+F76*K76</f>
        <v>1960593.5807999999</v>
      </c>
    </row>
    <row r="77" spans="1:14" s="57" customFormat="1" ht="13.8" outlineLevel="1" x14ac:dyDescent="0.3">
      <c r="A77" s="217">
        <v>14.02</v>
      </c>
      <c r="B77" s="218" t="s">
        <v>89</v>
      </c>
      <c r="C77" s="219" t="s">
        <v>19</v>
      </c>
      <c r="D77" s="220">
        <v>280.3913</v>
      </c>
      <c r="E77" s="42">
        <v>33967</v>
      </c>
      <c r="F77" s="42">
        <f t="shared" si="25"/>
        <v>9524051.2871000003</v>
      </c>
      <c r="G77" s="181"/>
      <c r="H77" s="32"/>
      <c r="I77" s="245">
        <f>+'SVD 4140_Pto. 01_Cert. 06'!K77</f>
        <v>0.05</v>
      </c>
      <c r="J77" s="296">
        <v>0.15</v>
      </c>
      <c r="K77" s="79">
        <f t="shared" si="26"/>
        <v>0.2</v>
      </c>
      <c r="L77" s="201">
        <f t="shared" si="27"/>
        <v>476202.56435500004</v>
      </c>
      <c r="M77" s="201">
        <f t="shared" si="28"/>
        <v>1428607.693065</v>
      </c>
      <c r="N77" s="201">
        <f t="shared" si="29"/>
        <v>1904810.2574200002</v>
      </c>
    </row>
    <row r="78" spans="1:14" s="57" customFormat="1" ht="13.8" outlineLevel="1" x14ac:dyDescent="0.3">
      <c r="A78" s="217">
        <v>14.03</v>
      </c>
      <c r="B78" s="218" t="s">
        <v>90</v>
      </c>
      <c r="C78" s="219" t="s">
        <v>26</v>
      </c>
      <c r="D78" s="220">
        <v>60.8</v>
      </c>
      <c r="E78" s="42">
        <v>29270</v>
      </c>
      <c r="F78" s="42">
        <f t="shared" si="25"/>
        <v>1779616</v>
      </c>
      <c r="G78" s="181"/>
      <c r="H78" s="32"/>
      <c r="I78" s="245">
        <f>+'SVD 4140_Pto. 01_Cert. 06'!K78</f>
        <v>0.05</v>
      </c>
      <c r="J78" s="236">
        <v>0.2</v>
      </c>
      <c r="K78" s="79">
        <f t="shared" si="26"/>
        <v>0.25</v>
      </c>
      <c r="L78" s="201">
        <f t="shared" si="27"/>
        <v>88980.800000000003</v>
      </c>
      <c r="M78" s="201">
        <f t="shared" si="28"/>
        <v>355923.20000000001</v>
      </c>
      <c r="N78" s="201">
        <f t="shared" si="29"/>
        <v>444904</v>
      </c>
    </row>
    <row r="79" spans="1:14" s="57" customFormat="1" ht="13.8" outlineLevel="1" x14ac:dyDescent="0.3">
      <c r="A79" s="217">
        <v>14.04</v>
      </c>
      <c r="B79" s="218" t="s">
        <v>91</v>
      </c>
      <c r="C79" s="219" t="s">
        <v>26</v>
      </c>
      <c r="D79" s="220">
        <v>1058.3799999999997</v>
      </c>
      <c r="E79" s="42">
        <v>7873</v>
      </c>
      <c r="F79" s="42">
        <f t="shared" si="25"/>
        <v>8332625.7399999974</v>
      </c>
      <c r="G79" s="181"/>
      <c r="H79" s="32"/>
      <c r="I79" s="245">
        <f>+'SVD 4140_Pto. 01_Cert. 06'!K79</f>
        <v>0</v>
      </c>
      <c r="J79" s="236">
        <v>0.25</v>
      </c>
      <c r="K79" s="79">
        <f t="shared" si="26"/>
        <v>0.25</v>
      </c>
      <c r="L79" s="201">
        <f t="shared" si="27"/>
        <v>0</v>
      </c>
      <c r="M79" s="201">
        <f t="shared" si="28"/>
        <v>2083156.4349999994</v>
      </c>
      <c r="N79" s="201">
        <f t="shared" si="29"/>
        <v>2083156.4349999994</v>
      </c>
    </row>
    <row r="80" spans="1:14" s="57" customFormat="1" ht="13.8" outlineLevel="1" x14ac:dyDescent="0.3">
      <c r="A80" s="217">
        <v>14.05</v>
      </c>
      <c r="B80" s="218" t="s">
        <v>92</v>
      </c>
      <c r="C80" s="219" t="s">
        <v>19</v>
      </c>
      <c r="D80" s="220">
        <v>504.12220000000002</v>
      </c>
      <c r="E80" s="42">
        <v>23364</v>
      </c>
      <c r="F80" s="42">
        <f t="shared" si="25"/>
        <v>11778311.080800001</v>
      </c>
      <c r="G80" s="181"/>
      <c r="H80" s="32"/>
      <c r="I80" s="245">
        <f>+'SVD 4140_Pto. 01_Cert. 06'!K80</f>
        <v>0</v>
      </c>
      <c r="J80" s="236">
        <v>0.2</v>
      </c>
      <c r="K80" s="79">
        <f t="shared" si="26"/>
        <v>0.2</v>
      </c>
      <c r="L80" s="201">
        <f t="shared" si="27"/>
        <v>0</v>
      </c>
      <c r="M80" s="201">
        <f t="shared" si="28"/>
        <v>2355662.2161600003</v>
      </c>
      <c r="N80" s="201">
        <f t="shared" si="29"/>
        <v>2355662.2161600003</v>
      </c>
    </row>
    <row r="81" spans="1:14" s="57" customFormat="1" ht="13.8" outlineLevel="1" x14ac:dyDescent="0.3">
      <c r="A81" s="217">
        <v>14.06</v>
      </c>
      <c r="B81" s="218" t="s">
        <v>93</v>
      </c>
      <c r="C81" s="219" t="s">
        <v>26</v>
      </c>
      <c r="D81" s="220">
        <v>555.99</v>
      </c>
      <c r="E81" s="42">
        <v>12771</v>
      </c>
      <c r="F81" s="42">
        <f t="shared" si="25"/>
        <v>7100548.29</v>
      </c>
      <c r="G81" s="181"/>
      <c r="H81" s="32"/>
      <c r="I81" s="245">
        <f>+'SVD 4140_Pto. 01_Cert. 06'!K81</f>
        <v>0</v>
      </c>
      <c r="J81" s="236">
        <v>0.2</v>
      </c>
      <c r="K81" s="79">
        <f t="shared" si="26"/>
        <v>0.2</v>
      </c>
      <c r="L81" s="201">
        <f t="shared" si="27"/>
        <v>0</v>
      </c>
      <c r="M81" s="201">
        <f t="shared" si="28"/>
        <v>1420109.6580000001</v>
      </c>
      <c r="N81" s="201">
        <f t="shared" si="29"/>
        <v>1420109.6580000001</v>
      </c>
    </row>
    <row r="82" spans="1:14" s="57" customFormat="1" ht="13.8" outlineLevel="1" x14ac:dyDescent="0.3">
      <c r="A82" s="221">
        <v>14.07</v>
      </c>
      <c r="B82" s="222" t="s">
        <v>94</v>
      </c>
      <c r="C82" s="223" t="s">
        <v>19</v>
      </c>
      <c r="D82" s="224">
        <v>429.07780000000002</v>
      </c>
      <c r="E82" s="60">
        <v>4610</v>
      </c>
      <c r="F82" s="60">
        <f t="shared" si="25"/>
        <v>1978048.6580000001</v>
      </c>
      <c r="G82" s="181"/>
      <c r="H82" s="32"/>
      <c r="I82" s="245">
        <f>+'SVD 4140_Pto. 01_Cert. 06'!K82</f>
        <v>0</v>
      </c>
      <c r="J82" s="236"/>
      <c r="K82" s="79">
        <f t="shared" si="26"/>
        <v>0</v>
      </c>
      <c r="L82" s="201">
        <f t="shared" si="27"/>
        <v>0</v>
      </c>
      <c r="M82" s="201">
        <f t="shared" si="28"/>
        <v>0</v>
      </c>
      <c r="N82" s="201">
        <f t="shared" si="29"/>
        <v>0</v>
      </c>
    </row>
    <row r="83" spans="1:14" s="57" customFormat="1" ht="13.8" x14ac:dyDescent="0.3">
      <c r="A83" s="27">
        <v>15</v>
      </c>
      <c r="B83" s="28" t="s">
        <v>95</v>
      </c>
      <c r="C83" s="189"/>
      <c r="D83" s="65"/>
      <c r="E83" s="65"/>
      <c r="F83" s="65"/>
      <c r="G83" s="31">
        <f>+SUM(F84:F92)</f>
        <v>0</v>
      </c>
      <c r="H83" s="32">
        <f>+G83/$G$185</f>
        <v>0</v>
      </c>
      <c r="I83" s="247"/>
      <c r="J83" s="132"/>
      <c r="K83" s="132"/>
      <c r="L83" s="132"/>
      <c r="M83" s="132"/>
      <c r="N83" s="133"/>
    </row>
    <row r="84" spans="1:14" s="57" customFormat="1" ht="13.8" outlineLevel="1" x14ac:dyDescent="0.3">
      <c r="A84" s="213">
        <v>15.01</v>
      </c>
      <c r="B84" s="214" t="s">
        <v>96</v>
      </c>
      <c r="C84" s="215" t="s">
        <v>19</v>
      </c>
      <c r="D84" s="216">
        <v>2670</v>
      </c>
      <c r="E84" s="37">
        <v>0</v>
      </c>
      <c r="F84" s="37">
        <f t="shared" si="25"/>
        <v>0</v>
      </c>
      <c r="G84" s="181"/>
      <c r="H84" s="32"/>
      <c r="I84" s="245">
        <f>+'SVD 4140_Pto. 01_Cert. 06'!K84</f>
        <v>0</v>
      </c>
      <c r="J84" s="142"/>
      <c r="K84" s="135">
        <f t="shared" ref="K84:K92" si="30">+I84+J84</f>
        <v>0</v>
      </c>
      <c r="L84" s="200">
        <f t="shared" ref="L84:L92" si="31">+F84*I84</f>
        <v>0</v>
      </c>
      <c r="M84" s="200">
        <f t="shared" ref="M84:M92" si="32">+F84*J84</f>
        <v>0</v>
      </c>
      <c r="N84" s="200">
        <f t="shared" ref="N84:N92" si="33">+F84*K84</f>
        <v>0</v>
      </c>
    </row>
    <row r="85" spans="1:14" s="57" customFormat="1" ht="13.8" outlineLevel="1" x14ac:dyDescent="0.3">
      <c r="A85" s="217">
        <v>15.02</v>
      </c>
      <c r="B85" s="218" t="s">
        <v>97</v>
      </c>
      <c r="C85" s="219" t="s">
        <v>19</v>
      </c>
      <c r="D85" s="220">
        <v>961</v>
      </c>
      <c r="E85" s="42">
        <v>0</v>
      </c>
      <c r="F85" s="42">
        <f t="shared" si="25"/>
        <v>0</v>
      </c>
      <c r="G85" s="181"/>
      <c r="H85" s="32"/>
      <c r="I85" s="245">
        <f>+'SVD 4140_Pto. 01_Cert. 06'!K85</f>
        <v>0</v>
      </c>
      <c r="J85" s="236"/>
      <c r="K85" s="79">
        <f t="shared" si="30"/>
        <v>0</v>
      </c>
      <c r="L85" s="201">
        <f t="shared" si="31"/>
        <v>0</v>
      </c>
      <c r="M85" s="201">
        <f t="shared" si="32"/>
        <v>0</v>
      </c>
      <c r="N85" s="201">
        <f t="shared" si="33"/>
        <v>0</v>
      </c>
    </row>
    <row r="86" spans="1:14" s="57" customFormat="1" ht="13.8" outlineLevel="1" x14ac:dyDescent="0.3">
      <c r="A86" s="217">
        <v>15.03</v>
      </c>
      <c r="B86" s="218" t="s">
        <v>98</v>
      </c>
      <c r="C86" s="219" t="s">
        <v>19</v>
      </c>
      <c r="D86" s="220">
        <v>518</v>
      </c>
      <c r="E86" s="42">
        <v>0</v>
      </c>
      <c r="F86" s="42">
        <f t="shared" si="25"/>
        <v>0</v>
      </c>
      <c r="G86" s="181"/>
      <c r="H86" s="32"/>
      <c r="I86" s="245">
        <f>+'SVD 4140_Pto. 01_Cert. 06'!K86</f>
        <v>0</v>
      </c>
      <c r="J86" s="236"/>
      <c r="K86" s="79">
        <f t="shared" si="30"/>
        <v>0</v>
      </c>
      <c r="L86" s="201">
        <f t="shared" si="31"/>
        <v>0</v>
      </c>
      <c r="M86" s="201">
        <f t="shared" si="32"/>
        <v>0</v>
      </c>
      <c r="N86" s="201">
        <f t="shared" si="33"/>
        <v>0</v>
      </c>
    </row>
    <row r="87" spans="1:14" s="57" customFormat="1" ht="13.8" outlineLevel="1" x14ac:dyDescent="0.3">
      <c r="A87" s="217">
        <v>15.04</v>
      </c>
      <c r="B87" s="218" t="s">
        <v>99</v>
      </c>
      <c r="C87" s="219" t="s">
        <v>19</v>
      </c>
      <c r="D87" s="220">
        <v>612</v>
      </c>
      <c r="E87" s="42">
        <v>0</v>
      </c>
      <c r="F87" s="42">
        <f t="shared" si="25"/>
        <v>0</v>
      </c>
      <c r="G87" s="181"/>
      <c r="H87" s="32"/>
      <c r="I87" s="245">
        <f>+'SVD 4140_Pto. 01_Cert. 06'!K87</f>
        <v>0</v>
      </c>
      <c r="J87" s="236"/>
      <c r="K87" s="79">
        <f t="shared" si="30"/>
        <v>0</v>
      </c>
      <c r="L87" s="201">
        <f t="shared" si="31"/>
        <v>0</v>
      </c>
      <c r="M87" s="201">
        <f t="shared" si="32"/>
        <v>0</v>
      </c>
      <c r="N87" s="201">
        <f t="shared" si="33"/>
        <v>0</v>
      </c>
    </row>
    <row r="88" spans="1:14" s="57" customFormat="1" ht="13.8" outlineLevel="1" x14ac:dyDescent="0.3">
      <c r="A88" s="217">
        <v>15.05</v>
      </c>
      <c r="B88" s="218" t="s">
        <v>100</v>
      </c>
      <c r="C88" s="219" t="s">
        <v>19</v>
      </c>
      <c r="D88" s="220">
        <v>422</v>
      </c>
      <c r="E88" s="42">
        <v>0</v>
      </c>
      <c r="F88" s="42">
        <f t="shared" si="25"/>
        <v>0</v>
      </c>
      <c r="G88" s="181"/>
      <c r="H88" s="32"/>
      <c r="I88" s="245">
        <f>+'SVD 4140_Pto. 01_Cert. 06'!K88</f>
        <v>0</v>
      </c>
      <c r="J88" s="236"/>
      <c r="K88" s="79">
        <f t="shared" si="30"/>
        <v>0</v>
      </c>
      <c r="L88" s="201">
        <f t="shared" si="31"/>
        <v>0</v>
      </c>
      <c r="M88" s="201">
        <f t="shared" si="32"/>
        <v>0</v>
      </c>
      <c r="N88" s="201">
        <f t="shared" si="33"/>
        <v>0</v>
      </c>
    </row>
    <row r="89" spans="1:14" s="57" customFormat="1" ht="13.8" outlineLevel="1" x14ac:dyDescent="0.3">
      <c r="A89" s="217">
        <v>15.07</v>
      </c>
      <c r="B89" s="218" t="s">
        <v>101</v>
      </c>
      <c r="C89" s="219" t="s">
        <v>19</v>
      </c>
      <c r="D89" s="220">
        <v>678.25199999999995</v>
      </c>
      <c r="E89" s="42">
        <v>0</v>
      </c>
      <c r="F89" s="42">
        <f t="shared" si="25"/>
        <v>0</v>
      </c>
      <c r="G89" s="181"/>
      <c r="H89" s="32"/>
      <c r="I89" s="245">
        <f>+'SVD 4140_Pto. 01_Cert. 06'!K89</f>
        <v>0</v>
      </c>
      <c r="J89" s="236"/>
      <c r="K89" s="79">
        <f t="shared" si="30"/>
        <v>0</v>
      </c>
      <c r="L89" s="201">
        <f t="shared" si="31"/>
        <v>0</v>
      </c>
      <c r="M89" s="201">
        <f t="shared" si="32"/>
        <v>0</v>
      </c>
      <c r="N89" s="201">
        <f t="shared" si="33"/>
        <v>0</v>
      </c>
    </row>
    <row r="90" spans="1:14" s="57" customFormat="1" ht="13.8" outlineLevel="1" x14ac:dyDescent="0.3">
      <c r="A90" s="217">
        <v>15.08</v>
      </c>
      <c r="B90" s="218" t="s">
        <v>102</v>
      </c>
      <c r="C90" s="219" t="s">
        <v>19</v>
      </c>
      <c r="D90" s="220">
        <v>728.48019999999985</v>
      </c>
      <c r="E90" s="42">
        <v>0</v>
      </c>
      <c r="F90" s="42">
        <f t="shared" si="25"/>
        <v>0</v>
      </c>
      <c r="G90" s="181"/>
      <c r="H90" s="32"/>
      <c r="I90" s="245">
        <f>+'SVD 4140_Pto. 01_Cert. 06'!K90</f>
        <v>0</v>
      </c>
      <c r="J90" s="236"/>
      <c r="K90" s="79">
        <f t="shared" si="30"/>
        <v>0</v>
      </c>
      <c r="L90" s="201">
        <f t="shared" si="31"/>
        <v>0</v>
      </c>
      <c r="M90" s="201">
        <f t="shared" si="32"/>
        <v>0</v>
      </c>
      <c r="N90" s="201">
        <f t="shared" si="33"/>
        <v>0</v>
      </c>
    </row>
    <row r="91" spans="1:14" s="57" customFormat="1" ht="13.8" outlineLevel="1" x14ac:dyDescent="0.3">
      <c r="A91" s="217">
        <v>15.09</v>
      </c>
      <c r="B91" s="218" t="s">
        <v>103</v>
      </c>
      <c r="C91" s="219" t="s">
        <v>67</v>
      </c>
      <c r="D91" s="220">
        <v>76</v>
      </c>
      <c r="E91" s="42">
        <v>0</v>
      </c>
      <c r="F91" s="42">
        <f t="shared" si="25"/>
        <v>0</v>
      </c>
      <c r="G91" s="181"/>
      <c r="H91" s="32"/>
      <c r="I91" s="245">
        <f>+'SVD 4140_Pto. 01_Cert. 06'!K91</f>
        <v>0</v>
      </c>
      <c r="J91" s="236"/>
      <c r="K91" s="79">
        <f t="shared" si="30"/>
        <v>0</v>
      </c>
      <c r="L91" s="201">
        <f t="shared" si="31"/>
        <v>0</v>
      </c>
      <c r="M91" s="201">
        <f t="shared" si="32"/>
        <v>0</v>
      </c>
      <c r="N91" s="201">
        <f t="shared" si="33"/>
        <v>0</v>
      </c>
    </row>
    <row r="92" spans="1:14" s="57" customFormat="1" ht="13.8" outlineLevel="1" x14ac:dyDescent="0.3">
      <c r="A92" s="221">
        <v>15.1</v>
      </c>
      <c r="B92" s="222" t="s">
        <v>104</v>
      </c>
      <c r="C92" s="223" t="s">
        <v>28</v>
      </c>
      <c r="D92" s="224">
        <v>1</v>
      </c>
      <c r="E92" s="60">
        <v>0</v>
      </c>
      <c r="F92" s="60">
        <f t="shared" si="25"/>
        <v>0</v>
      </c>
      <c r="G92" s="181"/>
      <c r="H92" s="32"/>
      <c r="I92" s="245">
        <f>+'SVD 4140_Pto. 01_Cert. 06'!K92</f>
        <v>0</v>
      </c>
      <c r="J92" s="236"/>
      <c r="K92" s="79">
        <f t="shared" si="30"/>
        <v>0</v>
      </c>
      <c r="L92" s="201">
        <f t="shared" si="31"/>
        <v>0</v>
      </c>
      <c r="M92" s="201">
        <f t="shared" si="32"/>
        <v>0</v>
      </c>
      <c r="N92" s="201">
        <f t="shared" si="33"/>
        <v>0</v>
      </c>
    </row>
    <row r="93" spans="1:14" s="57" customFormat="1" ht="13.8" x14ac:dyDescent="0.3">
      <c r="A93" s="27">
        <v>16</v>
      </c>
      <c r="B93" s="28" t="s">
        <v>105</v>
      </c>
      <c r="C93" s="189"/>
      <c r="D93" s="65"/>
      <c r="E93" s="65"/>
      <c r="F93" s="65"/>
      <c r="G93" s="31">
        <f>+SUM(F94)</f>
        <v>0</v>
      </c>
      <c r="H93" s="32">
        <f>+G93/$G$185</f>
        <v>0</v>
      </c>
      <c r="I93" s="248"/>
      <c r="J93" s="206"/>
      <c r="K93" s="206"/>
      <c r="L93" s="207"/>
      <c r="M93" s="207"/>
      <c r="N93" s="208"/>
    </row>
    <row r="94" spans="1:14" s="57" customFormat="1" ht="13.8" outlineLevel="1" x14ac:dyDescent="0.3">
      <c r="A94" s="188"/>
      <c r="B94" s="187"/>
      <c r="C94" s="179"/>
      <c r="D94" s="180"/>
      <c r="E94" s="181">
        <v>0</v>
      </c>
      <c r="F94" s="181">
        <f t="shared" si="25"/>
        <v>0</v>
      </c>
      <c r="G94" s="181"/>
      <c r="H94" s="32"/>
      <c r="I94" s="245">
        <f>+'SVD 4140_Pto. 01_Cert. 06'!K94</f>
        <v>0</v>
      </c>
      <c r="J94" s="203"/>
      <c r="K94" s="204">
        <f t="shared" ref="K94" si="34">+I94+J94</f>
        <v>0</v>
      </c>
      <c r="L94" s="80">
        <f t="shared" ref="L94" si="35">+F94*I94</f>
        <v>0</v>
      </c>
      <c r="M94" s="80">
        <f t="shared" ref="M94" si="36">+F94*J94</f>
        <v>0</v>
      </c>
      <c r="N94" s="80">
        <f t="shared" ref="N94" si="37">+F94*K94</f>
        <v>0</v>
      </c>
    </row>
    <row r="95" spans="1:14" s="57" customFormat="1" ht="13.8" x14ac:dyDescent="0.3">
      <c r="A95" s="27">
        <v>17</v>
      </c>
      <c r="B95" s="28" t="s">
        <v>106</v>
      </c>
      <c r="C95" s="189"/>
      <c r="D95" s="65"/>
      <c r="E95" s="65"/>
      <c r="F95" s="65"/>
      <c r="G95" s="31">
        <f>+SUM(F96:F99)</f>
        <v>7258243</v>
      </c>
      <c r="H95" s="32">
        <f>+G95/$G$185</f>
        <v>9.8663394592649264E-3</v>
      </c>
      <c r="I95" s="248"/>
      <c r="J95" s="206"/>
      <c r="K95" s="206"/>
      <c r="L95" s="207"/>
      <c r="M95" s="207"/>
      <c r="N95" s="208"/>
    </row>
    <row r="96" spans="1:14" s="57" customFormat="1" ht="13.8" outlineLevel="1" x14ac:dyDescent="0.3">
      <c r="A96" s="213">
        <v>17.010000000000002</v>
      </c>
      <c r="B96" s="214" t="s">
        <v>107</v>
      </c>
      <c r="C96" s="215" t="s">
        <v>47</v>
      </c>
      <c r="D96" s="216">
        <v>47</v>
      </c>
      <c r="E96" s="37">
        <v>64232</v>
      </c>
      <c r="F96" s="37">
        <f t="shared" si="25"/>
        <v>3018904</v>
      </c>
      <c r="G96" s="181"/>
      <c r="H96" s="32"/>
      <c r="I96" s="245">
        <f>+'SVD 4140_Pto. 01_Cert. 06'!K96</f>
        <v>0.6</v>
      </c>
      <c r="J96" s="203">
        <v>0.25</v>
      </c>
      <c r="K96" s="204">
        <f t="shared" ref="K96:K99" si="38">+I96+J96</f>
        <v>0.85</v>
      </c>
      <c r="L96" s="80">
        <f t="shared" ref="L96:L99" si="39">+F96*I96</f>
        <v>1811342.4</v>
      </c>
      <c r="M96" s="80">
        <f t="shared" ref="M96:M99" si="40">+F96*J96</f>
        <v>754726</v>
      </c>
      <c r="N96" s="80">
        <f t="shared" ref="N96:N99" si="41">+F96*K96</f>
        <v>2566068.4</v>
      </c>
    </row>
    <row r="97" spans="1:14" s="57" customFormat="1" ht="13.8" outlineLevel="1" x14ac:dyDescent="0.3">
      <c r="A97" s="217">
        <v>17.02</v>
      </c>
      <c r="B97" s="218" t="s">
        <v>108</v>
      </c>
      <c r="C97" s="219" t="s">
        <v>47</v>
      </c>
      <c r="D97" s="220">
        <v>23</v>
      </c>
      <c r="E97" s="42">
        <v>64232</v>
      </c>
      <c r="F97" s="42">
        <f t="shared" si="25"/>
        <v>1477336</v>
      </c>
      <c r="G97" s="181"/>
      <c r="H97" s="32"/>
      <c r="I97" s="245">
        <f>+'SVD 4140_Pto. 01_Cert. 06'!K97</f>
        <v>0.85</v>
      </c>
      <c r="J97" s="136"/>
      <c r="K97" s="79">
        <f t="shared" si="38"/>
        <v>0.85</v>
      </c>
      <c r="L97" s="80">
        <f t="shared" si="39"/>
        <v>1255735.5999999999</v>
      </c>
      <c r="M97" s="80">
        <f t="shared" si="40"/>
        <v>0</v>
      </c>
      <c r="N97" s="80">
        <f t="shared" si="41"/>
        <v>1255735.5999999999</v>
      </c>
    </row>
    <row r="98" spans="1:14" s="57" customFormat="1" ht="13.8" outlineLevel="1" x14ac:dyDescent="0.3">
      <c r="A98" s="217">
        <v>17.03</v>
      </c>
      <c r="B98" s="218" t="s">
        <v>109</v>
      </c>
      <c r="C98" s="219" t="s">
        <v>47</v>
      </c>
      <c r="D98" s="220">
        <v>51</v>
      </c>
      <c r="E98" s="42">
        <v>41296</v>
      </c>
      <c r="F98" s="42">
        <f t="shared" si="25"/>
        <v>2106096</v>
      </c>
      <c r="G98" s="181"/>
      <c r="H98" s="32"/>
      <c r="I98" s="245">
        <f>+'SVD 4140_Pto. 01_Cert. 06'!K98</f>
        <v>0.7</v>
      </c>
      <c r="J98" s="136">
        <v>0.15</v>
      </c>
      <c r="K98" s="79">
        <f t="shared" si="38"/>
        <v>0.85</v>
      </c>
      <c r="L98" s="80">
        <f t="shared" si="39"/>
        <v>1474267.2</v>
      </c>
      <c r="M98" s="80">
        <f t="shared" si="40"/>
        <v>315914.39999999997</v>
      </c>
      <c r="N98" s="80">
        <f t="shared" si="41"/>
        <v>1790181.5999999999</v>
      </c>
    </row>
    <row r="99" spans="1:14" s="57" customFormat="1" ht="13.8" outlineLevel="1" x14ac:dyDescent="0.3">
      <c r="A99" s="221">
        <v>17.04</v>
      </c>
      <c r="B99" s="222" t="s">
        <v>110</v>
      </c>
      <c r="C99" s="223" t="s">
        <v>47</v>
      </c>
      <c r="D99" s="224">
        <v>7</v>
      </c>
      <c r="E99" s="60">
        <v>93701</v>
      </c>
      <c r="F99" s="60">
        <f t="shared" si="25"/>
        <v>655907</v>
      </c>
      <c r="G99" s="181"/>
      <c r="H99" s="32"/>
      <c r="I99" s="245">
        <f>+'SVD 4140_Pto. 01_Cert. 06'!K99</f>
        <v>0</v>
      </c>
      <c r="J99" s="136"/>
      <c r="K99" s="79">
        <f t="shared" si="38"/>
        <v>0</v>
      </c>
      <c r="L99" s="80">
        <f t="shared" si="39"/>
        <v>0</v>
      </c>
      <c r="M99" s="80">
        <f t="shared" si="40"/>
        <v>0</v>
      </c>
      <c r="N99" s="80">
        <f t="shared" si="41"/>
        <v>0</v>
      </c>
    </row>
    <row r="100" spans="1:14" s="57" customFormat="1" ht="13.8" x14ac:dyDescent="0.3">
      <c r="A100" s="27">
        <v>18</v>
      </c>
      <c r="B100" s="28" t="s">
        <v>111</v>
      </c>
      <c r="C100" s="189"/>
      <c r="D100" s="65"/>
      <c r="E100" s="65"/>
      <c r="F100" s="65"/>
      <c r="G100" s="31">
        <f>+SUM(F101:F130)</f>
        <v>99277732</v>
      </c>
      <c r="H100" s="32">
        <f>+G100/$G$185</f>
        <v>0.13495109004450917</v>
      </c>
      <c r="I100" s="248"/>
      <c r="J100" s="206"/>
      <c r="K100" s="206"/>
      <c r="L100" s="207"/>
      <c r="M100" s="207"/>
      <c r="N100" s="208"/>
    </row>
    <row r="101" spans="1:14" s="57" customFormat="1" ht="13.8" outlineLevel="1" x14ac:dyDescent="0.3">
      <c r="A101" s="213">
        <v>18.010000000000002</v>
      </c>
      <c r="B101" s="214" t="s">
        <v>112</v>
      </c>
      <c r="C101" s="215" t="s">
        <v>47</v>
      </c>
      <c r="D101" s="216">
        <v>392</v>
      </c>
      <c r="E101" s="37">
        <v>59948</v>
      </c>
      <c r="F101" s="37">
        <f t="shared" si="25"/>
        <v>23499616</v>
      </c>
      <c r="G101" s="181"/>
      <c r="H101" s="32"/>
      <c r="I101" s="245">
        <f>+'SVD 4140_Pto. 01_Cert. 06'!K101</f>
        <v>0.45</v>
      </c>
      <c r="J101" s="134"/>
      <c r="K101" s="135">
        <f t="shared" ref="K101:K130" si="42">+I101+J101</f>
        <v>0.45</v>
      </c>
      <c r="L101" s="200">
        <f t="shared" ref="L101:L130" si="43">+F101*I101</f>
        <v>10574827.200000001</v>
      </c>
      <c r="M101" s="200">
        <f t="shared" ref="M101:M130" si="44">+F101*J101</f>
        <v>0</v>
      </c>
      <c r="N101" s="200">
        <f t="shared" ref="N101:N130" si="45">+F101*K101</f>
        <v>10574827.200000001</v>
      </c>
    </row>
    <row r="102" spans="1:14" s="57" customFormat="1" ht="13.8" outlineLevel="1" x14ac:dyDescent="0.3">
      <c r="A102" s="217">
        <v>18.02</v>
      </c>
      <c r="B102" s="218" t="s">
        <v>113</v>
      </c>
      <c r="C102" s="219" t="s">
        <v>47</v>
      </c>
      <c r="D102" s="220">
        <v>19</v>
      </c>
      <c r="E102" s="42">
        <v>59948</v>
      </c>
      <c r="F102" s="42">
        <f t="shared" si="25"/>
        <v>1139012</v>
      </c>
      <c r="G102" s="181"/>
      <c r="H102" s="32"/>
      <c r="I102" s="245">
        <f>+'SVD 4140_Pto. 01_Cert. 06'!K102</f>
        <v>0.35</v>
      </c>
      <c r="J102" s="136">
        <v>0.1</v>
      </c>
      <c r="K102" s="79">
        <f t="shared" si="42"/>
        <v>0.44999999999999996</v>
      </c>
      <c r="L102" s="201">
        <f t="shared" si="43"/>
        <v>398654.19999999995</v>
      </c>
      <c r="M102" s="201">
        <f t="shared" si="44"/>
        <v>113901.20000000001</v>
      </c>
      <c r="N102" s="201">
        <f t="shared" si="45"/>
        <v>512555.39999999997</v>
      </c>
    </row>
    <row r="103" spans="1:14" s="57" customFormat="1" ht="13.8" outlineLevel="1" x14ac:dyDescent="0.3">
      <c r="A103" s="217">
        <v>18.03</v>
      </c>
      <c r="B103" s="218" t="s">
        <v>114</v>
      </c>
      <c r="C103" s="219" t="s">
        <v>47</v>
      </c>
      <c r="D103" s="220">
        <v>349</v>
      </c>
      <c r="E103" s="42">
        <v>57445</v>
      </c>
      <c r="F103" s="42">
        <f t="shared" si="25"/>
        <v>20048305</v>
      </c>
      <c r="G103" s="181"/>
      <c r="H103" s="32"/>
      <c r="I103" s="245">
        <f>+'SVD 4140_Pto. 01_Cert. 06'!K103</f>
        <v>0.35</v>
      </c>
      <c r="J103" s="136">
        <v>0.05</v>
      </c>
      <c r="K103" s="79">
        <f t="shared" si="42"/>
        <v>0.39999999999999997</v>
      </c>
      <c r="L103" s="201">
        <f t="shared" si="43"/>
        <v>7016906.75</v>
      </c>
      <c r="M103" s="201">
        <f t="shared" si="44"/>
        <v>1002415.25</v>
      </c>
      <c r="N103" s="201">
        <f t="shared" si="45"/>
        <v>8019321.9999999991</v>
      </c>
    </row>
    <row r="104" spans="1:14" s="57" customFormat="1" ht="13.8" outlineLevel="1" x14ac:dyDescent="0.3">
      <c r="A104" s="217">
        <v>18.04</v>
      </c>
      <c r="B104" s="218" t="s">
        <v>115</v>
      </c>
      <c r="C104" s="219" t="s">
        <v>47</v>
      </c>
      <c r="D104" s="220">
        <v>35</v>
      </c>
      <c r="E104" s="42">
        <v>64480</v>
      </c>
      <c r="F104" s="42">
        <f t="shared" si="25"/>
        <v>2256800</v>
      </c>
      <c r="G104" s="181"/>
      <c r="H104" s="32"/>
      <c r="I104" s="245">
        <f>+'SVD 4140_Pto. 01_Cert. 06'!K104</f>
        <v>0.35</v>
      </c>
      <c r="J104" s="141">
        <v>0.05</v>
      </c>
      <c r="K104" s="79">
        <f t="shared" si="42"/>
        <v>0.39999999999999997</v>
      </c>
      <c r="L104" s="201">
        <f t="shared" si="43"/>
        <v>789880</v>
      </c>
      <c r="M104" s="201">
        <f t="shared" si="44"/>
        <v>112840</v>
      </c>
      <c r="N104" s="201">
        <f t="shared" si="45"/>
        <v>902719.99999999988</v>
      </c>
    </row>
    <row r="105" spans="1:14" s="57" customFormat="1" ht="13.8" outlineLevel="1" x14ac:dyDescent="0.3">
      <c r="A105" s="217">
        <v>18.05</v>
      </c>
      <c r="B105" s="218" t="s">
        <v>116</v>
      </c>
      <c r="C105" s="219" t="s">
        <v>47</v>
      </c>
      <c r="D105" s="220">
        <v>16</v>
      </c>
      <c r="E105" s="42">
        <v>57445</v>
      </c>
      <c r="F105" s="42">
        <f t="shared" si="25"/>
        <v>919120</v>
      </c>
      <c r="G105" s="181"/>
      <c r="H105" s="32"/>
      <c r="I105" s="245">
        <f>+'SVD 4140_Pto. 01_Cert. 06'!K105</f>
        <v>0.35</v>
      </c>
      <c r="J105" s="141">
        <v>0.05</v>
      </c>
      <c r="K105" s="79">
        <f t="shared" si="42"/>
        <v>0.39999999999999997</v>
      </c>
      <c r="L105" s="201">
        <f t="shared" si="43"/>
        <v>321692</v>
      </c>
      <c r="M105" s="201">
        <f t="shared" si="44"/>
        <v>45956</v>
      </c>
      <c r="N105" s="201">
        <f t="shared" si="45"/>
        <v>367647.99999999994</v>
      </c>
    </row>
    <row r="106" spans="1:14" s="57" customFormat="1" ht="13.8" outlineLevel="1" x14ac:dyDescent="0.3">
      <c r="A106" s="217">
        <v>18.059999999999999</v>
      </c>
      <c r="B106" s="218" t="s">
        <v>117</v>
      </c>
      <c r="C106" s="219" t="s">
        <v>47</v>
      </c>
      <c r="D106" s="220">
        <v>16</v>
      </c>
      <c r="E106" s="42">
        <v>57445</v>
      </c>
      <c r="F106" s="42">
        <f t="shared" si="25"/>
        <v>919120</v>
      </c>
      <c r="G106" s="181"/>
      <c r="H106" s="32"/>
      <c r="I106" s="245">
        <f>+'SVD 4140_Pto. 01_Cert. 06'!K106</f>
        <v>0.35000000000000003</v>
      </c>
      <c r="J106" s="141">
        <v>0.05</v>
      </c>
      <c r="K106" s="79">
        <f t="shared" si="42"/>
        <v>0.4</v>
      </c>
      <c r="L106" s="201">
        <f t="shared" si="43"/>
        <v>321692.00000000006</v>
      </c>
      <c r="M106" s="201">
        <f t="shared" si="44"/>
        <v>45956</v>
      </c>
      <c r="N106" s="201">
        <f t="shared" si="45"/>
        <v>367648</v>
      </c>
    </row>
    <row r="107" spans="1:14" s="57" customFormat="1" ht="13.8" outlineLevel="1" x14ac:dyDescent="0.3">
      <c r="A107" s="217">
        <v>18.07</v>
      </c>
      <c r="B107" s="218" t="s">
        <v>118</v>
      </c>
      <c r="C107" s="219" t="s">
        <v>47</v>
      </c>
      <c r="D107" s="220">
        <v>46</v>
      </c>
      <c r="E107" s="42">
        <v>43213</v>
      </c>
      <c r="F107" s="42">
        <f t="shared" si="25"/>
        <v>1987798</v>
      </c>
      <c r="G107" s="181"/>
      <c r="H107" s="32"/>
      <c r="I107" s="245">
        <f>+'SVD 4140_Pto. 01_Cert. 06'!K107</f>
        <v>0.35</v>
      </c>
      <c r="J107" s="141">
        <v>0.05</v>
      </c>
      <c r="K107" s="79">
        <f t="shared" si="42"/>
        <v>0.39999999999999997</v>
      </c>
      <c r="L107" s="201">
        <f t="shared" si="43"/>
        <v>695729.29999999993</v>
      </c>
      <c r="M107" s="201">
        <f t="shared" si="44"/>
        <v>99389.900000000009</v>
      </c>
      <c r="N107" s="201">
        <f t="shared" si="45"/>
        <v>795119.2</v>
      </c>
    </row>
    <row r="108" spans="1:14" s="57" customFormat="1" ht="13.8" outlineLevel="1" x14ac:dyDescent="0.3">
      <c r="A108" s="217">
        <v>18.079999999999998</v>
      </c>
      <c r="B108" s="218" t="s">
        <v>119</v>
      </c>
      <c r="C108" s="219" t="s">
        <v>47</v>
      </c>
      <c r="D108" s="220">
        <v>17</v>
      </c>
      <c r="E108" s="42">
        <v>43213</v>
      </c>
      <c r="F108" s="42">
        <f t="shared" si="25"/>
        <v>734621</v>
      </c>
      <c r="G108" s="181"/>
      <c r="H108" s="32"/>
      <c r="I108" s="245">
        <f>+'SVD 4140_Pto. 01_Cert. 06'!K108</f>
        <v>0.35</v>
      </c>
      <c r="J108" s="136">
        <v>0.05</v>
      </c>
      <c r="K108" s="79">
        <f t="shared" si="42"/>
        <v>0.39999999999999997</v>
      </c>
      <c r="L108" s="201">
        <f t="shared" si="43"/>
        <v>257117.34999999998</v>
      </c>
      <c r="M108" s="201">
        <f t="shared" si="44"/>
        <v>36731.050000000003</v>
      </c>
      <c r="N108" s="201">
        <f t="shared" si="45"/>
        <v>293848.39999999997</v>
      </c>
    </row>
    <row r="109" spans="1:14" s="57" customFormat="1" ht="13.8" outlineLevel="1" x14ac:dyDescent="0.3">
      <c r="A109" s="217">
        <v>18.09</v>
      </c>
      <c r="B109" s="218" t="s">
        <v>120</v>
      </c>
      <c r="C109" s="219" t="s">
        <v>47</v>
      </c>
      <c r="D109" s="220">
        <v>11</v>
      </c>
      <c r="E109" s="42">
        <v>43213</v>
      </c>
      <c r="F109" s="42">
        <f t="shared" si="25"/>
        <v>475343</v>
      </c>
      <c r="G109" s="181"/>
      <c r="H109" s="32"/>
      <c r="I109" s="245">
        <f>+'SVD 4140_Pto. 01_Cert. 06'!K109</f>
        <v>0.65</v>
      </c>
      <c r="J109" s="141"/>
      <c r="K109" s="79">
        <f t="shared" si="42"/>
        <v>0.65</v>
      </c>
      <c r="L109" s="201">
        <f t="shared" si="43"/>
        <v>308972.95</v>
      </c>
      <c r="M109" s="201">
        <f t="shared" si="44"/>
        <v>0</v>
      </c>
      <c r="N109" s="201">
        <f t="shared" si="45"/>
        <v>308972.95</v>
      </c>
    </row>
    <row r="110" spans="1:14" s="57" customFormat="1" ht="13.8" outlineLevel="1" x14ac:dyDescent="0.3">
      <c r="A110" s="217">
        <v>18.100000000000001</v>
      </c>
      <c r="B110" s="218" t="s">
        <v>121</v>
      </c>
      <c r="C110" s="219" t="s">
        <v>47</v>
      </c>
      <c r="D110" s="220">
        <v>1</v>
      </c>
      <c r="E110" s="42">
        <v>2365100</v>
      </c>
      <c r="F110" s="42">
        <f t="shared" si="25"/>
        <v>2365100</v>
      </c>
      <c r="G110" s="181"/>
      <c r="H110" s="32"/>
      <c r="I110" s="245">
        <f>+'SVD 4140_Pto. 01_Cert. 06'!K110</f>
        <v>0</v>
      </c>
      <c r="J110" s="141"/>
      <c r="K110" s="79">
        <f t="shared" si="42"/>
        <v>0</v>
      </c>
      <c r="L110" s="201">
        <f t="shared" si="43"/>
        <v>0</v>
      </c>
      <c r="M110" s="201">
        <f t="shared" si="44"/>
        <v>0</v>
      </c>
      <c r="N110" s="201">
        <f t="shared" si="45"/>
        <v>0</v>
      </c>
    </row>
    <row r="111" spans="1:14" s="57" customFormat="1" ht="13.8" outlineLevel="1" x14ac:dyDescent="0.3">
      <c r="A111" s="217">
        <v>18.11</v>
      </c>
      <c r="B111" s="218" t="s">
        <v>122</v>
      </c>
      <c r="C111" s="219" t="s">
        <v>47</v>
      </c>
      <c r="D111" s="220">
        <v>1</v>
      </c>
      <c r="E111" s="42">
        <v>1112140</v>
      </c>
      <c r="F111" s="42">
        <f t="shared" si="25"/>
        <v>1112140</v>
      </c>
      <c r="G111" s="181"/>
      <c r="H111" s="32"/>
      <c r="I111" s="245">
        <f>+'SVD 4140_Pto. 01_Cert. 06'!K111</f>
        <v>0</v>
      </c>
      <c r="J111" s="136"/>
      <c r="K111" s="79">
        <f t="shared" si="42"/>
        <v>0</v>
      </c>
      <c r="L111" s="201">
        <f t="shared" si="43"/>
        <v>0</v>
      </c>
      <c r="M111" s="201">
        <f t="shared" si="44"/>
        <v>0</v>
      </c>
      <c r="N111" s="201">
        <f t="shared" si="45"/>
        <v>0</v>
      </c>
    </row>
    <row r="112" spans="1:14" s="57" customFormat="1" ht="13.8" outlineLevel="1" x14ac:dyDescent="0.3">
      <c r="A112" s="217">
        <v>18.12</v>
      </c>
      <c r="B112" s="218" t="s">
        <v>123</v>
      </c>
      <c r="C112" s="219" t="s">
        <v>47</v>
      </c>
      <c r="D112" s="220">
        <v>1</v>
      </c>
      <c r="E112" s="42">
        <v>669004</v>
      </c>
      <c r="F112" s="42">
        <f t="shared" si="25"/>
        <v>669004</v>
      </c>
      <c r="G112" s="181"/>
      <c r="H112" s="32"/>
      <c r="I112" s="245">
        <f>+'SVD 4140_Pto. 01_Cert. 06'!K112</f>
        <v>0</v>
      </c>
      <c r="J112" s="136"/>
      <c r="K112" s="79">
        <f t="shared" si="42"/>
        <v>0</v>
      </c>
      <c r="L112" s="201">
        <f t="shared" si="43"/>
        <v>0</v>
      </c>
      <c r="M112" s="201">
        <f t="shared" si="44"/>
        <v>0</v>
      </c>
      <c r="N112" s="201">
        <f t="shared" si="45"/>
        <v>0</v>
      </c>
    </row>
    <row r="113" spans="1:14" s="57" customFormat="1" ht="13.8" outlineLevel="1" x14ac:dyDescent="0.3">
      <c r="A113" s="217">
        <v>18.13</v>
      </c>
      <c r="B113" s="218" t="s">
        <v>124</v>
      </c>
      <c r="C113" s="219" t="s">
        <v>47</v>
      </c>
      <c r="D113" s="220">
        <v>1</v>
      </c>
      <c r="E113" s="42">
        <v>970259</v>
      </c>
      <c r="F113" s="42">
        <f t="shared" si="25"/>
        <v>970259</v>
      </c>
      <c r="G113" s="181"/>
      <c r="H113" s="32"/>
      <c r="I113" s="245">
        <f>+'SVD 4140_Pto. 01_Cert. 06'!K113</f>
        <v>0</v>
      </c>
      <c r="J113" s="141"/>
      <c r="K113" s="79">
        <f t="shared" si="42"/>
        <v>0</v>
      </c>
      <c r="L113" s="201">
        <f t="shared" si="43"/>
        <v>0</v>
      </c>
      <c r="M113" s="201">
        <f t="shared" si="44"/>
        <v>0</v>
      </c>
      <c r="N113" s="201">
        <f t="shared" si="45"/>
        <v>0</v>
      </c>
    </row>
    <row r="114" spans="1:14" s="57" customFormat="1" ht="13.8" outlineLevel="1" x14ac:dyDescent="0.3">
      <c r="A114" s="217">
        <v>18.14</v>
      </c>
      <c r="B114" s="218" t="s">
        <v>125</v>
      </c>
      <c r="C114" s="219" t="s">
        <v>47</v>
      </c>
      <c r="D114" s="220">
        <v>1</v>
      </c>
      <c r="E114" s="42">
        <v>507898</v>
      </c>
      <c r="F114" s="42">
        <f t="shared" si="25"/>
        <v>507898</v>
      </c>
      <c r="G114" s="181"/>
      <c r="H114" s="32"/>
      <c r="I114" s="245">
        <f>+'SVD 4140_Pto. 01_Cert. 06'!K114</f>
        <v>0</v>
      </c>
      <c r="J114" s="136"/>
      <c r="K114" s="79">
        <f t="shared" si="42"/>
        <v>0</v>
      </c>
      <c r="L114" s="201">
        <f t="shared" si="43"/>
        <v>0</v>
      </c>
      <c r="M114" s="201">
        <f t="shared" si="44"/>
        <v>0</v>
      </c>
      <c r="N114" s="201">
        <f t="shared" si="45"/>
        <v>0</v>
      </c>
    </row>
    <row r="115" spans="1:14" s="57" customFormat="1" ht="13.8" outlineLevel="1" x14ac:dyDescent="0.3">
      <c r="A115" s="217">
        <v>18.149999999999999</v>
      </c>
      <c r="B115" s="218" t="s">
        <v>126</v>
      </c>
      <c r="C115" s="219" t="s">
        <v>47</v>
      </c>
      <c r="D115" s="220">
        <v>7</v>
      </c>
      <c r="E115" s="42">
        <v>507898</v>
      </c>
      <c r="F115" s="42">
        <f t="shared" si="25"/>
        <v>3555286</v>
      </c>
      <c r="G115" s="181"/>
      <c r="H115" s="32"/>
      <c r="I115" s="245">
        <f>+'SVD 4140_Pto. 01_Cert. 06'!K115</f>
        <v>0.05</v>
      </c>
      <c r="J115" s="136"/>
      <c r="K115" s="79">
        <f t="shared" si="42"/>
        <v>0.05</v>
      </c>
      <c r="L115" s="201">
        <f t="shared" si="43"/>
        <v>177764.30000000002</v>
      </c>
      <c r="M115" s="201">
        <f t="shared" si="44"/>
        <v>0</v>
      </c>
      <c r="N115" s="201">
        <f t="shared" si="45"/>
        <v>177764.30000000002</v>
      </c>
    </row>
    <row r="116" spans="1:14" s="57" customFormat="1" ht="13.8" outlineLevel="1" x14ac:dyDescent="0.3">
      <c r="A116" s="217">
        <v>18.16</v>
      </c>
      <c r="B116" s="218" t="s">
        <v>127</v>
      </c>
      <c r="C116" s="219" t="s">
        <v>47</v>
      </c>
      <c r="D116" s="220">
        <v>9</v>
      </c>
      <c r="E116" s="42">
        <v>595498</v>
      </c>
      <c r="F116" s="42">
        <f t="shared" si="25"/>
        <v>5359482</v>
      </c>
      <c r="G116" s="181"/>
      <c r="H116" s="32"/>
      <c r="I116" s="245">
        <f>+'SVD 4140_Pto. 01_Cert. 06'!K116</f>
        <v>0.05</v>
      </c>
      <c r="J116" s="141"/>
      <c r="K116" s="79">
        <f t="shared" si="42"/>
        <v>0.05</v>
      </c>
      <c r="L116" s="201">
        <f t="shared" si="43"/>
        <v>267974.10000000003</v>
      </c>
      <c r="M116" s="201">
        <f t="shared" si="44"/>
        <v>0</v>
      </c>
      <c r="N116" s="201">
        <f t="shared" si="45"/>
        <v>267974.10000000003</v>
      </c>
    </row>
    <row r="117" spans="1:14" s="57" customFormat="1" ht="13.8" outlineLevel="1" x14ac:dyDescent="0.3">
      <c r="A117" s="217">
        <v>18.170000000000002</v>
      </c>
      <c r="B117" s="218" t="s">
        <v>128</v>
      </c>
      <c r="C117" s="219" t="s">
        <v>28</v>
      </c>
      <c r="D117" s="220">
        <v>1</v>
      </c>
      <c r="E117" s="42">
        <v>9502264</v>
      </c>
      <c r="F117" s="42">
        <f t="shared" si="25"/>
        <v>9502264</v>
      </c>
      <c r="G117" s="181"/>
      <c r="H117" s="32"/>
      <c r="I117" s="245">
        <f>+'SVD 4140_Pto. 01_Cert. 06'!K117</f>
        <v>0</v>
      </c>
      <c r="J117" s="136"/>
      <c r="K117" s="79">
        <f t="shared" si="42"/>
        <v>0</v>
      </c>
      <c r="L117" s="201">
        <f t="shared" si="43"/>
        <v>0</v>
      </c>
      <c r="M117" s="201">
        <f t="shared" si="44"/>
        <v>0</v>
      </c>
      <c r="N117" s="201">
        <f t="shared" si="45"/>
        <v>0</v>
      </c>
    </row>
    <row r="118" spans="1:14" s="57" customFormat="1" ht="13.8" outlineLevel="1" x14ac:dyDescent="0.3">
      <c r="A118" s="217">
        <v>18.18</v>
      </c>
      <c r="B118" s="218" t="s">
        <v>129</v>
      </c>
      <c r="C118" s="219" t="s">
        <v>28</v>
      </c>
      <c r="D118" s="220">
        <v>1</v>
      </c>
      <c r="E118" s="42">
        <v>1878534</v>
      </c>
      <c r="F118" s="42">
        <f t="shared" si="25"/>
        <v>1878534</v>
      </c>
      <c r="G118" s="181"/>
      <c r="H118" s="32"/>
      <c r="I118" s="245">
        <f>+'SVD 4140_Pto. 01_Cert. 06'!K118</f>
        <v>0</v>
      </c>
      <c r="J118" s="136"/>
      <c r="K118" s="79">
        <f t="shared" si="42"/>
        <v>0</v>
      </c>
      <c r="L118" s="201">
        <f t="shared" si="43"/>
        <v>0</v>
      </c>
      <c r="M118" s="201">
        <f t="shared" si="44"/>
        <v>0</v>
      </c>
      <c r="N118" s="201">
        <f t="shared" si="45"/>
        <v>0</v>
      </c>
    </row>
    <row r="119" spans="1:14" s="57" customFormat="1" ht="13.8" outlineLevel="1" x14ac:dyDescent="0.3">
      <c r="A119" s="217">
        <v>18.190000000000001</v>
      </c>
      <c r="B119" s="218" t="s">
        <v>130</v>
      </c>
      <c r="C119" s="219" t="s">
        <v>28</v>
      </c>
      <c r="D119" s="220">
        <v>1</v>
      </c>
      <c r="E119" s="42">
        <v>1878534</v>
      </c>
      <c r="F119" s="42">
        <f t="shared" si="25"/>
        <v>1878534</v>
      </c>
      <c r="G119" s="181"/>
      <c r="H119" s="32"/>
      <c r="I119" s="245">
        <f>+'SVD 4140_Pto. 01_Cert. 06'!K119</f>
        <v>0</v>
      </c>
      <c r="J119" s="141"/>
      <c r="K119" s="79">
        <f t="shared" si="42"/>
        <v>0</v>
      </c>
      <c r="L119" s="201">
        <f t="shared" si="43"/>
        <v>0</v>
      </c>
      <c r="M119" s="201">
        <f t="shared" si="44"/>
        <v>0</v>
      </c>
      <c r="N119" s="201">
        <f t="shared" si="45"/>
        <v>0</v>
      </c>
    </row>
    <row r="120" spans="1:14" s="57" customFormat="1" ht="13.8" outlineLevel="1" x14ac:dyDescent="0.3">
      <c r="A120" s="217">
        <v>18.2</v>
      </c>
      <c r="B120" s="218" t="s">
        <v>131</v>
      </c>
      <c r="C120" s="219" t="s">
        <v>47</v>
      </c>
      <c r="D120" s="220">
        <v>33</v>
      </c>
      <c r="E120" s="42">
        <v>14235</v>
      </c>
      <c r="F120" s="42">
        <f t="shared" si="25"/>
        <v>469755</v>
      </c>
      <c r="G120" s="181"/>
      <c r="H120" s="32"/>
      <c r="I120" s="245">
        <f>+'SVD 4140_Pto. 01_Cert. 06'!K120</f>
        <v>0</v>
      </c>
      <c r="J120" s="136"/>
      <c r="K120" s="79">
        <f t="shared" si="42"/>
        <v>0</v>
      </c>
      <c r="L120" s="201">
        <f t="shared" si="43"/>
        <v>0</v>
      </c>
      <c r="M120" s="201">
        <f t="shared" si="44"/>
        <v>0</v>
      </c>
      <c r="N120" s="201">
        <f t="shared" si="45"/>
        <v>0</v>
      </c>
    </row>
    <row r="121" spans="1:14" s="57" customFormat="1" ht="13.8" outlineLevel="1" x14ac:dyDescent="0.3">
      <c r="A121" s="217">
        <v>18.21</v>
      </c>
      <c r="B121" s="218" t="s">
        <v>132</v>
      </c>
      <c r="C121" s="219" t="s">
        <v>47</v>
      </c>
      <c r="D121" s="220">
        <v>150</v>
      </c>
      <c r="E121" s="42">
        <v>9276</v>
      </c>
      <c r="F121" s="42">
        <f t="shared" si="25"/>
        <v>1391400</v>
      </c>
      <c r="G121" s="181"/>
      <c r="H121" s="32"/>
      <c r="I121" s="245">
        <f>+'SVD 4140_Pto. 01_Cert. 06'!K121</f>
        <v>0</v>
      </c>
      <c r="J121" s="136"/>
      <c r="K121" s="79">
        <f t="shared" si="42"/>
        <v>0</v>
      </c>
      <c r="L121" s="201">
        <f t="shared" si="43"/>
        <v>0</v>
      </c>
      <c r="M121" s="201">
        <f t="shared" si="44"/>
        <v>0</v>
      </c>
      <c r="N121" s="201">
        <f t="shared" si="45"/>
        <v>0</v>
      </c>
    </row>
    <row r="122" spans="1:14" s="57" customFormat="1" ht="13.8" outlineLevel="1" x14ac:dyDescent="0.3">
      <c r="A122" s="217">
        <v>18.22</v>
      </c>
      <c r="B122" s="218" t="s">
        <v>133</v>
      </c>
      <c r="C122" s="219" t="s">
        <v>47</v>
      </c>
      <c r="D122" s="220">
        <v>16</v>
      </c>
      <c r="E122" s="42">
        <v>9276</v>
      </c>
      <c r="F122" s="42">
        <f t="shared" si="25"/>
        <v>148416</v>
      </c>
      <c r="G122" s="181"/>
      <c r="H122" s="32"/>
      <c r="I122" s="245">
        <f>+'SVD 4140_Pto. 01_Cert. 06'!K122</f>
        <v>0</v>
      </c>
      <c r="J122" s="141"/>
      <c r="K122" s="79">
        <f t="shared" si="42"/>
        <v>0</v>
      </c>
      <c r="L122" s="201">
        <f t="shared" si="43"/>
        <v>0</v>
      </c>
      <c r="M122" s="201">
        <f t="shared" si="44"/>
        <v>0</v>
      </c>
      <c r="N122" s="201">
        <f t="shared" si="45"/>
        <v>0</v>
      </c>
    </row>
    <row r="123" spans="1:14" s="57" customFormat="1" ht="13.8" outlineLevel="1" x14ac:dyDescent="0.3">
      <c r="A123" s="217">
        <v>18.23</v>
      </c>
      <c r="B123" s="218" t="s">
        <v>134</v>
      </c>
      <c r="C123" s="219" t="s">
        <v>47</v>
      </c>
      <c r="D123" s="220">
        <v>349</v>
      </c>
      <c r="E123" s="42">
        <v>9276</v>
      </c>
      <c r="F123" s="42">
        <f t="shared" si="25"/>
        <v>3237324</v>
      </c>
      <c r="G123" s="181"/>
      <c r="H123" s="32"/>
      <c r="I123" s="245">
        <f>+'SVD 4140_Pto. 01_Cert. 06'!K123</f>
        <v>0</v>
      </c>
      <c r="J123" s="136"/>
      <c r="K123" s="79">
        <f t="shared" si="42"/>
        <v>0</v>
      </c>
      <c r="L123" s="201">
        <f t="shared" si="43"/>
        <v>0</v>
      </c>
      <c r="M123" s="201">
        <f t="shared" si="44"/>
        <v>0</v>
      </c>
      <c r="N123" s="201">
        <f t="shared" si="45"/>
        <v>0</v>
      </c>
    </row>
    <row r="124" spans="1:14" s="57" customFormat="1" ht="13.8" outlineLevel="1" x14ac:dyDescent="0.3">
      <c r="A124" s="217">
        <v>18.239999999999998</v>
      </c>
      <c r="B124" s="218" t="s">
        <v>135</v>
      </c>
      <c r="C124" s="219" t="s">
        <v>47</v>
      </c>
      <c r="D124" s="220">
        <v>27</v>
      </c>
      <c r="E124" s="42">
        <v>22326</v>
      </c>
      <c r="F124" s="42">
        <f t="shared" si="25"/>
        <v>602802</v>
      </c>
      <c r="G124" s="181"/>
      <c r="H124" s="32"/>
      <c r="I124" s="245">
        <f>+'SVD 4140_Pto. 01_Cert. 06'!K124</f>
        <v>0</v>
      </c>
      <c r="J124" s="136"/>
      <c r="K124" s="79">
        <f t="shared" si="42"/>
        <v>0</v>
      </c>
      <c r="L124" s="201">
        <f t="shared" si="43"/>
        <v>0</v>
      </c>
      <c r="M124" s="201">
        <f t="shared" si="44"/>
        <v>0</v>
      </c>
      <c r="N124" s="201">
        <f t="shared" si="45"/>
        <v>0</v>
      </c>
    </row>
    <row r="125" spans="1:14" s="57" customFormat="1" ht="13.8" outlineLevel="1" x14ac:dyDescent="0.3">
      <c r="A125" s="217">
        <v>18.25</v>
      </c>
      <c r="B125" s="218" t="s">
        <v>136</v>
      </c>
      <c r="C125" s="219" t="s">
        <v>47</v>
      </c>
      <c r="D125" s="220">
        <v>16</v>
      </c>
      <c r="E125" s="42">
        <v>14235</v>
      </c>
      <c r="F125" s="42">
        <f t="shared" si="25"/>
        <v>227760</v>
      </c>
      <c r="G125" s="181"/>
      <c r="H125" s="32"/>
      <c r="I125" s="245">
        <f>+'SVD 4140_Pto. 01_Cert. 06'!K125</f>
        <v>0</v>
      </c>
      <c r="J125" s="141"/>
      <c r="K125" s="79">
        <f t="shared" si="42"/>
        <v>0</v>
      </c>
      <c r="L125" s="201">
        <f t="shared" si="43"/>
        <v>0</v>
      </c>
      <c r="M125" s="201">
        <f t="shared" si="44"/>
        <v>0</v>
      </c>
      <c r="N125" s="201">
        <f t="shared" si="45"/>
        <v>0</v>
      </c>
    </row>
    <row r="126" spans="1:14" s="57" customFormat="1" ht="27.6" outlineLevel="1" x14ac:dyDescent="0.3">
      <c r="A126" s="217">
        <v>18.260000000000002</v>
      </c>
      <c r="B126" s="218" t="s">
        <v>137</v>
      </c>
      <c r="C126" s="219" t="s">
        <v>47</v>
      </c>
      <c r="D126" s="220">
        <v>137</v>
      </c>
      <c r="E126" s="42">
        <v>14235</v>
      </c>
      <c r="F126" s="42">
        <f t="shared" si="25"/>
        <v>1950195</v>
      </c>
      <c r="G126" s="181"/>
      <c r="H126" s="32"/>
      <c r="I126" s="245">
        <f>+'SVD 4140_Pto. 01_Cert. 06'!K126</f>
        <v>0</v>
      </c>
      <c r="J126" s="136"/>
      <c r="K126" s="79">
        <f t="shared" si="42"/>
        <v>0</v>
      </c>
      <c r="L126" s="201">
        <f t="shared" si="43"/>
        <v>0</v>
      </c>
      <c r="M126" s="201">
        <f t="shared" si="44"/>
        <v>0</v>
      </c>
      <c r="N126" s="201">
        <f t="shared" si="45"/>
        <v>0</v>
      </c>
    </row>
    <row r="127" spans="1:14" s="57" customFormat="1" ht="13.8" outlineLevel="1" x14ac:dyDescent="0.3">
      <c r="A127" s="217">
        <v>18.27</v>
      </c>
      <c r="B127" s="218" t="s">
        <v>138</v>
      </c>
      <c r="C127" s="219" t="s">
        <v>47</v>
      </c>
      <c r="D127" s="220">
        <v>1</v>
      </c>
      <c r="E127" s="42">
        <v>14235</v>
      </c>
      <c r="F127" s="42">
        <f t="shared" si="25"/>
        <v>14235</v>
      </c>
      <c r="G127" s="181"/>
      <c r="H127" s="32"/>
      <c r="I127" s="245">
        <f>+'SVD 4140_Pto. 01_Cert. 06'!K127</f>
        <v>0</v>
      </c>
      <c r="J127" s="136"/>
      <c r="K127" s="79">
        <f t="shared" si="42"/>
        <v>0</v>
      </c>
      <c r="L127" s="201">
        <f t="shared" si="43"/>
        <v>0</v>
      </c>
      <c r="M127" s="201">
        <f t="shared" si="44"/>
        <v>0</v>
      </c>
      <c r="N127" s="201">
        <f t="shared" si="45"/>
        <v>0</v>
      </c>
    </row>
    <row r="128" spans="1:14" s="57" customFormat="1" ht="13.8" outlineLevel="1" x14ac:dyDescent="0.3">
      <c r="A128" s="217">
        <v>18.28</v>
      </c>
      <c r="B128" s="218" t="s">
        <v>139</v>
      </c>
      <c r="C128" s="219" t="s">
        <v>28</v>
      </c>
      <c r="D128" s="220">
        <v>1</v>
      </c>
      <c r="E128" s="42">
        <v>9332982</v>
      </c>
      <c r="F128" s="42">
        <f t="shared" si="25"/>
        <v>9332982</v>
      </c>
      <c r="G128" s="181"/>
      <c r="H128" s="32"/>
      <c r="I128" s="245">
        <f>+'SVD 4140_Pto. 01_Cert. 06'!K128</f>
        <v>0</v>
      </c>
      <c r="J128" s="141"/>
      <c r="K128" s="79">
        <f t="shared" si="42"/>
        <v>0</v>
      </c>
      <c r="L128" s="201">
        <f t="shared" si="43"/>
        <v>0</v>
      </c>
      <c r="M128" s="201">
        <f t="shared" si="44"/>
        <v>0</v>
      </c>
      <c r="N128" s="201">
        <f t="shared" si="45"/>
        <v>0</v>
      </c>
    </row>
    <row r="129" spans="1:14" s="57" customFormat="1" ht="13.8" outlineLevel="1" x14ac:dyDescent="0.3">
      <c r="A129" s="217">
        <v>18.29</v>
      </c>
      <c r="B129" s="218" t="s">
        <v>140</v>
      </c>
      <c r="C129" s="219" t="s">
        <v>28</v>
      </c>
      <c r="D129" s="220">
        <v>1</v>
      </c>
      <c r="E129" s="42">
        <v>1998778</v>
      </c>
      <c r="F129" s="42">
        <f t="shared" si="25"/>
        <v>1998778</v>
      </c>
      <c r="G129" s="181"/>
      <c r="H129" s="32"/>
      <c r="I129" s="245">
        <f>+'SVD 4140_Pto. 01_Cert. 06'!K129</f>
        <v>0</v>
      </c>
      <c r="J129" s="136"/>
      <c r="K129" s="79">
        <f t="shared" si="42"/>
        <v>0</v>
      </c>
      <c r="L129" s="201">
        <f t="shared" si="43"/>
        <v>0</v>
      </c>
      <c r="M129" s="201">
        <f t="shared" si="44"/>
        <v>0</v>
      </c>
      <c r="N129" s="201">
        <f t="shared" si="45"/>
        <v>0</v>
      </c>
    </row>
    <row r="130" spans="1:14" s="57" customFormat="1" ht="13.8" outlineLevel="1" x14ac:dyDescent="0.3">
      <c r="A130" s="221">
        <v>18.3</v>
      </c>
      <c r="B130" s="222" t="s">
        <v>141</v>
      </c>
      <c r="C130" s="223" t="s">
        <v>28</v>
      </c>
      <c r="D130" s="224">
        <v>1</v>
      </c>
      <c r="E130" s="60">
        <v>125849</v>
      </c>
      <c r="F130" s="60">
        <f t="shared" si="25"/>
        <v>125849</v>
      </c>
      <c r="G130" s="181"/>
      <c r="H130" s="32"/>
      <c r="I130" s="245">
        <f>+'SVD 4140_Pto. 01_Cert. 06'!K130</f>
        <v>0</v>
      </c>
      <c r="J130" s="136"/>
      <c r="K130" s="79">
        <f t="shared" si="42"/>
        <v>0</v>
      </c>
      <c r="L130" s="201">
        <f t="shared" si="43"/>
        <v>0</v>
      </c>
      <c r="M130" s="201">
        <f t="shared" si="44"/>
        <v>0</v>
      </c>
      <c r="N130" s="201">
        <f t="shared" si="45"/>
        <v>0</v>
      </c>
    </row>
    <row r="131" spans="1:14" s="57" customFormat="1" ht="13.8" outlineLevel="1" x14ac:dyDescent="0.3">
      <c r="A131" s="225">
        <v>19</v>
      </c>
      <c r="B131" s="226" t="s">
        <v>142</v>
      </c>
      <c r="C131" s="227"/>
      <c r="D131" s="228"/>
      <c r="E131" s="229"/>
      <c r="F131" s="230"/>
      <c r="G131" s="181"/>
      <c r="H131" s="32"/>
      <c r="I131" s="248"/>
      <c r="J131" s="206"/>
      <c r="K131" s="206"/>
      <c r="L131" s="207"/>
      <c r="M131" s="207"/>
      <c r="N131" s="208"/>
    </row>
    <row r="132" spans="1:14" s="57" customFormat="1" ht="13.8" x14ac:dyDescent="0.3">
      <c r="A132" s="27"/>
      <c r="B132" s="28" t="s">
        <v>143</v>
      </c>
      <c r="C132" s="189"/>
      <c r="D132" s="65"/>
      <c r="E132" s="65"/>
      <c r="F132" s="65"/>
      <c r="G132" s="31">
        <f>+SUM(F133:F136)</f>
        <v>21161055</v>
      </c>
      <c r="H132" s="32">
        <f>+G132/$G$185</f>
        <v>2.8764833575587834E-2</v>
      </c>
      <c r="I132" s="248"/>
      <c r="J132" s="206"/>
      <c r="K132" s="206"/>
      <c r="L132" s="207"/>
      <c r="M132" s="207"/>
      <c r="N132" s="208"/>
    </row>
    <row r="133" spans="1:14" s="57" customFormat="1" ht="13.8" outlineLevel="1" x14ac:dyDescent="0.3">
      <c r="A133" s="213">
        <v>19.010000000000002</v>
      </c>
      <c r="B133" s="214" t="s">
        <v>144</v>
      </c>
      <c r="C133" s="215" t="s">
        <v>28</v>
      </c>
      <c r="D133" s="216">
        <v>1</v>
      </c>
      <c r="E133" s="37">
        <v>7236758</v>
      </c>
      <c r="F133" s="37">
        <f t="shared" si="25"/>
        <v>7236758</v>
      </c>
      <c r="G133" s="181"/>
      <c r="H133" s="32"/>
      <c r="I133" s="245">
        <f>+'SVD 4140_Pto. 01_Cert. 06'!K133</f>
        <v>0.2</v>
      </c>
      <c r="J133" s="249"/>
      <c r="K133" s="135">
        <f t="shared" ref="K133:K136" si="46">+I133+J133</f>
        <v>0.2</v>
      </c>
      <c r="L133" s="200">
        <f t="shared" ref="L133:L136" si="47">+F133*I133</f>
        <v>1447351.6</v>
      </c>
      <c r="M133" s="200">
        <f t="shared" ref="M133:M136" si="48">+F133*J133</f>
        <v>0</v>
      </c>
      <c r="N133" s="200">
        <f t="shared" ref="N133:N136" si="49">+F133*K133</f>
        <v>1447351.6</v>
      </c>
    </row>
    <row r="134" spans="1:14" s="57" customFormat="1" ht="13.8" outlineLevel="1" x14ac:dyDescent="0.3">
      <c r="A134" s="217">
        <v>19.02</v>
      </c>
      <c r="B134" s="218" t="s">
        <v>145</v>
      </c>
      <c r="C134" s="219" t="s">
        <v>28</v>
      </c>
      <c r="D134" s="220">
        <v>1</v>
      </c>
      <c r="E134" s="42">
        <v>1001516</v>
      </c>
      <c r="F134" s="42">
        <f t="shared" si="25"/>
        <v>1001516</v>
      </c>
      <c r="G134" s="181"/>
      <c r="H134" s="32"/>
      <c r="I134" s="245">
        <f>+'SVD 4140_Pto. 01_Cert. 06'!K134</f>
        <v>0</v>
      </c>
      <c r="J134" s="136"/>
      <c r="K134" s="79">
        <f t="shared" si="46"/>
        <v>0</v>
      </c>
      <c r="L134" s="201">
        <f t="shared" si="47"/>
        <v>0</v>
      </c>
      <c r="M134" s="201">
        <f t="shared" si="48"/>
        <v>0</v>
      </c>
      <c r="N134" s="201">
        <f t="shared" si="49"/>
        <v>0</v>
      </c>
    </row>
    <row r="135" spans="1:14" s="57" customFormat="1" ht="13.8" outlineLevel="1" x14ac:dyDescent="0.3">
      <c r="A135" s="217">
        <v>19.03</v>
      </c>
      <c r="B135" s="218" t="s">
        <v>146</v>
      </c>
      <c r="C135" s="219" t="s">
        <v>28</v>
      </c>
      <c r="D135" s="220">
        <v>1</v>
      </c>
      <c r="E135" s="42">
        <v>8787491</v>
      </c>
      <c r="F135" s="42">
        <f t="shared" si="25"/>
        <v>8787491</v>
      </c>
      <c r="G135" s="181"/>
      <c r="H135" s="32"/>
      <c r="I135" s="245">
        <f>+'SVD 4140_Pto. 01_Cert. 06'!K135</f>
        <v>0.35</v>
      </c>
      <c r="J135" s="141">
        <v>0.45</v>
      </c>
      <c r="K135" s="79">
        <f t="shared" si="46"/>
        <v>0.8</v>
      </c>
      <c r="L135" s="201">
        <f t="shared" si="47"/>
        <v>3075621.8499999996</v>
      </c>
      <c r="M135" s="201">
        <f t="shared" si="48"/>
        <v>3954370.95</v>
      </c>
      <c r="N135" s="201">
        <f t="shared" si="49"/>
        <v>7029992.8000000007</v>
      </c>
    </row>
    <row r="136" spans="1:14" s="57" customFormat="1" ht="13.8" outlineLevel="1" x14ac:dyDescent="0.3">
      <c r="A136" s="221">
        <v>19.04</v>
      </c>
      <c r="B136" s="222" t="s">
        <v>147</v>
      </c>
      <c r="C136" s="223" t="s">
        <v>28</v>
      </c>
      <c r="D136" s="224">
        <v>1</v>
      </c>
      <c r="E136" s="60">
        <v>4135290</v>
      </c>
      <c r="F136" s="60">
        <f t="shared" si="25"/>
        <v>4135290</v>
      </c>
      <c r="G136" s="181"/>
      <c r="H136" s="32"/>
      <c r="I136" s="245">
        <f>+'SVD 4140_Pto. 01_Cert. 06'!K136</f>
        <v>0.30000000000000004</v>
      </c>
      <c r="J136" s="141">
        <v>0.4</v>
      </c>
      <c r="K136" s="79">
        <f t="shared" si="46"/>
        <v>0.70000000000000007</v>
      </c>
      <c r="L136" s="201">
        <f t="shared" si="47"/>
        <v>1240587.0000000002</v>
      </c>
      <c r="M136" s="201">
        <f t="shared" si="48"/>
        <v>1654116</v>
      </c>
      <c r="N136" s="201">
        <f t="shared" si="49"/>
        <v>2894703.0000000005</v>
      </c>
    </row>
    <row r="137" spans="1:14" s="57" customFormat="1" ht="13.8" x14ac:dyDescent="0.3">
      <c r="A137" s="27"/>
      <c r="B137" s="28" t="s">
        <v>148</v>
      </c>
      <c r="C137" s="189"/>
      <c r="D137" s="65"/>
      <c r="E137" s="65"/>
      <c r="F137" s="65"/>
      <c r="G137" s="31">
        <f>+SUM(F138:F140)</f>
        <v>6551951</v>
      </c>
      <c r="H137" s="32">
        <f>+G137/$G$185</f>
        <v>8.9062563331746124E-3</v>
      </c>
      <c r="I137" s="248"/>
      <c r="J137" s="206"/>
      <c r="K137" s="206"/>
      <c r="L137" s="206"/>
      <c r="M137" s="207"/>
      <c r="N137" s="208"/>
    </row>
    <row r="138" spans="1:14" s="57" customFormat="1" ht="13.8" outlineLevel="1" x14ac:dyDescent="0.3">
      <c r="A138" s="213">
        <v>19.05</v>
      </c>
      <c r="B138" s="214" t="s">
        <v>149</v>
      </c>
      <c r="C138" s="215" t="s">
        <v>28</v>
      </c>
      <c r="D138" s="216">
        <v>1</v>
      </c>
      <c r="E138" s="37">
        <v>2675380</v>
      </c>
      <c r="F138" s="37">
        <f t="shared" si="25"/>
        <v>2675380</v>
      </c>
      <c r="G138" s="181"/>
      <c r="H138" s="32"/>
      <c r="I138" s="245">
        <f>+'SVD 4140_Pto. 01_Cert. 06'!K138</f>
        <v>0.5</v>
      </c>
      <c r="J138" s="249"/>
      <c r="K138" s="135">
        <f t="shared" ref="K138:K140" si="50">+I138+J138</f>
        <v>0.5</v>
      </c>
      <c r="L138" s="200">
        <f t="shared" ref="L138:L140" si="51">+F138*I138</f>
        <v>1337690</v>
      </c>
      <c r="M138" s="200">
        <f t="shared" ref="M138:M140" si="52">+F138*J138</f>
        <v>0</v>
      </c>
      <c r="N138" s="200">
        <f t="shared" ref="N138:N140" si="53">+F138*K138</f>
        <v>1337690</v>
      </c>
    </row>
    <row r="139" spans="1:14" s="57" customFormat="1" ht="13.8" outlineLevel="1" x14ac:dyDescent="0.3">
      <c r="A139" s="217">
        <v>19.059999999999999</v>
      </c>
      <c r="B139" s="218" t="s">
        <v>150</v>
      </c>
      <c r="C139" s="219" t="s">
        <v>28</v>
      </c>
      <c r="D139" s="220">
        <v>1</v>
      </c>
      <c r="E139" s="42">
        <v>3057577</v>
      </c>
      <c r="F139" s="42">
        <f t="shared" si="25"/>
        <v>3057577</v>
      </c>
      <c r="G139" s="181"/>
      <c r="H139" s="32"/>
      <c r="I139" s="245">
        <f>+'SVD 4140_Pto. 01_Cert. 06'!K139</f>
        <v>0.7</v>
      </c>
      <c r="J139" s="136">
        <v>0.05</v>
      </c>
      <c r="K139" s="79">
        <f t="shared" si="50"/>
        <v>0.75</v>
      </c>
      <c r="L139" s="201">
        <f t="shared" si="51"/>
        <v>2140303.9</v>
      </c>
      <c r="M139" s="201">
        <f t="shared" si="52"/>
        <v>152878.85</v>
      </c>
      <c r="N139" s="201">
        <f t="shared" si="53"/>
        <v>2293182.75</v>
      </c>
    </row>
    <row r="140" spans="1:14" s="57" customFormat="1" ht="13.8" outlineLevel="1" x14ac:dyDescent="0.3">
      <c r="A140" s="221">
        <v>19.07</v>
      </c>
      <c r="B140" s="222" t="s">
        <v>151</v>
      </c>
      <c r="C140" s="223" t="s">
        <v>28</v>
      </c>
      <c r="D140" s="224">
        <v>1</v>
      </c>
      <c r="E140" s="60">
        <v>818994</v>
      </c>
      <c r="F140" s="60">
        <f t="shared" ref="F140:F184" si="54">+D140*E140</f>
        <v>818994</v>
      </c>
      <c r="G140" s="181"/>
      <c r="H140" s="32"/>
      <c r="I140" s="245">
        <f>+'SVD 4140_Pto. 01_Cert. 06'!K140</f>
        <v>0</v>
      </c>
      <c r="J140" s="136"/>
      <c r="K140" s="79">
        <f t="shared" si="50"/>
        <v>0</v>
      </c>
      <c r="L140" s="201">
        <f t="shared" si="51"/>
        <v>0</v>
      </c>
      <c r="M140" s="201">
        <f t="shared" si="52"/>
        <v>0</v>
      </c>
      <c r="N140" s="201">
        <f t="shared" si="53"/>
        <v>0</v>
      </c>
    </row>
    <row r="141" spans="1:14" s="57" customFormat="1" ht="13.8" x14ac:dyDescent="0.3">
      <c r="A141" s="27"/>
      <c r="B141" s="28" t="s">
        <v>152</v>
      </c>
      <c r="C141" s="189"/>
      <c r="D141" s="65"/>
      <c r="E141" s="65"/>
      <c r="F141" s="65"/>
      <c r="G141" s="31">
        <f>+SUM(F142:F146)</f>
        <v>37004103</v>
      </c>
      <c r="H141" s="32">
        <f>+G141/$G$185</f>
        <v>5.0300746555826753E-2</v>
      </c>
      <c r="I141" s="248"/>
      <c r="J141" s="206"/>
      <c r="K141" s="206"/>
      <c r="L141" s="206"/>
      <c r="M141" s="207"/>
      <c r="N141" s="208"/>
    </row>
    <row r="142" spans="1:14" s="57" customFormat="1" ht="13.8" outlineLevel="1" x14ac:dyDescent="0.3">
      <c r="A142" s="213">
        <v>19.079999999999998</v>
      </c>
      <c r="B142" s="214" t="s">
        <v>153</v>
      </c>
      <c r="C142" s="215" t="s">
        <v>28</v>
      </c>
      <c r="D142" s="216">
        <v>1</v>
      </c>
      <c r="E142" s="37">
        <v>3750416</v>
      </c>
      <c r="F142" s="37">
        <f t="shared" si="54"/>
        <v>3750416</v>
      </c>
      <c r="G142" s="181"/>
      <c r="H142" s="32"/>
      <c r="I142" s="245">
        <f>+'SVD 4140_Pto. 01_Cert. 06'!K142</f>
        <v>0</v>
      </c>
      <c r="J142" s="134"/>
      <c r="K142" s="135">
        <f t="shared" ref="K142:K146" si="55">+I142+J142</f>
        <v>0</v>
      </c>
      <c r="L142" s="200">
        <f t="shared" ref="L142:L146" si="56">+F142*I142</f>
        <v>0</v>
      </c>
      <c r="M142" s="200">
        <f t="shared" ref="M142:M146" si="57">+F142*J142</f>
        <v>0</v>
      </c>
      <c r="N142" s="200">
        <f t="shared" ref="N142:N146" si="58">+F142*K142</f>
        <v>0</v>
      </c>
    </row>
    <row r="143" spans="1:14" s="57" customFormat="1" ht="13.8" outlineLevel="1" x14ac:dyDescent="0.3">
      <c r="A143" s="217">
        <v>19.09</v>
      </c>
      <c r="B143" s="218" t="s">
        <v>154</v>
      </c>
      <c r="C143" s="219" t="s">
        <v>28</v>
      </c>
      <c r="D143" s="220">
        <v>1</v>
      </c>
      <c r="E143" s="42">
        <v>7500832</v>
      </c>
      <c r="F143" s="42">
        <f t="shared" si="54"/>
        <v>7500832</v>
      </c>
      <c r="G143" s="181"/>
      <c r="H143" s="32"/>
      <c r="I143" s="245">
        <f>+'SVD 4140_Pto. 01_Cert. 06'!K143</f>
        <v>0</v>
      </c>
      <c r="J143" s="136"/>
      <c r="K143" s="79">
        <f t="shared" si="55"/>
        <v>0</v>
      </c>
      <c r="L143" s="201">
        <f t="shared" si="56"/>
        <v>0</v>
      </c>
      <c r="M143" s="201">
        <f t="shared" si="57"/>
        <v>0</v>
      </c>
      <c r="N143" s="201">
        <f t="shared" si="58"/>
        <v>0</v>
      </c>
    </row>
    <row r="144" spans="1:14" s="57" customFormat="1" ht="13.8" outlineLevel="1" x14ac:dyDescent="0.3">
      <c r="A144" s="217">
        <v>19.100000000000001</v>
      </c>
      <c r="B144" s="218" t="s">
        <v>155</v>
      </c>
      <c r="C144" s="219" t="s">
        <v>28</v>
      </c>
      <c r="D144" s="220">
        <v>1</v>
      </c>
      <c r="E144" s="42">
        <v>1750194</v>
      </c>
      <c r="F144" s="42">
        <f t="shared" si="54"/>
        <v>1750194</v>
      </c>
      <c r="G144" s="181"/>
      <c r="H144" s="32"/>
      <c r="I144" s="245">
        <f>+'SVD 4140_Pto. 01_Cert. 06'!K144</f>
        <v>0</v>
      </c>
      <c r="J144" s="136"/>
      <c r="K144" s="79">
        <f t="shared" si="55"/>
        <v>0</v>
      </c>
      <c r="L144" s="201">
        <f t="shared" si="56"/>
        <v>0</v>
      </c>
      <c r="M144" s="201">
        <f t="shared" si="57"/>
        <v>0</v>
      </c>
      <c r="N144" s="201">
        <f t="shared" si="58"/>
        <v>0</v>
      </c>
    </row>
    <row r="145" spans="1:14" s="57" customFormat="1" ht="13.8" outlineLevel="1" x14ac:dyDescent="0.3">
      <c r="A145" s="217">
        <v>19.11</v>
      </c>
      <c r="B145" s="218" t="s">
        <v>156</v>
      </c>
      <c r="C145" s="219" t="s">
        <v>28</v>
      </c>
      <c r="D145" s="220">
        <v>1</v>
      </c>
      <c r="E145" s="42">
        <v>14001552</v>
      </c>
      <c r="F145" s="42">
        <f t="shared" si="54"/>
        <v>14001552</v>
      </c>
      <c r="G145" s="181"/>
      <c r="H145" s="32"/>
      <c r="I145" s="245">
        <f>+'SVD 4140_Pto. 01_Cert. 06'!K145</f>
        <v>0.35000000000000003</v>
      </c>
      <c r="J145" s="141">
        <v>0.25</v>
      </c>
      <c r="K145" s="79">
        <f t="shared" si="55"/>
        <v>0.60000000000000009</v>
      </c>
      <c r="L145" s="201">
        <f t="shared" si="56"/>
        <v>4900543.2</v>
      </c>
      <c r="M145" s="201">
        <f t="shared" si="57"/>
        <v>3500388</v>
      </c>
      <c r="N145" s="201">
        <f t="shared" si="58"/>
        <v>8400931.2000000011</v>
      </c>
    </row>
    <row r="146" spans="1:14" s="57" customFormat="1" ht="13.8" outlineLevel="1" x14ac:dyDescent="0.3">
      <c r="A146" s="221">
        <v>19.12</v>
      </c>
      <c r="B146" s="222" t="s">
        <v>157</v>
      </c>
      <c r="C146" s="223" t="s">
        <v>28</v>
      </c>
      <c r="D146" s="224">
        <v>1</v>
      </c>
      <c r="E146" s="60">
        <v>10001109</v>
      </c>
      <c r="F146" s="60">
        <f t="shared" si="54"/>
        <v>10001109</v>
      </c>
      <c r="G146" s="181"/>
      <c r="H146" s="32"/>
      <c r="I146" s="245">
        <f>+'SVD 4140_Pto. 01_Cert. 06'!K146</f>
        <v>0</v>
      </c>
      <c r="J146" s="141"/>
      <c r="K146" s="79">
        <f t="shared" si="55"/>
        <v>0</v>
      </c>
      <c r="L146" s="201">
        <f t="shared" si="56"/>
        <v>0</v>
      </c>
      <c r="M146" s="201">
        <f t="shared" si="57"/>
        <v>0</v>
      </c>
      <c r="N146" s="201">
        <f t="shared" si="58"/>
        <v>0</v>
      </c>
    </row>
    <row r="147" spans="1:14" s="57" customFormat="1" ht="13.8" x14ac:dyDescent="0.3">
      <c r="A147" s="27"/>
      <c r="B147" s="28" t="s">
        <v>158</v>
      </c>
      <c r="C147" s="189"/>
      <c r="D147" s="65"/>
      <c r="E147" s="65"/>
      <c r="F147" s="65"/>
      <c r="G147" s="31">
        <f>+SUM(F148)</f>
        <v>2047485</v>
      </c>
      <c r="H147" s="32">
        <f>+G147/$G$185</f>
        <v>2.7832055289073467E-3</v>
      </c>
      <c r="I147" s="248"/>
      <c r="J147" s="206"/>
      <c r="K147" s="206"/>
      <c r="L147" s="206"/>
      <c r="M147" s="207"/>
      <c r="N147" s="208"/>
    </row>
    <row r="148" spans="1:14" s="57" customFormat="1" ht="13.8" outlineLevel="1" x14ac:dyDescent="0.3">
      <c r="A148" s="231">
        <v>19.13</v>
      </c>
      <c r="B148" s="232" t="s">
        <v>159</v>
      </c>
      <c r="C148" s="233" t="s">
        <v>28</v>
      </c>
      <c r="D148" s="234">
        <v>1</v>
      </c>
      <c r="E148" s="235">
        <v>2047485</v>
      </c>
      <c r="F148" s="235">
        <f t="shared" si="54"/>
        <v>2047485</v>
      </c>
      <c r="G148" s="181"/>
      <c r="H148" s="32"/>
      <c r="I148" s="245">
        <f>+'SVD 4140_Pto. 01_Cert. 06'!K148</f>
        <v>0.35</v>
      </c>
      <c r="J148" s="134">
        <v>0.05</v>
      </c>
      <c r="K148" s="135">
        <f t="shared" ref="K148" si="59">+I148+J148</f>
        <v>0.39999999999999997</v>
      </c>
      <c r="L148" s="200">
        <f t="shared" ref="L148" si="60">+F148*I148</f>
        <v>716619.75</v>
      </c>
      <c r="M148" s="200">
        <f t="shared" ref="M148" si="61">+F148*J148</f>
        <v>102374.25</v>
      </c>
      <c r="N148" s="200">
        <f t="shared" ref="N148" si="62">+F148*K148</f>
        <v>818993.99999999988</v>
      </c>
    </row>
    <row r="149" spans="1:14" s="57" customFormat="1" ht="13.8" x14ac:dyDescent="0.3">
      <c r="A149" s="27"/>
      <c r="B149" s="28" t="s">
        <v>160</v>
      </c>
      <c r="C149" s="189"/>
      <c r="D149" s="65"/>
      <c r="E149" s="65"/>
      <c r="F149" s="65"/>
      <c r="G149" s="31">
        <f>+SUM(F150:F153)</f>
        <v>32512648</v>
      </c>
      <c r="H149" s="32">
        <f>+G149/$G$185</f>
        <v>4.4195381979852545E-2</v>
      </c>
      <c r="I149" s="248"/>
      <c r="J149" s="206"/>
      <c r="K149" s="206"/>
      <c r="L149" s="206"/>
      <c r="M149" s="207"/>
      <c r="N149" s="208"/>
    </row>
    <row r="150" spans="1:14" s="57" customFormat="1" ht="13.8" outlineLevel="1" x14ac:dyDescent="0.3">
      <c r="A150" s="213">
        <v>19.14</v>
      </c>
      <c r="B150" s="214" t="s">
        <v>161</v>
      </c>
      <c r="C150" s="215" t="s">
        <v>28</v>
      </c>
      <c r="D150" s="216">
        <v>1</v>
      </c>
      <c r="E150" s="37">
        <v>15888634</v>
      </c>
      <c r="F150" s="37">
        <f t="shared" si="54"/>
        <v>15888634</v>
      </c>
      <c r="G150" s="181"/>
      <c r="H150" s="32"/>
      <c r="I150" s="245">
        <f>+'SVD 4140_Pto. 01_Cert. 06'!K150</f>
        <v>0</v>
      </c>
      <c r="J150" s="134"/>
      <c r="K150" s="135">
        <f t="shared" ref="K150:K153" si="63">+I150+J150</f>
        <v>0</v>
      </c>
      <c r="L150" s="200">
        <f t="shared" ref="L150:L153" si="64">+F150*I150</f>
        <v>0</v>
      </c>
      <c r="M150" s="200">
        <f t="shared" ref="M150:M153" si="65">+F150*J150</f>
        <v>0</v>
      </c>
      <c r="N150" s="200">
        <f t="shared" ref="N150:N153" si="66">+F150*K150</f>
        <v>0</v>
      </c>
    </row>
    <row r="151" spans="1:14" s="57" customFormat="1" ht="13.8" outlineLevel="1" x14ac:dyDescent="0.3">
      <c r="A151" s="217">
        <v>19.149999999999999</v>
      </c>
      <c r="B151" s="218" t="s">
        <v>162</v>
      </c>
      <c r="C151" s="219" t="s">
        <v>28</v>
      </c>
      <c r="D151" s="220">
        <v>1</v>
      </c>
      <c r="E151" s="42">
        <v>6190377</v>
      </c>
      <c r="F151" s="42">
        <f t="shared" si="54"/>
        <v>6190377</v>
      </c>
      <c r="G151" s="181"/>
      <c r="H151" s="32"/>
      <c r="I151" s="245">
        <f>+'SVD 4140_Pto. 01_Cert. 06'!K151</f>
        <v>0</v>
      </c>
      <c r="J151" s="136"/>
      <c r="K151" s="79">
        <f t="shared" si="63"/>
        <v>0</v>
      </c>
      <c r="L151" s="201">
        <f t="shared" si="64"/>
        <v>0</v>
      </c>
      <c r="M151" s="201">
        <f t="shared" si="65"/>
        <v>0</v>
      </c>
      <c r="N151" s="201">
        <f t="shared" si="66"/>
        <v>0</v>
      </c>
    </row>
    <row r="152" spans="1:14" s="57" customFormat="1" ht="13.8" outlineLevel="1" x14ac:dyDescent="0.3">
      <c r="A152" s="217">
        <v>19.16</v>
      </c>
      <c r="B152" s="218" t="s">
        <v>163</v>
      </c>
      <c r="C152" s="219" t="s">
        <v>28</v>
      </c>
      <c r="D152" s="220">
        <v>1</v>
      </c>
      <c r="E152" s="42">
        <v>4952302</v>
      </c>
      <c r="F152" s="42">
        <f t="shared" si="54"/>
        <v>4952302</v>
      </c>
      <c r="G152" s="181"/>
      <c r="H152" s="32"/>
      <c r="I152" s="245">
        <f>+'SVD 4140_Pto. 01_Cert. 06'!K152</f>
        <v>0</v>
      </c>
      <c r="J152" s="136"/>
      <c r="K152" s="79">
        <f t="shared" si="63"/>
        <v>0</v>
      </c>
      <c r="L152" s="201">
        <f t="shared" si="64"/>
        <v>0</v>
      </c>
      <c r="M152" s="201">
        <f t="shared" si="65"/>
        <v>0</v>
      </c>
      <c r="N152" s="201">
        <f t="shared" si="66"/>
        <v>0</v>
      </c>
    </row>
    <row r="153" spans="1:14" s="57" customFormat="1" ht="13.8" outlineLevel="1" x14ac:dyDescent="0.3">
      <c r="A153" s="221">
        <v>19.170000000000002</v>
      </c>
      <c r="B153" s="222" t="s">
        <v>164</v>
      </c>
      <c r="C153" s="223" t="s">
        <v>28</v>
      </c>
      <c r="D153" s="224">
        <v>1</v>
      </c>
      <c r="E153" s="60">
        <v>5481335</v>
      </c>
      <c r="F153" s="60">
        <f t="shared" si="54"/>
        <v>5481335</v>
      </c>
      <c r="G153" s="181"/>
      <c r="H153" s="32"/>
      <c r="I153" s="245">
        <f>+'SVD 4140_Pto. 01_Cert. 06'!K153</f>
        <v>0</v>
      </c>
      <c r="J153" s="141">
        <v>0.05</v>
      </c>
      <c r="K153" s="79">
        <f t="shared" si="63"/>
        <v>0.05</v>
      </c>
      <c r="L153" s="201">
        <f t="shared" si="64"/>
        <v>0</v>
      </c>
      <c r="M153" s="201">
        <f t="shared" si="65"/>
        <v>274066.75</v>
      </c>
      <c r="N153" s="201">
        <f t="shared" si="66"/>
        <v>274066.75</v>
      </c>
    </row>
    <row r="154" spans="1:14" s="57" customFormat="1" ht="13.8" x14ac:dyDescent="0.3">
      <c r="A154" s="27"/>
      <c r="B154" s="28" t="s">
        <v>165</v>
      </c>
      <c r="C154" s="189"/>
      <c r="D154" s="65"/>
      <c r="E154" s="65"/>
      <c r="F154" s="65"/>
      <c r="G154" s="31">
        <f>+SUM(F155)</f>
        <v>5206701</v>
      </c>
      <c r="H154" s="32">
        <f>+G154/$G$185</f>
        <v>7.0776191330180257E-3</v>
      </c>
      <c r="I154" s="248"/>
      <c r="J154" s="206"/>
      <c r="K154" s="206"/>
      <c r="L154" s="206"/>
      <c r="M154" s="207"/>
      <c r="N154" s="208"/>
    </row>
    <row r="155" spans="1:14" s="57" customFormat="1" ht="13.8" outlineLevel="1" x14ac:dyDescent="0.3">
      <c r="A155" s="231">
        <v>19.170000000000002</v>
      </c>
      <c r="B155" s="232" t="s">
        <v>166</v>
      </c>
      <c r="C155" s="233" t="s">
        <v>28</v>
      </c>
      <c r="D155" s="234">
        <v>1</v>
      </c>
      <c r="E155" s="235">
        <v>5206701</v>
      </c>
      <c r="F155" s="235">
        <f t="shared" si="54"/>
        <v>5206701</v>
      </c>
      <c r="G155" s="181"/>
      <c r="H155" s="32"/>
      <c r="I155" s="245">
        <f>+'SVD 4140_Pto. 01_Cert. 06'!K155</f>
        <v>0</v>
      </c>
      <c r="J155" s="134"/>
      <c r="K155" s="135">
        <f t="shared" ref="K155" si="67">+I155+J155</f>
        <v>0</v>
      </c>
      <c r="L155" s="200">
        <f t="shared" ref="L155" si="68">+F155*I155</f>
        <v>0</v>
      </c>
      <c r="M155" s="200">
        <f t="shared" ref="M155" si="69">+F155*J155</f>
        <v>0</v>
      </c>
      <c r="N155" s="200">
        <f t="shared" ref="N155" si="70">+F155*K155</f>
        <v>0</v>
      </c>
    </row>
    <row r="156" spans="1:14" s="57" customFormat="1" ht="13.8" x14ac:dyDescent="0.3">
      <c r="A156" s="27"/>
      <c r="B156" s="28" t="s">
        <v>167</v>
      </c>
      <c r="C156" s="189"/>
      <c r="D156" s="65"/>
      <c r="E156" s="65"/>
      <c r="F156" s="65"/>
      <c r="G156" s="31">
        <f>+SUM(F157:F158)</f>
        <v>20260948</v>
      </c>
      <c r="H156" s="32">
        <f>+G156/$G$185</f>
        <v>2.7541292119114061E-2</v>
      </c>
      <c r="I156" s="248"/>
      <c r="J156" s="206"/>
      <c r="K156" s="206"/>
      <c r="L156" s="206"/>
      <c r="M156" s="207"/>
      <c r="N156" s="208"/>
    </row>
    <row r="157" spans="1:14" s="57" customFormat="1" ht="13.8" outlineLevel="1" x14ac:dyDescent="0.3">
      <c r="A157" s="213">
        <v>19.18</v>
      </c>
      <c r="B157" s="214" t="s">
        <v>168</v>
      </c>
      <c r="C157" s="215" t="s">
        <v>28</v>
      </c>
      <c r="D157" s="216">
        <v>1</v>
      </c>
      <c r="E157" s="37">
        <v>16584566</v>
      </c>
      <c r="F157" s="37">
        <f t="shared" si="54"/>
        <v>16584566</v>
      </c>
      <c r="G157" s="181"/>
      <c r="H157" s="32"/>
      <c r="I157" s="245">
        <f>+'SVD 4140_Pto. 01_Cert. 06'!K157</f>
        <v>0.35</v>
      </c>
      <c r="J157" s="134">
        <v>0.15</v>
      </c>
      <c r="K157" s="135">
        <f t="shared" ref="K157:K158" si="71">+I157+J157</f>
        <v>0.5</v>
      </c>
      <c r="L157" s="200">
        <f t="shared" ref="L157:L158" si="72">+F157*I157</f>
        <v>5804598.0999999996</v>
      </c>
      <c r="M157" s="200">
        <f t="shared" ref="M157:M158" si="73">+F157*J157</f>
        <v>2487684.9</v>
      </c>
      <c r="N157" s="200">
        <f t="shared" ref="N157:N158" si="74">+F157*K157</f>
        <v>8292283</v>
      </c>
    </row>
    <row r="158" spans="1:14" s="57" customFormat="1" ht="13.8" outlineLevel="1" x14ac:dyDescent="0.3">
      <c r="A158" s="221">
        <v>19.190000000000001</v>
      </c>
      <c r="B158" s="222" t="s">
        <v>169</v>
      </c>
      <c r="C158" s="223" t="s">
        <v>28</v>
      </c>
      <c r="D158" s="224">
        <v>1</v>
      </c>
      <c r="E158" s="60">
        <v>3676382</v>
      </c>
      <c r="F158" s="60">
        <f t="shared" si="54"/>
        <v>3676382</v>
      </c>
      <c r="G158" s="181"/>
      <c r="H158" s="32"/>
      <c r="I158" s="245">
        <f>+'SVD 4140_Pto. 01_Cert. 06'!K158</f>
        <v>0.30000000000000004</v>
      </c>
      <c r="J158" s="141"/>
      <c r="K158" s="79">
        <f t="shared" si="71"/>
        <v>0.30000000000000004</v>
      </c>
      <c r="L158" s="201">
        <f t="shared" si="72"/>
        <v>1102914.6000000001</v>
      </c>
      <c r="M158" s="201">
        <f t="shared" si="73"/>
        <v>0</v>
      </c>
      <c r="N158" s="201">
        <f t="shared" si="74"/>
        <v>1102914.6000000001</v>
      </c>
    </row>
    <row r="159" spans="1:14" s="57" customFormat="1" ht="13.8" x14ac:dyDescent="0.3">
      <c r="A159" s="27">
        <v>20</v>
      </c>
      <c r="B159" s="28" t="s">
        <v>170</v>
      </c>
      <c r="C159" s="189"/>
      <c r="D159" s="65"/>
      <c r="E159" s="65"/>
      <c r="F159" s="65"/>
      <c r="G159" s="31">
        <f>+SUM(F160:F161)</f>
        <v>35197776</v>
      </c>
      <c r="H159" s="32">
        <f>+G159/$G$185</f>
        <v>4.7845354065325175E-2</v>
      </c>
      <c r="I159" s="248"/>
      <c r="J159" s="206"/>
      <c r="K159" s="206"/>
      <c r="L159" s="206"/>
      <c r="M159" s="207"/>
      <c r="N159" s="208"/>
    </row>
    <row r="160" spans="1:14" s="57" customFormat="1" ht="13.8" outlineLevel="1" x14ac:dyDescent="0.3">
      <c r="A160" s="213">
        <v>20.010000000000002</v>
      </c>
      <c r="B160" s="214" t="s">
        <v>171</v>
      </c>
      <c r="C160" s="215" t="s">
        <v>47</v>
      </c>
      <c r="D160" s="216">
        <v>36</v>
      </c>
      <c r="E160" s="37">
        <v>740165</v>
      </c>
      <c r="F160" s="37">
        <f t="shared" si="54"/>
        <v>26645940</v>
      </c>
      <c r="G160" s="181"/>
      <c r="H160" s="32"/>
      <c r="I160" s="245">
        <f>+'SVD 4140_Pto. 01_Cert. 06'!K160</f>
        <v>0.35</v>
      </c>
      <c r="J160" s="134">
        <v>0.25</v>
      </c>
      <c r="K160" s="135">
        <f t="shared" ref="K160:K161" si="75">+I160+J160</f>
        <v>0.6</v>
      </c>
      <c r="L160" s="200">
        <f t="shared" ref="L160:L161" si="76">+F160*I160</f>
        <v>9326079</v>
      </c>
      <c r="M160" s="200">
        <f t="shared" ref="M160:M161" si="77">+F160*J160</f>
        <v>6661485</v>
      </c>
      <c r="N160" s="200">
        <f t="shared" ref="N160:N161" si="78">+F160*K160</f>
        <v>15987564</v>
      </c>
    </row>
    <row r="161" spans="1:14" s="57" customFormat="1" ht="13.8" outlineLevel="1" x14ac:dyDescent="0.3">
      <c r="A161" s="221">
        <v>20.02</v>
      </c>
      <c r="B161" s="222" t="s">
        <v>172</v>
      </c>
      <c r="C161" s="223" t="s">
        <v>47</v>
      </c>
      <c r="D161" s="224">
        <v>36</v>
      </c>
      <c r="E161" s="60">
        <v>237551</v>
      </c>
      <c r="F161" s="60">
        <f t="shared" si="54"/>
        <v>8551836</v>
      </c>
      <c r="G161" s="181"/>
      <c r="H161" s="32"/>
      <c r="I161" s="245">
        <f>+'SVD 4140_Pto. 01_Cert. 06'!K161</f>
        <v>0</v>
      </c>
      <c r="J161" s="141"/>
      <c r="K161" s="79">
        <f t="shared" si="75"/>
        <v>0</v>
      </c>
      <c r="L161" s="201">
        <f t="shared" si="76"/>
        <v>0</v>
      </c>
      <c r="M161" s="201">
        <f t="shared" si="77"/>
        <v>0</v>
      </c>
      <c r="N161" s="201">
        <f t="shared" si="78"/>
        <v>0</v>
      </c>
    </row>
    <row r="162" spans="1:14" s="57" customFormat="1" ht="13.8" x14ac:dyDescent="0.3">
      <c r="A162" s="27">
        <v>21</v>
      </c>
      <c r="B162" s="28" t="s">
        <v>173</v>
      </c>
      <c r="C162" s="189"/>
      <c r="D162" s="65"/>
      <c r="E162" s="65"/>
      <c r="F162" s="65"/>
      <c r="G162" s="31">
        <f>+SUM(F163)</f>
        <v>0</v>
      </c>
      <c r="H162" s="32">
        <f>+G162/$G$185</f>
        <v>0</v>
      </c>
      <c r="I162" s="248"/>
      <c r="J162" s="206"/>
      <c r="K162" s="206"/>
      <c r="L162" s="206"/>
      <c r="M162" s="207"/>
      <c r="N162" s="208"/>
    </row>
    <row r="163" spans="1:14" s="57" customFormat="1" ht="13.8" outlineLevel="1" x14ac:dyDescent="0.3">
      <c r="A163" s="231">
        <v>21.01</v>
      </c>
      <c r="B163" s="232" t="s">
        <v>174</v>
      </c>
      <c r="C163" s="233" t="s">
        <v>28</v>
      </c>
      <c r="D163" s="234">
        <v>0</v>
      </c>
      <c r="E163" s="235">
        <v>0</v>
      </c>
      <c r="F163" s="235">
        <f t="shared" si="54"/>
        <v>0</v>
      </c>
      <c r="G163" s="181"/>
      <c r="H163" s="32"/>
      <c r="I163" s="245">
        <f>+'SVD 4140_Pto. 01_Cert. 06'!K163</f>
        <v>0</v>
      </c>
      <c r="J163" s="134"/>
      <c r="K163" s="135">
        <f t="shared" ref="K163" si="79">+I163+J163</f>
        <v>0</v>
      </c>
      <c r="L163" s="200">
        <f t="shared" ref="L163" si="80">+F163*I163</f>
        <v>0</v>
      </c>
      <c r="M163" s="200">
        <f t="shared" ref="M163" si="81">+F163*J163</f>
        <v>0</v>
      </c>
      <c r="N163" s="200">
        <f t="shared" ref="N163" si="82">+F163*K163</f>
        <v>0</v>
      </c>
    </row>
    <row r="164" spans="1:14" s="57" customFormat="1" ht="13.8" x14ac:dyDescent="0.3">
      <c r="A164" s="27">
        <v>22</v>
      </c>
      <c r="B164" s="28" t="s">
        <v>175</v>
      </c>
      <c r="C164" s="189"/>
      <c r="D164" s="65"/>
      <c r="E164" s="65"/>
      <c r="F164" s="65"/>
      <c r="G164" s="31">
        <f>+SUM(F165:F166)</f>
        <v>2671152</v>
      </c>
      <c r="H164" s="32">
        <f>+G164/$G$185</f>
        <v>3.630974104792913E-3</v>
      </c>
      <c r="I164" s="248"/>
      <c r="J164" s="206"/>
      <c r="K164" s="206"/>
      <c r="L164" s="206"/>
      <c r="M164" s="207"/>
      <c r="N164" s="208"/>
    </row>
    <row r="165" spans="1:14" s="57" customFormat="1" ht="13.8" outlineLevel="1" x14ac:dyDescent="0.3">
      <c r="A165" s="213">
        <v>22.01</v>
      </c>
      <c r="B165" s="214" t="s">
        <v>176</v>
      </c>
      <c r="C165" s="215" t="s">
        <v>47</v>
      </c>
      <c r="D165" s="216">
        <v>16</v>
      </c>
      <c r="E165" s="37">
        <v>80944</v>
      </c>
      <c r="F165" s="37">
        <f t="shared" si="54"/>
        <v>1295104</v>
      </c>
      <c r="G165" s="181"/>
      <c r="H165" s="32"/>
      <c r="I165" s="245">
        <f>+'SVD 4140_Pto. 01_Cert. 06'!K165</f>
        <v>0</v>
      </c>
      <c r="J165" s="141"/>
      <c r="K165" s="79">
        <f t="shared" ref="K165:K166" si="83">+I165+J165</f>
        <v>0</v>
      </c>
      <c r="L165" s="201">
        <f t="shared" ref="L165:L166" si="84">+F165*I165</f>
        <v>0</v>
      </c>
      <c r="M165" s="201">
        <f t="shared" ref="M165:M166" si="85">+F165*J165</f>
        <v>0</v>
      </c>
      <c r="N165" s="201">
        <f t="shared" ref="N165:N166" si="86">+F165*K165</f>
        <v>0</v>
      </c>
    </row>
    <row r="166" spans="1:14" s="57" customFormat="1" ht="13.8" outlineLevel="1" x14ac:dyDescent="0.3">
      <c r="A166" s="221">
        <v>22.02</v>
      </c>
      <c r="B166" s="222" t="s">
        <v>177</v>
      </c>
      <c r="C166" s="223" t="s">
        <v>47</v>
      </c>
      <c r="D166" s="224">
        <v>17</v>
      </c>
      <c r="E166" s="60">
        <v>80944</v>
      </c>
      <c r="F166" s="60">
        <f t="shared" si="54"/>
        <v>1376048</v>
      </c>
      <c r="G166" s="181"/>
      <c r="H166" s="32"/>
      <c r="I166" s="245">
        <f>+'SVD 4140_Pto. 01_Cert. 06'!K166</f>
        <v>0</v>
      </c>
      <c r="J166" s="141"/>
      <c r="K166" s="79">
        <f t="shared" si="83"/>
        <v>0</v>
      </c>
      <c r="L166" s="201">
        <f t="shared" si="84"/>
        <v>0</v>
      </c>
      <c r="M166" s="201">
        <f t="shared" si="85"/>
        <v>0</v>
      </c>
      <c r="N166" s="201">
        <f t="shared" si="86"/>
        <v>0</v>
      </c>
    </row>
    <row r="167" spans="1:14" s="57" customFormat="1" ht="13.8" x14ac:dyDescent="0.3">
      <c r="A167" s="27">
        <v>23</v>
      </c>
      <c r="B167" s="28" t="s">
        <v>178</v>
      </c>
      <c r="C167" s="189"/>
      <c r="D167" s="65"/>
      <c r="E167" s="65"/>
      <c r="F167" s="65"/>
      <c r="G167" s="31">
        <f>+SUM(F168:F170)</f>
        <v>4668180</v>
      </c>
      <c r="H167" s="32">
        <f>+G167/$G$185</f>
        <v>6.3455919754892946E-3</v>
      </c>
      <c r="I167" s="248"/>
      <c r="J167" s="206"/>
      <c r="K167" s="206"/>
      <c r="L167" s="206"/>
      <c r="M167" s="207"/>
      <c r="N167" s="208"/>
    </row>
    <row r="168" spans="1:14" s="57" customFormat="1" ht="13.8" outlineLevel="1" x14ac:dyDescent="0.3">
      <c r="A168" s="213">
        <v>23.01</v>
      </c>
      <c r="B168" s="214" t="s">
        <v>179</v>
      </c>
      <c r="C168" s="215" t="s">
        <v>28</v>
      </c>
      <c r="D168" s="216">
        <v>7</v>
      </c>
      <c r="E168" s="37">
        <v>446402</v>
      </c>
      <c r="F168" s="37">
        <f t="shared" si="54"/>
        <v>3124814</v>
      </c>
      <c r="G168" s="181"/>
      <c r="H168" s="32"/>
      <c r="I168" s="245">
        <f>+'SVD 4140_Pto. 01_Cert. 06'!K168</f>
        <v>0.1</v>
      </c>
      <c r="J168" s="134"/>
      <c r="K168" s="135">
        <f t="shared" ref="K168:K170" si="87">+I168+J168</f>
        <v>0.1</v>
      </c>
      <c r="L168" s="200">
        <f t="shared" ref="L168:L170" si="88">+F168*I168</f>
        <v>312481.40000000002</v>
      </c>
      <c r="M168" s="200">
        <f t="shared" ref="M168:M170" si="89">+F168*J168</f>
        <v>0</v>
      </c>
      <c r="N168" s="200">
        <f t="shared" ref="N168:N170" si="90">+F168*K168</f>
        <v>312481.40000000002</v>
      </c>
    </row>
    <row r="169" spans="1:14" s="57" customFormat="1" ht="13.8" outlineLevel="1" x14ac:dyDescent="0.3">
      <c r="A169" s="217">
        <v>23.02</v>
      </c>
      <c r="B169" s="218" t="s">
        <v>180</v>
      </c>
      <c r="C169" s="219" t="s">
        <v>28</v>
      </c>
      <c r="D169" s="220">
        <v>1</v>
      </c>
      <c r="E169" s="42">
        <v>672060</v>
      </c>
      <c r="F169" s="42">
        <f t="shared" si="54"/>
        <v>672060</v>
      </c>
      <c r="G169" s="181"/>
      <c r="H169" s="32"/>
      <c r="I169" s="245">
        <f>+'SVD 4140_Pto. 01_Cert. 06'!K169</f>
        <v>0</v>
      </c>
      <c r="J169" s="141">
        <v>0.85</v>
      </c>
      <c r="K169" s="79">
        <f t="shared" si="87"/>
        <v>0.85</v>
      </c>
      <c r="L169" s="201">
        <f t="shared" si="88"/>
        <v>0</v>
      </c>
      <c r="M169" s="201">
        <f t="shared" si="89"/>
        <v>571251</v>
      </c>
      <c r="N169" s="201">
        <f t="shared" si="90"/>
        <v>571251</v>
      </c>
    </row>
    <row r="170" spans="1:14" s="57" customFormat="1" ht="13.8" outlineLevel="1" x14ac:dyDescent="0.3">
      <c r="A170" s="221">
        <v>23.03</v>
      </c>
      <c r="B170" s="222" t="s">
        <v>181</v>
      </c>
      <c r="C170" s="223" t="s">
        <v>28</v>
      </c>
      <c r="D170" s="224">
        <v>1</v>
      </c>
      <c r="E170" s="60">
        <v>871306</v>
      </c>
      <c r="F170" s="60">
        <f t="shared" si="54"/>
        <v>871306</v>
      </c>
      <c r="G170" s="181"/>
      <c r="H170" s="32"/>
      <c r="I170" s="245">
        <f>+'SVD 4140_Pto. 01_Cert. 06'!K170</f>
        <v>0</v>
      </c>
      <c r="J170" s="141"/>
      <c r="K170" s="79">
        <f t="shared" si="87"/>
        <v>0</v>
      </c>
      <c r="L170" s="201">
        <f t="shared" si="88"/>
        <v>0</v>
      </c>
      <c r="M170" s="201">
        <f t="shared" si="89"/>
        <v>0</v>
      </c>
      <c r="N170" s="201">
        <f t="shared" si="90"/>
        <v>0</v>
      </c>
    </row>
    <row r="171" spans="1:14" s="57" customFormat="1" ht="13.8" x14ac:dyDescent="0.3">
      <c r="A171" s="27">
        <v>24</v>
      </c>
      <c r="B171" s="28" t="s">
        <v>182</v>
      </c>
      <c r="C171" s="189"/>
      <c r="D171" s="65"/>
      <c r="E171" s="65"/>
      <c r="F171" s="65"/>
      <c r="G171" s="31">
        <f>+SUM(F172:F181)</f>
        <v>16311090</v>
      </c>
      <c r="H171" s="32">
        <f>+G171/$G$185</f>
        <v>2.2172135996359112E-2</v>
      </c>
      <c r="I171" s="248"/>
      <c r="J171" s="206"/>
      <c r="K171" s="206"/>
      <c r="L171" s="206"/>
      <c r="M171" s="207"/>
      <c r="N171" s="208"/>
    </row>
    <row r="172" spans="1:14" s="57" customFormat="1" ht="13.8" outlineLevel="1" x14ac:dyDescent="0.3">
      <c r="A172" s="213">
        <v>24.01</v>
      </c>
      <c r="B172" s="214" t="s">
        <v>183</v>
      </c>
      <c r="C172" s="215" t="s">
        <v>184</v>
      </c>
      <c r="D172" s="216">
        <v>6</v>
      </c>
      <c r="E172" s="37">
        <v>753138</v>
      </c>
      <c r="F172" s="37">
        <f t="shared" si="54"/>
        <v>4518828</v>
      </c>
      <c r="G172" s="181"/>
      <c r="H172" s="32"/>
      <c r="I172" s="245">
        <f>+'SVD 4140_Pto. 01_Cert. 06'!K172</f>
        <v>0.30000000000000004</v>
      </c>
      <c r="J172" s="134">
        <v>0.1</v>
      </c>
      <c r="K172" s="135">
        <f t="shared" ref="K172:K181" si="91">+I172+J172</f>
        <v>0.4</v>
      </c>
      <c r="L172" s="200">
        <f t="shared" ref="L172:L181" si="92">+F172*I172</f>
        <v>1355648.4000000001</v>
      </c>
      <c r="M172" s="200">
        <f t="shared" ref="M172:M181" si="93">+F172*J172</f>
        <v>451882.80000000005</v>
      </c>
      <c r="N172" s="200">
        <f t="shared" ref="N172:N181" si="94">+F172*K172</f>
        <v>1807531.2000000002</v>
      </c>
    </row>
    <row r="173" spans="1:14" s="57" customFormat="1" ht="13.8" outlineLevel="1" x14ac:dyDescent="0.3">
      <c r="A173" s="217">
        <v>24.02</v>
      </c>
      <c r="B173" s="218" t="s">
        <v>185</v>
      </c>
      <c r="C173" s="219" t="s">
        <v>184</v>
      </c>
      <c r="D173" s="220"/>
      <c r="E173" s="42">
        <v>1944871</v>
      </c>
      <c r="F173" s="42">
        <f t="shared" si="54"/>
        <v>0</v>
      </c>
      <c r="G173" s="181"/>
      <c r="H173" s="32"/>
      <c r="I173" s="245">
        <f>+'SVD 4140_Pto. 01_Cert. 06'!K173</f>
        <v>0</v>
      </c>
      <c r="J173" s="141"/>
      <c r="K173" s="79">
        <f t="shared" si="91"/>
        <v>0</v>
      </c>
      <c r="L173" s="201">
        <f t="shared" si="92"/>
        <v>0</v>
      </c>
      <c r="M173" s="201">
        <f t="shared" si="93"/>
        <v>0</v>
      </c>
      <c r="N173" s="201">
        <f t="shared" si="94"/>
        <v>0</v>
      </c>
    </row>
    <row r="174" spans="1:14" s="57" customFormat="1" ht="13.8" outlineLevel="1" x14ac:dyDescent="0.3">
      <c r="A174" s="217">
        <v>24.03</v>
      </c>
      <c r="B174" s="218" t="s">
        <v>186</v>
      </c>
      <c r="C174" s="219" t="s">
        <v>184</v>
      </c>
      <c r="D174" s="220">
        <v>6</v>
      </c>
      <c r="E174" s="42">
        <v>188533</v>
      </c>
      <c r="F174" s="42">
        <f t="shared" si="54"/>
        <v>1131198</v>
      </c>
      <c r="G174" s="181"/>
      <c r="H174" s="32"/>
      <c r="I174" s="245">
        <f>+'SVD 4140_Pto. 01_Cert. 06'!K174</f>
        <v>0.30000000000000004</v>
      </c>
      <c r="J174" s="141">
        <v>0.1</v>
      </c>
      <c r="K174" s="79">
        <f t="shared" si="91"/>
        <v>0.4</v>
      </c>
      <c r="L174" s="201">
        <f t="shared" si="92"/>
        <v>339359.4</v>
      </c>
      <c r="M174" s="201">
        <f t="shared" si="93"/>
        <v>113119.8</v>
      </c>
      <c r="N174" s="201">
        <f t="shared" si="94"/>
        <v>452479.2</v>
      </c>
    </row>
    <row r="175" spans="1:14" s="57" customFormat="1" ht="13.8" outlineLevel="1" x14ac:dyDescent="0.3">
      <c r="A175" s="217">
        <v>24.04</v>
      </c>
      <c r="B175" s="218" t="s">
        <v>187</v>
      </c>
      <c r="C175" s="219" t="s">
        <v>28</v>
      </c>
      <c r="D175" s="220"/>
      <c r="E175" s="42">
        <v>4606562</v>
      </c>
      <c r="F175" s="42">
        <f t="shared" si="54"/>
        <v>0</v>
      </c>
      <c r="G175" s="181"/>
      <c r="H175" s="32"/>
      <c r="I175" s="245">
        <f>+'SVD 4140_Pto. 01_Cert. 06'!K175</f>
        <v>0</v>
      </c>
      <c r="J175" s="141"/>
      <c r="K175" s="79">
        <f t="shared" si="91"/>
        <v>0</v>
      </c>
      <c r="L175" s="201">
        <f t="shared" si="92"/>
        <v>0</v>
      </c>
      <c r="M175" s="201">
        <f t="shared" si="93"/>
        <v>0</v>
      </c>
      <c r="N175" s="201">
        <f t="shared" si="94"/>
        <v>0</v>
      </c>
    </row>
    <row r="176" spans="1:14" s="57" customFormat="1" ht="13.8" outlineLevel="1" x14ac:dyDescent="0.3">
      <c r="A176" s="217">
        <v>24.05</v>
      </c>
      <c r="B176" s="218" t="s">
        <v>188</v>
      </c>
      <c r="C176" s="219" t="s">
        <v>184</v>
      </c>
      <c r="D176" s="220">
        <v>6</v>
      </c>
      <c r="E176" s="42">
        <v>696152</v>
      </c>
      <c r="F176" s="42">
        <f t="shared" si="54"/>
        <v>4176912</v>
      </c>
      <c r="G176" s="181"/>
      <c r="H176" s="32"/>
      <c r="I176" s="245">
        <f>+'SVD 4140_Pto. 01_Cert. 06'!K176</f>
        <v>0.2</v>
      </c>
      <c r="J176" s="141">
        <v>0.1</v>
      </c>
      <c r="K176" s="79">
        <f t="shared" si="91"/>
        <v>0.30000000000000004</v>
      </c>
      <c r="L176" s="201">
        <f t="shared" si="92"/>
        <v>835382.4</v>
      </c>
      <c r="M176" s="201">
        <f t="shared" si="93"/>
        <v>417691.2</v>
      </c>
      <c r="N176" s="201">
        <f t="shared" si="94"/>
        <v>1253073.6000000001</v>
      </c>
    </row>
    <row r="177" spans="1:14" s="57" customFormat="1" ht="13.8" outlineLevel="1" x14ac:dyDescent="0.3">
      <c r="A177" s="217">
        <v>24.06</v>
      </c>
      <c r="B177" s="218" t="s">
        <v>189</v>
      </c>
      <c r="C177" s="219" t="s">
        <v>184</v>
      </c>
      <c r="D177" s="220">
        <v>6</v>
      </c>
      <c r="E177" s="42">
        <v>452333</v>
      </c>
      <c r="F177" s="42">
        <f t="shared" si="54"/>
        <v>2713998</v>
      </c>
      <c r="G177" s="181"/>
      <c r="H177" s="32"/>
      <c r="I177" s="245">
        <f>+'SVD 4140_Pto. 01_Cert. 06'!K177</f>
        <v>0.2</v>
      </c>
      <c r="J177" s="141">
        <v>0.1</v>
      </c>
      <c r="K177" s="79">
        <f t="shared" si="91"/>
        <v>0.30000000000000004</v>
      </c>
      <c r="L177" s="201">
        <f t="shared" si="92"/>
        <v>542799.6</v>
      </c>
      <c r="M177" s="201">
        <f t="shared" si="93"/>
        <v>271399.8</v>
      </c>
      <c r="N177" s="201">
        <f t="shared" si="94"/>
        <v>814199.40000000014</v>
      </c>
    </row>
    <row r="178" spans="1:14" s="57" customFormat="1" ht="13.8" outlineLevel="1" x14ac:dyDescent="0.3">
      <c r="A178" s="217">
        <v>24.07</v>
      </c>
      <c r="B178" s="218" t="s">
        <v>190</v>
      </c>
      <c r="C178" s="219" t="s">
        <v>28</v>
      </c>
      <c r="D178" s="220">
        <v>0</v>
      </c>
      <c r="E178" s="42">
        <v>0</v>
      </c>
      <c r="F178" s="42">
        <f t="shared" si="54"/>
        <v>0</v>
      </c>
      <c r="G178" s="181"/>
      <c r="H178" s="32"/>
      <c r="I178" s="245">
        <f>+'SVD 4140_Pto. 01_Cert. 06'!K178</f>
        <v>0</v>
      </c>
      <c r="J178" s="141"/>
      <c r="K178" s="79">
        <f t="shared" si="91"/>
        <v>0</v>
      </c>
      <c r="L178" s="201">
        <f t="shared" si="92"/>
        <v>0</v>
      </c>
      <c r="M178" s="201">
        <f t="shared" si="93"/>
        <v>0</v>
      </c>
      <c r="N178" s="201">
        <f t="shared" si="94"/>
        <v>0</v>
      </c>
    </row>
    <row r="179" spans="1:14" s="57" customFormat="1" ht="13.8" outlineLevel="1" x14ac:dyDescent="0.3">
      <c r="A179" s="217">
        <v>24.08</v>
      </c>
      <c r="B179" s="218" t="s">
        <v>191</v>
      </c>
      <c r="C179" s="219" t="s">
        <v>184</v>
      </c>
      <c r="D179" s="220">
        <v>6</v>
      </c>
      <c r="E179" s="42">
        <v>314221</v>
      </c>
      <c r="F179" s="42">
        <f t="shared" si="54"/>
        <v>1885326</v>
      </c>
      <c r="G179" s="181"/>
      <c r="H179" s="32"/>
      <c r="I179" s="245">
        <f>+'SVD 4140_Pto. 01_Cert. 06'!K179</f>
        <v>0.2</v>
      </c>
      <c r="J179" s="141">
        <v>0.1</v>
      </c>
      <c r="K179" s="79">
        <f t="shared" si="91"/>
        <v>0.30000000000000004</v>
      </c>
      <c r="L179" s="201">
        <f t="shared" si="92"/>
        <v>377065.2</v>
      </c>
      <c r="M179" s="201">
        <f t="shared" si="93"/>
        <v>188532.6</v>
      </c>
      <c r="N179" s="201">
        <f t="shared" si="94"/>
        <v>565597.80000000005</v>
      </c>
    </row>
    <row r="180" spans="1:14" s="57" customFormat="1" ht="13.8" outlineLevel="1" x14ac:dyDescent="0.3">
      <c r="A180" s="217">
        <v>24.09</v>
      </c>
      <c r="B180" s="218" t="s">
        <v>192</v>
      </c>
      <c r="C180" s="219" t="s">
        <v>184</v>
      </c>
      <c r="D180" s="220">
        <v>4</v>
      </c>
      <c r="E180" s="42">
        <v>0</v>
      </c>
      <c r="F180" s="42">
        <f t="shared" si="54"/>
        <v>0</v>
      </c>
      <c r="G180" s="181"/>
      <c r="H180" s="32"/>
      <c r="I180" s="245">
        <f>+'SVD 4140_Pto. 01_Cert. 06'!K180</f>
        <v>0</v>
      </c>
      <c r="J180" s="141"/>
      <c r="K180" s="79">
        <f t="shared" si="91"/>
        <v>0</v>
      </c>
      <c r="L180" s="201">
        <f t="shared" si="92"/>
        <v>0</v>
      </c>
      <c r="M180" s="201">
        <f t="shared" si="93"/>
        <v>0</v>
      </c>
      <c r="N180" s="201">
        <f t="shared" si="94"/>
        <v>0</v>
      </c>
    </row>
    <row r="181" spans="1:14" s="57" customFormat="1" ht="13.8" outlineLevel="1" x14ac:dyDescent="0.3">
      <c r="A181" s="221">
        <v>24.1</v>
      </c>
      <c r="B181" s="222" t="s">
        <v>193</v>
      </c>
      <c r="C181" s="223" t="s">
        <v>184</v>
      </c>
      <c r="D181" s="224">
        <v>6</v>
      </c>
      <c r="E181" s="60">
        <v>314138</v>
      </c>
      <c r="F181" s="60">
        <f t="shared" si="54"/>
        <v>1884828</v>
      </c>
      <c r="G181" s="181"/>
      <c r="H181" s="32"/>
      <c r="I181" s="245">
        <f>+'SVD 4140_Pto. 01_Cert. 06'!K181</f>
        <v>0.2</v>
      </c>
      <c r="J181" s="141">
        <v>0.1</v>
      </c>
      <c r="K181" s="79">
        <f t="shared" si="91"/>
        <v>0.30000000000000004</v>
      </c>
      <c r="L181" s="201">
        <f t="shared" si="92"/>
        <v>376965.60000000003</v>
      </c>
      <c r="M181" s="201">
        <f t="shared" si="93"/>
        <v>188482.80000000002</v>
      </c>
      <c r="N181" s="201">
        <f t="shared" si="94"/>
        <v>565448.40000000014</v>
      </c>
    </row>
    <row r="182" spans="1:14" s="57" customFormat="1" ht="13.8" x14ac:dyDescent="0.3">
      <c r="A182" s="27">
        <v>25</v>
      </c>
      <c r="B182" s="28" t="s">
        <v>194</v>
      </c>
      <c r="C182" s="189"/>
      <c r="D182" s="65"/>
      <c r="E182" s="65"/>
      <c r="F182" s="65"/>
      <c r="G182" s="31">
        <f>+SUM(F183:F184)</f>
        <v>32415288</v>
      </c>
      <c r="H182" s="32">
        <f>+G182/$G$185</f>
        <v>4.4063037718334433E-2</v>
      </c>
      <c r="I182" s="248">
        <f>+'SVD 4140_Pto. 01_Cert. 06'!K182</f>
        <v>0</v>
      </c>
      <c r="J182" s="206"/>
      <c r="K182" s="206"/>
      <c r="L182" s="206"/>
      <c r="M182" s="207"/>
      <c r="N182" s="208"/>
    </row>
    <row r="183" spans="1:14" s="57" customFormat="1" ht="13.8" outlineLevel="1" x14ac:dyDescent="0.3">
      <c r="A183" s="213">
        <v>25.01</v>
      </c>
      <c r="B183" s="214" t="s">
        <v>195</v>
      </c>
      <c r="C183" s="215" t="s">
        <v>184</v>
      </c>
      <c r="D183" s="216">
        <v>6</v>
      </c>
      <c r="E183" s="37">
        <v>4774106</v>
      </c>
      <c r="F183" s="37">
        <f t="shared" si="54"/>
        <v>28644636</v>
      </c>
      <c r="G183" s="181"/>
      <c r="H183" s="32"/>
      <c r="I183" s="245">
        <f>+'SVD 4140_Pto. 01_Cert. 06'!K183</f>
        <v>0.30000000000000004</v>
      </c>
      <c r="J183" s="141">
        <v>0.1</v>
      </c>
      <c r="K183" s="79">
        <f t="shared" ref="K183:K184" si="95">+I183+J183</f>
        <v>0.4</v>
      </c>
      <c r="L183" s="201">
        <f t="shared" ref="L183:L184" si="96">+F183*I183</f>
        <v>8593390.8000000007</v>
      </c>
      <c r="M183" s="201">
        <f t="shared" ref="M183:M184" si="97">+F183*J183</f>
        <v>2864463.6</v>
      </c>
      <c r="N183" s="201">
        <f t="shared" ref="N183:N184" si="98">+F183*K183</f>
        <v>11457854.4</v>
      </c>
    </row>
    <row r="184" spans="1:14" s="57" customFormat="1" ht="13.8" outlineLevel="1" x14ac:dyDescent="0.3">
      <c r="A184" s="221">
        <v>25.02</v>
      </c>
      <c r="B184" s="222" t="s">
        <v>196</v>
      </c>
      <c r="C184" s="223" t="s">
        <v>184</v>
      </c>
      <c r="D184" s="224">
        <v>6</v>
      </c>
      <c r="E184" s="60">
        <v>628442</v>
      </c>
      <c r="F184" s="60">
        <f t="shared" si="54"/>
        <v>3770652</v>
      </c>
      <c r="G184" s="181"/>
      <c r="H184" s="32"/>
      <c r="I184" s="245">
        <f>+'SVD 4140_Pto. 01_Cert. 06'!K184</f>
        <v>0.30000000000000004</v>
      </c>
      <c r="J184" s="141">
        <v>0.1</v>
      </c>
      <c r="K184" s="79">
        <f t="shared" si="95"/>
        <v>0.4</v>
      </c>
      <c r="L184" s="201">
        <f t="shared" si="96"/>
        <v>1131195.6000000001</v>
      </c>
      <c r="M184" s="201">
        <f t="shared" si="97"/>
        <v>377065.2</v>
      </c>
      <c r="N184" s="201">
        <f t="shared" si="98"/>
        <v>1508260.8</v>
      </c>
    </row>
    <row r="185" spans="1:14" s="57" customFormat="1" ht="13.8" x14ac:dyDescent="0.3">
      <c r="A185" s="27"/>
      <c r="B185" s="28" t="s">
        <v>197</v>
      </c>
      <c r="C185" s="189"/>
      <c r="D185" s="65"/>
      <c r="E185" s="65"/>
      <c r="F185" s="65">
        <f>+SUM(F9:F184)</f>
        <v>735657133.01950002</v>
      </c>
      <c r="G185" s="31">
        <f>+SUM(G9:G184)</f>
        <v>735657133.01950002</v>
      </c>
      <c r="H185" s="32">
        <f>+SUM(H9:H184)</f>
        <v>1</v>
      </c>
      <c r="I185" s="205"/>
      <c r="J185" s="206"/>
      <c r="K185" s="206"/>
      <c r="L185" s="237">
        <f>+SUM(L10:L184)</f>
        <v>150200279.79700497</v>
      </c>
      <c r="M185" s="237">
        <f>+SUM(M10:M184)</f>
        <v>76871842.431824982</v>
      </c>
      <c r="N185" s="238">
        <f>+SUM(N10:N184)</f>
        <v>227072122.22883001</v>
      </c>
    </row>
    <row r="186" spans="1:14" s="57" customFormat="1" ht="13.8" x14ac:dyDescent="0.3">
      <c r="A186" s="178"/>
      <c r="B186" s="145" t="s">
        <v>198</v>
      </c>
      <c r="C186" s="179"/>
      <c r="D186" s="180"/>
      <c r="E186" s="181"/>
      <c r="F186" s="181"/>
      <c r="G186" s="181"/>
      <c r="H186" s="32"/>
      <c r="L186" s="7"/>
      <c r="M186" s="170">
        <f>+M185/G185</f>
        <v>0.1044941168670587</v>
      </c>
      <c r="N186" s="170">
        <f>+N185/G185</f>
        <v>0.30866569769644442</v>
      </c>
    </row>
    <row r="187" spans="1:14" s="57" customFormat="1" ht="13.8" x14ac:dyDescent="0.3">
      <c r="A187" s="178"/>
      <c r="B187" s="145"/>
      <c r="C187" s="179"/>
      <c r="D187" s="180"/>
      <c r="E187" s="181"/>
      <c r="F187" s="181"/>
      <c r="G187" s="181"/>
      <c r="H187" s="32"/>
      <c r="L187" s="7"/>
      <c r="M187" s="170"/>
      <c r="N187" s="170"/>
    </row>
    <row r="188" spans="1:14" ht="13.8" x14ac:dyDescent="0.3">
      <c r="A188" s="27"/>
      <c r="B188" s="28" t="s">
        <v>216</v>
      </c>
      <c r="C188" s="29"/>
      <c r="D188" s="30"/>
      <c r="E188" s="30"/>
      <c r="F188" s="184"/>
      <c r="G188" s="31">
        <f>+SUM(F189:F193)</f>
        <v>-9955503.3356047589</v>
      </c>
      <c r="H188" s="252"/>
      <c r="J188" s="144"/>
      <c r="K188" s="144"/>
      <c r="L188" s="144"/>
      <c r="M188" s="144"/>
    </row>
    <row r="189" spans="1:14" ht="13.8" x14ac:dyDescent="0.3">
      <c r="A189" s="253">
        <v>4.0199999999999996</v>
      </c>
      <c r="B189" s="34" t="s">
        <v>20</v>
      </c>
      <c r="C189" s="35" t="s">
        <v>19</v>
      </c>
      <c r="D189" s="33">
        <v>-166</v>
      </c>
      <c r="E189" s="256">
        <f>+E11</f>
        <v>25172</v>
      </c>
      <c r="F189" s="36">
        <f>+E189*D189</f>
        <v>-4178552</v>
      </c>
      <c r="H189" s="257"/>
      <c r="I189" s="134">
        <f>+'SVD 4140_Pto. 01_Cert. 04'!K189</f>
        <v>0.9</v>
      </c>
      <c r="J189" s="249">
        <v>0.1</v>
      </c>
      <c r="K189" s="135">
        <f t="shared" ref="K189:K193" si="99">+I189+J189</f>
        <v>1</v>
      </c>
      <c r="L189" s="200">
        <f t="shared" ref="L189:L193" si="100">+F189*I189</f>
        <v>-3760696.8000000003</v>
      </c>
      <c r="M189" s="200">
        <f t="shared" ref="M189:M193" si="101">+F189*J189</f>
        <v>-417855.2</v>
      </c>
      <c r="N189" s="200">
        <f t="shared" ref="N189:N193" si="102">+F189*K189</f>
        <v>-4178552</v>
      </c>
    </row>
    <row r="190" spans="1:14" ht="13.8" x14ac:dyDescent="0.3">
      <c r="A190" s="269">
        <v>7.02</v>
      </c>
      <c r="B190" s="270" t="s">
        <v>214</v>
      </c>
      <c r="C190" s="40" t="s">
        <v>19</v>
      </c>
      <c r="D190" s="38">
        <v>-166</v>
      </c>
      <c r="E190" s="271">
        <f>+E30</f>
        <v>22183</v>
      </c>
      <c r="F190" s="41">
        <f>+E190*D190</f>
        <v>-3682378</v>
      </c>
      <c r="H190" s="257"/>
      <c r="I190" s="136">
        <f>+'SVD 4140_Pto. 01_Cert. 04'!K190</f>
        <v>0</v>
      </c>
      <c r="J190" s="141">
        <v>1</v>
      </c>
      <c r="K190" s="79">
        <f t="shared" si="99"/>
        <v>1</v>
      </c>
      <c r="L190" s="201">
        <f t="shared" si="100"/>
        <v>0</v>
      </c>
      <c r="M190" s="201">
        <f t="shared" si="101"/>
        <v>-3682378</v>
      </c>
      <c r="N190" s="201">
        <f t="shared" si="102"/>
        <v>-3682378</v>
      </c>
    </row>
    <row r="191" spans="1:14" ht="13.8" x14ac:dyDescent="0.3">
      <c r="A191" s="269">
        <v>13.03</v>
      </c>
      <c r="B191" s="39" t="s">
        <v>219</v>
      </c>
      <c r="C191" s="40" t="s">
        <v>19</v>
      </c>
      <c r="D191" s="41">
        <v>-50</v>
      </c>
      <c r="E191" s="41">
        <f>+E73</f>
        <v>29881</v>
      </c>
      <c r="F191" s="41">
        <f>+E191*D191</f>
        <v>-1494050</v>
      </c>
      <c r="H191" s="257"/>
      <c r="I191" s="136">
        <f>+'SVD 4140_Pto. 01_Cert. 04'!K191</f>
        <v>0</v>
      </c>
      <c r="J191" s="141"/>
      <c r="K191" s="79">
        <f t="shared" si="99"/>
        <v>0</v>
      </c>
      <c r="L191" s="201">
        <f t="shared" si="100"/>
        <v>0</v>
      </c>
      <c r="M191" s="201">
        <f t="shared" si="101"/>
        <v>0</v>
      </c>
      <c r="N191" s="201">
        <f t="shared" si="102"/>
        <v>0</v>
      </c>
    </row>
    <row r="192" spans="1:14" ht="13.8" x14ac:dyDescent="0.3">
      <c r="A192" s="263">
        <v>18.03</v>
      </c>
      <c r="B192" s="264" t="s">
        <v>114</v>
      </c>
      <c r="C192" s="265" t="s">
        <v>47</v>
      </c>
      <c r="D192" s="266">
        <v>-7</v>
      </c>
      <c r="E192" s="267">
        <f>+E103</f>
        <v>57445</v>
      </c>
      <c r="F192" s="268">
        <f>+E192*D192</f>
        <v>-402115</v>
      </c>
      <c r="H192" s="257"/>
      <c r="I192" s="136">
        <f>+'SVD 4140_Pto. 01_Cert. 04'!K192</f>
        <v>0</v>
      </c>
      <c r="J192" s="141">
        <v>1</v>
      </c>
      <c r="K192" s="79">
        <f t="shared" si="99"/>
        <v>1</v>
      </c>
      <c r="L192" s="201">
        <f t="shared" si="100"/>
        <v>0</v>
      </c>
      <c r="M192" s="201">
        <f t="shared" si="101"/>
        <v>-402115</v>
      </c>
      <c r="N192" s="201">
        <f t="shared" si="102"/>
        <v>-402115</v>
      </c>
    </row>
    <row r="193" spans="1:17" ht="13.8" x14ac:dyDescent="0.3">
      <c r="A193" s="259"/>
      <c r="B193" s="260" t="s">
        <v>215</v>
      </c>
      <c r="C193" s="193" t="s">
        <v>47</v>
      </c>
      <c r="D193" s="261">
        <v>-7</v>
      </c>
      <c r="E193" s="258">
        <v>28344.047943536876</v>
      </c>
      <c r="F193" s="48">
        <f>+E193*D193</f>
        <v>-198408.33560475812</v>
      </c>
      <c r="H193" s="257"/>
      <c r="I193" s="137">
        <f>+'SVD 4140_Pto. 01_Cert. 04'!K193</f>
        <v>0</v>
      </c>
      <c r="J193" s="262">
        <v>1</v>
      </c>
      <c r="K193" s="138">
        <f t="shared" si="99"/>
        <v>1</v>
      </c>
      <c r="L193" s="202">
        <f t="shared" si="100"/>
        <v>0</v>
      </c>
      <c r="M193" s="202">
        <f t="shared" si="101"/>
        <v>-198408.33560475812</v>
      </c>
      <c r="N193" s="202">
        <f t="shared" si="102"/>
        <v>-198408.33560475812</v>
      </c>
    </row>
    <row r="194" spans="1:17" ht="12.75" customHeight="1" x14ac:dyDescent="0.3">
      <c r="I194" s="252"/>
      <c r="J194" s="252"/>
      <c r="K194" s="252"/>
      <c r="L194" s="252"/>
      <c r="M194" s="284">
        <f>+SUM(M189:M193)</f>
        <v>-4700756.5356047582</v>
      </c>
      <c r="N194" s="284">
        <f>+SUM(N189:N193)</f>
        <v>-8461453.3356047589</v>
      </c>
    </row>
    <row r="195" spans="1:17" ht="12.75" customHeight="1" x14ac:dyDescent="0.3">
      <c r="M195" s="57"/>
      <c r="N195" s="57"/>
    </row>
    <row r="196" spans="1:17" ht="12.75" customHeight="1" x14ac:dyDescent="0.3">
      <c r="A196" s="81"/>
      <c r="B196" s="68" t="s">
        <v>199</v>
      </c>
      <c r="C196" s="82"/>
      <c r="D196" s="83"/>
      <c r="E196" s="84"/>
      <c r="F196" s="85"/>
      <c r="G196" s="86"/>
      <c r="H196" s="86"/>
      <c r="I196" s="87"/>
      <c r="J196" s="88"/>
      <c r="K196" s="89" t="s">
        <v>200</v>
      </c>
      <c r="L196" s="90">
        <f>+J5</f>
        <v>7</v>
      </c>
      <c r="M196" s="91"/>
      <c r="N196" s="92">
        <f>+N5</f>
        <v>46141</v>
      </c>
    </row>
    <row r="197" spans="1:17" ht="12.75" customHeight="1" x14ac:dyDescent="0.3">
      <c r="A197" s="93"/>
      <c r="B197" s="68" t="s">
        <v>6</v>
      </c>
      <c r="C197" s="91"/>
      <c r="D197" s="94"/>
      <c r="E197" s="95"/>
      <c r="F197" s="86"/>
      <c r="G197" s="86"/>
      <c r="H197" s="86"/>
      <c r="I197" s="96"/>
      <c r="J197" s="97"/>
      <c r="K197" s="96"/>
      <c r="L197" s="68"/>
      <c r="M197" s="91" t="s">
        <v>201</v>
      </c>
      <c r="N197" s="98" t="s">
        <v>202</v>
      </c>
    </row>
    <row r="198" spans="1:17" ht="12.75" customHeight="1" x14ac:dyDescent="0.3">
      <c r="A198" s="146" t="s">
        <v>203</v>
      </c>
      <c r="B198" s="99" t="s">
        <v>204</v>
      </c>
      <c r="C198" s="100"/>
      <c r="D198" s="101"/>
      <c r="E198" s="102"/>
      <c r="F198" s="103"/>
      <c r="G198" s="104"/>
      <c r="H198" s="104"/>
      <c r="I198" s="105"/>
      <c r="J198" s="106"/>
      <c r="K198" s="105"/>
      <c r="L198" s="107"/>
      <c r="M198" s="107"/>
      <c r="N198" s="108">
        <f>+G185</f>
        <v>735657133.01950002</v>
      </c>
      <c r="P198" s="171"/>
      <c r="Q198" s="172"/>
    </row>
    <row r="199" spans="1:17" ht="12.75" customHeight="1" x14ac:dyDescent="0.3">
      <c r="A199" s="109" t="s">
        <v>205</v>
      </c>
      <c r="B199" s="110" t="s">
        <v>206</v>
      </c>
      <c r="C199" s="111"/>
      <c r="D199" s="112"/>
      <c r="E199" s="113"/>
      <c r="F199" s="114"/>
      <c r="G199" s="115"/>
      <c r="H199" s="115"/>
      <c r="I199" s="114"/>
      <c r="J199" s="116"/>
      <c r="K199" s="117"/>
      <c r="L199" s="118"/>
      <c r="M199" s="240">
        <v>0.4</v>
      </c>
      <c r="N199" s="119">
        <f>+M199*N198</f>
        <v>294262853.20780003</v>
      </c>
      <c r="P199" s="173"/>
      <c r="Q199" s="172"/>
    </row>
    <row r="200" spans="1:17" ht="12.75" customHeight="1" x14ac:dyDescent="0.3">
      <c r="A200" s="147" t="s">
        <v>207</v>
      </c>
      <c r="B200" s="120" t="s">
        <v>208</v>
      </c>
      <c r="C200" s="121"/>
      <c r="D200" s="122"/>
      <c r="E200" s="123"/>
      <c r="F200" s="124"/>
      <c r="G200" s="125"/>
      <c r="H200" s="125"/>
      <c r="I200" s="126"/>
      <c r="J200" s="127"/>
      <c r="K200" s="126"/>
      <c r="L200" s="128"/>
      <c r="M200" s="128"/>
      <c r="N200" s="129">
        <f>+M185</f>
        <v>76871842.431824982</v>
      </c>
      <c r="P200" s="171"/>
      <c r="Q200" s="174"/>
    </row>
    <row r="201" spans="1:17" ht="12.75" customHeight="1" x14ac:dyDescent="0.3">
      <c r="A201" s="148" t="s">
        <v>209</v>
      </c>
      <c r="B201" s="149" t="s">
        <v>210</v>
      </c>
      <c r="C201" s="150"/>
      <c r="D201" s="151"/>
      <c r="E201" s="152"/>
      <c r="F201" s="153"/>
      <c r="G201" s="154"/>
      <c r="H201" s="154"/>
      <c r="I201" s="155"/>
      <c r="J201" s="156"/>
      <c r="K201" s="155"/>
      <c r="L201" s="157"/>
      <c r="M201" s="158">
        <f>-M199</f>
        <v>-0.4</v>
      </c>
      <c r="N201" s="159">
        <f>+M201*N200</f>
        <v>-30748736.972729996</v>
      </c>
      <c r="P201" s="173"/>
      <c r="Q201" s="175"/>
    </row>
    <row r="202" spans="1:17" ht="12.75" customHeight="1" x14ac:dyDescent="0.3">
      <c r="A202" s="147" t="s">
        <v>211</v>
      </c>
      <c r="B202" s="120" t="s">
        <v>218</v>
      </c>
      <c r="C202" s="121"/>
      <c r="D202" s="122"/>
      <c r="E202" s="123"/>
      <c r="F202" s="124"/>
      <c r="G202" s="125"/>
      <c r="H202" s="125"/>
      <c r="I202" s="126"/>
      <c r="J202" s="127"/>
      <c r="K202" s="126"/>
      <c r="L202" s="128"/>
      <c r="M202" s="128"/>
      <c r="N202" s="129">
        <f>+M194</f>
        <v>-4700756.5356047582</v>
      </c>
      <c r="P202" s="173"/>
      <c r="Q202" s="175"/>
    </row>
    <row r="203" spans="1:17" ht="12.75" customHeight="1" x14ac:dyDescent="0.3">
      <c r="A203" s="286" t="s">
        <v>217</v>
      </c>
      <c r="B203" s="287" t="s">
        <v>212</v>
      </c>
      <c r="C203" s="288"/>
      <c r="D203" s="289"/>
      <c r="E203" s="290"/>
      <c r="F203" s="291"/>
      <c r="G203" s="291"/>
      <c r="H203" s="291"/>
      <c r="I203" s="291"/>
      <c r="J203" s="292"/>
      <c r="K203" s="293"/>
      <c r="L203" s="294"/>
      <c r="M203" s="294"/>
      <c r="N203" s="295">
        <f>+N200+N201+N202</f>
        <v>41422348.923490226</v>
      </c>
      <c r="P203" s="171"/>
      <c r="Q203" s="176"/>
    </row>
    <row r="204" spans="1:17" ht="12.75" customHeight="1" x14ac:dyDescent="0.3">
      <c r="A204" s="177"/>
      <c r="B204" s="2" t="s">
        <v>213</v>
      </c>
      <c r="C204" s="150"/>
      <c r="D204" s="151"/>
      <c r="E204" s="152"/>
      <c r="F204" s="153"/>
      <c r="G204" s="154"/>
      <c r="H204" s="154"/>
      <c r="I204" s="155"/>
      <c r="J204" s="156"/>
      <c r="K204" s="155"/>
      <c r="L204" s="157"/>
    </row>
    <row r="206" spans="1:17" ht="12.75" customHeight="1" x14ac:dyDescent="0.3">
      <c r="N206" s="144"/>
    </row>
  </sheetData>
  <mergeCells count="2">
    <mergeCell ref="I7:K7"/>
    <mergeCell ref="L7:N7"/>
  </mergeCells>
  <conditionalFormatting sqref="C3:C12 C56:C193">
    <cfRule type="cellIs" dxfId="51" priority="26" operator="equal">
      <formula>"x"</formula>
    </cfRule>
  </conditionalFormatting>
  <conditionalFormatting sqref="C18">
    <cfRule type="cellIs" dxfId="50" priority="24" operator="equal">
      <formula>"x"</formula>
    </cfRule>
  </conditionalFormatting>
  <conditionalFormatting sqref="C20:C29">
    <cfRule type="cellIs" dxfId="49" priority="23" operator="equal">
      <formula>"x"</formula>
    </cfRule>
  </conditionalFormatting>
  <conditionalFormatting sqref="C37">
    <cfRule type="cellIs" dxfId="48" priority="22" operator="equal">
      <formula>"x"</formula>
    </cfRule>
  </conditionalFormatting>
  <conditionalFormatting sqref="C42:C53">
    <cfRule type="cellIs" dxfId="47" priority="21" operator="equal">
      <formula>"x"</formula>
    </cfRule>
  </conditionalFormatting>
  <conditionalFormatting sqref="K10:K17 K19:K25 K27 K29:K36 K38:K45 K47:K50 K52:K55 K189:K193">
    <cfRule type="cellIs" dxfId="46" priority="25" operator="lessThan">
      <formula>1</formula>
    </cfRule>
  </conditionalFormatting>
  <conditionalFormatting sqref="K57:K63">
    <cfRule type="cellIs" dxfId="45" priority="19" operator="lessThan">
      <formula>1</formula>
    </cfRule>
  </conditionalFormatting>
  <conditionalFormatting sqref="K65:K69">
    <cfRule type="cellIs" dxfId="44" priority="18" operator="lessThan">
      <formula>1</formula>
    </cfRule>
  </conditionalFormatting>
  <conditionalFormatting sqref="K71:K74">
    <cfRule type="cellIs" dxfId="43" priority="17" operator="lessThan">
      <formula>1</formula>
    </cfRule>
  </conditionalFormatting>
  <conditionalFormatting sqref="K76:K82">
    <cfRule type="cellIs" dxfId="42" priority="16" operator="lessThan">
      <formula>1</formula>
    </cfRule>
  </conditionalFormatting>
  <conditionalFormatting sqref="K84:K92">
    <cfRule type="cellIs" dxfId="41" priority="15" operator="lessThan">
      <formula>1</formula>
    </cfRule>
  </conditionalFormatting>
  <conditionalFormatting sqref="K94">
    <cfRule type="cellIs" dxfId="40" priority="14" operator="lessThan">
      <formula>1</formula>
    </cfRule>
  </conditionalFormatting>
  <conditionalFormatting sqref="K96:K99">
    <cfRule type="cellIs" dxfId="39" priority="13" operator="lessThan">
      <formula>1</formula>
    </cfRule>
  </conditionalFormatting>
  <conditionalFormatting sqref="K101:K130">
    <cfRule type="cellIs" dxfId="38" priority="20" operator="lessThan">
      <formula>1</formula>
    </cfRule>
  </conditionalFormatting>
  <conditionalFormatting sqref="K133:K136">
    <cfRule type="cellIs" dxfId="37" priority="12" operator="lessThan">
      <formula>1</formula>
    </cfRule>
  </conditionalFormatting>
  <conditionalFormatting sqref="K138:K140 K142:K146">
    <cfRule type="cellIs" dxfId="36" priority="11" operator="lessThan">
      <formula>1</formula>
    </cfRule>
  </conditionalFormatting>
  <conditionalFormatting sqref="K148">
    <cfRule type="cellIs" dxfId="35" priority="10" operator="lessThan">
      <formula>1</formula>
    </cfRule>
  </conditionalFormatting>
  <conditionalFormatting sqref="K150:K153">
    <cfRule type="cellIs" dxfId="34" priority="9" operator="lessThan">
      <formula>1</formula>
    </cfRule>
  </conditionalFormatting>
  <conditionalFormatting sqref="K155">
    <cfRule type="cellIs" dxfId="33" priority="8" operator="lessThan">
      <formula>1</formula>
    </cfRule>
  </conditionalFormatting>
  <conditionalFormatting sqref="K157:K158">
    <cfRule type="cellIs" dxfId="32" priority="7" operator="lessThan">
      <formula>1</formula>
    </cfRule>
  </conditionalFormatting>
  <conditionalFormatting sqref="K160:K161">
    <cfRule type="cellIs" dxfId="31" priority="6" operator="lessThan">
      <formula>1</formula>
    </cfRule>
  </conditionalFormatting>
  <conditionalFormatting sqref="K163">
    <cfRule type="cellIs" dxfId="30" priority="5" operator="lessThan">
      <formula>1</formula>
    </cfRule>
  </conditionalFormatting>
  <conditionalFormatting sqref="K165:K166">
    <cfRule type="cellIs" dxfId="29" priority="4" operator="lessThan">
      <formula>1</formula>
    </cfRule>
  </conditionalFormatting>
  <conditionalFormatting sqref="K168:K170">
    <cfRule type="cellIs" dxfId="28" priority="3" operator="lessThan">
      <formula>1</formula>
    </cfRule>
  </conditionalFormatting>
  <conditionalFormatting sqref="K172:K181">
    <cfRule type="cellIs" dxfId="27" priority="2" operator="lessThan">
      <formula>1</formula>
    </cfRule>
  </conditionalFormatting>
  <conditionalFormatting sqref="K183:K184">
    <cfRule type="cellIs" dxfId="26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/>
  <headerFooter>
    <oddFooter>&amp;C&amp;P de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22CE-B08D-4AC3-9C68-1CD5E354D012}">
  <dimension ref="A1:S206"/>
  <sheetViews>
    <sheetView tabSelected="1" workbookViewId="0">
      <pane xSplit="4" ySplit="8" topLeftCell="E172" activePane="bottomRight" state="frozen"/>
      <selection pane="topRight" activeCell="E1" sqref="E1"/>
      <selection pane="bottomLeft" activeCell="A9" sqref="A9"/>
      <selection pane="bottomRight" activeCell="B204" sqref="B198:B204"/>
    </sheetView>
  </sheetViews>
  <sheetFormatPr baseColWidth="10" defaultColWidth="11.5546875" defaultRowHeight="12.75" customHeight="1" outlineLevelRow="1" x14ac:dyDescent="0.3"/>
  <cols>
    <col min="1" max="1" width="6.5546875" style="1" bestFit="1" customWidth="1"/>
    <col min="2" max="2" width="88.109375" style="2" bestFit="1" customWidth="1"/>
    <col min="3" max="3" width="5.33203125" style="3" bestFit="1" customWidth="1"/>
    <col min="4" max="4" width="8.109375" style="4" bestFit="1" customWidth="1"/>
    <col min="5" max="5" width="11" style="5" bestFit="1" customWidth="1"/>
    <col min="6" max="6" width="11.6640625" style="5" bestFit="1" customWidth="1"/>
    <col min="7" max="7" width="12" style="26" bestFit="1" customWidth="1"/>
    <col min="8" max="8" width="7.33203125" style="7" bestFit="1" customWidth="1"/>
    <col min="9" max="9" width="11" style="7" bestFit="1" customWidth="1"/>
    <col min="10" max="14" width="13.33203125" style="7" customWidth="1"/>
    <col min="15" max="16" width="11.5546875" style="7"/>
    <col min="17" max="17" width="14.44140625" style="7" bestFit="1" customWidth="1"/>
    <col min="18" max="18" width="12.44140625" style="7" bestFit="1" customWidth="1"/>
    <col min="19" max="16384" width="11.5546875" style="7"/>
  </cols>
  <sheetData>
    <row r="1" spans="1:19" ht="12.75" customHeight="1" x14ac:dyDescent="0.3">
      <c r="F1" s="6" t="s">
        <v>0</v>
      </c>
      <c r="G1" s="6" t="s">
        <v>1</v>
      </c>
    </row>
    <row r="2" spans="1:19" ht="13.8" x14ac:dyDescent="0.3">
      <c r="E2" s="69"/>
      <c r="F2" s="9">
        <v>1005</v>
      </c>
      <c r="G2" s="9">
        <v>1170</v>
      </c>
    </row>
    <row r="3" spans="1:19" s="15" customFormat="1" ht="13.8" x14ac:dyDescent="0.25">
      <c r="A3" s="10"/>
      <c r="B3" s="11"/>
      <c r="C3" s="12"/>
      <c r="D3" s="13"/>
      <c r="E3" s="13"/>
      <c r="F3" s="13"/>
      <c r="G3" s="14"/>
    </row>
    <row r="4" spans="1:19" s="15" customFormat="1" ht="13.8" x14ac:dyDescent="0.25">
      <c r="A4" s="10"/>
      <c r="B4" s="11"/>
      <c r="C4" s="12"/>
      <c r="D4" s="13"/>
      <c r="E4" s="13"/>
      <c r="F4" s="16">
        <v>45628</v>
      </c>
      <c r="G4" s="14"/>
    </row>
    <row r="5" spans="1:19" s="15" customFormat="1" ht="13.8" x14ac:dyDescent="0.3">
      <c r="A5" s="10"/>
      <c r="B5" s="8" t="s">
        <v>2</v>
      </c>
      <c r="C5" s="12"/>
      <c r="D5" s="13"/>
      <c r="E5" s="17"/>
      <c r="F5" s="17"/>
      <c r="G5" s="14"/>
      <c r="I5" s="70" t="s">
        <v>3</v>
      </c>
      <c r="J5" s="242">
        <v>8</v>
      </c>
      <c r="K5" s="71"/>
      <c r="L5" s="72"/>
      <c r="M5" s="73"/>
      <c r="N5" s="241">
        <v>46174</v>
      </c>
    </row>
    <row r="6" spans="1:19" s="15" customFormat="1" ht="13.8" x14ac:dyDescent="0.25">
      <c r="A6" s="10"/>
      <c r="B6" s="8" t="s">
        <v>4</v>
      </c>
      <c r="C6" s="18"/>
      <c r="D6" s="19"/>
      <c r="E6" s="20"/>
      <c r="F6" s="20"/>
      <c r="G6" s="14"/>
      <c r="I6" s="74"/>
      <c r="J6" s="75"/>
      <c r="K6" s="74"/>
      <c r="L6" s="76"/>
      <c r="M6" s="76"/>
      <c r="N6" s="76"/>
    </row>
    <row r="7" spans="1:19" ht="13.8" x14ac:dyDescent="0.3">
      <c r="A7" s="21" t="s">
        <v>5</v>
      </c>
      <c r="B7" s="22" t="s">
        <v>6</v>
      </c>
      <c r="C7" s="23" t="s">
        <v>7</v>
      </c>
      <c r="D7" s="24" t="s">
        <v>8</v>
      </c>
      <c r="E7" s="25" t="s">
        <v>9</v>
      </c>
      <c r="F7" s="25" t="s">
        <v>10</v>
      </c>
      <c r="I7" s="297" t="s">
        <v>11</v>
      </c>
      <c r="J7" s="297"/>
      <c r="K7" s="297"/>
      <c r="L7" s="298" t="s">
        <v>12</v>
      </c>
      <c r="M7" s="298"/>
      <c r="N7" s="298"/>
    </row>
    <row r="8" spans="1:19" ht="13.8" x14ac:dyDescent="0.3">
      <c r="A8" s="182"/>
      <c r="B8" s="183" t="s">
        <v>13</v>
      </c>
      <c r="C8" s="29"/>
      <c r="D8" s="30"/>
      <c r="E8" s="30"/>
      <c r="F8" s="30"/>
      <c r="G8" s="184"/>
      <c r="H8" s="32"/>
      <c r="I8" s="77" t="s">
        <v>14</v>
      </c>
      <c r="J8" s="77" t="s">
        <v>15</v>
      </c>
      <c r="K8" s="77" t="s">
        <v>16</v>
      </c>
      <c r="L8" s="78" t="s">
        <v>14</v>
      </c>
      <c r="M8" s="78" t="s">
        <v>15</v>
      </c>
      <c r="N8" s="78" t="s">
        <v>16</v>
      </c>
    </row>
    <row r="9" spans="1:19" ht="13.8" x14ac:dyDescent="0.3">
      <c r="A9" s="27">
        <v>4</v>
      </c>
      <c r="B9" s="28" t="s">
        <v>17</v>
      </c>
      <c r="C9" s="189"/>
      <c r="D9" s="65"/>
      <c r="E9" s="65"/>
      <c r="F9" s="65"/>
      <c r="G9" s="31">
        <f>+SUM(F10:F17)</f>
        <v>54302889.68</v>
      </c>
      <c r="H9" s="32">
        <f>+G9/$G$185</f>
        <v>7.3815487191858167E-2</v>
      </c>
      <c r="I9" s="139"/>
      <c r="J9" s="140"/>
      <c r="K9" s="130"/>
      <c r="L9" s="130"/>
      <c r="M9" s="130"/>
      <c r="N9" s="66"/>
    </row>
    <row r="10" spans="1:19" ht="13.8" outlineLevel="1" x14ac:dyDescent="0.3">
      <c r="A10" s="33">
        <v>4.01</v>
      </c>
      <c r="B10" s="34" t="s">
        <v>18</v>
      </c>
      <c r="C10" s="35" t="s">
        <v>19</v>
      </c>
      <c r="D10" s="36">
        <v>819</v>
      </c>
      <c r="E10" s="37">
        <v>18993</v>
      </c>
      <c r="F10" s="37">
        <f>+D10*E10</f>
        <v>15555267</v>
      </c>
      <c r="G10" s="5"/>
      <c r="H10" s="32"/>
      <c r="I10" s="244">
        <f>+'SVD 4140_Pto. 01_Cert. 07'!K10</f>
        <v>0.85000000000000009</v>
      </c>
      <c r="J10" s="249">
        <v>0.05</v>
      </c>
      <c r="K10" s="135">
        <f t="shared" ref="K10:K55" si="0">+I10+J10</f>
        <v>0.90000000000000013</v>
      </c>
      <c r="L10" s="80">
        <f t="shared" ref="L10:L55" si="1">+F10*I10</f>
        <v>13221976.950000001</v>
      </c>
      <c r="M10" s="80">
        <f t="shared" ref="M10:M55" si="2">+F10*J10</f>
        <v>777763.35000000009</v>
      </c>
      <c r="N10" s="80">
        <f t="shared" ref="N10:N55" si="3">+F10*K10</f>
        <v>13999740.300000003</v>
      </c>
      <c r="P10" s="285"/>
      <c r="Q10" s="285"/>
    </row>
    <row r="11" spans="1:19" ht="16.5" customHeight="1" outlineLevel="1" x14ac:dyDescent="0.3">
      <c r="A11" s="38">
        <v>4.0199999999999996</v>
      </c>
      <c r="B11" s="39" t="s">
        <v>20</v>
      </c>
      <c r="C11" s="40" t="s">
        <v>19</v>
      </c>
      <c r="D11" s="41">
        <v>612</v>
      </c>
      <c r="E11" s="42">
        <v>25172</v>
      </c>
      <c r="F11" s="42">
        <f t="shared" ref="F11:F74" si="4">+D11*E11</f>
        <v>15405264</v>
      </c>
      <c r="G11" s="5"/>
      <c r="H11" s="32"/>
      <c r="I11" s="245">
        <f>+'SVD 4140_Pto. 01_Cert. 07'!K11</f>
        <v>0.85</v>
      </c>
      <c r="J11" s="141">
        <v>0.1</v>
      </c>
      <c r="K11" s="79">
        <f t="shared" si="0"/>
        <v>0.95</v>
      </c>
      <c r="L11" s="80">
        <f>+F11*I11</f>
        <v>13094474.4</v>
      </c>
      <c r="M11" s="80">
        <f t="shared" si="2"/>
        <v>1540526.4000000001</v>
      </c>
      <c r="N11" s="80">
        <f t="shared" si="3"/>
        <v>14635000.799999999</v>
      </c>
      <c r="P11" s="285"/>
      <c r="Q11" s="285"/>
      <c r="S11" s="243"/>
    </row>
    <row r="12" spans="1:19" ht="13.8" outlineLevel="1" x14ac:dyDescent="0.3">
      <c r="A12" s="38">
        <v>4.03</v>
      </c>
      <c r="B12" s="39" t="s">
        <v>21</v>
      </c>
      <c r="C12" s="43" t="s">
        <v>19</v>
      </c>
      <c r="D12" s="44">
        <v>636</v>
      </c>
      <c r="E12" s="42">
        <v>21109</v>
      </c>
      <c r="F12" s="42">
        <f t="shared" si="4"/>
        <v>13425324</v>
      </c>
      <c r="G12" s="5"/>
      <c r="H12" s="32"/>
      <c r="I12" s="245">
        <f>+'SVD 4140_Pto. 01_Cert. 07'!K12</f>
        <v>0.85000000000000009</v>
      </c>
      <c r="J12" s="141">
        <v>0.05</v>
      </c>
      <c r="K12" s="79">
        <f t="shared" si="0"/>
        <v>0.90000000000000013</v>
      </c>
      <c r="L12" s="80">
        <f t="shared" si="1"/>
        <v>11411525.4</v>
      </c>
      <c r="M12" s="80">
        <f t="shared" si="2"/>
        <v>671266.20000000007</v>
      </c>
      <c r="N12" s="80">
        <f t="shared" si="3"/>
        <v>12082791.600000001</v>
      </c>
      <c r="P12" s="285"/>
      <c r="Q12" s="285"/>
    </row>
    <row r="13" spans="1:19" ht="13.8" outlineLevel="1" x14ac:dyDescent="0.3">
      <c r="A13" s="38">
        <v>4.04</v>
      </c>
      <c r="B13" s="39" t="s">
        <v>22</v>
      </c>
      <c r="C13" s="40" t="s">
        <v>19</v>
      </c>
      <c r="D13" s="41">
        <v>195</v>
      </c>
      <c r="E13" s="42">
        <v>15092</v>
      </c>
      <c r="F13" s="42">
        <f t="shared" si="4"/>
        <v>2942940</v>
      </c>
      <c r="G13" s="5"/>
      <c r="H13" s="32"/>
      <c r="I13" s="245">
        <f>+'SVD 4140_Pto. 01_Cert. 07'!K13</f>
        <v>0.15</v>
      </c>
      <c r="J13" s="141"/>
      <c r="K13" s="79">
        <f t="shared" si="0"/>
        <v>0.15</v>
      </c>
      <c r="L13" s="80">
        <f t="shared" si="1"/>
        <v>441441</v>
      </c>
      <c r="M13" s="80">
        <f t="shared" si="2"/>
        <v>0</v>
      </c>
      <c r="N13" s="80">
        <f t="shared" si="3"/>
        <v>441441</v>
      </c>
    </row>
    <row r="14" spans="1:19" ht="13.8" outlineLevel="1" x14ac:dyDescent="0.3">
      <c r="A14" s="38">
        <v>4.05</v>
      </c>
      <c r="B14" s="39" t="s">
        <v>23</v>
      </c>
      <c r="C14" s="40" t="s">
        <v>19</v>
      </c>
      <c r="D14" s="41">
        <v>30.053999999999998</v>
      </c>
      <c r="E14" s="42">
        <v>67420</v>
      </c>
      <c r="F14" s="42">
        <f t="shared" si="4"/>
        <v>2026240.68</v>
      </c>
      <c r="G14" s="5"/>
      <c r="H14" s="32"/>
      <c r="I14" s="245">
        <f>+'SVD 4140_Pto. 01_Cert. 07'!K14</f>
        <v>0</v>
      </c>
      <c r="J14" s="136"/>
      <c r="K14" s="79">
        <f t="shared" si="0"/>
        <v>0</v>
      </c>
      <c r="L14" s="80">
        <f t="shared" si="1"/>
        <v>0</v>
      </c>
      <c r="M14" s="80">
        <f t="shared" si="2"/>
        <v>0</v>
      </c>
      <c r="N14" s="80">
        <f t="shared" si="3"/>
        <v>0</v>
      </c>
    </row>
    <row r="15" spans="1:19" ht="13.8" outlineLevel="1" x14ac:dyDescent="0.3">
      <c r="A15" s="38">
        <v>4.0599999999999996</v>
      </c>
      <c r="B15" s="39" t="s">
        <v>24</v>
      </c>
      <c r="C15" s="40" t="s">
        <v>19</v>
      </c>
      <c r="D15" s="41">
        <v>24</v>
      </c>
      <c r="E15" s="42">
        <v>54908</v>
      </c>
      <c r="F15" s="42">
        <f t="shared" si="4"/>
        <v>1317792</v>
      </c>
      <c r="G15" s="5"/>
      <c r="H15" s="32"/>
      <c r="I15" s="245">
        <f>+'SVD 4140_Pto. 01_Cert. 07'!K15</f>
        <v>1</v>
      </c>
      <c r="J15" s="136"/>
      <c r="K15" s="79">
        <f t="shared" si="0"/>
        <v>1</v>
      </c>
      <c r="L15" s="80">
        <f t="shared" si="1"/>
        <v>1317792</v>
      </c>
      <c r="M15" s="80">
        <f t="shared" si="2"/>
        <v>0</v>
      </c>
      <c r="N15" s="80">
        <f t="shared" si="3"/>
        <v>1317792</v>
      </c>
    </row>
    <row r="16" spans="1:19" ht="13.8" outlineLevel="1" x14ac:dyDescent="0.3">
      <c r="A16" s="38">
        <v>4.07</v>
      </c>
      <c r="B16" s="39" t="s">
        <v>25</v>
      </c>
      <c r="C16" s="40" t="s">
        <v>26</v>
      </c>
      <c r="D16" s="41">
        <v>81</v>
      </c>
      <c r="E16" s="42">
        <v>30989</v>
      </c>
      <c r="F16" s="42">
        <f t="shared" si="4"/>
        <v>2510109</v>
      </c>
      <c r="G16" s="5"/>
      <c r="H16" s="32"/>
      <c r="I16" s="245">
        <f>+'SVD 4140_Pto. 01_Cert. 07'!K16</f>
        <v>0.9</v>
      </c>
      <c r="J16" s="141"/>
      <c r="K16" s="79">
        <f t="shared" si="0"/>
        <v>0.9</v>
      </c>
      <c r="L16" s="80">
        <f t="shared" si="1"/>
        <v>2259098.1</v>
      </c>
      <c r="M16" s="80">
        <f t="shared" si="2"/>
        <v>0</v>
      </c>
      <c r="N16" s="80">
        <f t="shared" si="3"/>
        <v>2259098.1</v>
      </c>
    </row>
    <row r="17" spans="1:18" ht="13.8" outlineLevel="1" x14ac:dyDescent="0.3">
      <c r="A17" s="38">
        <v>4.08</v>
      </c>
      <c r="B17" s="39" t="s">
        <v>27</v>
      </c>
      <c r="C17" s="40" t="s">
        <v>28</v>
      </c>
      <c r="D17" s="41">
        <v>1</v>
      </c>
      <c r="E17" s="42">
        <v>1119953</v>
      </c>
      <c r="F17" s="42">
        <f t="shared" si="4"/>
        <v>1119953</v>
      </c>
      <c r="G17" s="5"/>
      <c r="H17" s="32"/>
      <c r="I17" s="245">
        <f>+'SVD 4140_Pto. 01_Cert. 07'!K17</f>
        <v>0.5</v>
      </c>
      <c r="J17" s="136"/>
      <c r="K17" s="79">
        <f t="shared" si="0"/>
        <v>0.5</v>
      </c>
      <c r="L17" s="80">
        <f t="shared" si="1"/>
        <v>559976.5</v>
      </c>
      <c r="M17" s="80">
        <f t="shared" si="2"/>
        <v>0</v>
      </c>
      <c r="N17" s="80">
        <f t="shared" si="3"/>
        <v>559976.5</v>
      </c>
    </row>
    <row r="18" spans="1:18" ht="13.8" x14ac:dyDescent="0.3">
      <c r="A18" s="27">
        <v>5</v>
      </c>
      <c r="B18" s="28" t="s">
        <v>29</v>
      </c>
      <c r="C18" s="189"/>
      <c r="D18" s="65"/>
      <c r="E18" s="65"/>
      <c r="F18" s="65"/>
      <c r="G18" s="31">
        <f>+SUM(F19:F25)</f>
        <v>35966419</v>
      </c>
      <c r="H18" s="32">
        <f>+G18/$G$185</f>
        <v>4.8890192707540352E-2</v>
      </c>
      <c r="I18" s="246"/>
      <c r="J18" s="140"/>
      <c r="K18" s="130"/>
      <c r="L18" s="130"/>
      <c r="M18" s="130"/>
      <c r="N18" s="66"/>
    </row>
    <row r="19" spans="1:18" ht="13.8" outlineLevel="1" x14ac:dyDescent="0.3">
      <c r="A19" s="33">
        <v>5.01</v>
      </c>
      <c r="B19" s="34" t="s">
        <v>30</v>
      </c>
      <c r="C19" s="35" t="s">
        <v>19</v>
      </c>
      <c r="D19" s="36">
        <v>139.05000000000001</v>
      </c>
      <c r="E19" s="37">
        <v>21800</v>
      </c>
      <c r="F19" s="37">
        <f t="shared" si="4"/>
        <v>3031290.0000000005</v>
      </c>
      <c r="G19" s="195"/>
      <c r="H19" s="32"/>
      <c r="I19" s="245">
        <f>+'SVD 4140_Pto. 01_Cert. 07'!K19</f>
        <v>0</v>
      </c>
      <c r="J19" s="134">
        <v>0.3</v>
      </c>
      <c r="K19" s="135">
        <f t="shared" ref="K19:K20" si="5">+I19+J19</f>
        <v>0.3</v>
      </c>
      <c r="L19" s="200">
        <f t="shared" ref="L19:L20" si="6">+F19*I19</f>
        <v>0</v>
      </c>
      <c r="M19" s="200">
        <f t="shared" ref="M19:M20" si="7">+F19*J19</f>
        <v>909387.00000000012</v>
      </c>
      <c r="N19" s="200">
        <f t="shared" ref="N19:N20" si="8">+F19*K19</f>
        <v>909387.00000000012</v>
      </c>
    </row>
    <row r="20" spans="1:18" ht="13.8" outlineLevel="1" x14ac:dyDescent="0.3">
      <c r="A20" s="190">
        <v>5.0199999999999996</v>
      </c>
      <c r="B20" s="191" t="s">
        <v>31</v>
      </c>
      <c r="C20" s="43" t="s">
        <v>19</v>
      </c>
      <c r="D20" s="44">
        <v>300</v>
      </c>
      <c r="E20" s="44">
        <v>5376</v>
      </c>
      <c r="F20" s="44">
        <f t="shared" si="4"/>
        <v>1612800</v>
      </c>
      <c r="G20" s="186"/>
      <c r="H20" s="32"/>
      <c r="I20" s="245">
        <f>+'SVD 4140_Pto. 01_Cert. 07'!K20</f>
        <v>0.75</v>
      </c>
      <c r="J20" s="136">
        <v>0.25</v>
      </c>
      <c r="K20" s="79">
        <f t="shared" si="5"/>
        <v>1</v>
      </c>
      <c r="L20" s="201">
        <f t="shared" si="6"/>
        <v>1209600</v>
      </c>
      <c r="M20" s="201">
        <f t="shared" si="7"/>
        <v>403200</v>
      </c>
      <c r="N20" s="201">
        <f t="shared" si="8"/>
        <v>1612800</v>
      </c>
    </row>
    <row r="21" spans="1:18" ht="13.8" outlineLevel="1" x14ac:dyDescent="0.3">
      <c r="A21" s="38">
        <v>5.03</v>
      </c>
      <c r="B21" s="52" t="s">
        <v>32</v>
      </c>
      <c r="C21" s="49" t="s">
        <v>19</v>
      </c>
      <c r="D21" s="50">
        <v>48</v>
      </c>
      <c r="E21" s="42">
        <v>5376</v>
      </c>
      <c r="F21" s="42">
        <f t="shared" si="4"/>
        <v>258048</v>
      </c>
      <c r="G21" s="196"/>
      <c r="H21" s="32"/>
      <c r="I21" s="245">
        <f>+'SVD 4140_Pto. 01_Cert. 07'!K21</f>
        <v>0</v>
      </c>
      <c r="J21" s="136"/>
      <c r="K21" s="79">
        <f t="shared" si="0"/>
        <v>0</v>
      </c>
      <c r="L21" s="201">
        <f t="shared" si="1"/>
        <v>0</v>
      </c>
      <c r="M21" s="201">
        <f t="shared" si="2"/>
        <v>0</v>
      </c>
      <c r="N21" s="201">
        <f t="shared" si="3"/>
        <v>0</v>
      </c>
      <c r="R21" s="144"/>
    </row>
    <row r="22" spans="1:18" ht="13.8" outlineLevel="1" x14ac:dyDescent="0.3">
      <c r="A22" s="38">
        <v>5.04</v>
      </c>
      <c r="B22" s="39" t="s">
        <v>33</v>
      </c>
      <c r="C22" s="40" t="s">
        <v>19</v>
      </c>
      <c r="D22" s="50">
        <v>262</v>
      </c>
      <c r="E22" s="42">
        <v>4403</v>
      </c>
      <c r="F22" s="42">
        <f t="shared" si="4"/>
        <v>1153586</v>
      </c>
      <c r="G22" s="196"/>
      <c r="H22" s="32"/>
      <c r="I22" s="245">
        <f>+'SVD 4140_Pto. 01_Cert. 07'!K22</f>
        <v>0</v>
      </c>
      <c r="J22" s="136"/>
      <c r="K22" s="79">
        <f t="shared" si="0"/>
        <v>0</v>
      </c>
      <c r="L22" s="201">
        <f t="shared" si="1"/>
        <v>0</v>
      </c>
      <c r="M22" s="201">
        <f t="shared" si="2"/>
        <v>0</v>
      </c>
      <c r="N22" s="201">
        <f t="shared" si="3"/>
        <v>0</v>
      </c>
    </row>
    <row r="23" spans="1:18" ht="13.8" outlineLevel="1" x14ac:dyDescent="0.3">
      <c r="A23" s="38">
        <v>5.05</v>
      </c>
      <c r="B23" s="52" t="s">
        <v>34</v>
      </c>
      <c r="C23" s="49" t="s">
        <v>19</v>
      </c>
      <c r="D23" s="50">
        <v>510</v>
      </c>
      <c r="E23" s="42">
        <v>3578</v>
      </c>
      <c r="F23" s="42">
        <f t="shared" si="4"/>
        <v>1824780</v>
      </c>
      <c r="G23" s="196"/>
      <c r="H23" s="32"/>
      <c r="I23" s="245">
        <f>+'SVD 4140_Pto. 01_Cert. 07'!K23</f>
        <v>0</v>
      </c>
      <c r="J23" s="136">
        <v>0.7</v>
      </c>
      <c r="K23" s="79">
        <f t="shared" si="0"/>
        <v>0.7</v>
      </c>
      <c r="L23" s="201">
        <f t="shared" si="1"/>
        <v>0</v>
      </c>
      <c r="M23" s="201">
        <f t="shared" si="2"/>
        <v>1277346</v>
      </c>
      <c r="N23" s="201">
        <f t="shared" si="3"/>
        <v>1277346</v>
      </c>
    </row>
    <row r="24" spans="1:18" ht="13.8" outlineLevel="1" x14ac:dyDescent="0.3">
      <c r="A24" s="190">
        <v>5.0599999999999996</v>
      </c>
      <c r="B24" s="191" t="s">
        <v>35</v>
      </c>
      <c r="C24" s="43" t="s">
        <v>19</v>
      </c>
      <c r="D24" s="44">
        <v>510</v>
      </c>
      <c r="E24" s="44">
        <v>21800</v>
      </c>
      <c r="F24" s="44">
        <f t="shared" si="4"/>
        <v>11118000</v>
      </c>
      <c r="G24" s="186"/>
      <c r="H24" s="32"/>
      <c r="I24" s="245">
        <f>+'SVD 4140_Pto. 01_Cert. 07'!K24</f>
        <v>0</v>
      </c>
      <c r="J24" s="141"/>
      <c r="K24" s="79">
        <f t="shared" si="0"/>
        <v>0</v>
      </c>
      <c r="L24" s="201">
        <f t="shared" si="1"/>
        <v>0</v>
      </c>
      <c r="M24" s="201">
        <f t="shared" si="2"/>
        <v>0</v>
      </c>
      <c r="N24" s="201">
        <f t="shared" si="3"/>
        <v>0</v>
      </c>
    </row>
    <row r="25" spans="1:18" ht="13.8" outlineLevel="1" x14ac:dyDescent="0.3">
      <c r="A25" s="45">
        <v>5.07</v>
      </c>
      <c r="B25" s="192" t="s">
        <v>36</v>
      </c>
      <c r="C25" s="193" t="s">
        <v>28</v>
      </c>
      <c r="D25" s="194">
        <v>1</v>
      </c>
      <c r="E25" s="60">
        <v>16967915</v>
      </c>
      <c r="F25" s="60">
        <f t="shared" si="4"/>
        <v>16967915</v>
      </c>
      <c r="G25" s="197"/>
      <c r="H25" s="32"/>
      <c r="I25" s="245">
        <f>+'SVD 4140_Pto. 01_Cert. 07'!K25</f>
        <v>1</v>
      </c>
      <c r="J25" s="137"/>
      <c r="K25" s="138">
        <f t="shared" si="0"/>
        <v>1</v>
      </c>
      <c r="L25" s="202">
        <f t="shared" si="1"/>
        <v>16967915</v>
      </c>
      <c r="M25" s="202">
        <f t="shared" si="2"/>
        <v>0</v>
      </c>
      <c r="N25" s="202">
        <f t="shared" si="3"/>
        <v>16967915</v>
      </c>
    </row>
    <row r="26" spans="1:18" ht="13.8" x14ac:dyDescent="0.3">
      <c r="A26" s="27">
        <v>6</v>
      </c>
      <c r="B26" s="28" t="s">
        <v>37</v>
      </c>
      <c r="C26" s="189"/>
      <c r="D26" s="65"/>
      <c r="E26" s="65"/>
      <c r="F26" s="65"/>
      <c r="G26" s="31">
        <f>+SUM(F27)</f>
        <v>2433900</v>
      </c>
      <c r="H26" s="32">
        <f>+G26/$G$185</f>
        <v>3.3084706050630856E-3</v>
      </c>
      <c r="I26" s="246"/>
      <c r="J26" s="140"/>
      <c r="K26" s="130"/>
      <c r="L26" s="130"/>
      <c r="M26" s="130"/>
      <c r="N26" s="66"/>
    </row>
    <row r="27" spans="1:18" ht="13.8" outlineLevel="1" x14ac:dyDescent="0.3">
      <c r="A27" s="38">
        <v>6.02</v>
      </c>
      <c r="B27" s="51" t="s">
        <v>38</v>
      </c>
      <c r="C27" s="43" t="s">
        <v>26</v>
      </c>
      <c r="D27" s="44">
        <v>60</v>
      </c>
      <c r="E27" s="42">
        <v>40565</v>
      </c>
      <c r="F27" s="42">
        <f t="shared" si="4"/>
        <v>2433900</v>
      </c>
      <c r="G27" s="5"/>
      <c r="H27" s="32"/>
      <c r="I27" s="245">
        <f>+'SVD 4140_Pto. 01_Cert. 07'!K27</f>
        <v>0</v>
      </c>
      <c r="J27" s="136"/>
      <c r="K27" s="79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</row>
    <row r="28" spans="1:18" ht="13.8" x14ac:dyDescent="0.3">
      <c r="A28" s="27">
        <v>7</v>
      </c>
      <c r="B28" s="28" t="s">
        <v>39</v>
      </c>
      <c r="C28" s="189"/>
      <c r="D28" s="65"/>
      <c r="E28" s="65"/>
      <c r="F28" s="65"/>
      <c r="G28" s="31">
        <f>+SUM(F29:F36)</f>
        <v>136390555.29860002</v>
      </c>
      <c r="H28" s="32">
        <f>+G28/$G$185</f>
        <v>0.18539962324403197</v>
      </c>
      <c r="I28" s="246">
        <f>+'SVD 4140_Pto. 01_Cert. 07'!K28</f>
        <v>0</v>
      </c>
      <c r="J28" s="140"/>
      <c r="K28" s="130"/>
      <c r="L28" s="130"/>
      <c r="M28" s="130"/>
      <c r="N28" s="66"/>
    </row>
    <row r="29" spans="1:18" ht="13.8" outlineLevel="1" x14ac:dyDescent="0.3">
      <c r="A29" s="38">
        <v>7.01</v>
      </c>
      <c r="B29" s="51" t="s">
        <v>40</v>
      </c>
      <c r="C29" s="43" t="s">
        <v>19</v>
      </c>
      <c r="D29" s="44">
        <v>678.25199999999995</v>
      </c>
      <c r="E29" s="42">
        <v>16571</v>
      </c>
      <c r="F29" s="42">
        <f t="shared" si="4"/>
        <v>11239313.891999999</v>
      </c>
      <c r="G29" s="5"/>
      <c r="H29" s="32"/>
      <c r="I29" s="245">
        <f>+'SVD 4140_Pto. 01_Cert. 07'!K29</f>
        <v>0.05</v>
      </c>
      <c r="J29" s="136">
        <v>0.1</v>
      </c>
      <c r="K29" s="79">
        <f t="shared" si="0"/>
        <v>0.15000000000000002</v>
      </c>
      <c r="L29" s="80">
        <f t="shared" si="1"/>
        <v>561965.69459999993</v>
      </c>
      <c r="M29" s="80">
        <f t="shared" si="2"/>
        <v>1123931.3891999999</v>
      </c>
      <c r="N29" s="80">
        <f t="shared" si="3"/>
        <v>1685897.0838000001</v>
      </c>
    </row>
    <row r="30" spans="1:18" ht="13.8" outlineLevel="1" x14ac:dyDescent="0.3">
      <c r="A30" s="38">
        <v>7.02</v>
      </c>
      <c r="B30" s="39" t="s">
        <v>41</v>
      </c>
      <c r="C30" s="49" t="s">
        <v>19</v>
      </c>
      <c r="D30" s="41">
        <v>876.08119999999985</v>
      </c>
      <c r="E30" s="42">
        <v>22183</v>
      </c>
      <c r="F30" s="42">
        <f t="shared" si="4"/>
        <v>19434109.259599999</v>
      </c>
      <c r="G30" s="5"/>
      <c r="H30" s="32"/>
      <c r="I30" s="245">
        <f>+'SVD 4140_Pto. 01_Cert. 07'!K30</f>
        <v>0.5</v>
      </c>
      <c r="J30" s="136">
        <v>0.25</v>
      </c>
      <c r="K30" s="79">
        <f t="shared" si="0"/>
        <v>0.75</v>
      </c>
      <c r="L30" s="80">
        <f t="shared" si="1"/>
        <v>9717054.6297999993</v>
      </c>
      <c r="M30" s="80">
        <f t="shared" si="2"/>
        <v>4858527.3148999996</v>
      </c>
      <c r="N30" s="80">
        <f t="shared" si="3"/>
        <v>14575581.944699999</v>
      </c>
      <c r="P30" s="285"/>
    </row>
    <row r="31" spans="1:18" ht="13.8" outlineLevel="1" x14ac:dyDescent="0.3">
      <c r="A31" s="38">
        <v>7.03</v>
      </c>
      <c r="B31" s="39" t="s">
        <v>42</v>
      </c>
      <c r="C31" s="49" t="s">
        <v>26</v>
      </c>
      <c r="D31" s="41">
        <v>182</v>
      </c>
      <c r="E31" s="42">
        <v>10806</v>
      </c>
      <c r="F31" s="42">
        <f t="shared" si="4"/>
        <v>1966692</v>
      </c>
      <c r="G31" s="5"/>
      <c r="H31" s="32"/>
      <c r="I31" s="245">
        <f>+'SVD 4140_Pto. 01_Cert. 07'!K31</f>
        <v>0.5</v>
      </c>
      <c r="J31" s="136">
        <v>0.15</v>
      </c>
      <c r="K31" s="79">
        <f t="shared" si="0"/>
        <v>0.65</v>
      </c>
      <c r="L31" s="80">
        <f t="shared" si="1"/>
        <v>983346</v>
      </c>
      <c r="M31" s="80">
        <f t="shared" si="2"/>
        <v>295003.8</v>
      </c>
      <c r="N31" s="80">
        <f t="shared" si="3"/>
        <v>1278349.8</v>
      </c>
    </row>
    <row r="32" spans="1:18" ht="13.8" outlineLevel="1" x14ac:dyDescent="0.3">
      <c r="A32" s="38">
        <v>7.04</v>
      </c>
      <c r="B32" s="39" t="s">
        <v>43</v>
      </c>
      <c r="C32" s="49" t="s">
        <v>19</v>
      </c>
      <c r="D32" s="41">
        <v>995.85109999999997</v>
      </c>
      <c r="E32" s="42">
        <v>26530</v>
      </c>
      <c r="F32" s="42">
        <f t="shared" si="4"/>
        <v>26419929.682999998</v>
      </c>
      <c r="G32" s="5"/>
      <c r="H32" s="32"/>
      <c r="I32" s="245">
        <f>+'SVD 4140_Pto. 01_Cert. 07'!K32</f>
        <v>0.45</v>
      </c>
      <c r="J32" s="141">
        <v>0.15</v>
      </c>
      <c r="K32" s="79">
        <f t="shared" si="0"/>
        <v>0.6</v>
      </c>
      <c r="L32" s="80">
        <f t="shared" si="1"/>
        <v>11888968.357349999</v>
      </c>
      <c r="M32" s="80">
        <f t="shared" si="2"/>
        <v>3962989.4524499997</v>
      </c>
      <c r="N32" s="80">
        <f t="shared" si="3"/>
        <v>15851957.809799999</v>
      </c>
    </row>
    <row r="33" spans="1:16" ht="13.8" outlineLevel="1" x14ac:dyDescent="0.3">
      <c r="A33" s="38">
        <v>7.05</v>
      </c>
      <c r="B33" s="39" t="s">
        <v>44</v>
      </c>
      <c r="C33" s="49" t="s">
        <v>19</v>
      </c>
      <c r="D33" s="41">
        <v>2514.8970000000013</v>
      </c>
      <c r="E33" s="42">
        <v>22566</v>
      </c>
      <c r="F33" s="42">
        <f t="shared" si="4"/>
        <v>56751165.702000029</v>
      </c>
      <c r="G33" s="5"/>
      <c r="H33" s="32"/>
      <c r="I33" s="245">
        <f>+'SVD 4140_Pto. 01_Cert. 07'!K33</f>
        <v>0.2</v>
      </c>
      <c r="J33" s="141">
        <v>0.3</v>
      </c>
      <c r="K33" s="79">
        <f t="shared" si="0"/>
        <v>0.5</v>
      </c>
      <c r="L33" s="80">
        <f t="shared" si="1"/>
        <v>11350233.140400007</v>
      </c>
      <c r="M33" s="80">
        <f t="shared" si="2"/>
        <v>17025349.710600007</v>
      </c>
      <c r="N33" s="80">
        <f t="shared" si="3"/>
        <v>28375582.851000015</v>
      </c>
    </row>
    <row r="34" spans="1:16" ht="13.8" outlineLevel="1" x14ac:dyDescent="0.3">
      <c r="A34" s="38">
        <v>7.06</v>
      </c>
      <c r="B34" s="39" t="s">
        <v>45</v>
      </c>
      <c r="C34" s="49" t="s">
        <v>26</v>
      </c>
      <c r="D34" s="41">
        <v>509.9</v>
      </c>
      <c r="E34" s="42">
        <v>12771</v>
      </c>
      <c r="F34" s="42">
        <f t="shared" si="4"/>
        <v>6511932.8999999994</v>
      </c>
      <c r="G34" s="5"/>
      <c r="H34" s="32"/>
      <c r="I34" s="245">
        <f>+'SVD 4140_Pto. 01_Cert. 07'!K34</f>
        <v>0.2</v>
      </c>
      <c r="J34" s="136">
        <v>0.3</v>
      </c>
      <c r="K34" s="79">
        <f t="shared" si="0"/>
        <v>0.5</v>
      </c>
      <c r="L34" s="80">
        <f t="shared" si="1"/>
        <v>1302386.58</v>
      </c>
      <c r="M34" s="80">
        <f t="shared" si="2"/>
        <v>1953579.8699999996</v>
      </c>
      <c r="N34" s="80">
        <f t="shared" si="3"/>
        <v>3255966.4499999997</v>
      </c>
    </row>
    <row r="35" spans="1:16" ht="13.8" outlineLevel="1" x14ac:dyDescent="0.3">
      <c r="A35" s="38">
        <v>7.07</v>
      </c>
      <c r="B35" s="39" t="s">
        <v>46</v>
      </c>
      <c r="C35" s="49" t="s">
        <v>47</v>
      </c>
      <c r="D35" s="41">
        <v>198</v>
      </c>
      <c r="E35" s="42">
        <v>14947</v>
      </c>
      <c r="F35" s="42">
        <f t="shared" si="4"/>
        <v>2959506</v>
      </c>
      <c r="G35" s="5"/>
      <c r="H35" s="32"/>
      <c r="I35" s="245">
        <f>+'SVD 4140_Pto. 01_Cert. 07'!K35</f>
        <v>0.15</v>
      </c>
      <c r="J35" s="136">
        <v>0.35</v>
      </c>
      <c r="K35" s="79">
        <f t="shared" si="0"/>
        <v>0.5</v>
      </c>
      <c r="L35" s="80">
        <f t="shared" si="1"/>
        <v>443925.89999999997</v>
      </c>
      <c r="M35" s="80">
        <f t="shared" si="2"/>
        <v>1035827.1</v>
      </c>
      <c r="N35" s="80">
        <f t="shared" si="3"/>
        <v>1479753</v>
      </c>
    </row>
    <row r="36" spans="1:16" ht="13.8" outlineLevel="1" x14ac:dyDescent="0.3">
      <c r="A36" s="38">
        <v>7.08</v>
      </c>
      <c r="B36" s="39" t="s">
        <v>48</v>
      </c>
      <c r="C36" s="49" t="s">
        <v>19</v>
      </c>
      <c r="D36" s="41">
        <v>670.322</v>
      </c>
      <c r="E36" s="42">
        <v>16571</v>
      </c>
      <c r="F36" s="42">
        <f t="shared" si="4"/>
        <v>11107905.862</v>
      </c>
      <c r="G36" s="5"/>
      <c r="H36" s="32"/>
      <c r="I36" s="245">
        <f>+'SVD 4140_Pto. 01_Cert. 07'!K36</f>
        <v>0.15</v>
      </c>
      <c r="J36" s="141">
        <v>0.4</v>
      </c>
      <c r="K36" s="79">
        <f t="shared" si="0"/>
        <v>0.55000000000000004</v>
      </c>
      <c r="L36" s="80">
        <f t="shared" si="1"/>
        <v>1666185.8792999999</v>
      </c>
      <c r="M36" s="80">
        <f t="shared" si="2"/>
        <v>4443162.3448000001</v>
      </c>
      <c r="N36" s="80">
        <f t="shared" si="3"/>
        <v>6109348.2241000002</v>
      </c>
    </row>
    <row r="37" spans="1:16" ht="13.8" x14ac:dyDescent="0.3">
      <c r="A37" s="27">
        <v>8</v>
      </c>
      <c r="B37" s="28" t="s">
        <v>49</v>
      </c>
      <c r="C37" s="189"/>
      <c r="D37" s="65"/>
      <c r="E37" s="65"/>
      <c r="F37" s="65"/>
      <c r="G37" s="31">
        <f>+SUM(F38:F45)</f>
        <v>44788107</v>
      </c>
      <c r="H37" s="32">
        <f>+G37/$G$185</f>
        <v>6.0881768135880775E-2</v>
      </c>
      <c r="I37" s="246"/>
      <c r="J37" s="140"/>
      <c r="K37" s="130"/>
      <c r="L37" s="130"/>
      <c r="M37" s="130"/>
      <c r="N37" s="66"/>
    </row>
    <row r="38" spans="1:16" ht="13.8" outlineLevel="1" x14ac:dyDescent="0.3">
      <c r="A38" s="33">
        <v>8.01</v>
      </c>
      <c r="B38" s="198" t="s">
        <v>50</v>
      </c>
      <c r="C38" s="61" t="s">
        <v>19</v>
      </c>
      <c r="D38" s="62">
        <v>104</v>
      </c>
      <c r="E38" s="37">
        <v>31920</v>
      </c>
      <c r="F38" s="37">
        <f t="shared" si="4"/>
        <v>3319680</v>
      </c>
      <c r="G38" s="5"/>
      <c r="H38" s="32"/>
      <c r="I38" s="245">
        <f>+'SVD 4140_Pto. 01_Cert. 07'!K38</f>
        <v>1</v>
      </c>
      <c r="J38" s="134"/>
      <c r="K38" s="135">
        <f t="shared" si="0"/>
        <v>1</v>
      </c>
      <c r="L38" s="200">
        <f t="shared" si="1"/>
        <v>3319680</v>
      </c>
      <c r="M38" s="200">
        <f t="shared" si="2"/>
        <v>0</v>
      </c>
      <c r="N38" s="200">
        <f t="shared" si="3"/>
        <v>3319680</v>
      </c>
    </row>
    <row r="39" spans="1:16" ht="13.8" outlineLevel="1" x14ac:dyDescent="0.3">
      <c r="A39" s="38">
        <v>8.02</v>
      </c>
      <c r="B39" s="52" t="s">
        <v>51</v>
      </c>
      <c r="C39" s="49" t="s">
        <v>19</v>
      </c>
      <c r="D39" s="50">
        <v>48</v>
      </c>
      <c r="E39" s="42">
        <v>37268</v>
      </c>
      <c r="F39" s="42">
        <f t="shared" si="4"/>
        <v>1788864</v>
      </c>
      <c r="G39" s="5"/>
      <c r="H39" s="32"/>
      <c r="I39" s="245">
        <f>+'SVD 4140_Pto. 01_Cert. 07'!K39</f>
        <v>0</v>
      </c>
      <c r="J39" s="136"/>
      <c r="K39" s="79">
        <f t="shared" si="0"/>
        <v>0</v>
      </c>
      <c r="L39" s="201">
        <f t="shared" si="1"/>
        <v>0</v>
      </c>
      <c r="M39" s="201">
        <f t="shared" si="2"/>
        <v>0</v>
      </c>
      <c r="N39" s="201">
        <f t="shared" si="3"/>
        <v>0</v>
      </c>
    </row>
    <row r="40" spans="1:16" ht="13.8" outlineLevel="1" x14ac:dyDescent="0.3">
      <c r="A40" s="38">
        <v>8.0299999999999994</v>
      </c>
      <c r="B40" s="52" t="s">
        <v>52</v>
      </c>
      <c r="C40" s="49" t="s">
        <v>19</v>
      </c>
      <c r="D40" s="50">
        <v>235</v>
      </c>
      <c r="E40" s="42">
        <v>32410</v>
      </c>
      <c r="F40" s="42">
        <f t="shared" si="4"/>
        <v>7616350</v>
      </c>
      <c r="G40" s="5"/>
      <c r="H40" s="32"/>
      <c r="I40" s="245">
        <f>+'SVD 4140_Pto. 01_Cert. 07'!K40</f>
        <v>0</v>
      </c>
      <c r="J40" s="136"/>
      <c r="K40" s="79">
        <f t="shared" si="0"/>
        <v>0</v>
      </c>
      <c r="L40" s="201">
        <f t="shared" si="1"/>
        <v>0</v>
      </c>
      <c r="M40" s="201">
        <f t="shared" si="2"/>
        <v>0</v>
      </c>
      <c r="N40" s="201">
        <f t="shared" si="3"/>
        <v>0</v>
      </c>
    </row>
    <row r="41" spans="1:16" ht="13.8" outlineLevel="1" x14ac:dyDescent="0.3">
      <c r="A41" s="38">
        <v>8.0399999999999991</v>
      </c>
      <c r="B41" s="39" t="s">
        <v>53</v>
      </c>
      <c r="C41" s="40" t="s">
        <v>19</v>
      </c>
      <c r="D41" s="50">
        <v>878</v>
      </c>
      <c r="E41" s="42">
        <v>19006</v>
      </c>
      <c r="F41" s="42">
        <f t="shared" si="4"/>
        <v>16687268</v>
      </c>
      <c r="G41" s="5"/>
      <c r="H41" s="32"/>
      <c r="I41" s="245">
        <f>+'SVD 4140_Pto. 01_Cert. 07'!K41</f>
        <v>0</v>
      </c>
      <c r="J41" s="136">
        <v>0.05</v>
      </c>
      <c r="K41" s="79">
        <f t="shared" si="0"/>
        <v>0.05</v>
      </c>
      <c r="L41" s="201">
        <f t="shared" si="1"/>
        <v>0</v>
      </c>
      <c r="M41" s="201">
        <f t="shared" si="2"/>
        <v>834363.4</v>
      </c>
      <c r="N41" s="201">
        <f t="shared" si="3"/>
        <v>834363.4</v>
      </c>
    </row>
    <row r="42" spans="1:16" ht="13.8" outlineLevel="1" x14ac:dyDescent="0.3">
      <c r="A42" s="190">
        <v>8.0500000000000007</v>
      </c>
      <c r="B42" s="191" t="s">
        <v>54</v>
      </c>
      <c r="C42" s="43" t="s">
        <v>19</v>
      </c>
      <c r="D42" s="44">
        <v>564</v>
      </c>
      <c r="E42" s="44">
        <v>12439</v>
      </c>
      <c r="F42" s="44">
        <f t="shared" si="4"/>
        <v>7015596</v>
      </c>
      <c r="G42" s="5"/>
      <c r="H42" s="32"/>
      <c r="I42" s="245">
        <f>+'SVD 4140_Pto. 01_Cert. 07'!K42</f>
        <v>0</v>
      </c>
      <c r="J42" s="239"/>
      <c r="K42" s="79">
        <f t="shared" si="0"/>
        <v>0</v>
      </c>
      <c r="L42" s="201">
        <f t="shared" si="1"/>
        <v>0</v>
      </c>
      <c r="M42" s="201">
        <f t="shared" si="2"/>
        <v>0</v>
      </c>
      <c r="N42" s="201">
        <f t="shared" si="3"/>
        <v>0</v>
      </c>
    </row>
    <row r="43" spans="1:16" ht="13.8" outlineLevel="1" x14ac:dyDescent="0.3">
      <c r="A43" s="38">
        <v>8.06</v>
      </c>
      <c r="B43" s="199" t="s">
        <v>55</v>
      </c>
      <c r="C43" s="40" t="s">
        <v>19</v>
      </c>
      <c r="D43" s="41">
        <v>438</v>
      </c>
      <c r="E43" s="42">
        <v>12439</v>
      </c>
      <c r="F43" s="42">
        <f t="shared" si="4"/>
        <v>5448282</v>
      </c>
      <c r="G43" s="5"/>
      <c r="I43" s="245">
        <f>+'SVD 4140_Pto. 01_Cert. 07'!K43</f>
        <v>0</v>
      </c>
      <c r="J43" s="136"/>
      <c r="K43" s="79">
        <f t="shared" si="0"/>
        <v>0</v>
      </c>
      <c r="L43" s="201">
        <f t="shared" si="1"/>
        <v>0</v>
      </c>
      <c r="M43" s="201">
        <f t="shared" si="2"/>
        <v>0</v>
      </c>
      <c r="N43" s="201">
        <f t="shared" si="3"/>
        <v>0</v>
      </c>
      <c r="P43" s="144"/>
    </row>
    <row r="44" spans="1:16" ht="13.8" outlineLevel="1" x14ac:dyDescent="0.3">
      <c r="A44" s="38">
        <v>8.07</v>
      </c>
      <c r="B44" s="199" t="s">
        <v>56</v>
      </c>
      <c r="C44" s="40" t="s">
        <v>28</v>
      </c>
      <c r="D44" s="41">
        <v>1</v>
      </c>
      <c r="E44" s="42">
        <v>2426924</v>
      </c>
      <c r="F44" s="42">
        <f t="shared" si="4"/>
        <v>2426924</v>
      </c>
      <c r="G44" s="5"/>
      <c r="I44" s="245">
        <f>+'SVD 4140_Pto. 01_Cert. 07'!K44</f>
        <v>0</v>
      </c>
      <c r="J44" s="136">
        <v>0.05</v>
      </c>
      <c r="K44" s="79">
        <f t="shared" si="0"/>
        <v>0.05</v>
      </c>
      <c r="L44" s="201">
        <f t="shared" si="1"/>
        <v>0</v>
      </c>
      <c r="M44" s="201">
        <f t="shared" si="2"/>
        <v>121346.20000000001</v>
      </c>
      <c r="N44" s="201">
        <f t="shared" si="3"/>
        <v>121346.20000000001</v>
      </c>
    </row>
    <row r="45" spans="1:16" ht="13.8" outlineLevel="1" x14ac:dyDescent="0.3">
      <c r="A45" s="45">
        <v>8.08</v>
      </c>
      <c r="B45" s="59" t="s">
        <v>57</v>
      </c>
      <c r="C45" s="47" t="s">
        <v>28</v>
      </c>
      <c r="D45" s="48">
        <v>1</v>
      </c>
      <c r="E45" s="60">
        <v>485143</v>
      </c>
      <c r="F45" s="60">
        <f t="shared" si="4"/>
        <v>485143</v>
      </c>
      <c r="G45" s="5"/>
      <c r="I45" s="245">
        <f>+'SVD 4140_Pto. 01_Cert. 07'!K45</f>
        <v>0</v>
      </c>
      <c r="J45" s="137"/>
      <c r="K45" s="138">
        <f t="shared" si="0"/>
        <v>0</v>
      </c>
      <c r="L45" s="202">
        <f t="shared" si="1"/>
        <v>0</v>
      </c>
      <c r="M45" s="202">
        <f t="shared" si="2"/>
        <v>0</v>
      </c>
      <c r="N45" s="202">
        <f t="shared" si="3"/>
        <v>0</v>
      </c>
    </row>
    <row r="46" spans="1:16" ht="13.8" x14ac:dyDescent="0.3">
      <c r="A46" s="27">
        <v>9</v>
      </c>
      <c r="B46" s="28" t="s">
        <v>58</v>
      </c>
      <c r="C46" s="189"/>
      <c r="D46" s="65"/>
      <c r="E46" s="65"/>
      <c r="F46" s="65"/>
      <c r="G46" s="31">
        <f>+SUM(F47:F50)</f>
        <v>5769056.5999999996</v>
      </c>
      <c r="H46" s="32">
        <f>+G46/$G$185</f>
        <v>7.8420453511011904E-3</v>
      </c>
      <c r="I46" s="246"/>
      <c r="J46" s="140"/>
      <c r="K46" s="130"/>
      <c r="L46" s="130"/>
      <c r="M46" s="130"/>
      <c r="N46" s="66"/>
    </row>
    <row r="47" spans="1:16" s="57" customFormat="1" ht="13.8" outlineLevel="1" x14ac:dyDescent="0.3">
      <c r="A47" s="38">
        <v>9.01</v>
      </c>
      <c r="B47" s="55" t="s">
        <v>59</v>
      </c>
      <c r="C47" s="56" t="s">
        <v>28</v>
      </c>
      <c r="D47" s="41">
        <v>1</v>
      </c>
      <c r="E47" s="42">
        <v>2024643</v>
      </c>
      <c r="F47" s="42">
        <f t="shared" si="4"/>
        <v>2024643</v>
      </c>
      <c r="G47" s="185"/>
      <c r="H47" s="32"/>
      <c r="I47" s="245">
        <f>+'SVD 4140_Pto. 01_Cert. 07'!K47</f>
        <v>0</v>
      </c>
      <c r="J47" s="141"/>
      <c r="K47" s="79">
        <f t="shared" si="0"/>
        <v>0</v>
      </c>
      <c r="L47" s="80">
        <f t="shared" si="1"/>
        <v>0</v>
      </c>
      <c r="M47" s="80">
        <f t="shared" si="2"/>
        <v>0</v>
      </c>
      <c r="N47" s="80">
        <f t="shared" si="3"/>
        <v>0</v>
      </c>
    </row>
    <row r="48" spans="1:16" s="57" customFormat="1" ht="13.8" outlineLevel="1" x14ac:dyDescent="0.3">
      <c r="A48" s="54">
        <v>9.02</v>
      </c>
      <c r="B48" s="55" t="s">
        <v>60</v>
      </c>
      <c r="C48" s="56" t="s">
        <v>26</v>
      </c>
      <c r="D48" s="41">
        <v>122</v>
      </c>
      <c r="E48" s="42">
        <v>18814</v>
      </c>
      <c r="F48" s="42">
        <f t="shared" si="4"/>
        <v>2295308</v>
      </c>
      <c r="G48" s="185"/>
      <c r="H48" s="32"/>
      <c r="I48" s="245">
        <f>+'SVD 4140_Pto. 01_Cert. 07'!K48</f>
        <v>0</v>
      </c>
      <c r="J48" s="141"/>
      <c r="K48" s="79">
        <f t="shared" si="0"/>
        <v>0</v>
      </c>
      <c r="L48" s="80">
        <f t="shared" si="1"/>
        <v>0</v>
      </c>
      <c r="M48" s="80">
        <f t="shared" si="2"/>
        <v>0</v>
      </c>
      <c r="N48" s="80">
        <f t="shared" si="3"/>
        <v>0</v>
      </c>
    </row>
    <row r="49" spans="1:14" s="57" customFormat="1" ht="13.8" outlineLevel="1" x14ac:dyDescent="0.3">
      <c r="A49" s="38">
        <v>9.0299999999999994</v>
      </c>
      <c r="B49" s="55" t="s">
        <v>61</v>
      </c>
      <c r="C49" s="56" t="s">
        <v>26</v>
      </c>
      <c r="D49" s="41">
        <v>155</v>
      </c>
      <c r="E49" s="42">
        <v>5376</v>
      </c>
      <c r="F49" s="42">
        <f t="shared" si="4"/>
        <v>833280</v>
      </c>
      <c r="G49" s="185"/>
      <c r="H49" s="32"/>
      <c r="I49" s="245">
        <f>+'SVD 4140_Pto. 01_Cert. 07'!K49</f>
        <v>0</v>
      </c>
      <c r="J49" s="141"/>
      <c r="K49" s="79">
        <f t="shared" si="0"/>
        <v>0</v>
      </c>
      <c r="L49" s="80">
        <f t="shared" si="1"/>
        <v>0</v>
      </c>
      <c r="M49" s="80">
        <f t="shared" si="2"/>
        <v>0</v>
      </c>
      <c r="N49" s="80">
        <f t="shared" si="3"/>
        <v>0</v>
      </c>
    </row>
    <row r="50" spans="1:14" s="57" customFormat="1" ht="13.8" outlineLevel="1" x14ac:dyDescent="0.3">
      <c r="A50" s="54">
        <v>9.0399999999999991</v>
      </c>
      <c r="B50" s="55" t="s">
        <v>62</v>
      </c>
      <c r="C50" s="56" t="s">
        <v>26</v>
      </c>
      <c r="D50" s="41">
        <v>31.200000000000003</v>
      </c>
      <c r="E50" s="42">
        <v>19738</v>
      </c>
      <c r="F50" s="42">
        <f t="shared" si="4"/>
        <v>615825.60000000009</v>
      </c>
      <c r="G50" s="185"/>
      <c r="H50" s="32"/>
      <c r="I50" s="245">
        <f>+'SVD 4140_Pto. 01_Cert. 07'!K50</f>
        <v>0</v>
      </c>
      <c r="J50" s="141"/>
      <c r="K50" s="79">
        <f t="shared" si="0"/>
        <v>0</v>
      </c>
      <c r="L50" s="80">
        <f t="shared" si="1"/>
        <v>0</v>
      </c>
      <c r="M50" s="80">
        <f t="shared" si="2"/>
        <v>0</v>
      </c>
      <c r="N50" s="80">
        <f t="shared" si="3"/>
        <v>0</v>
      </c>
    </row>
    <row r="51" spans="1:14" s="58" customFormat="1" ht="13.8" x14ac:dyDescent="0.3">
      <c r="A51" s="27">
        <v>10</v>
      </c>
      <c r="B51" s="28" t="s">
        <v>63</v>
      </c>
      <c r="C51" s="189"/>
      <c r="D51" s="65"/>
      <c r="E51" s="65"/>
      <c r="F51" s="65"/>
      <c r="G51" s="31">
        <f>+SUM(F52:F55)</f>
        <v>4669278</v>
      </c>
      <c r="H51" s="32">
        <f>+G51/$G$185</f>
        <v>6.3470845186193985E-3</v>
      </c>
      <c r="I51" s="246"/>
      <c r="J51" s="140"/>
      <c r="K51" s="130"/>
      <c r="L51" s="130"/>
      <c r="M51" s="130"/>
      <c r="N51" s="66"/>
    </row>
    <row r="52" spans="1:14" s="58" customFormat="1" ht="13.8" outlineLevel="1" x14ac:dyDescent="0.3">
      <c r="A52" s="33">
        <v>10.01</v>
      </c>
      <c r="B52" s="209" t="s">
        <v>64</v>
      </c>
      <c r="C52" s="210" t="s">
        <v>28</v>
      </c>
      <c r="D52" s="36">
        <v>0</v>
      </c>
      <c r="E52" s="37">
        <v>0</v>
      </c>
      <c r="F52" s="37">
        <f t="shared" si="4"/>
        <v>0</v>
      </c>
      <c r="G52" s="211"/>
      <c r="H52" s="32"/>
      <c r="I52" s="245">
        <f>+'SVD 4140_Pto. 01_Cert. 07'!K52</f>
        <v>0</v>
      </c>
      <c r="J52" s="142"/>
      <c r="K52" s="135">
        <f t="shared" ref="K52:K53" si="9">+I52+J52</f>
        <v>0</v>
      </c>
      <c r="L52" s="200">
        <f t="shared" ref="L52:L53" si="10">+F52*I52</f>
        <v>0</v>
      </c>
      <c r="M52" s="200">
        <f t="shared" ref="M52:M53" si="11">+F52*J52</f>
        <v>0</v>
      </c>
      <c r="N52" s="200">
        <f t="shared" ref="N52:N53" si="12">+F52*K52</f>
        <v>0</v>
      </c>
    </row>
    <row r="53" spans="1:14" ht="13.8" outlineLevel="1" x14ac:dyDescent="0.3">
      <c r="A53" s="190">
        <v>10.02</v>
      </c>
      <c r="B53" s="191" t="s">
        <v>65</v>
      </c>
      <c r="C53" s="43" t="s">
        <v>28</v>
      </c>
      <c r="D53" s="44">
        <v>1</v>
      </c>
      <c r="E53" s="44">
        <v>2199545</v>
      </c>
      <c r="F53" s="44">
        <f t="shared" si="4"/>
        <v>2199545</v>
      </c>
      <c r="G53" s="186"/>
      <c r="H53" s="32"/>
      <c r="I53" s="245">
        <f>+'SVD 4140_Pto. 01_Cert. 07'!K53</f>
        <v>0.5</v>
      </c>
      <c r="J53" s="236">
        <v>0.35</v>
      </c>
      <c r="K53" s="79">
        <f t="shared" si="9"/>
        <v>0.85</v>
      </c>
      <c r="L53" s="201">
        <f t="shared" si="10"/>
        <v>1099772.5</v>
      </c>
      <c r="M53" s="201">
        <f t="shared" si="11"/>
        <v>769840.75</v>
      </c>
      <c r="N53" s="201">
        <f t="shared" si="12"/>
        <v>1869613.25</v>
      </c>
    </row>
    <row r="54" spans="1:14" s="63" customFormat="1" ht="13.8" outlineLevel="1" x14ac:dyDescent="0.3">
      <c r="A54" s="38">
        <v>10.029999999999999</v>
      </c>
      <c r="B54" s="39" t="s">
        <v>66</v>
      </c>
      <c r="C54" s="49" t="s">
        <v>67</v>
      </c>
      <c r="D54" s="50">
        <v>0</v>
      </c>
      <c r="E54" s="42">
        <v>0</v>
      </c>
      <c r="F54" s="42">
        <f t="shared" si="4"/>
        <v>0</v>
      </c>
      <c r="G54" s="186"/>
      <c r="I54" s="245">
        <f>+'SVD 4140_Pto. 01_Cert. 07'!K54</f>
        <v>0</v>
      </c>
      <c r="J54" s="236"/>
      <c r="K54" s="79">
        <f t="shared" si="0"/>
        <v>0</v>
      </c>
      <c r="L54" s="201">
        <f t="shared" si="1"/>
        <v>0</v>
      </c>
      <c r="M54" s="201">
        <f t="shared" si="2"/>
        <v>0</v>
      </c>
      <c r="N54" s="201">
        <f t="shared" si="3"/>
        <v>0</v>
      </c>
    </row>
    <row r="55" spans="1:14" s="63" customFormat="1" ht="13.8" outlineLevel="1" x14ac:dyDescent="0.3">
      <c r="A55" s="45">
        <v>10.039999999999999</v>
      </c>
      <c r="B55" s="46" t="s">
        <v>68</v>
      </c>
      <c r="C55" s="64" t="s">
        <v>47</v>
      </c>
      <c r="D55" s="53">
        <v>7</v>
      </c>
      <c r="E55" s="60">
        <v>352819</v>
      </c>
      <c r="F55" s="60">
        <f t="shared" si="4"/>
        <v>2469733</v>
      </c>
      <c r="G55" s="212"/>
      <c r="I55" s="245">
        <f>+'SVD 4140_Pto. 01_Cert. 07'!K55</f>
        <v>0</v>
      </c>
      <c r="J55" s="143"/>
      <c r="K55" s="138">
        <f t="shared" si="0"/>
        <v>0</v>
      </c>
      <c r="L55" s="202">
        <f t="shared" si="1"/>
        <v>0</v>
      </c>
      <c r="M55" s="202">
        <f t="shared" si="2"/>
        <v>0</v>
      </c>
      <c r="N55" s="202">
        <f t="shared" si="3"/>
        <v>0</v>
      </c>
    </row>
    <row r="56" spans="1:14" s="63" customFormat="1" ht="13.8" x14ac:dyDescent="0.3">
      <c r="A56" s="27">
        <v>11</v>
      </c>
      <c r="B56" s="28" t="s">
        <v>69</v>
      </c>
      <c r="C56" s="189"/>
      <c r="D56" s="65"/>
      <c r="E56" s="65"/>
      <c r="F56" s="65"/>
      <c r="G56" s="31">
        <f>+SUM(F57:F63)</f>
        <v>48040802</v>
      </c>
      <c r="H56" s="32">
        <f>+G56/$G$185</f>
        <v>6.5303250446056074E-2</v>
      </c>
      <c r="I56" s="247"/>
      <c r="J56" s="132"/>
      <c r="K56" s="132"/>
      <c r="L56" s="132"/>
      <c r="M56" s="132"/>
      <c r="N56" s="133"/>
    </row>
    <row r="57" spans="1:14" s="57" customFormat="1" ht="13.8" outlineLevel="1" x14ac:dyDescent="0.3">
      <c r="A57" s="213">
        <v>11.01</v>
      </c>
      <c r="B57" s="214" t="s">
        <v>70</v>
      </c>
      <c r="C57" s="215" t="s">
        <v>19</v>
      </c>
      <c r="D57" s="216">
        <v>30</v>
      </c>
      <c r="E57" s="37">
        <v>21948</v>
      </c>
      <c r="F57" s="37">
        <f t="shared" si="4"/>
        <v>658440</v>
      </c>
      <c r="G57" s="67"/>
      <c r="H57" s="32"/>
      <c r="I57" s="245">
        <f>+'SVD 4140_Pto. 01_Cert. 07'!K57</f>
        <v>0</v>
      </c>
      <c r="J57" s="142"/>
      <c r="K57" s="135">
        <f>+I57+J57</f>
        <v>0</v>
      </c>
      <c r="L57" s="200">
        <f t="shared" ref="L57:L63" si="13">+F57*I57</f>
        <v>0</v>
      </c>
      <c r="M57" s="200">
        <f>+F57*J57</f>
        <v>0</v>
      </c>
      <c r="N57" s="200">
        <f t="shared" ref="N57:N63" si="14">+F57*K57</f>
        <v>0</v>
      </c>
    </row>
    <row r="58" spans="1:14" s="57" customFormat="1" ht="13.8" outlineLevel="1" x14ac:dyDescent="0.3">
      <c r="A58" s="217">
        <v>11.02</v>
      </c>
      <c r="B58" s="218" t="s">
        <v>71</v>
      </c>
      <c r="C58" s="219" t="s">
        <v>19</v>
      </c>
      <c r="D58" s="220">
        <v>185</v>
      </c>
      <c r="E58" s="42">
        <v>21948</v>
      </c>
      <c r="F58" s="42">
        <f t="shared" si="4"/>
        <v>4060380</v>
      </c>
      <c r="G58" s="181"/>
      <c r="H58" s="32"/>
      <c r="I58" s="245">
        <f>+'SVD 4140_Pto. 01_Cert. 07'!K58</f>
        <v>0</v>
      </c>
      <c r="J58" s="236"/>
      <c r="K58" s="79">
        <f t="shared" ref="K58:K63" si="15">+I58+J58</f>
        <v>0</v>
      </c>
      <c r="L58" s="201">
        <f t="shared" si="13"/>
        <v>0</v>
      </c>
      <c r="M58" s="201">
        <f t="shared" ref="M58:M63" si="16">+F58*J58</f>
        <v>0</v>
      </c>
      <c r="N58" s="201">
        <f t="shared" si="14"/>
        <v>0</v>
      </c>
    </row>
    <row r="59" spans="1:14" s="57" customFormat="1" ht="13.8" outlineLevel="1" x14ac:dyDescent="0.3">
      <c r="A59" s="217">
        <v>11.03</v>
      </c>
      <c r="B59" s="218" t="s">
        <v>72</v>
      </c>
      <c r="C59" s="219" t="s">
        <v>19</v>
      </c>
      <c r="D59" s="220">
        <v>942</v>
      </c>
      <c r="E59" s="42">
        <v>21948</v>
      </c>
      <c r="F59" s="42">
        <f t="shared" si="4"/>
        <v>20675016</v>
      </c>
      <c r="G59" s="181"/>
      <c r="H59" s="32"/>
      <c r="I59" s="245">
        <f>+'SVD 4140_Pto. 01_Cert. 07'!K59</f>
        <v>0</v>
      </c>
      <c r="J59" s="236"/>
      <c r="K59" s="79">
        <f t="shared" si="15"/>
        <v>0</v>
      </c>
      <c r="L59" s="201">
        <f t="shared" si="13"/>
        <v>0</v>
      </c>
      <c r="M59" s="201">
        <f t="shared" si="16"/>
        <v>0</v>
      </c>
      <c r="N59" s="201">
        <f t="shared" si="14"/>
        <v>0</v>
      </c>
    </row>
    <row r="60" spans="1:14" s="57" customFormat="1" ht="13.8" outlineLevel="1" x14ac:dyDescent="0.3">
      <c r="A60" s="217">
        <v>11.04</v>
      </c>
      <c r="B60" s="218" t="s">
        <v>73</v>
      </c>
      <c r="C60" s="219" t="s">
        <v>19</v>
      </c>
      <c r="D60" s="220">
        <v>110</v>
      </c>
      <c r="E60" s="42">
        <v>25799</v>
      </c>
      <c r="F60" s="42">
        <f t="shared" si="4"/>
        <v>2837890</v>
      </c>
      <c r="G60" s="181"/>
      <c r="H60" s="32"/>
      <c r="I60" s="245">
        <f>+'SVD 4140_Pto. 01_Cert. 07'!K60</f>
        <v>0</v>
      </c>
      <c r="J60" s="236"/>
      <c r="K60" s="79">
        <f t="shared" si="15"/>
        <v>0</v>
      </c>
      <c r="L60" s="201">
        <f t="shared" si="13"/>
        <v>0</v>
      </c>
      <c r="M60" s="201">
        <f t="shared" si="16"/>
        <v>0</v>
      </c>
      <c r="N60" s="201">
        <f t="shared" si="14"/>
        <v>0</v>
      </c>
    </row>
    <row r="61" spans="1:14" s="57" customFormat="1" ht="13.8" outlineLevel="1" x14ac:dyDescent="0.3">
      <c r="A61" s="217">
        <v>11.05</v>
      </c>
      <c r="B61" s="218" t="s">
        <v>74</v>
      </c>
      <c r="C61" s="219" t="s">
        <v>19</v>
      </c>
      <c r="D61" s="220">
        <v>128</v>
      </c>
      <c r="E61" s="42">
        <v>16080</v>
      </c>
      <c r="F61" s="42">
        <f t="shared" si="4"/>
        <v>2058240</v>
      </c>
      <c r="G61" s="181"/>
      <c r="H61" s="32"/>
      <c r="I61" s="245">
        <f>+'SVD 4140_Pto. 01_Cert. 07'!K61</f>
        <v>0</v>
      </c>
      <c r="J61" s="236"/>
      <c r="K61" s="79">
        <f t="shared" si="15"/>
        <v>0</v>
      </c>
      <c r="L61" s="201">
        <f t="shared" si="13"/>
        <v>0</v>
      </c>
      <c r="M61" s="201">
        <f t="shared" si="16"/>
        <v>0</v>
      </c>
      <c r="N61" s="201">
        <f t="shared" si="14"/>
        <v>0</v>
      </c>
    </row>
    <row r="62" spans="1:14" s="57" customFormat="1" ht="13.8" outlineLevel="1" x14ac:dyDescent="0.3">
      <c r="A62" s="217">
        <v>11.06</v>
      </c>
      <c r="B62" s="218" t="s">
        <v>75</v>
      </c>
      <c r="C62" s="219" t="s">
        <v>19</v>
      </c>
      <c r="D62" s="220">
        <v>48</v>
      </c>
      <c r="E62" s="42">
        <v>21948</v>
      </c>
      <c r="F62" s="42">
        <f t="shared" si="4"/>
        <v>1053504</v>
      </c>
      <c r="G62" s="181"/>
      <c r="H62" s="32"/>
      <c r="I62" s="245">
        <f>+'SVD 4140_Pto. 01_Cert. 07'!K62</f>
        <v>0</v>
      </c>
      <c r="J62" s="236"/>
      <c r="K62" s="79">
        <f t="shared" si="15"/>
        <v>0</v>
      </c>
      <c r="L62" s="201">
        <f t="shared" si="13"/>
        <v>0</v>
      </c>
      <c r="M62" s="201">
        <f t="shared" si="16"/>
        <v>0</v>
      </c>
      <c r="N62" s="201">
        <f t="shared" si="14"/>
        <v>0</v>
      </c>
    </row>
    <row r="63" spans="1:14" s="57" customFormat="1" ht="13.8" outlineLevel="1" x14ac:dyDescent="0.3">
      <c r="A63" s="221">
        <v>11.07</v>
      </c>
      <c r="B63" s="222" t="s">
        <v>76</v>
      </c>
      <c r="C63" s="223" t="s">
        <v>19</v>
      </c>
      <c r="D63" s="224">
        <v>226</v>
      </c>
      <c r="E63" s="60">
        <v>73882</v>
      </c>
      <c r="F63" s="60">
        <f t="shared" si="4"/>
        <v>16697332</v>
      </c>
      <c r="G63" s="181"/>
      <c r="H63" s="32"/>
      <c r="I63" s="245">
        <f>+'SVD 4140_Pto. 01_Cert. 07'!K63</f>
        <v>1</v>
      </c>
      <c r="J63" s="143"/>
      <c r="K63" s="138">
        <f t="shared" si="15"/>
        <v>1</v>
      </c>
      <c r="L63" s="202">
        <f t="shared" si="13"/>
        <v>16697332</v>
      </c>
      <c r="M63" s="202">
        <f t="shared" si="16"/>
        <v>0</v>
      </c>
      <c r="N63" s="202">
        <f t="shared" si="14"/>
        <v>16697332</v>
      </c>
    </row>
    <row r="64" spans="1:14" s="57" customFormat="1" ht="13.8" x14ac:dyDescent="0.3">
      <c r="A64" s="27">
        <v>12</v>
      </c>
      <c r="B64" s="28" t="s">
        <v>77</v>
      </c>
      <c r="C64" s="189"/>
      <c r="D64" s="65"/>
      <c r="E64" s="65"/>
      <c r="F64" s="65"/>
      <c r="G64" s="31">
        <f>+SUM(F65:F69)</f>
        <v>11022518</v>
      </c>
      <c r="H64" s="32">
        <f>+G64/$G$185</f>
        <v>1.4983227247125499E-2</v>
      </c>
      <c r="I64" s="247"/>
      <c r="J64" s="132"/>
      <c r="K64" s="132"/>
      <c r="L64" s="132"/>
      <c r="M64" s="132"/>
      <c r="N64" s="133"/>
    </row>
    <row r="65" spans="1:14" s="57" customFormat="1" ht="13.8" outlineLevel="1" x14ac:dyDescent="0.3">
      <c r="A65" s="213">
        <v>12.01</v>
      </c>
      <c r="B65" s="214" t="s">
        <v>78</v>
      </c>
      <c r="C65" s="215" t="s">
        <v>26</v>
      </c>
      <c r="D65" s="216">
        <v>779</v>
      </c>
      <c r="E65" s="37">
        <v>7422</v>
      </c>
      <c r="F65" s="37">
        <f t="shared" si="4"/>
        <v>5781738</v>
      </c>
      <c r="G65" s="181"/>
      <c r="H65" s="32"/>
      <c r="I65" s="245">
        <f>+'SVD 4140_Pto. 01_Cert. 07'!K65</f>
        <v>0</v>
      </c>
      <c r="J65" s="142"/>
      <c r="K65" s="135">
        <f t="shared" ref="K65:K69" si="17">+I65+J65</f>
        <v>0</v>
      </c>
      <c r="L65" s="200">
        <f t="shared" ref="L65:L69" si="18">+F65*I65</f>
        <v>0</v>
      </c>
      <c r="M65" s="200">
        <f t="shared" ref="M65:M69" si="19">+F65*J65</f>
        <v>0</v>
      </c>
      <c r="N65" s="200">
        <f t="shared" ref="N65:N69" si="20">+F65*K65</f>
        <v>0</v>
      </c>
    </row>
    <row r="66" spans="1:14" s="57" customFormat="1" ht="13.8" outlineLevel="1" x14ac:dyDescent="0.3">
      <c r="A66" s="217">
        <v>12.02</v>
      </c>
      <c r="B66" s="218" t="s">
        <v>61</v>
      </c>
      <c r="C66" s="219" t="s">
        <v>26</v>
      </c>
      <c r="D66" s="220">
        <v>155</v>
      </c>
      <c r="E66" s="42">
        <v>5376</v>
      </c>
      <c r="F66" s="42">
        <f t="shared" si="4"/>
        <v>833280</v>
      </c>
      <c r="G66" s="181"/>
      <c r="H66" s="32"/>
      <c r="I66" s="245">
        <f>+'SVD 4140_Pto. 01_Cert. 07'!K66</f>
        <v>0</v>
      </c>
      <c r="J66" s="236"/>
      <c r="K66" s="79">
        <f t="shared" si="17"/>
        <v>0</v>
      </c>
      <c r="L66" s="201">
        <f t="shared" si="18"/>
        <v>0</v>
      </c>
      <c r="M66" s="201">
        <f t="shared" si="19"/>
        <v>0</v>
      </c>
      <c r="N66" s="201">
        <f t="shared" si="20"/>
        <v>0</v>
      </c>
    </row>
    <row r="67" spans="1:14" s="57" customFormat="1" ht="13.8" outlineLevel="1" x14ac:dyDescent="0.3">
      <c r="A67" s="217">
        <v>12.03</v>
      </c>
      <c r="B67" s="218" t="s">
        <v>79</v>
      </c>
      <c r="C67" s="219" t="s">
        <v>26</v>
      </c>
      <c r="D67" s="220">
        <v>37</v>
      </c>
      <c r="E67" s="42">
        <v>7052</v>
      </c>
      <c r="F67" s="42">
        <f t="shared" si="4"/>
        <v>260924</v>
      </c>
      <c r="G67" s="181"/>
      <c r="H67" s="32"/>
      <c r="I67" s="245">
        <f>+'SVD 4140_Pto. 01_Cert. 07'!K67</f>
        <v>0</v>
      </c>
      <c r="J67" s="236"/>
      <c r="K67" s="79">
        <f t="shared" si="17"/>
        <v>0</v>
      </c>
      <c r="L67" s="201">
        <f t="shared" si="18"/>
        <v>0</v>
      </c>
      <c r="M67" s="201">
        <f t="shared" si="19"/>
        <v>0</v>
      </c>
      <c r="N67" s="201">
        <f t="shared" si="20"/>
        <v>0</v>
      </c>
    </row>
    <row r="68" spans="1:14" s="57" customFormat="1" ht="13.8" outlineLevel="1" x14ac:dyDescent="0.3">
      <c r="A68" s="217">
        <v>12.04</v>
      </c>
      <c r="B68" s="218" t="s">
        <v>80</v>
      </c>
      <c r="C68" s="219" t="s">
        <v>26</v>
      </c>
      <c r="D68" s="220">
        <v>433</v>
      </c>
      <c r="E68" s="42">
        <v>7052</v>
      </c>
      <c r="F68" s="42">
        <f t="shared" si="4"/>
        <v>3053516</v>
      </c>
      <c r="G68" s="181"/>
      <c r="H68" s="32"/>
      <c r="I68" s="245">
        <f>+'SVD 4140_Pto. 01_Cert. 07'!K68</f>
        <v>0</v>
      </c>
      <c r="J68" s="236"/>
      <c r="K68" s="79">
        <f t="shared" si="17"/>
        <v>0</v>
      </c>
      <c r="L68" s="201">
        <f t="shared" si="18"/>
        <v>0</v>
      </c>
      <c r="M68" s="201">
        <f t="shared" si="19"/>
        <v>0</v>
      </c>
      <c r="N68" s="201">
        <f t="shared" si="20"/>
        <v>0</v>
      </c>
    </row>
    <row r="69" spans="1:14" s="57" customFormat="1" ht="13.8" outlineLevel="1" x14ac:dyDescent="0.3">
      <c r="A69" s="221">
        <v>12.05</v>
      </c>
      <c r="B69" s="222" t="s">
        <v>81</v>
      </c>
      <c r="C69" s="223" t="s">
        <v>26</v>
      </c>
      <c r="D69" s="224">
        <v>155</v>
      </c>
      <c r="E69" s="60">
        <v>7052</v>
      </c>
      <c r="F69" s="60">
        <f t="shared" si="4"/>
        <v>1093060</v>
      </c>
      <c r="G69" s="181"/>
      <c r="H69" s="32"/>
      <c r="I69" s="245">
        <f>+'SVD 4140_Pto. 01_Cert. 07'!K69</f>
        <v>0</v>
      </c>
      <c r="J69" s="143"/>
      <c r="K69" s="138">
        <f t="shared" si="17"/>
        <v>0</v>
      </c>
      <c r="L69" s="202">
        <f t="shared" si="18"/>
        <v>0</v>
      </c>
      <c r="M69" s="202">
        <f t="shared" si="19"/>
        <v>0</v>
      </c>
      <c r="N69" s="202">
        <f t="shared" si="20"/>
        <v>0</v>
      </c>
    </row>
    <row r="70" spans="1:14" s="57" customFormat="1" ht="13.8" x14ac:dyDescent="0.3">
      <c r="A70" s="27">
        <v>13</v>
      </c>
      <c r="B70" s="28" t="s">
        <v>82</v>
      </c>
      <c r="C70" s="189"/>
      <c r="D70" s="65"/>
      <c r="E70" s="65"/>
      <c r="F70" s="65"/>
      <c r="G70" s="31">
        <f>+SUM(F71:F74)</f>
        <v>19433086.480999999</v>
      </c>
      <c r="H70" s="32">
        <f>+G70/$G$185</f>
        <v>2.641595603272005E-2</v>
      </c>
      <c r="I70" s="247"/>
      <c r="J70" s="132"/>
      <c r="K70" s="132"/>
      <c r="L70" s="132"/>
      <c r="M70" s="132"/>
      <c r="N70" s="133"/>
    </row>
    <row r="71" spans="1:14" s="57" customFormat="1" ht="13.8" outlineLevel="1" x14ac:dyDescent="0.3">
      <c r="A71" s="213">
        <v>13.01</v>
      </c>
      <c r="B71" s="214" t="s">
        <v>83</v>
      </c>
      <c r="C71" s="215" t="s">
        <v>19</v>
      </c>
      <c r="D71" s="216">
        <v>511</v>
      </c>
      <c r="E71" s="37">
        <v>25799</v>
      </c>
      <c r="F71" s="37">
        <f t="shared" si="4"/>
        <v>13183289</v>
      </c>
      <c r="G71" s="181"/>
      <c r="H71" s="32"/>
      <c r="I71" s="245">
        <f>+'SVD 4140_Pto. 01_Cert. 07'!K71</f>
        <v>0</v>
      </c>
      <c r="J71" s="142"/>
      <c r="K71" s="135">
        <f t="shared" ref="K71:K74" si="21">+I71+J71</f>
        <v>0</v>
      </c>
      <c r="L71" s="200">
        <f t="shared" ref="L71:L74" si="22">+F71*I71</f>
        <v>0</v>
      </c>
      <c r="M71" s="200">
        <f t="shared" ref="M71:M74" si="23">+F71*J71</f>
        <v>0</v>
      </c>
      <c r="N71" s="200">
        <f t="shared" ref="N71:N74" si="24">+F71*K71</f>
        <v>0</v>
      </c>
    </row>
    <row r="72" spans="1:14" s="57" customFormat="1" ht="13.8" outlineLevel="1" x14ac:dyDescent="0.3">
      <c r="A72" s="217">
        <v>13.02</v>
      </c>
      <c r="B72" s="218" t="s">
        <v>84</v>
      </c>
      <c r="C72" s="219" t="s">
        <v>19</v>
      </c>
      <c r="D72" s="220">
        <v>40</v>
      </c>
      <c r="E72" s="42">
        <v>25799</v>
      </c>
      <c r="F72" s="42">
        <f t="shared" si="4"/>
        <v>1031960</v>
      </c>
      <c r="G72" s="181"/>
      <c r="H72" s="32"/>
      <c r="I72" s="245">
        <f>+'SVD 4140_Pto. 01_Cert. 07'!K72</f>
        <v>0</v>
      </c>
      <c r="J72" s="236"/>
      <c r="K72" s="79">
        <f t="shared" si="21"/>
        <v>0</v>
      </c>
      <c r="L72" s="201">
        <f t="shared" si="22"/>
        <v>0</v>
      </c>
      <c r="M72" s="201">
        <f t="shared" si="23"/>
        <v>0</v>
      </c>
      <c r="N72" s="201">
        <f t="shared" si="24"/>
        <v>0</v>
      </c>
    </row>
    <row r="73" spans="1:14" s="57" customFormat="1" ht="13.8" outlineLevel="1" x14ac:dyDescent="0.3">
      <c r="A73" s="217">
        <v>13.03</v>
      </c>
      <c r="B73" s="218" t="s">
        <v>85</v>
      </c>
      <c r="C73" s="219" t="s">
        <v>19</v>
      </c>
      <c r="D73" s="220">
        <v>147.60100000000003</v>
      </c>
      <c r="E73" s="42">
        <v>29881</v>
      </c>
      <c r="F73" s="42">
        <f t="shared" si="4"/>
        <v>4410465.4810000006</v>
      </c>
      <c r="G73" s="181"/>
      <c r="H73" s="32"/>
      <c r="I73" s="245">
        <f>+'SVD 4140_Pto. 01_Cert. 07'!K73</f>
        <v>0</v>
      </c>
      <c r="J73" s="236"/>
      <c r="K73" s="79">
        <f t="shared" si="21"/>
        <v>0</v>
      </c>
      <c r="L73" s="201">
        <f t="shared" si="22"/>
        <v>0</v>
      </c>
      <c r="M73" s="201">
        <f t="shared" si="23"/>
        <v>0</v>
      </c>
      <c r="N73" s="201">
        <f t="shared" si="24"/>
        <v>0</v>
      </c>
    </row>
    <row r="74" spans="1:14" s="57" customFormat="1" ht="13.8" outlineLevel="1" x14ac:dyDescent="0.3">
      <c r="A74" s="221">
        <v>13.04</v>
      </c>
      <c r="B74" s="222" t="s">
        <v>86</v>
      </c>
      <c r="C74" s="223" t="s">
        <v>47</v>
      </c>
      <c r="D74" s="224">
        <v>41</v>
      </c>
      <c r="E74" s="60">
        <v>19692</v>
      </c>
      <c r="F74" s="60">
        <f t="shared" si="4"/>
        <v>807372</v>
      </c>
      <c r="G74" s="181"/>
      <c r="H74" s="32"/>
      <c r="I74" s="245">
        <f>+'SVD 4140_Pto. 01_Cert. 07'!K74</f>
        <v>0</v>
      </c>
      <c r="J74" s="143"/>
      <c r="K74" s="138">
        <f t="shared" si="21"/>
        <v>0</v>
      </c>
      <c r="L74" s="202">
        <f t="shared" si="22"/>
        <v>0</v>
      </c>
      <c r="M74" s="202">
        <f t="shared" si="23"/>
        <v>0</v>
      </c>
      <c r="N74" s="202">
        <f t="shared" si="24"/>
        <v>0</v>
      </c>
    </row>
    <row r="75" spans="1:14" s="57" customFormat="1" ht="13.8" x14ac:dyDescent="0.3">
      <c r="A75" s="27">
        <v>14</v>
      </c>
      <c r="B75" s="28" t="s">
        <v>87</v>
      </c>
      <c r="C75" s="189"/>
      <c r="D75" s="65"/>
      <c r="E75" s="65"/>
      <c r="F75" s="65"/>
      <c r="G75" s="31">
        <f>+SUM(F76:F82)</f>
        <v>50296168.959899999</v>
      </c>
      <c r="H75" s="32">
        <f>+G75/$G$185</f>
        <v>6.8369035930447242E-2</v>
      </c>
      <c r="I75" s="247"/>
      <c r="J75" s="132"/>
      <c r="K75" s="132"/>
      <c r="L75" s="132"/>
      <c r="M75" s="132"/>
      <c r="N75" s="133"/>
    </row>
    <row r="76" spans="1:14" s="57" customFormat="1" ht="13.8" outlineLevel="1" x14ac:dyDescent="0.3">
      <c r="A76" s="213">
        <v>14.01</v>
      </c>
      <c r="B76" s="214" t="s">
        <v>88</v>
      </c>
      <c r="C76" s="215" t="s">
        <v>19</v>
      </c>
      <c r="D76" s="216">
        <v>334.91519999999997</v>
      </c>
      <c r="E76" s="37">
        <v>29270</v>
      </c>
      <c r="F76" s="37">
        <f t="shared" ref="F76:F139" si="25">+D76*E76</f>
        <v>9802967.9039999992</v>
      </c>
      <c r="G76" s="181"/>
      <c r="H76" s="32"/>
      <c r="I76" s="245">
        <f>+'SVD 4140_Pto. 01_Cert. 07'!K76</f>
        <v>0.2</v>
      </c>
      <c r="J76" s="142">
        <v>0.4</v>
      </c>
      <c r="K76" s="135">
        <f t="shared" ref="K76:K82" si="26">+I76+J76</f>
        <v>0.60000000000000009</v>
      </c>
      <c r="L76" s="200">
        <f t="shared" ref="L76:L82" si="27">+F76*I76</f>
        <v>1960593.5807999999</v>
      </c>
      <c r="M76" s="200">
        <f t="shared" ref="M76:M82" si="28">+F76*J76</f>
        <v>3921187.1615999998</v>
      </c>
      <c r="N76" s="200">
        <f t="shared" ref="N76:N82" si="29">+F76*K76</f>
        <v>5881780.7424000008</v>
      </c>
    </row>
    <row r="77" spans="1:14" s="57" customFormat="1" ht="13.8" outlineLevel="1" x14ac:dyDescent="0.3">
      <c r="A77" s="217">
        <v>14.02</v>
      </c>
      <c r="B77" s="218" t="s">
        <v>89</v>
      </c>
      <c r="C77" s="219" t="s">
        <v>19</v>
      </c>
      <c r="D77" s="220">
        <v>280.3913</v>
      </c>
      <c r="E77" s="42">
        <v>33967</v>
      </c>
      <c r="F77" s="42">
        <f t="shared" si="25"/>
        <v>9524051.2871000003</v>
      </c>
      <c r="G77" s="181"/>
      <c r="H77" s="32"/>
      <c r="I77" s="245">
        <f>+'SVD 4140_Pto. 01_Cert. 07'!K77</f>
        <v>0.2</v>
      </c>
      <c r="J77" s="236">
        <v>0.5</v>
      </c>
      <c r="K77" s="79">
        <f t="shared" si="26"/>
        <v>0.7</v>
      </c>
      <c r="L77" s="201">
        <f t="shared" si="27"/>
        <v>1904810.2574200002</v>
      </c>
      <c r="M77" s="201">
        <f t="shared" si="28"/>
        <v>4762025.6435500002</v>
      </c>
      <c r="N77" s="201">
        <f t="shared" si="29"/>
        <v>6666835.9009699998</v>
      </c>
    </row>
    <row r="78" spans="1:14" s="57" customFormat="1" ht="13.8" outlineLevel="1" x14ac:dyDescent="0.3">
      <c r="A78" s="217">
        <v>14.03</v>
      </c>
      <c r="B78" s="218" t="s">
        <v>90</v>
      </c>
      <c r="C78" s="219" t="s">
        <v>26</v>
      </c>
      <c r="D78" s="220">
        <v>60.8</v>
      </c>
      <c r="E78" s="42">
        <v>29270</v>
      </c>
      <c r="F78" s="42">
        <f t="shared" si="25"/>
        <v>1779616</v>
      </c>
      <c r="G78" s="181"/>
      <c r="H78" s="32"/>
      <c r="I78" s="245">
        <f>+'SVD 4140_Pto. 01_Cert. 07'!K78</f>
        <v>0.25</v>
      </c>
      <c r="J78" s="236">
        <v>0.35</v>
      </c>
      <c r="K78" s="79">
        <f t="shared" si="26"/>
        <v>0.6</v>
      </c>
      <c r="L78" s="201">
        <f t="shared" si="27"/>
        <v>444904</v>
      </c>
      <c r="M78" s="201">
        <f t="shared" si="28"/>
        <v>622865.6</v>
      </c>
      <c r="N78" s="201">
        <f t="shared" si="29"/>
        <v>1067769.5999999999</v>
      </c>
    </row>
    <row r="79" spans="1:14" s="57" customFormat="1" ht="13.8" outlineLevel="1" x14ac:dyDescent="0.3">
      <c r="A79" s="217">
        <v>14.04</v>
      </c>
      <c r="B79" s="218" t="s">
        <v>91</v>
      </c>
      <c r="C79" s="219" t="s">
        <v>26</v>
      </c>
      <c r="D79" s="220">
        <v>1058.3799999999997</v>
      </c>
      <c r="E79" s="42">
        <v>7873</v>
      </c>
      <c r="F79" s="42">
        <f t="shared" si="25"/>
        <v>8332625.7399999974</v>
      </c>
      <c r="G79" s="181"/>
      <c r="H79" s="32"/>
      <c r="I79" s="245">
        <f>+'SVD 4140_Pto. 01_Cert. 07'!K79</f>
        <v>0.25</v>
      </c>
      <c r="J79" s="236">
        <v>0.35</v>
      </c>
      <c r="K79" s="79">
        <f t="shared" si="26"/>
        <v>0.6</v>
      </c>
      <c r="L79" s="201">
        <f t="shared" si="27"/>
        <v>2083156.4349999994</v>
      </c>
      <c r="M79" s="201">
        <f t="shared" si="28"/>
        <v>2916419.0089999991</v>
      </c>
      <c r="N79" s="201">
        <f t="shared" si="29"/>
        <v>4999575.4439999983</v>
      </c>
    </row>
    <row r="80" spans="1:14" s="57" customFormat="1" ht="13.8" outlineLevel="1" x14ac:dyDescent="0.3">
      <c r="A80" s="217">
        <v>14.05</v>
      </c>
      <c r="B80" s="218" t="s">
        <v>92</v>
      </c>
      <c r="C80" s="219" t="s">
        <v>19</v>
      </c>
      <c r="D80" s="220">
        <v>504.12220000000002</v>
      </c>
      <c r="E80" s="42">
        <v>23364</v>
      </c>
      <c r="F80" s="42">
        <f t="shared" si="25"/>
        <v>11778311.080800001</v>
      </c>
      <c r="G80" s="181"/>
      <c r="H80" s="32"/>
      <c r="I80" s="245">
        <f>+'SVD 4140_Pto. 01_Cert. 07'!K80</f>
        <v>0.2</v>
      </c>
      <c r="J80" s="236">
        <v>0.4</v>
      </c>
      <c r="K80" s="79">
        <f t="shared" si="26"/>
        <v>0.60000000000000009</v>
      </c>
      <c r="L80" s="201">
        <f t="shared" si="27"/>
        <v>2355662.2161600003</v>
      </c>
      <c r="M80" s="201">
        <f t="shared" si="28"/>
        <v>4711324.4323200006</v>
      </c>
      <c r="N80" s="201">
        <f t="shared" si="29"/>
        <v>7066986.6484800018</v>
      </c>
    </row>
    <row r="81" spans="1:14" s="57" customFormat="1" ht="13.8" outlineLevel="1" x14ac:dyDescent="0.3">
      <c r="A81" s="217">
        <v>14.06</v>
      </c>
      <c r="B81" s="218" t="s">
        <v>93</v>
      </c>
      <c r="C81" s="219" t="s">
        <v>26</v>
      </c>
      <c r="D81" s="220">
        <v>555.99</v>
      </c>
      <c r="E81" s="42">
        <v>12771</v>
      </c>
      <c r="F81" s="42">
        <f t="shared" si="25"/>
        <v>7100548.29</v>
      </c>
      <c r="G81" s="181"/>
      <c r="H81" s="32"/>
      <c r="I81" s="245">
        <f>+'SVD 4140_Pto. 01_Cert. 07'!K81</f>
        <v>0.2</v>
      </c>
      <c r="J81" s="236">
        <v>0.4</v>
      </c>
      <c r="K81" s="79">
        <f t="shared" si="26"/>
        <v>0.60000000000000009</v>
      </c>
      <c r="L81" s="201">
        <f t="shared" si="27"/>
        <v>1420109.6580000001</v>
      </c>
      <c r="M81" s="201">
        <f t="shared" si="28"/>
        <v>2840219.3160000001</v>
      </c>
      <c r="N81" s="201">
        <f t="shared" si="29"/>
        <v>4260328.9740000004</v>
      </c>
    </row>
    <row r="82" spans="1:14" s="57" customFormat="1" ht="13.8" outlineLevel="1" x14ac:dyDescent="0.3">
      <c r="A82" s="221">
        <v>14.07</v>
      </c>
      <c r="B82" s="222" t="s">
        <v>94</v>
      </c>
      <c r="C82" s="223" t="s">
        <v>19</v>
      </c>
      <c r="D82" s="224">
        <v>429.07780000000002</v>
      </c>
      <c r="E82" s="60">
        <v>4610</v>
      </c>
      <c r="F82" s="60">
        <f t="shared" si="25"/>
        <v>1978048.6580000001</v>
      </c>
      <c r="G82" s="181"/>
      <c r="H82" s="32"/>
      <c r="I82" s="245">
        <f>+'SVD 4140_Pto. 01_Cert. 07'!K82</f>
        <v>0</v>
      </c>
      <c r="J82" s="236"/>
      <c r="K82" s="79">
        <f t="shared" si="26"/>
        <v>0</v>
      </c>
      <c r="L82" s="201">
        <f t="shared" si="27"/>
        <v>0</v>
      </c>
      <c r="M82" s="201">
        <f t="shared" si="28"/>
        <v>0</v>
      </c>
      <c r="N82" s="201">
        <f t="shared" si="29"/>
        <v>0</v>
      </c>
    </row>
    <row r="83" spans="1:14" s="57" customFormat="1" ht="13.8" x14ac:dyDescent="0.3">
      <c r="A83" s="27">
        <v>15</v>
      </c>
      <c r="B83" s="28" t="s">
        <v>95</v>
      </c>
      <c r="C83" s="189"/>
      <c r="D83" s="65"/>
      <c r="E83" s="65"/>
      <c r="F83" s="65"/>
      <c r="G83" s="31">
        <f>+SUM(F84:F92)</f>
        <v>0</v>
      </c>
      <c r="H83" s="32">
        <f>+G83/$G$185</f>
        <v>0</v>
      </c>
      <c r="I83" s="247"/>
      <c r="J83" s="132"/>
      <c r="K83" s="132"/>
      <c r="L83" s="132"/>
      <c r="M83" s="132"/>
      <c r="N83" s="133"/>
    </row>
    <row r="84" spans="1:14" s="57" customFormat="1" ht="13.8" outlineLevel="1" x14ac:dyDescent="0.3">
      <c r="A84" s="213">
        <v>15.01</v>
      </c>
      <c r="B84" s="214" t="s">
        <v>96</v>
      </c>
      <c r="C84" s="215" t="s">
        <v>19</v>
      </c>
      <c r="D84" s="216">
        <v>2670</v>
      </c>
      <c r="E84" s="37">
        <v>0</v>
      </c>
      <c r="F84" s="37">
        <f t="shared" si="25"/>
        <v>0</v>
      </c>
      <c r="G84" s="181"/>
      <c r="H84" s="32"/>
      <c r="I84" s="245">
        <f>+'SVD 4140_Pto. 01_Cert. 07'!K84</f>
        <v>0</v>
      </c>
      <c r="J84" s="142"/>
      <c r="K84" s="135">
        <f t="shared" ref="K84:K92" si="30">+I84+J84</f>
        <v>0</v>
      </c>
      <c r="L84" s="200">
        <f t="shared" ref="L84:L92" si="31">+F84*I84</f>
        <v>0</v>
      </c>
      <c r="M84" s="200">
        <f t="shared" ref="M84:M92" si="32">+F84*J84</f>
        <v>0</v>
      </c>
      <c r="N84" s="200">
        <f t="shared" ref="N84:N92" si="33">+F84*K84</f>
        <v>0</v>
      </c>
    </row>
    <row r="85" spans="1:14" s="57" customFormat="1" ht="13.8" outlineLevel="1" x14ac:dyDescent="0.3">
      <c r="A85" s="217">
        <v>15.02</v>
      </c>
      <c r="B85" s="218" t="s">
        <v>97</v>
      </c>
      <c r="C85" s="219" t="s">
        <v>19</v>
      </c>
      <c r="D85" s="220">
        <v>961</v>
      </c>
      <c r="E85" s="42">
        <v>0</v>
      </c>
      <c r="F85" s="42">
        <f t="shared" si="25"/>
        <v>0</v>
      </c>
      <c r="G85" s="181"/>
      <c r="H85" s="32"/>
      <c r="I85" s="245">
        <f>+'SVD 4140_Pto. 01_Cert. 07'!K85</f>
        <v>0</v>
      </c>
      <c r="J85" s="236"/>
      <c r="K85" s="79">
        <f t="shared" si="30"/>
        <v>0</v>
      </c>
      <c r="L85" s="201">
        <f t="shared" si="31"/>
        <v>0</v>
      </c>
      <c r="M85" s="201">
        <f t="shared" si="32"/>
        <v>0</v>
      </c>
      <c r="N85" s="201">
        <f t="shared" si="33"/>
        <v>0</v>
      </c>
    </row>
    <row r="86" spans="1:14" s="57" customFormat="1" ht="13.8" outlineLevel="1" x14ac:dyDescent="0.3">
      <c r="A86" s="217">
        <v>15.03</v>
      </c>
      <c r="B86" s="218" t="s">
        <v>98</v>
      </c>
      <c r="C86" s="219" t="s">
        <v>19</v>
      </c>
      <c r="D86" s="220">
        <v>518</v>
      </c>
      <c r="E86" s="42">
        <v>0</v>
      </c>
      <c r="F86" s="42">
        <f t="shared" si="25"/>
        <v>0</v>
      </c>
      <c r="G86" s="181"/>
      <c r="H86" s="32"/>
      <c r="I86" s="245">
        <f>+'SVD 4140_Pto. 01_Cert. 07'!K86</f>
        <v>0</v>
      </c>
      <c r="J86" s="236"/>
      <c r="K86" s="79">
        <f t="shared" si="30"/>
        <v>0</v>
      </c>
      <c r="L86" s="201">
        <f t="shared" si="31"/>
        <v>0</v>
      </c>
      <c r="M86" s="201">
        <f t="shared" si="32"/>
        <v>0</v>
      </c>
      <c r="N86" s="201">
        <f t="shared" si="33"/>
        <v>0</v>
      </c>
    </row>
    <row r="87" spans="1:14" s="57" customFormat="1" ht="13.8" outlineLevel="1" x14ac:dyDescent="0.3">
      <c r="A87" s="217">
        <v>15.04</v>
      </c>
      <c r="B87" s="218" t="s">
        <v>99</v>
      </c>
      <c r="C87" s="219" t="s">
        <v>19</v>
      </c>
      <c r="D87" s="220">
        <v>612</v>
      </c>
      <c r="E87" s="42">
        <v>0</v>
      </c>
      <c r="F87" s="42">
        <f t="shared" si="25"/>
        <v>0</v>
      </c>
      <c r="G87" s="181"/>
      <c r="H87" s="32"/>
      <c r="I87" s="245">
        <f>+'SVD 4140_Pto. 01_Cert. 07'!K87</f>
        <v>0</v>
      </c>
      <c r="J87" s="236"/>
      <c r="K87" s="79">
        <f t="shared" si="30"/>
        <v>0</v>
      </c>
      <c r="L87" s="201">
        <f t="shared" si="31"/>
        <v>0</v>
      </c>
      <c r="M87" s="201">
        <f t="shared" si="32"/>
        <v>0</v>
      </c>
      <c r="N87" s="201">
        <f t="shared" si="33"/>
        <v>0</v>
      </c>
    </row>
    <row r="88" spans="1:14" s="57" customFormat="1" ht="13.8" outlineLevel="1" x14ac:dyDescent="0.3">
      <c r="A88" s="217">
        <v>15.05</v>
      </c>
      <c r="B88" s="218" t="s">
        <v>100</v>
      </c>
      <c r="C88" s="219" t="s">
        <v>19</v>
      </c>
      <c r="D88" s="220">
        <v>422</v>
      </c>
      <c r="E88" s="42">
        <v>0</v>
      </c>
      <c r="F88" s="42">
        <f t="shared" si="25"/>
        <v>0</v>
      </c>
      <c r="G88" s="181"/>
      <c r="H88" s="32"/>
      <c r="I88" s="245">
        <f>+'SVD 4140_Pto. 01_Cert. 07'!K88</f>
        <v>0</v>
      </c>
      <c r="J88" s="236"/>
      <c r="K88" s="79">
        <f t="shared" si="30"/>
        <v>0</v>
      </c>
      <c r="L88" s="201">
        <f t="shared" si="31"/>
        <v>0</v>
      </c>
      <c r="M88" s="201">
        <f t="shared" si="32"/>
        <v>0</v>
      </c>
      <c r="N88" s="201">
        <f t="shared" si="33"/>
        <v>0</v>
      </c>
    </row>
    <row r="89" spans="1:14" s="57" customFormat="1" ht="13.8" outlineLevel="1" x14ac:dyDescent="0.3">
      <c r="A89" s="217">
        <v>15.07</v>
      </c>
      <c r="B89" s="218" t="s">
        <v>101</v>
      </c>
      <c r="C89" s="219" t="s">
        <v>19</v>
      </c>
      <c r="D89" s="220">
        <v>678.25199999999995</v>
      </c>
      <c r="E89" s="42">
        <v>0</v>
      </c>
      <c r="F89" s="42">
        <f t="shared" si="25"/>
        <v>0</v>
      </c>
      <c r="G89" s="181"/>
      <c r="H89" s="32"/>
      <c r="I89" s="245">
        <f>+'SVD 4140_Pto. 01_Cert. 07'!K89</f>
        <v>0</v>
      </c>
      <c r="J89" s="236"/>
      <c r="K89" s="79">
        <f t="shared" si="30"/>
        <v>0</v>
      </c>
      <c r="L89" s="201">
        <f t="shared" si="31"/>
        <v>0</v>
      </c>
      <c r="M89" s="201">
        <f t="shared" si="32"/>
        <v>0</v>
      </c>
      <c r="N89" s="201">
        <f t="shared" si="33"/>
        <v>0</v>
      </c>
    </row>
    <row r="90" spans="1:14" s="57" customFormat="1" ht="13.8" outlineLevel="1" x14ac:dyDescent="0.3">
      <c r="A90" s="217">
        <v>15.08</v>
      </c>
      <c r="B90" s="218" t="s">
        <v>102</v>
      </c>
      <c r="C90" s="219" t="s">
        <v>19</v>
      </c>
      <c r="D90" s="220">
        <v>728.48019999999985</v>
      </c>
      <c r="E90" s="42">
        <v>0</v>
      </c>
      <c r="F90" s="42">
        <f t="shared" si="25"/>
        <v>0</v>
      </c>
      <c r="G90" s="181"/>
      <c r="H90" s="32"/>
      <c r="I90" s="245">
        <f>+'SVD 4140_Pto. 01_Cert. 07'!K90</f>
        <v>0</v>
      </c>
      <c r="J90" s="236"/>
      <c r="K90" s="79">
        <f t="shared" si="30"/>
        <v>0</v>
      </c>
      <c r="L90" s="201">
        <f t="shared" si="31"/>
        <v>0</v>
      </c>
      <c r="M90" s="201">
        <f t="shared" si="32"/>
        <v>0</v>
      </c>
      <c r="N90" s="201">
        <f t="shared" si="33"/>
        <v>0</v>
      </c>
    </row>
    <row r="91" spans="1:14" s="57" customFormat="1" ht="13.8" outlineLevel="1" x14ac:dyDescent="0.3">
      <c r="A91" s="217">
        <v>15.09</v>
      </c>
      <c r="B91" s="218" t="s">
        <v>103</v>
      </c>
      <c r="C91" s="219" t="s">
        <v>67</v>
      </c>
      <c r="D91" s="220">
        <v>76</v>
      </c>
      <c r="E91" s="42">
        <v>0</v>
      </c>
      <c r="F91" s="42">
        <f t="shared" si="25"/>
        <v>0</v>
      </c>
      <c r="G91" s="181"/>
      <c r="H91" s="32"/>
      <c r="I91" s="245">
        <f>+'SVD 4140_Pto. 01_Cert. 07'!K91</f>
        <v>0</v>
      </c>
      <c r="J91" s="236"/>
      <c r="K91" s="79">
        <f t="shared" si="30"/>
        <v>0</v>
      </c>
      <c r="L91" s="201">
        <f t="shared" si="31"/>
        <v>0</v>
      </c>
      <c r="M91" s="201">
        <f t="shared" si="32"/>
        <v>0</v>
      </c>
      <c r="N91" s="201">
        <f t="shared" si="33"/>
        <v>0</v>
      </c>
    </row>
    <row r="92" spans="1:14" s="57" customFormat="1" ht="13.8" outlineLevel="1" x14ac:dyDescent="0.3">
      <c r="A92" s="221">
        <v>15.1</v>
      </c>
      <c r="B92" s="222" t="s">
        <v>104</v>
      </c>
      <c r="C92" s="223" t="s">
        <v>28</v>
      </c>
      <c r="D92" s="224">
        <v>1</v>
      </c>
      <c r="E92" s="60">
        <v>0</v>
      </c>
      <c r="F92" s="60">
        <f t="shared" si="25"/>
        <v>0</v>
      </c>
      <c r="G92" s="181"/>
      <c r="H92" s="32"/>
      <c r="I92" s="245">
        <f>+'SVD 4140_Pto. 01_Cert. 07'!K92</f>
        <v>0</v>
      </c>
      <c r="J92" s="236"/>
      <c r="K92" s="79">
        <f t="shared" si="30"/>
        <v>0</v>
      </c>
      <c r="L92" s="201">
        <f t="shared" si="31"/>
        <v>0</v>
      </c>
      <c r="M92" s="201">
        <f t="shared" si="32"/>
        <v>0</v>
      </c>
      <c r="N92" s="201">
        <f t="shared" si="33"/>
        <v>0</v>
      </c>
    </row>
    <row r="93" spans="1:14" s="57" customFormat="1" ht="13.8" x14ac:dyDescent="0.3">
      <c r="A93" s="27">
        <v>16</v>
      </c>
      <c r="B93" s="28" t="s">
        <v>105</v>
      </c>
      <c r="C93" s="189"/>
      <c r="D93" s="65"/>
      <c r="E93" s="65"/>
      <c r="F93" s="65"/>
      <c r="G93" s="31">
        <f>+SUM(F94)</f>
        <v>0</v>
      </c>
      <c r="H93" s="32">
        <f>+G93/$G$185</f>
        <v>0</v>
      </c>
      <c r="I93" s="248"/>
      <c r="J93" s="206"/>
      <c r="K93" s="206"/>
      <c r="L93" s="207"/>
      <c r="M93" s="207"/>
      <c r="N93" s="208"/>
    </row>
    <row r="94" spans="1:14" s="57" customFormat="1" ht="13.8" outlineLevel="1" x14ac:dyDescent="0.3">
      <c r="A94" s="188"/>
      <c r="B94" s="187"/>
      <c r="C94" s="179"/>
      <c r="D94" s="180"/>
      <c r="E94" s="181">
        <v>0</v>
      </c>
      <c r="F94" s="181">
        <f t="shared" si="25"/>
        <v>0</v>
      </c>
      <c r="G94" s="181"/>
      <c r="H94" s="32"/>
      <c r="I94" s="245">
        <f>+'SVD 4140_Pto. 01_Cert. 07'!K94</f>
        <v>0</v>
      </c>
      <c r="J94" s="203"/>
      <c r="K94" s="204">
        <f t="shared" ref="K94" si="34">+I94+J94</f>
        <v>0</v>
      </c>
      <c r="L94" s="80">
        <f t="shared" ref="L94" si="35">+F94*I94</f>
        <v>0</v>
      </c>
      <c r="M94" s="80">
        <f t="shared" ref="M94" si="36">+F94*J94</f>
        <v>0</v>
      </c>
      <c r="N94" s="80">
        <f t="shared" ref="N94" si="37">+F94*K94</f>
        <v>0</v>
      </c>
    </row>
    <row r="95" spans="1:14" s="57" customFormat="1" ht="13.8" x14ac:dyDescent="0.3">
      <c r="A95" s="27">
        <v>17</v>
      </c>
      <c r="B95" s="28" t="s">
        <v>106</v>
      </c>
      <c r="C95" s="189"/>
      <c r="D95" s="65"/>
      <c r="E95" s="65"/>
      <c r="F95" s="65"/>
      <c r="G95" s="31">
        <f>+SUM(F96:F99)</f>
        <v>7258243</v>
      </c>
      <c r="H95" s="32">
        <f>+G95/$G$185</f>
        <v>9.8663394592649264E-3</v>
      </c>
      <c r="I95" s="248"/>
      <c r="J95" s="206"/>
      <c r="K95" s="206"/>
      <c r="L95" s="207"/>
      <c r="M95" s="207"/>
      <c r="N95" s="208"/>
    </row>
    <row r="96" spans="1:14" s="57" customFormat="1" ht="13.8" outlineLevel="1" x14ac:dyDescent="0.3">
      <c r="A96" s="213">
        <v>17.010000000000002</v>
      </c>
      <c r="B96" s="214" t="s">
        <v>107</v>
      </c>
      <c r="C96" s="215" t="s">
        <v>47</v>
      </c>
      <c r="D96" s="216">
        <v>47</v>
      </c>
      <c r="E96" s="37">
        <v>64232</v>
      </c>
      <c r="F96" s="37">
        <f t="shared" si="25"/>
        <v>3018904</v>
      </c>
      <c r="G96" s="181"/>
      <c r="H96" s="32"/>
      <c r="I96" s="245">
        <f>+'SVD 4140_Pto. 01_Cert. 07'!K96</f>
        <v>0.85</v>
      </c>
      <c r="J96" s="203"/>
      <c r="K96" s="204">
        <f t="shared" ref="K96:K99" si="38">+I96+J96</f>
        <v>0.85</v>
      </c>
      <c r="L96" s="80">
        <f t="shared" ref="L96:L99" si="39">+F96*I96</f>
        <v>2566068.4</v>
      </c>
      <c r="M96" s="80">
        <f t="shared" ref="M96:M99" si="40">+F96*J96</f>
        <v>0</v>
      </c>
      <c r="N96" s="80">
        <f t="shared" ref="N96:N99" si="41">+F96*K96</f>
        <v>2566068.4</v>
      </c>
    </row>
    <row r="97" spans="1:14" s="57" customFormat="1" ht="13.8" outlineLevel="1" x14ac:dyDescent="0.3">
      <c r="A97" s="217">
        <v>17.02</v>
      </c>
      <c r="B97" s="218" t="s">
        <v>108</v>
      </c>
      <c r="C97" s="219" t="s">
        <v>47</v>
      </c>
      <c r="D97" s="220">
        <v>23</v>
      </c>
      <c r="E97" s="42">
        <v>64232</v>
      </c>
      <c r="F97" s="42">
        <f t="shared" si="25"/>
        <v>1477336</v>
      </c>
      <c r="G97" s="181"/>
      <c r="H97" s="32"/>
      <c r="I97" s="245">
        <f>+'SVD 4140_Pto. 01_Cert. 07'!K97</f>
        <v>0.85</v>
      </c>
      <c r="J97" s="136"/>
      <c r="K97" s="79">
        <f t="shared" si="38"/>
        <v>0.85</v>
      </c>
      <c r="L97" s="80">
        <f t="shared" si="39"/>
        <v>1255735.5999999999</v>
      </c>
      <c r="M97" s="80">
        <f t="shared" si="40"/>
        <v>0</v>
      </c>
      <c r="N97" s="80">
        <f t="shared" si="41"/>
        <v>1255735.5999999999</v>
      </c>
    </row>
    <row r="98" spans="1:14" s="57" customFormat="1" ht="13.8" outlineLevel="1" x14ac:dyDescent="0.3">
      <c r="A98" s="217">
        <v>17.03</v>
      </c>
      <c r="B98" s="218" t="s">
        <v>109</v>
      </c>
      <c r="C98" s="219" t="s">
        <v>47</v>
      </c>
      <c r="D98" s="220">
        <v>51</v>
      </c>
      <c r="E98" s="42">
        <v>41296</v>
      </c>
      <c r="F98" s="42">
        <f t="shared" si="25"/>
        <v>2106096</v>
      </c>
      <c r="G98" s="181"/>
      <c r="H98" s="32"/>
      <c r="I98" s="245">
        <f>+'SVD 4140_Pto. 01_Cert. 07'!K98</f>
        <v>0.85</v>
      </c>
      <c r="J98" s="136"/>
      <c r="K98" s="79">
        <f t="shared" si="38"/>
        <v>0.85</v>
      </c>
      <c r="L98" s="80">
        <f t="shared" si="39"/>
        <v>1790181.5999999999</v>
      </c>
      <c r="M98" s="80">
        <f t="shared" si="40"/>
        <v>0</v>
      </c>
      <c r="N98" s="80">
        <f t="shared" si="41"/>
        <v>1790181.5999999999</v>
      </c>
    </row>
    <row r="99" spans="1:14" s="57" customFormat="1" ht="13.8" outlineLevel="1" x14ac:dyDescent="0.3">
      <c r="A99" s="221">
        <v>17.04</v>
      </c>
      <c r="B99" s="222" t="s">
        <v>110</v>
      </c>
      <c r="C99" s="223" t="s">
        <v>47</v>
      </c>
      <c r="D99" s="224">
        <v>7</v>
      </c>
      <c r="E99" s="60">
        <v>93701</v>
      </c>
      <c r="F99" s="60">
        <f t="shared" si="25"/>
        <v>655907</v>
      </c>
      <c r="G99" s="181"/>
      <c r="H99" s="32"/>
      <c r="I99" s="245">
        <f>+'SVD 4140_Pto. 01_Cert. 07'!K99</f>
        <v>0</v>
      </c>
      <c r="J99" s="136"/>
      <c r="K99" s="79">
        <f t="shared" si="38"/>
        <v>0</v>
      </c>
      <c r="L99" s="80">
        <f t="shared" si="39"/>
        <v>0</v>
      </c>
      <c r="M99" s="80">
        <f t="shared" si="40"/>
        <v>0</v>
      </c>
      <c r="N99" s="80">
        <f t="shared" si="41"/>
        <v>0</v>
      </c>
    </row>
    <row r="100" spans="1:14" s="57" customFormat="1" ht="13.8" x14ac:dyDescent="0.3">
      <c r="A100" s="27">
        <v>18</v>
      </c>
      <c r="B100" s="28" t="s">
        <v>111</v>
      </c>
      <c r="C100" s="189"/>
      <c r="D100" s="65"/>
      <c r="E100" s="65"/>
      <c r="F100" s="65"/>
      <c r="G100" s="31">
        <f>+SUM(F101:F130)</f>
        <v>99277732</v>
      </c>
      <c r="H100" s="32">
        <f>+G100/$G$185</f>
        <v>0.13495109004450917</v>
      </c>
      <c r="I100" s="248"/>
      <c r="J100" s="206"/>
      <c r="K100" s="206"/>
      <c r="L100" s="207"/>
      <c r="M100" s="207"/>
      <c r="N100" s="208"/>
    </row>
    <row r="101" spans="1:14" s="57" customFormat="1" ht="13.8" outlineLevel="1" x14ac:dyDescent="0.3">
      <c r="A101" s="213">
        <v>18.010000000000002</v>
      </c>
      <c r="B101" s="214" t="s">
        <v>112</v>
      </c>
      <c r="C101" s="215" t="s">
        <v>47</v>
      </c>
      <c r="D101" s="216">
        <v>392</v>
      </c>
      <c r="E101" s="37">
        <v>59948</v>
      </c>
      <c r="F101" s="37">
        <f t="shared" si="25"/>
        <v>23499616</v>
      </c>
      <c r="G101" s="181"/>
      <c r="H101" s="32"/>
      <c r="I101" s="245">
        <f>+'SVD 4140_Pto. 01_Cert. 07'!K101</f>
        <v>0.45</v>
      </c>
      <c r="J101" s="249">
        <v>0.05</v>
      </c>
      <c r="K101" s="135">
        <f t="shared" ref="K101:K130" si="42">+I101+J101</f>
        <v>0.5</v>
      </c>
      <c r="L101" s="200">
        <f t="shared" ref="L101:L130" si="43">+F101*I101</f>
        <v>10574827.200000001</v>
      </c>
      <c r="M101" s="200">
        <f t="shared" ref="M101:M130" si="44">+F101*J101</f>
        <v>1174980.8</v>
      </c>
      <c r="N101" s="200">
        <f t="shared" ref="N101:N130" si="45">+F101*K101</f>
        <v>11749808</v>
      </c>
    </row>
    <row r="102" spans="1:14" s="57" customFormat="1" ht="13.8" outlineLevel="1" x14ac:dyDescent="0.3">
      <c r="A102" s="217">
        <v>18.02</v>
      </c>
      <c r="B102" s="218" t="s">
        <v>113</v>
      </c>
      <c r="C102" s="219" t="s">
        <v>47</v>
      </c>
      <c r="D102" s="220">
        <v>19</v>
      </c>
      <c r="E102" s="42">
        <v>59948</v>
      </c>
      <c r="F102" s="42">
        <f t="shared" si="25"/>
        <v>1139012</v>
      </c>
      <c r="G102" s="181"/>
      <c r="H102" s="32"/>
      <c r="I102" s="245">
        <f>+'SVD 4140_Pto. 01_Cert. 07'!K102</f>
        <v>0.44999999999999996</v>
      </c>
      <c r="J102" s="141">
        <v>0.05</v>
      </c>
      <c r="K102" s="79">
        <f t="shared" si="42"/>
        <v>0.49999999999999994</v>
      </c>
      <c r="L102" s="201">
        <f t="shared" si="43"/>
        <v>512555.39999999997</v>
      </c>
      <c r="M102" s="201">
        <f t="shared" si="44"/>
        <v>56950.600000000006</v>
      </c>
      <c r="N102" s="201">
        <f t="shared" si="45"/>
        <v>569505.99999999988</v>
      </c>
    </row>
    <row r="103" spans="1:14" s="57" customFormat="1" ht="13.8" outlineLevel="1" x14ac:dyDescent="0.3">
      <c r="A103" s="217">
        <v>18.03</v>
      </c>
      <c r="B103" s="218" t="s">
        <v>114</v>
      </c>
      <c r="C103" s="219" t="s">
        <v>47</v>
      </c>
      <c r="D103" s="220">
        <v>349</v>
      </c>
      <c r="E103" s="42">
        <v>57445</v>
      </c>
      <c r="F103" s="42">
        <f t="shared" si="25"/>
        <v>20048305</v>
      </c>
      <c r="G103" s="181"/>
      <c r="H103" s="32"/>
      <c r="I103" s="245">
        <f>+'SVD 4140_Pto. 01_Cert. 07'!K103</f>
        <v>0.39999999999999997</v>
      </c>
      <c r="J103" s="141">
        <v>0.05</v>
      </c>
      <c r="K103" s="79">
        <f t="shared" si="42"/>
        <v>0.44999999999999996</v>
      </c>
      <c r="L103" s="201">
        <f t="shared" si="43"/>
        <v>8019321.9999999991</v>
      </c>
      <c r="M103" s="201">
        <f t="shared" si="44"/>
        <v>1002415.25</v>
      </c>
      <c r="N103" s="201">
        <f t="shared" si="45"/>
        <v>9021737.25</v>
      </c>
    </row>
    <row r="104" spans="1:14" s="57" customFormat="1" ht="13.8" outlineLevel="1" x14ac:dyDescent="0.3">
      <c r="A104" s="217">
        <v>18.04</v>
      </c>
      <c r="B104" s="218" t="s">
        <v>115</v>
      </c>
      <c r="C104" s="219" t="s">
        <v>47</v>
      </c>
      <c r="D104" s="220">
        <v>35</v>
      </c>
      <c r="E104" s="42">
        <v>64480</v>
      </c>
      <c r="F104" s="42">
        <f t="shared" si="25"/>
        <v>2256800</v>
      </c>
      <c r="G104" s="181"/>
      <c r="H104" s="32"/>
      <c r="I104" s="245">
        <f>+'SVD 4140_Pto. 01_Cert. 07'!K104</f>
        <v>0.39999999999999997</v>
      </c>
      <c r="J104" s="141">
        <v>0.1</v>
      </c>
      <c r="K104" s="79">
        <f t="shared" si="42"/>
        <v>0.5</v>
      </c>
      <c r="L104" s="201">
        <f t="shared" si="43"/>
        <v>902719.99999999988</v>
      </c>
      <c r="M104" s="201">
        <f t="shared" si="44"/>
        <v>225680</v>
      </c>
      <c r="N104" s="201">
        <f t="shared" si="45"/>
        <v>1128400</v>
      </c>
    </row>
    <row r="105" spans="1:14" s="57" customFormat="1" ht="13.8" outlineLevel="1" x14ac:dyDescent="0.3">
      <c r="A105" s="217">
        <v>18.05</v>
      </c>
      <c r="B105" s="218" t="s">
        <v>116</v>
      </c>
      <c r="C105" s="219" t="s">
        <v>47</v>
      </c>
      <c r="D105" s="220">
        <v>16</v>
      </c>
      <c r="E105" s="42">
        <v>57445</v>
      </c>
      <c r="F105" s="42">
        <f t="shared" si="25"/>
        <v>919120</v>
      </c>
      <c r="G105" s="181"/>
      <c r="H105" s="32"/>
      <c r="I105" s="245">
        <f>+'SVD 4140_Pto. 01_Cert. 07'!K105</f>
        <v>0.39999999999999997</v>
      </c>
      <c r="J105" s="141">
        <v>0.1</v>
      </c>
      <c r="K105" s="79">
        <f t="shared" si="42"/>
        <v>0.5</v>
      </c>
      <c r="L105" s="201">
        <f t="shared" si="43"/>
        <v>367647.99999999994</v>
      </c>
      <c r="M105" s="201">
        <f t="shared" si="44"/>
        <v>91912</v>
      </c>
      <c r="N105" s="201">
        <f t="shared" si="45"/>
        <v>459560</v>
      </c>
    </row>
    <row r="106" spans="1:14" s="57" customFormat="1" ht="13.8" outlineLevel="1" x14ac:dyDescent="0.3">
      <c r="A106" s="217">
        <v>18.059999999999999</v>
      </c>
      <c r="B106" s="218" t="s">
        <v>117</v>
      </c>
      <c r="C106" s="219" t="s">
        <v>47</v>
      </c>
      <c r="D106" s="220">
        <v>16</v>
      </c>
      <c r="E106" s="42">
        <v>57445</v>
      </c>
      <c r="F106" s="42">
        <f t="shared" si="25"/>
        <v>919120</v>
      </c>
      <c r="G106" s="181"/>
      <c r="H106" s="32"/>
      <c r="I106" s="245">
        <f>+'SVD 4140_Pto. 01_Cert. 07'!K106</f>
        <v>0.4</v>
      </c>
      <c r="J106" s="141">
        <v>0.1</v>
      </c>
      <c r="K106" s="79">
        <f t="shared" si="42"/>
        <v>0.5</v>
      </c>
      <c r="L106" s="201">
        <f t="shared" si="43"/>
        <v>367648</v>
      </c>
      <c r="M106" s="201">
        <f t="shared" si="44"/>
        <v>91912</v>
      </c>
      <c r="N106" s="201">
        <f t="shared" si="45"/>
        <v>459560</v>
      </c>
    </row>
    <row r="107" spans="1:14" s="57" customFormat="1" ht="13.8" outlineLevel="1" x14ac:dyDescent="0.3">
      <c r="A107" s="217">
        <v>18.07</v>
      </c>
      <c r="B107" s="218" t="s">
        <v>118</v>
      </c>
      <c r="C107" s="219" t="s">
        <v>47</v>
      </c>
      <c r="D107" s="220">
        <v>46</v>
      </c>
      <c r="E107" s="42">
        <v>43213</v>
      </c>
      <c r="F107" s="42">
        <f t="shared" si="25"/>
        <v>1987798</v>
      </c>
      <c r="G107" s="181"/>
      <c r="H107" s="32"/>
      <c r="I107" s="245">
        <f>+'SVD 4140_Pto. 01_Cert. 07'!K107</f>
        <v>0.39999999999999997</v>
      </c>
      <c r="J107" s="141">
        <v>0.1</v>
      </c>
      <c r="K107" s="79">
        <f t="shared" si="42"/>
        <v>0.5</v>
      </c>
      <c r="L107" s="201">
        <f t="shared" si="43"/>
        <v>795119.2</v>
      </c>
      <c r="M107" s="201">
        <f t="shared" si="44"/>
        <v>198779.80000000002</v>
      </c>
      <c r="N107" s="201">
        <f t="shared" si="45"/>
        <v>993899</v>
      </c>
    </row>
    <row r="108" spans="1:14" s="57" customFormat="1" ht="13.8" outlineLevel="1" x14ac:dyDescent="0.3">
      <c r="A108" s="217">
        <v>18.079999999999998</v>
      </c>
      <c r="B108" s="218" t="s">
        <v>119</v>
      </c>
      <c r="C108" s="219" t="s">
        <v>47</v>
      </c>
      <c r="D108" s="220">
        <v>17</v>
      </c>
      <c r="E108" s="42">
        <v>43213</v>
      </c>
      <c r="F108" s="42">
        <f t="shared" si="25"/>
        <v>734621</v>
      </c>
      <c r="G108" s="181"/>
      <c r="H108" s="32"/>
      <c r="I108" s="245">
        <f>+'SVD 4140_Pto. 01_Cert. 07'!K108</f>
        <v>0.39999999999999997</v>
      </c>
      <c r="J108" s="136">
        <v>0.1</v>
      </c>
      <c r="K108" s="79">
        <f t="shared" si="42"/>
        <v>0.5</v>
      </c>
      <c r="L108" s="201">
        <f t="shared" si="43"/>
        <v>293848.39999999997</v>
      </c>
      <c r="M108" s="201">
        <f t="shared" si="44"/>
        <v>73462.100000000006</v>
      </c>
      <c r="N108" s="201">
        <f t="shared" si="45"/>
        <v>367310.5</v>
      </c>
    </row>
    <row r="109" spans="1:14" s="57" customFormat="1" ht="13.8" outlineLevel="1" x14ac:dyDescent="0.3">
      <c r="A109" s="217">
        <v>18.09</v>
      </c>
      <c r="B109" s="218" t="s">
        <v>120</v>
      </c>
      <c r="C109" s="219" t="s">
        <v>47</v>
      </c>
      <c r="D109" s="220">
        <v>11</v>
      </c>
      <c r="E109" s="42">
        <v>43213</v>
      </c>
      <c r="F109" s="42">
        <f t="shared" si="25"/>
        <v>475343</v>
      </c>
      <c r="G109" s="181"/>
      <c r="H109" s="32"/>
      <c r="I109" s="245">
        <f>+'SVD 4140_Pto. 01_Cert. 07'!K109</f>
        <v>0.65</v>
      </c>
      <c r="J109" s="141"/>
      <c r="K109" s="79">
        <f t="shared" si="42"/>
        <v>0.65</v>
      </c>
      <c r="L109" s="201">
        <f t="shared" si="43"/>
        <v>308972.95</v>
      </c>
      <c r="M109" s="201">
        <f t="shared" si="44"/>
        <v>0</v>
      </c>
      <c r="N109" s="201">
        <f t="shared" si="45"/>
        <v>308972.95</v>
      </c>
    </row>
    <row r="110" spans="1:14" s="57" customFormat="1" ht="13.8" outlineLevel="1" x14ac:dyDescent="0.3">
      <c r="A110" s="217">
        <v>18.100000000000001</v>
      </c>
      <c r="B110" s="218" t="s">
        <v>121</v>
      </c>
      <c r="C110" s="219" t="s">
        <v>47</v>
      </c>
      <c r="D110" s="220">
        <v>1</v>
      </c>
      <c r="E110" s="42">
        <v>2365100</v>
      </c>
      <c r="F110" s="42">
        <f t="shared" si="25"/>
        <v>2365100</v>
      </c>
      <c r="G110" s="181"/>
      <c r="H110" s="32"/>
      <c r="I110" s="245">
        <f>+'SVD 4140_Pto. 01_Cert. 07'!K110</f>
        <v>0</v>
      </c>
      <c r="J110" s="141"/>
      <c r="K110" s="79">
        <f t="shared" si="42"/>
        <v>0</v>
      </c>
      <c r="L110" s="201">
        <f t="shared" si="43"/>
        <v>0</v>
      </c>
      <c r="M110" s="201">
        <f t="shared" si="44"/>
        <v>0</v>
      </c>
      <c r="N110" s="201">
        <f t="shared" si="45"/>
        <v>0</v>
      </c>
    </row>
    <row r="111" spans="1:14" s="57" customFormat="1" ht="13.8" outlineLevel="1" x14ac:dyDescent="0.3">
      <c r="A111" s="217">
        <v>18.11</v>
      </c>
      <c r="B111" s="218" t="s">
        <v>122</v>
      </c>
      <c r="C111" s="219" t="s">
        <v>47</v>
      </c>
      <c r="D111" s="220">
        <v>1</v>
      </c>
      <c r="E111" s="42">
        <v>1112140</v>
      </c>
      <c r="F111" s="42">
        <f t="shared" si="25"/>
        <v>1112140</v>
      </c>
      <c r="G111" s="181"/>
      <c r="H111" s="32"/>
      <c r="I111" s="245">
        <f>+'SVD 4140_Pto. 01_Cert. 07'!K111</f>
        <v>0</v>
      </c>
      <c r="J111" s="136"/>
      <c r="K111" s="79">
        <f t="shared" si="42"/>
        <v>0</v>
      </c>
      <c r="L111" s="201">
        <f t="shared" si="43"/>
        <v>0</v>
      </c>
      <c r="M111" s="201">
        <f t="shared" si="44"/>
        <v>0</v>
      </c>
      <c r="N111" s="201">
        <f t="shared" si="45"/>
        <v>0</v>
      </c>
    </row>
    <row r="112" spans="1:14" s="57" customFormat="1" ht="13.8" outlineLevel="1" x14ac:dyDescent="0.3">
      <c r="A112" s="217">
        <v>18.12</v>
      </c>
      <c r="B112" s="218" t="s">
        <v>123</v>
      </c>
      <c r="C112" s="219" t="s">
        <v>47</v>
      </c>
      <c r="D112" s="220">
        <v>1</v>
      </c>
      <c r="E112" s="42">
        <v>669004</v>
      </c>
      <c r="F112" s="42">
        <f t="shared" si="25"/>
        <v>669004</v>
      </c>
      <c r="G112" s="181"/>
      <c r="H112" s="32"/>
      <c r="I112" s="245">
        <f>+'SVD 4140_Pto. 01_Cert. 07'!K112</f>
        <v>0</v>
      </c>
      <c r="J112" s="136"/>
      <c r="K112" s="79">
        <f t="shared" si="42"/>
        <v>0</v>
      </c>
      <c r="L112" s="201">
        <f t="shared" si="43"/>
        <v>0</v>
      </c>
      <c r="M112" s="201">
        <f t="shared" si="44"/>
        <v>0</v>
      </c>
      <c r="N112" s="201">
        <f t="shared" si="45"/>
        <v>0</v>
      </c>
    </row>
    <row r="113" spans="1:14" s="57" customFormat="1" ht="13.8" outlineLevel="1" x14ac:dyDescent="0.3">
      <c r="A113" s="217">
        <v>18.13</v>
      </c>
      <c r="B113" s="218" t="s">
        <v>124</v>
      </c>
      <c r="C113" s="219" t="s">
        <v>47</v>
      </c>
      <c r="D113" s="220">
        <v>1</v>
      </c>
      <c r="E113" s="42">
        <v>970259</v>
      </c>
      <c r="F113" s="42">
        <f t="shared" si="25"/>
        <v>970259</v>
      </c>
      <c r="G113" s="181"/>
      <c r="H113" s="32"/>
      <c r="I113" s="245">
        <f>+'SVD 4140_Pto. 01_Cert. 07'!K113</f>
        <v>0</v>
      </c>
      <c r="J113" s="141"/>
      <c r="K113" s="79">
        <f t="shared" si="42"/>
        <v>0</v>
      </c>
      <c r="L113" s="201">
        <f t="shared" si="43"/>
        <v>0</v>
      </c>
      <c r="M113" s="201">
        <f t="shared" si="44"/>
        <v>0</v>
      </c>
      <c r="N113" s="201">
        <f t="shared" si="45"/>
        <v>0</v>
      </c>
    </row>
    <row r="114" spans="1:14" s="57" customFormat="1" ht="13.8" outlineLevel="1" x14ac:dyDescent="0.3">
      <c r="A114" s="217">
        <v>18.14</v>
      </c>
      <c r="B114" s="218" t="s">
        <v>125</v>
      </c>
      <c r="C114" s="219" t="s">
        <v>47</v>
      </c>
      <c r="D114" s="220">
        <v>1</v>
      </c>
      <c r="E114" s="42">
        <v>507898</v>
      </c>
      <c r="F114" s="42">
        <f t="shared" si="25"/>
        <v>507898</v>
      </c>
      <c r="G114" s="181"/>
      <c r="H114" s="32"/>
      <c r="I114" s="245">
        <f>+'SVD 4140_Pto. 01_Cert. 07'!K114</f>
        <v>0</v>
      </c>
      <c r="J114" s="136"/>
      <c r="K114" s="79">
        <f t="shared" si="42"/>
        <v>0</v>
      </c>
      <c r="L114" s="201">
        <f t="shared" si="43"/>
        <v>0</v>
      </c>
      <c r="M114" s="201">
        <f t="shared" si="44"/>
        <v>0</v>
      </c>
      <c r="N114" s="201">
        <f t="shared" si="45"/>
        <v>0</v>
      </c>
    </row>
    <row r="115" spans="1:14" s="57" customFormat="1" ht="13.8" outlineLevel="1" x14ac:dyDescent="0.3">
      <c r="A115" s="217">
        <v>18.149999999999999</v>
      </c>
      <c r="B115" s="218" t="s">
        <v>126</v>
      </c>
      <c r="C115" s="219" t="s">
        <v>47</v>
      </c>
      <c r="D115" s="220">
        <v>7</v>
      </c>
      <c r="E115" s="42">
        <v>507898</v>
      </c>
      <c r="F115" s="42">
        <f t="shared" si="25"/>
        <v>3555286</v>
      </c>
      <c r="G115" s="181"/>
      <c r="H115" s="32"/>
      <c r="I115" s="245">
        <f>+'SVD 4140_Pto. 01_Cert. 07'!K115</f>
        <v>0.05</v>
      </c>
      <c r="J115" s="136"/>
      <c r="K115" s="79">
        <f t="shared" si="42"/>
        <v>0.05</v>
      </c>
      <c r="L115" s="201">
        <f t="shared" si="43"/>
        <v>177764.30000000002</v>
      </c>
      <c r="M115" s="201">
        <f t="shared" si="44"/>
        <v>0</v>
      </c>
      <c r="N115" s="201">
        <f t="shared" si="45"/>
        <v>177764.30000000002</v>
      </c>
    </row>
    <row r="116" spans="1:14" s="57" customFormat="1" ht="13.8" outlineLevel="1" x14ac:dyDescent="0.3">
      <c r="A116" s="217">
        <v>18.16</v>
      </c>
      <c r="B116" s="218" t="s">
        <v>127</v>
      </c>
      <c r="C116" s="219" t="s">
        <v>47</v>
      </c>
      <c r="D116" s="220">
        <v>9</v>
      </c>
      <c r="E116" s="42">
        <v>595498</v>
      </c>
      <c r="F116" s="42">
        <f t="shared" si="25"/>
        <v>5359482</v>
      </c>
      <c r="G116" s="181"/>
      <c r="H116" s="32"/>
      <c r="I116" s="245">
        <f>+'SVD 4140_Pto. 01_Cert. 07'!K116</f>
        <v>0.05</v>
      </c>
      <c r="J116" s="141"/>
      <c r="K116" s="79">
        <f t="shared" si="42"/>
        <v>0.05</v>
      </c>
      <c r="L116" s="201">
        <f t="shared" si="43"/>
        <v>267974.10000000003</v>
      </c>
      <c r="M116" s="201">
        <f t="shared" si="44"/>
        <v>0</v>
      </c>
      <c r="N116" s="201">
        <f t="shared" si="45"/>
        <v>267974.10000000003</v>
      </c>
    </row>
    <row r="117" spans="1:14" s="57" customFormat="1" ht="13.8" outlineLevel="1" x14ac:dyDescent="0.3">
      <c r="A117" s="217">
        <v>18.170000000000002</v>
      </c>
      <c r="B117" s="218" t="s">
        <v>128</v>
      </c>
      <c r="C117" s="219" t="s">
        <v>28</v>
      </c>
      <c r="D117" s="220">
        <v>1</v>
      </c>
      <c r="E117" s="42">
        <v>9502264</v>
      </c>
      <c r="F117" s="42">
        <f t="shared" si="25"/>
        <v>9502264</v>
      </c>
      <c r="G117" s="181"/>
      <c r="H117" s="32"/>
      <c r="I117" s="245">
        <f>+'SVD 4140_Pto. 01_Cert. 07'!K117</f>
        <v>0</v>
      </c>
      <c r="J117" s="136"/>
      <c r="K117" s="79">
        <f t="shared" si="42"/>
        <v>0</v>
      </c>
      <c r="L117" s="201">
        <f t="shared" si="43"/>
        <v>0</v>
      </c>
      <c r="M117" s="201">
        <f t="shared" si="44"/>
        <v>0</v>
      </c>
      <c r="N117" s="201">
        <f t="shared" si="45"/>
        <v>0</v>
      </c>
    </row>
    <row r="118" spans="1:14" s="57" customFormat="1" ht="13.8" outlineLevel="1" x14ac:dyDescent="0.3">
      <c r="A118" s="217">
        <v>18.18</v>
      </c>
      <c r="B118" s="218" t="s">
        <v>129</v>
      </c>
      <c r="C118" s="219" t="s">
        <v>28</v>
      </c>
      <c r="D118" s="220">
        <v>1</v>
      </c>
      <c r="E118" s="42">
        <v>1878534</v>
      </c>
      <c r="F118" s="42">
        <f t="shared" si="25"/>
        <v>1878534</v>
      </c>
      <c r="G118" s="181"/>
      <c r="H118" s="32"/>
      <c r="I118" s="245">
        <f>+'SVD 4140_Pto. 01_Cert. 07'!K118</f>
        <v>0</v>
      </c>
      <c r="J118" s="136"/>
      <c r="K118" s="79">
        <f t="shared" si="42"/>
        <v>0</v>
      </c>
      <c r="L118" s="201">
        <f t="shared" si="43"/>
        <v>0</v>
      </c>
      <c r="M118" s="201">
        <f t="shared" si="44"/>
        <v>0</v>
      </c>
      <c r="N118" s="201">
        <f t="shared" si="45"/>
        <v>0</v>
      </c>
    </row>
    <row r="119" spans="1:14" s="57" customFormat="1" ht="13.8" outlineLevel="1" x14ac:dyDescent="0.3">
      <c r="A119" s="217">
        <v>18.190000000000001</v>
      </c>
      <c r="B119" s="218" t="s">
        <v>130</v>
      </c>
      <c r="C119" s="219" t="s">
        <v>28</v>
      </c>
      <c r="D119" s="220">
        <v>1</v>
      </c>
      <c r="E119" s="42">
        <v>1878534</v>
      </c>
      <c r="F119" s="42">
        <f t="shared" si="25"/>
        <v>1878534</v>
      </c>
      <c r="G119" s="181"/>
      <c r="H119" s="32"/>
      <c r="I119" s="245">
        <f>+'SVD 4140_Pto. 01_Cert. 07'!K119</f>
        <v>0</v>
      </c>
      <c r="J119" s="141"/>
      <c r="K119" s="79">
        <f t="shared" si="42"/>
        <v>0</v>
      </c>
      <c r="L119" s="201">
        <f t="shared" si="43"/>
        <v>0</v>
      </c>
      <c r="M119" s="201">
        <f t="shared" si="44"/>
        <v>0</v>
      </c>
      <c r="N119" s="201">
        <f t="shared" si="45"/>
        <v>0</v>
      </c>
    </row>
    <row r="120" spans="1:14" s="57" customFormat="1" ht="13.8" outlineLevel="1" x14ac:dyDescent="0.3">
      <c r="A120" s="217">
        <v>18.2</v>
      </c>
      <c r="B120" s="218" t="s">
        <v>131</v>
      </c>
      <c r="C120" s="219" t="s">
        <v>47</v>
      </c>
      <c r="D120" s="220">
        <v>33</v>
      </c>
      <c r="E120" s="42">
        <v>14235</v>
      </c>
      <c r="F120" s="42">
        <f t="shared" si="25"/>
        <v>469755</v>
      </c>
      <c r="G120" s="181"/>
      <c r="H120" s="32"/>
      <c r="I120" s="245">
        <f>+'SVD 4140_Pto. 01_Cert. 07'!K120</f>
        <v>0</v>
      </c>
      <c r="J120" s="136"/>
      <c r="K120" s="79">
        <f t="shared" si="42"/>
        <v>0</v>
      </c>
      <c r="L120" s="201">
        <f t="shared" si="43"/>
        <v>0</v>
      </c>
      <c r="M120" s="201">
        <f t="shared" si="44"/>
        <v>0</v>
      </c>
      <c r="N120" s="201">
        <f t="shared" si="45"/>
        <v>0</v>
      </c>
    </row>
    <row r="121" spans="1:14" s="57" customFormat="1" ht="13.8" outlineLevel="1" x14ac:dyDescent="0.3">
      <c r="A121" s="217">
        <v>18.21</v>
      </c>
      <c r="B121" s="218" t="s">
        <v>132</v>
      </c>
      <c r="C121" s="219" t="s">
        <v>47</v>
      </c>
      <c r="D121" s="220">
        <v>150</v>
      </c>
      <c r="E121" s="42">
        <v>9276</v>
      </c>
      <c r="F121" s="42">
        <f t="shared" si="25"/>
        <v>1391400</v>
      </c>
      <c r="G121" s="181"/>
      <c r="H121" s="32"/>
      <c r="I121" s="245">
        <f>+'SVD 4140_Pto. 01_Cert. 07'!K121</f>
        <v>0</v>
      </c>
      <c r="J121" s="136"/>
      <c r="K121" s="79">
        <f t="shared" si="42"/>
        <v>0</v>
      </c>
      <c r="L121" s="201">
        <f t="shared" si="43"/>
        <v>0</v>
      </c>
      <c r="M121" s="201">
        <f t="shared" si="44"/>
        <v>0</v>
      </c>
      <c r="N121" s="201">
        <f t="shared" si="45"/>
        <v>0</v>
      </c>
    </row>
    <row r="122" spans="1:14" s="57" customFormat="1" ht="13.8" outlineLevel="1" x14ac:dyDescent="0.3">
      <c r="A122" s="217">
        <v>18.22</v>
      </c>
      <c r="B122" s="218" t="s">
        <v>133</v>
      </c>
      <c r="C122" s="219" t="s">
        <v>47</v>
      </c>
      <c r="D122" s="220">
        <v>16</v>
      </c>
      <c r="E122" s="42">
        <v>9276</v>
      </c>
      <c r="F122" s="42">
        <f t="shared" si="25"/>
        <v>148416</v>
      </c>
      <c r="G122" s="181"/>
      <c r="H122" s="32"/>
      <c r="I122" s="245">
        <f>+'SVD 4140_Pto. 01_Cert. 07'!K122</f>
        <v>0</v>
      </c>
      <c r="J122" s="141"/>
      <c r="K122" s="79">
        <f t="shared" si="42"/>
        <v>0</v>
      </c>
      <c r="L122" s="201">
        <f t="shared" si="43"/>
        <v>0</v>
      </c>
      <c r="M122" s="201">
        <f t="shared" si="44"/>
        <v>0</v>
      </c>
      <c r="N122" s="201">
        <f t="shared" si="45"/>
        <v>0</v>
      </c>
    </row>
    <row r="123" spans="1:14" s="57" customFormat="1" ht="13.8" outlineLevel="1" x14ac:dyDescent="0.3">
      <c r="A123" s="217">
        <v>18.23</v>
      </c>
      <c r="B123" s="218" t="s">
        <v>134</v>
      </c>
      <c r="C123" s="219" t="s">
        <v>47</v>
      </c>
      <c r="D123" s="220">
        <v>349</v>
      </c>
      <c r="E123" s="42">
        <v>9276</v>
      </c>
      <c r="F123" s="42">
        <f t="shared" si="25"/>
        <v>3237324</v>
      </c>
      <c r="G123" s="181"/>
      <c r="H123" s="32"/>
      <c r="I123" s="245">
        <f>+'SVD 4140_Pto. 01_Cert. 07'!K123</f>
        <v>0</v>
      </c>
      <c r="J123" s="136"/>
      <c r="K123" s="79">
        <f t="shared" si="42"/>
        <v>0</v>
      </c>
      <c r="L123" s="201">
        <f t="shared" si="43"/>
        <v>0</v>
      </c>
      <c r="M123" s="201">
        <f t="shared" si="44"/>
        <v>0</v>
      </c>
      <c r="N123" s="201">
        <f t="shared" si="45"/>
        <v>0</v>
      </c>
    </row>
    <row r="124" spans="1:14" s="57" customFormat="1" ht="13.8" outlineLevel="1" x14ac:dyDescent="0.3">
      <c r="A124" s="217">
        <v>18.239999999999998</v>
      </c>
      <c r="B124" s="218" t="s">
        <v>135</v>
      </c>
      <c r="C124" s="219" t="s">
        <v>47</v>
      </c>
      <c r="D124" s="220">
        <v>27</v>
      </c>
      <c r="E124" s="42">
        <v>22326</v>
      </c>
      <c r="F124" s="42">
        <f t="shared" si="25"/>
        <v>602802</v>
      </c>
      <c r="G124" s="181"/>
      <c r="H124" s="32"/>
      <c r="I124" s="245">
        <f>+'SVD 4140_Pto. 01_Cert. 07'!K124</f>
        <v>0</v>
      </c>
      <c r="J124" s="136"/>
      <c r="K124" s="79">
        <f t="shared" si="42"/>
        <v>0</v>
      </c>
      <c r="L124" s="201">
        <f t="shared" si="43"/>
        <v>0</v>
      </c>
      <c r="M124" s="201">
        <f t="shared" si="44"/>
        <v>0</v>
      </c>
      <c r="N124" s="201">
        <f t="shared" si="45"/>
        <v>0</v>
      </c>
    </row>
    <row r="125" spans="1:14" s="57" customFormat="1" ht="13.8" outlineLevel="1" x14ac:dyDescent="0.3">
      <c r="A125" s="217">
        <v>18.25</v>
      </c>
      <c r="B125" s="218" t="s">
        <v>136</v>
      </c>
      <c r="C125" s="219" t="s">
        <v>47</v>
      </c>
      <c r="D125" s="220">
        <v>16</v>
      </c>
      <c r="E125" s="42">
        <v>14235</v>
      </c>
      <c r="F125" s="42">
        <f t="shared" si="25"/>
        <v>227760</v>
      </c>
      <c r="G125" s="181"/>
      <c r="H125" s="32"/>
      <c r="I125" s="245">
        <f>+'SVD 4140_Pto. 01_Cert. 07'!K125</f>
        <v>0</v>
      </c>
      <c r="J125" s="141"/>
      <c r="K125" s="79">
        <f t="shared" si="42"/>
        <v>0</v>
      </c>
      <c r="L125" s="201">
        <f t="shared" si="43"/>
        <v>0</v>
      </c>
      <c r="M125" s="201">
        <f t="shared" si="44"/>
        <v>0</v>
      </c>
      <c r="N125" s="201">
        <f t="shared" si="45"/>
        <v>0</v>
      </c>
    </row>
    <row r="126" spans="1:14" s="57" customFormat="1" ht="27.6" outlineLevel="1" x14ac:dyDescent="0.3">
      <c r="A126" s="217">
        <v>18.260000000000002</v>
      </c>
      <c r="B126" s="218" t="s">
        <v>137</v>
      </c>
      <c r="C126" s="219" t="s">
        <v>47</v>
      </c>
      <c r="D126" s="220">
        <v>137</v>
      </c>
      <c r="E126" s="42">
        <v>14235</v>
      </c>
      <c r="F126" s="42">
        <f t="shared" si="25"/>
        <v>1950195</v>
      </c>
      <c r="G126" s="181"/>
      <c r="H126" s="32"/>
      <c r="I126" s="245">
        <f>+'SVD 4140_Pto. 01_Cert. 07'!K126</f>
        <v>0</v>
      </c>
      <c r="J126" s="136"/>
      <c r="K126" s="79">
        <f t="shared" si="42"/>
        <v>0</v>
      </c>
      <c r="L126" s="201">
        <f t="shared" si="43"/>
        <v>0</v>
      </c>
      <c r="M126" s="201">
        <f t="shared" si="44"/>
        <v>0</v>
      </c>
      <c r="N126" s="201">
        <f t="shared" si="45"/>
        <v>0</v>
      </c>
    </row>
    <row r="127" spans="1:14" s="57" customFormat="1" ht="13.8" outlineLevel="1" x14ac:dyDescent="0.3">
      <c r="A127" s="217">
        <v>18.27</v>
      </c>
      <c r="B127" s="218" t="s">
        <v>138</v>
      </c>
      <c r="C127" s="219" t="s">
        <v>47</v>
      </c>
      <c r="D127" s="220">
        <v>1</v>
      </c>
      <c r="E127" s="42">
        <v>14235</v>
      </c>
      <c r="F127" s="42">
        <f t="shared" si="25"/>
        <v>14235</v>
      </c>
      <c r="G127" s="181"/>
      <c r="H127" s="32"/>
      <c r="I127" s="245">
        <f>+'SVD 4140_Pto. 01_Cert. 07'!K127</f>
        <v>0</v>
      </c>
      <c r="J127" s="136"/>
      <c r="K127" s="79">
        <f t="shared" si="42"/>
        <v>0</v>
      </c>
      <c r="L127" s="201">
        <f t="shared" si="43"/>
        <v>0</v>
      </c>
      <c r="M127" s="201">
        <f t="shared" si="44"/>
        <v>0</v>
      </c>
      <c r="N127" s="201">
        <f t="shared" si="45"/>
        <v>0</v>
      </c>
    </row>
    <row r="128" spans="1:14" s="57" customFormat="1" ht="13.8" outlineLevel="1" x14ac:dyDescent="0.3">
      <c r="A128" s="217">
        <v>18.28</v>
      </c>
      <c r="B128" s="218" t="s">
        <v>139</v>
      </c>
      <c r="C128" s="219" t="s">
        <v>28</v>
      </c>
      <c r="D128" s="220">
        <v>1</v>
      </c>
      <c r="E128" s="42">
        <v>9332982</v>
      </c>
      <c r="F128" s="42">
        <f t="shared" si="25"/>
        <v>9332982</v>
      </c>
      <c r="G128" s="181"/>
      <c r="H128" s="32"/>
      <c r="I128" s="245">
        <f>+'SVD 4140_Pto. 01_Cert. 07'!K128</f>
        <v>0</v>
      </c>
      <c r="J128" s="141"/>
      <c r="K128" s="79">
        <f t="shared" si="42"/>
        <v>0</v>
      </c>
      <c r="L128" s="201">
        <f t="shared" si="43"/>
        <v>0</v>
      </c>
      <c r="M128" s="201">
        <f t="shared" si="44"/>
        <v>0</v>
      </c>
      <c r="N128" s="201">
        <f t="shared" si="45"/>
        <v>0</v>
      </c>
    </row>
    <row r="129" spans="1:14" s="57" customFormat="1" ht="13.8" outlineLevel="1" x14ac:dyDescent="0.3">
      <c r="A129" s="217">
        <v>18.29</v>
      </c>
      <c r="B129" s="218" t="s">
        <v>140</v>
      </c>
      <c r="C129" s="219" t="s">
        <v>28</v>
      </c>
      <c r="D129" s="220">
        <v>1</v>
      </c>
      <c r="E129" s="42">
        <v>1998778</v>
      </c>
      <c r="F129" s="42">
        <f t="shared" si="25"/>
        <v>1998778</v>
      </c>
      <c r="G129" s="181"/>
      <c r="H129" s="32"/>
      <c r="I129" s="245">
        <f>+'SVD 4140_Pto. 01_Cert. 07'!K129</f>
        <v>0</v>
      </c>
      <c r="J129" s="136"/>
      <c r="K129" s="79">
        <f t="shared" si="42"/>
        <v>0</v>
      </c>
      <c r="L129" s="201">
        <f t="shared" si="43"/>
        <v>0</v>
      </c>
      <c r="M129" s="201">
        <f t="shared" si="44"/>
        <v>0</v>
      </c>
      <c r="N129" s="201">
        <f t="shared" si="45"/>
        <v>0</v>
      </c>
    </row>
    <row r="130" spans="1:14" s="57" customFormat="1" ht="13.8" outlineLevel="1" x14ac:dyDescent="0.3">
      <c r="A130" s="221">
        <v>18.3</v>
      </c>
      <c r="B130" s="222" t="s">
        <v>141</v>
      </c>
      <c r="C130" s="223" t="s">
        <v>28</v>
      </c>
      <c r="D130" s="224">
        <v>1</v>
      </c>
      <c r="E130" s="60">
        <v>125849</v>
      </c>
      <c r="F130" s="60">
        <f t="shared" si="25"/>
        <v>125849</v>
      </c>
      <c r="G130" s="181"/>
      <c r="H130" s="32"/>
      <c r="I130" s="245">
        <f>+'SVD 4140_Pto. 01_Cert. 07'!K130</f>
        <v>0</v>
      </c>
      <c r="J130" s="136"/>
      <c r="K130" s="79">
        <f t="shared" si="42"/>
        <v>0</v>
      </c>
      <c r="L130" s="201">
        <f t="shared" si="43"/>
        <v>0</v>
      </c>
      <c r="M130" s="201">
        <f t="shared" si="44"/>
        <v>0</v>
      </c>
      <c r="N130" s="201">
        <f t="shared" si="45"/>
        <v>0</v>
      </c>
    </row>
    <row r="131" spans="1:14" s="57" customFormat="1" ht="13.8" outlineLevel="1" x14ac:dyDescent="0.3">
      <c r="A131" s="225">
        <v>19</v>
      </c>
      <c r="B131" s="226" t="s">
        <v>142</v>
      </c>
      <c r="C131" s="227"/>
      <c r="D131" s="228"/>
      <c r="E131" s="229"/>
      <c r="F131" s="230"/>
      <c r="G131" s="181"/>
      <c r="H131" s="32"/>
      <c r="I131" s="248"/>
      <c r="J131" s="206"/>
      <c r="K131" s="206"/>
      <c r="L131" s="207"/>
      <c r="M131" s="207"/>
      <c r="N131" s="208"/>
    </row>
    <row r="132" spans="1:14" s="57" customFormat="1" ht="13.8" x14ac:dyDescent="0.3">
      <c r="A132" s="27"/>
      <c r="B132" s="28" t="s">
        <v>143</v>
      </c>
      <c r="C132" s="189"/>
      <c r="D132" s="65"/>
      <c r="E132" s="65"/>
      <c r="F132" s="65"/>
      <c r="G132" s="31">
        <f>+SUM(F133:F136)</f>
        <v>21161055</v>
      </c>
      <c r="H132" s="32">
        <f>+G132/$G$185</f>
        <v>2.8764833575587834E-2</v>
      </c>
      <c r="I132" s="248"/>
      <c r="J132" s="206"/>
      <c r="K132" s="206"/>
      <c r="L132" s="207"/>
      <c r="M132" s="207"/>
      <c r="N132" s="208"/>
    </row>
    <row r="133" spans="1:14" s="57" customFormat="1" ht="13.8" outlineLevel="1" x14ac:dyDescent="0.3">
      <c r="A133" s="213">
        <v>19.010000000000002</v>
      </c>
      <c r="B133" s="214" t="s">
        <v>144</v>
      </c>
      <c r="C133" s="215" t="s">
        <v>28</v>
      </c>
      <c r="D133" s="216">
        <v>1</v>
      </c>
      <c r="E133" s="37">
        <v>7236758</v>
      </c>
      <c r="F133" s="37">
        <f t="shared" si="25"/>
        <v>7236758</v>
      </c>
      <c r="G133" s="181"/>
      <c r="H133" s="32"/>
      <c r="I133" s="245">
        <f>+'SVD 4140_Pto. 01_Cert. 07'!K133</f>
        <v>0.2</v>
      </c>
      <c r="J133" s="249"/>
      <c r="K133" s="135">
        <f t="shared" ref="K133:K136" si="46">+I133+J133</f>
        <v>0.2</v>
      </c>
      <c r="L133" s="200">
        <f t="shared" ref="L133:L136" si="47">+F133*I133</f>
        <v>1447351.6</v>
      </c>
      <c r="M133" s="200">
        <f t="shared" ref="M133:M136" si="48">+F133*J133</f>
        <v>0</v>
      </c>
      <c r="N133" s="200">
        <f t="shared" ref="N133:N136" si="49">+F133*K133</f>
        <v>1447351.6</v>
      </c>
    </row>
    <row r="134" spans="1:14" s="57" customFormat="1" ht="13.8" outlineLevel="1" x14ac:dyDescent="0.3">
      <c r="A134" s="217">
        <v>19.02</v>
      </c>
      <c r="B134" s="218" t="s">
        <v>145</v>
      </c>
      <c r="C134" s="219" t="s">
        <v>28</v>
      </c>
      <c r="D134" s="220">
        <v>1</v>
      </c>
      <c r="E134" s="42">
        <v>1001516</v>
      </c>
      <c r="F134" s="42">
        <f t="shared" si="25"/>
        <v>1001516</v>
      </c>
      <c r="G134" s="181"/>
      <c r="H134" s="32"/>
      <c r="I134" s="245">
        <f>+'SVD 4140_Pto. 01_Cert. 07'!K134</f>
        <v>0</v>
      </c>
      <c r="J134" s="136"/>
      <c r="K134" s="79">
        <f t="shared" si="46"/>
        <v>0</v>
      </c>
      <c r="L134" s="201">
        <f t="shared" si="47"/>
        <v>0</v>
      </c>
      <c r="M134" s="201">
        <f t="shared" si="48"/>
        <v>0</v>
      </c>
      <c r="N134" s="201">
        <f t="shared" si="49"/>
        <v>0</v>
      </c>
    </row>
    <row r="135" spans="1:14" s="57" customFormat="1" ht="13.8" outlineLevel="1" x14ac:dyDescent="0.3">
      <c r="A135" s="217">
        <v>19.03</v>
      </c>
      <c r="B135" s="218" t="s">
        <v>146</v>
      </c>
      <c r="C135" s="219" t="s">
        <v>28</v>
      </c>
      <c r="D135" s="220">
        <v>1</v>
      </c>
      <c r="E135" s="42">
        <v>8787491</v>
      </c>
      <c r="F135" s="42">
        <f t="shared" si="25"/>
        <v>8787491</v>
      </c>
      <c r="G135" s="181"/>
      <c r="H135" s="32"/>
      <c r="I135" s="245">
        <f>+'SVD 4140_Pto. 01_Cert. 07'!K135</f>
        <v>0.8</v>
      </c>
      <c r="J135" s="141">
        <v>0.1</v>
      </c>
      <c r="K135" s="79">
        <f t="shared" si="46"/>
        <v>0.9</v>
      </c>
      <c r="L135" s="201">
        <f t="shared" si="47"/>
        <v>7029992.8000000007</v>
      </c>
      <c r="M135" s="201">
        <f t="shared" si="48"/>
        <v>878749.10000000009</v>
      </c>
      <c r="N135" s="201">
        <f t="shared" si="49"/>
        <v>7908741.9000000004</v>
      </c>
    </row>
    <row r="136" spans="1:14" s="57" customFormat="1" ht="13.8" outlineLevel="1" x14ac:dyDescent="0.3">
      <c r="A136" s="221">
        <v>19.04</v>
      </c>
      <c r="B136" s="222" t="s">
        <v>147</v>
      </c>
      <c r="C136" s="223" t="s">
        <v>28</v>
      </c>
      <c r="D136" s="224">
        <v>1</v>
      </c>
      <c r="E136" s="60">
        <v>4135290</v>
      </c>
      <c r="F136" s="60">
        <f t="shared" si="25"/>
        <v>4135290</v>
      </c>
      <c r="G136" s="181"/>
      <c r="H136" s="32"/>
      <c r="I136" s="245">
        <f>+'SVD 4140_Pto. 01_Cert. 07'!K136</f>
        <v>0.70000000000000007</v>
      </c>
      <c r="J136" s="141">
        <v>0.15</v>
      </c>
      <c r="K136" s="79">
        <f t="shared" si="46"/>
        <v>0.85000000000000009</v>
      </c>
      <c r="L136" s="201">
        <f t="shared" si="47"/>
        <v>2894703.0000000005</v>
      </c>
      <c r="M136" s="201">
        <f t="shared" si="48"/>
        <v>620293.5</v>
      </c>
      <c r="N136" s="201">
        <f t="shared" si="49"/>
        <v>3514996.5000000005</v>
      </c>
    </row>
    <row r="137" spans="1:14" s="57" customFormat="1" ht="13.8" x14ac:dyDescent="0.3">
      <c r="A137" s="27"/>
      <c r="B137" s="28" t="s">
        <v>148</v>
      </c>
      <c r="C137" s="189"/>
      <c r="D137" s="65"/>
      <c r="E137" s="65"/>
      <c r="F137" s="65"/>
      <c r="G137" s="31">
        <f>+SUM(F138:F140)</f>
        <v>6551951</v>
      </c>
      <c r="H137" s="32">
        <f>+G137/$G$185</f>
        <v>8.9062563331746124E-3</v>
      </c>
      <c r="I137" s="248"/>
      <c r="J137" s="206"/>
      <c r="K137" s="206"/>
      <c r="L137" s="206"/>
      <c r="M137" s="207"/>
      <c r="N137" s="208"/>
    </row>
    <row r="138" spans="1:14" s="57" customFormat="1" ht="13.8" outlineLevel="1" x14ac:dyDescent="0.3">
      <c r="A138" s="213">
        <v>19.05</v>
      </c>
      <c r="B138" s="214" t="s">
        <v>149</v>
      </c>
      <c r="C138" s="215" t="s">
        <v>28</v>
      </c>
      <c r="D138" s="216">
        <v>1</v>
      </c>
      <c r="E138" s="37">
        <v>2675380</v>
      </c>
      <c r="F138" s="37">
        <f t="shared" si="25"/>
        <v>2675380</v>
      </c>
      <c r="G138" s="181"/>
      <c r="H138" s="32"/>
      <c r="I138" s="245">
        <f>+'SVD 4140_Pto. 01_Cert. 07'!K138</f>
        <v>0.5</v>
      </c>
      <c r="J138" s="249"/>
      <c r="K138" s="135">
        <f t="shared" ref="K138:K140" si="50">+I138+J138</f>
        <v>0.5</v>
      </c>
      <c r="L138" s="200">
        <f t="shared" ref="L138:L140" si="51">+F138*I138</f>
        <v>1337690</v>
      </c>
      <c r="M138" s="200">
        <f t="shared" ref="M138:M140" si="52">+F138*J138</f>
        <v>0</v>
      </c>
      <c r="N138" s="200">
        <f t="shared" ref="N138:N140" si="53">+F138*K138</f>
        <v>1337690</v>
      </c>
    </row>
    <row r="139" spans="1:14" s="57" customFormat="1" ht="13.8" outlineLevel="1" x14ac:dyDescent="0.3">
      <c r="A139" s="217">
        <v>19.059999999999999</v>
      </c>
      <c r="B139" s="218" t="s">
        <v>150</v>
      </c>
      <c r="C139" s="219" t="s">
        <v>28</v>
      </c>
      <c r="D139" s="220">
        <v>1</v>
      </c>
      <c r="E139" s="42">
        <v>3057577</v>
      </c>
      <c r="F139" s="42">
        <f t="shared" si="25"/>
        <v>3057577</v>
      </c>
      <c r="G139" s="181"/>
      <c r="H139" s="32"/>
      <c r="I139" s="245">
        <f>+'SVD 4140_Pto. 01_Cert. 07'!K139</f>
        <v>0.75</v>
      </c>
      <c r="J139" s="141">
        <v>0.15</v>
      </c>
      <c r="K139" s="79">
        <f t="shared" si="50"/>
        <v>0.9</v>
      </c>
      <c r="L139" s="201">
        <f t="shared" si="51"/>
        <v>2293182.75</v>
      </c>
      <c r="M139" s="201">
        <f t="shared" si="52"/>
        <v>458636.55</v>
      </c>
      <c r="N139" s="201">
        <f t="shared" si="53"/>
        <v>2751819.3000000003</v>
      </c>
    </row>
    <row r="140" spans="1:14" s="57" customFormat="1" ht="13.8" outlineLevel="1" x14ac:dyDescent="0.3">
      <c r="A140" s="221">
        <v>19.07</v>
      </c>
      <c r="B140" s="222" t="s">
        <v>151</v>
      </c>
      <c r="C140" s="223" t="s">
        <v>28</v>
      </c>
      <c r="D140" s="224">
        <v>1</v>
      </c>
      <c r="E140" s="60">
        <v>818994</v>
      </c>
      <c r="F140" s="60">
        <f t="shared" ref="F140:F184" si="54">+D140*E140</f>
        <v>818994</v>
      </c>
      <c r="G140" s="181"/>
      <c r="H140" s="32"/>
      <c r="I140" s="245">
        <f>+'SVD 4140_Pto. 01_Cert. 07'!K140</f>
        <v>0</v>
      </c>
      <c r="J140" s="136"/>
      <c r="K140" s="79">
        <f t="shared" si="50"/>
        <v>0</v>
      </c>
      <c r="L140" s="201">
        <f t="shared" si="51"/>
        <v>0</v>
      </c>
      <c r="M140" s="201">
        <f t="shared" si="52"/>
        <v>0</v>
      </c>
      <c r="N140" s="201">
        <f t="shared" si="53"/>
        <v>0</v>
      </c>
    </row>
    <row r="141" spans="1:14" s="57" customFormat="1" ht="13.8" x14ac:dyDescent="0.3">
      <c r="A141" s="27"/>
      <c r="B141" s="28" t="s">
        <v>152</v>
      </c>
      <c r="C141" s="189"/>
      <c r="D141" s="65"/>
      <c r="E141" s="65"/>
      <c r="F141" s="65"/>
      <c r="G141" s="31">
        <f>+SUM(F142:F146)</f>
        <v>37004103</v>
      </c>
      <c r="H141" s="32">
        <f>+G141/$G$185</f>
        <v>5.0300746555826753E-2</v>
      </c>
      <c r="I141" s="248"/>
      <c r="J141" s="206"/>
      <c r="K141" s="206"/>
      <c r="L141" s="206"/>
      <c r="M141" s="207"/>
      <c r="N141" s="208"/>
    </row>
    <row r="142" spans="1:14" s="57" customFormat="1" ht="13.8" outlineLevel="1" x14ac:dyDescent="0.3">
      <c r="A142" s="213">
        <v>19.079999999999998</v>
      </c>
      <c r="B142" s="214" t="s">
        <v>153</v>
      </c>
      <c r="C142" s="215" t="s">
        <v>28</v>
      </c>
      <c r="D142" s="216">
        <v>1</v>
      </c>
      <c r="E142" s="37">
        <v>3750416</v>
      </c>
      <c r="F142" s="37">
        <f t="shared" si="54"/>
        <v>3750416</v>
      </c>
      <c r="G142" s="181"/>
      <c r="H142" s="32"/>
      <c r="I142" s="245">
        <f>+'SVD 4140_Pto. 01_Cert. 07'!K142</f>
        <v>0</v>
      </c>
      <c r="J142" s="134"/>
      <c r="K142" s="135">
        <f t="shared" ref="K142:K146" si="55">+I142+J142</f>
        <v>0</v>
      </c>
      <c r="L142" s="200">
        <f t="shared" ref="L142:L146" si="56">+F142*I142</f>
        <v>0</v>
      </c>
      <c r="M142" s="200">
        <f t="shared" ref="M142:M146" si="57">+F142*J142</f>
        <v>0</v>
      </c>
      <c r="N142" s="200">
        <f t="shared" ref="N142:N146" si="58">+F142*K142</f>
        <v>0</v>
      </c>
    </row>
    <row r="143" spans="1:14" s="57" customFormat="1" ht="13.8" outlineLevel="1" x14ac:dyDescent="0.3">
      <c r="A143" s="217">
        <v>19.09</v>
      </c>
      <c r="B143" s="218" t="s">
        <v>154</v>
      </c>
      <c r="C143" s="219" t="s">
        <v>28</v>
      </c>
      <c r="D143" s="220">
        <v>1</v>
      </c>
      <c r="E143" s="42">
        <v>7500832</v>
      </c>
      <c r="F143" s="42">
        <f t="shared" si="54"/>
        <v>7500832</v>
      </c>
      <c r="G143" s="181"/>
      <c r="H143" s="32"/>
      <c r="I143" s="245">
        <f>+'SVD 4140_Pto. 01_Cert. 07'!K143</f>
        <v>0</v>
      </c>
      <c r="J143" s="136"/>
      <c r="K143" s="79">
        <f t="shared" si="55"/>
        <v>0</v>
      </c>
      <c r="L143" s="201">
        <f t="shared" si="56"/>
        <v>0</v>
      </c>
      <c r="M143" s="201">
        <f t="shared" si="57"/>
        <v>0</v>
      </c>
      <c r="N143" s="201">
        <f t="shared" si="58"/>
        <v>0</v>
      </c>
    </row>
    <row r="144" spans="1:14" s="57" customFormat="1" ht="13.8" outlineLevel="1" x14ac:dyDescent="0.3">
      <c r="A144" s="217">
        <v>19.100000000000001</v>
      </c>
      <c r="B144" s="218" t="s">
        <v>155</v>
      </c>
      <c r="C144" s="219" t="s">
        <v>28</v>
      </c>
      <c r="D144" s="220">
        <v>1</v>
      </c>
      <c r="E144" s="42">
        <v>1750194</v>
      </c>
      <c r="F144" s="42">
        <f t="shared" si="54"/>
        <v>1750194</v>
      </c>
      <c r="G144" s="181"/>
      <c r="H144" s="32"/>
      <c r="I144" s="245">
        <f>+'SVD 4140_Pto. 01_Cert. 07'!K144</f>
        <v>0</v>
      </c>
      <c r="J144" s="136"/>
      <c r="K144" s="79">
        <f t="shared" si="55"/>
        <v>0</v>
      </c>
      <c r="L144" s="201">
        <f t="shared" si="56"/>
        <v>0</v>
      </c>
      <c r="M144" s="201">
        <f t="shared" si="57"/>
        <v>0</v>
      </c>
      <c r="N144" s="201">
        <f t="shared" si="58"/>
        <v>0</v>
      </c>
    </row>
    <row r="145" spans="1:14" s="57" customFormat="1" ht="13.8" outlineLevel="1" x14ac:dyDescent="0.3">
      <c r="A145" s="217">
        <v>19.11</v>
      </c>
      <c r="B145" s="218" t="s">
        <v>156</v>
      </c>
      <c r="C145" s="219" t="s">
        <v>28</v>
      </c>
      <c r="D145" s="220">
        <v>1</v>
      </c>
      <c r="E145" s="42">
        <v>14001552</v>
      </c>
      <c r="F145" s="42">
        <f t="shared" si="54"/>
        <v>14001552</v>
      </c>
      <c r="G145" s="181"/>
      <c r="H145" s="32"/>
      <c r="I145" s="245">
        <f>+'SVD 4140_Pto. 01_Cert. 07'!K145</f>
        <v>0.60000000000000009</v>
      </c>
      <c r="J145" s="141">
        <v>0.2</v>
      </c>
      <c r="K145" s="79">
        <f t="shared" si="55"/>
        <v>0.8</v>
      </c>
      <c r="L145" s="201">
        <f t="shared" si="56"/>
        <v>8400931.2000000011</v>
      </c>
      <c r="M145" s="201">
        <f t="shared" si="57"/>
        <v>2800310.4000000004</v>
      </c>
      <c r="N145" s="201">
        <f t="shared" si="58"/>
        <v>11201241.600000001</v>
      </c>
    </row>
    <row r="146" spans="1:14" s="57" customFormat="1" ht="13.8" outlineLevel="1" x14ac:dyDescent="0.3">
      <c r="A146" s="221">
        <v>19.12</v>
      </c>
      <c r="B146" s="222" t="s">
        <v>157</v>
      </c>
      <c r="C146" s="223" t="s">
        <v>28</v>
      </c>
      <c r="D146" s="224">
        <v>1</v>
      </c>
      <c r="E146" s="60">
        <v>10001109</v>
      </c>
      <c r="F146" s="60">
        <f t="shared" si="54"/>
        <v>10001109</v>
      </c>
      <c r="G146" s="181"/>
      <c r="H146" s="32"/>
      <c r="I146" s="245">
        <f>+'SVD 4140_Pto. 01_Cert. 07'!K146</f>
        <v>0</v>
      </c>
      <c r="J146" s="141"/>
      <c r="K146" s="79">
        <f t="shared" si="55"/>
        <v>0</v>
      </c>
      <c r="L146" s="201">
        <f t="shared" si="56"/>
        <v>0</v>
      </c>
      <c r="M146" s="201">
        <f t="shared" si="57"/>
        <v>0</v>
      </c>
      <c r="N146" s="201">
        <f t="shared" si="58"/>
        <v>0</v>
      </c>
    </row>
    <row r="147" spans="1:14" s="57" customFormat="1" ht="13.8" x14ac:dyDescent="0.3">
      <c r="A147" s="27"/>
      <c r="B147" s="28" t="s">
        <v>158</v>
      </c>
      <c r="C147" s="189"/>
      <c r="D147" s="65"/>
      <c r="E147" s="65"/>
      <c r="F147" s="65"/>
      <c r="G147" s="31">
        <f>+SUM(F148)</f>
        <v>2047485</v>
      </c>
      <c r="H147" s="32">
        <f>+G147/$G$185</f>
        <v>2.7832055289073467E-3</v>
      </c>
      <c r="I147" s="248"/>
      <c r="J147" s="206"/>
      <c r="K147" s="206"/>
      <c r="L147" s="206"/>
      <c r="M147" s="207"/>
      <c r="N147" s="208"/>
    </row>
    <row r="148" spans="1:14" s="57" customFormat="1" ht="13.8" outlineLevel="1" x14ac:dyDescent="0.3">
      <c r="A148" s="231">
        <v>19.13</v>
      </c>
      <c r="B148" s="232" t="s">
        <v>159</v>
      </c>
      <c r="C148" s="233" t="s">
        <v>28</v>
      </c>
      <c r="D148" s="234">
        <v>1</v>
      </c>
      <c r="E148" s="235">
        <v>2047485</v>
      </c>
      <c r="F148" s="235">
        <f t="shared" si="54"/>
        <v>2047485</v>
      </c>
      <c r="G148" s="181"/>
      <c r="H148" s="32"/>
      <c r="I148" s="245">
        <f>+'SVD 4140_Pto. 01_Cert. 07'!K148</f>
        <v>0.39999999999999997</v>
      </c>
      <c r="J148" s="134">
        <v>0.4</v>
      </c>
      <c r="K148" s="135">
        <f t="shared" ref="K148" si="59">+I148+J148</f>
        <v>0.8</v>
      </c>
      <c r="L148" s="200">
        <f t="shared" ref="L148" si="60">+F148*I148</f>
        <v>818993.99999999988</v>
      </c>
      <c r="M148" s="200">
        <f t="shared" ref="M148" si="61">+F148*J148</f>
        <v>818994</v>
      </c>
      <c r="N148" s="200">
        <f t="shared" ref="N148" si="62">+F148*K148</f>
        <v>1637988</v>
      </c>
    </row>
    <row r="149" spans="1:14" s="57" customFormat="1" ht="13.8" x14ac:dyDescent="0.3">
      <c r="A149" s="27"/>
      <c r="B149" s="28" t="s">
        <v>160</v>
      </c>
      <c r="C149" s="189"/>
      <c r="D149" s="65"/>
      <c r="E149" s="65"/>
      <c r="F149" s="65"/>
      <c r="G149" s="31">
        <f>+SUM(F150:F153)</f>
        <v>32512648</v>
      </c>
      <c r="H149" s="32">
        <f>+G149/$G$185</f>
        <v>4.4195381979852545E-2</v>
      </c>
      <c r="I149" s="248"/>
      <c r="J149" s="206"/>
      <c r="K149" s="206"/>
      <c r="L149" s="206"/>
      <c r="M149" s="207"/>
      <c r="N149" s="208"/>
    </row>
    <row r="150" spans="1:14" s="57" customFormat="1" ht="13.8" outlineLevel="1" x14ac:dyDescent="0.3">
      <c r="A150" s="213">
        <v>19.14</v>
      </c>
      <c r="B150" s="214" t="s">
        <v>161</v>
      </c>
      <c r="C150" s="215" t="s">
        <v>28</v>
      </c>
      <c r="D150" s="216">
        <v>1</v>
      </c>
      <c r="E150" s="37">
        <v>15888634</v>
      </c>
      <c r="F150" s="37">
        <f t="shared" si="54"/>
        <v>15888634</v>
      </c>
      <c r="G150" s="181"/>
      <c r="H150" s="32"/>
      <c r="I150" s="245">
        <f>+'SVD 4140_Pto. 01_Cert. 07'!K150</f>
        <v>0</v>
      </c>
      <c r="J150" s="134">
        <v>0.4</v>
      </c>
      <c r="K150" s="135">
        <f t="shared" ref="K150:K153" si="63">+I150+J150</f>
        <v>0.4</v>
      </c>
      <c r="L150" s="200">
        <f t="shared" ref="L150:L153" si="64">+F150*I150</f>
        <v>0</v>
      </c>
      <c r="M150" s="200">
        <f t="shared" ref="M150:M153" si="65">+F150*J150</f>
        <v>6355453.6000000006</v>
      </c>
      <c r="N150" s="200">
        <f t="shared" ref="N150:N153" si="66">+F150*K150</f>
        <v>6355453.6000000006</v>
      </c>
    </row>
    <row r="151" spans="1:14" s="57" customFormat="1" ht="13.8" outlineLevel="1" x14ac:dyDescent="0.3">
      <c r="A151" s="217">
        <v>19.149999999999999</v>
      </c>
      <c r="B151" s="218" t="s">
        <v>162</v>
      </c>
      <c r="C151" s="219" t="s">
        <v>28</v>
      </c>
      <c r="D151" s="220">
        <v>1</v>
      </c>
      <c r="E151" s="42">
        <v>6190377</v>
      </c>
      <c r="F151" s="42">
        <f t="shared" si="54"/>
        <v>6190377</v>
      </c>
      <c r="G151" s="181"/>
      <c r="H151" s="32"/>
      <c r="I151" s="245">
        <f>+'SVD 4140_Pto. 01_Cert. 07'!K151</f>
        <v>0</v>
      </c>
      <c r="J151" s="136">
        <v>0.4</v>
      </c>
      <c r="K151" s="79">
        <f t="shared" si="63"/>
        <v>0.4</v>
      </c>
      <c r="L151" s="201">
        <f t="shared" si="64"/>
        <v>0</v>
      </c>
      <c r="M151" s="201">
        <f t="shared" si="65"/>
        <v>2476150.8000000003</v>
      </c>
      <c r="N151" s="201">
        <f t="shared" si="66"/>
        <v>2476150.8000000003</v>
      </c>
    </row>
    <row r="152" spans="1:14" s="57" customFormat="1" ht="13.8" outlineLevel="1" x14ac:dyDescent="0.3">
      <c r="A152" s="217">
        <v>19.16</v>
      </c>
      <c r="B152" s="218" t="s">
        <v>163</v>
      </c>
      <c r="C152" s="219" t="s">
        <v>28</v>
      </c>
      <c r="D152" s="220">
        <v>1</v>
      </c>
      <c r="E152" s="42">
        <v>4952302</v>
      </c>
      <c r="F152" s="42">
        <f t="shared" si="54"/>
        <v>4952302</v>
      </c>
      <c r="G152" s="181"/>
      <c r="H152" s="32"/>
      <c r="I152" s="245">
        <f>+'SVD 4140_Pto. 01_Cert. 07'!K152</f>
        <v>0</v>
      </c>
      <c r="J152" s="136"/>
      <c r="K152" s="79">
        <f t="shared" si="63"/>
        <v>0</v>
      </c>
      <c r="L152" s="201">
        <f t="shared" si="64"/>
        <v>0</v>
      </c>
      <c r="M152" s="201">
        <f t="shared" si="65"/>
        <v>0</v>
      </c>
      <c r="N152" s="201">
        <f t="shared" si="66"/>
        <v>0</v>
      </c>
    </row>
    <row r="153" spans="1:14" s="57" customFormat="1" ht="13.8" outlineLevel="1" x14ac:dyDescent="0.3">
      <c r="A153" s="221">
        <v>19.170000000000002</v>
      </c>
      <c r="B153" s="222" t="s">
        <v>164</v>
      </c>
      <c r="C153" s="223" t="s">
        <v>28</v>
      </c>
      <c r="D153" s="224">
        <v>1</v>
      </c>
      <c r="E153" s="60">
        <v>5481335</v>
      </c>
      <c r="F153" s="60">
        <f t="shared" si="54"/>
        <v>5481335</v>
      </c>
      <c r="G153" s="181"/>
      <c r="H153" s="32"/>
      <c r="I153" s="245">
        <f>+'SVD 4140_Pto. 01_Cert. 07'!K153</f>
        <v>0.05</v>
      </c>
      <c r="J153" s="141">
        <v>0.35</v>
      </c>
      <c r="K153" s="79">
        <f t="shared" si="63"/>
        <v>0.39999999999999997</v>
      </c>
      <c r="L153" s="201">
        <f t="shared" si="64"/>
        <v>274066.75</v>
      </c>
      <c r="M153" s="201">
        <f t="shared" si="65"/>
        <v>1918467.2499999998</v>
      </c>
      <c r="N153" s="201">
        <f t="shared" si="66"/>
        <v>2192534</v>
      </c>
    </row>
    <row r="154" spans="1:14" s="57" customFormat="1" ht="13.8" x14ac:dyDescent="0.3">
      <c r="A154" s="27"/>
      <c r="B154" s="28" t="s">
        <v>165</v>
      </c>
      <c r="C154" s="189"/>
      <c r="D154" s="65"/>
      <c r="E154" s="65"/>
      <c r="F154" s="65"/>
      <c r="G154" s="31">
        <f>+SUM(F155)</f>
        <v>5206701</v>
      </c>
      <c r="H154" s="32">
        <f>+G154/$G$185</f>
        <v>7.0776191330180257E-3</v>
      </c>
      <c r="I154" s="248"/>
      <c r="J154" s="206"/>
      <c r="K154" s="206"/>
      <c r="L154" s="206"/>
      <c r="M154" s="207"/>
      <c r="N154" s="208"/>
    </row>
    <row r="155" spans="1:14" s="57" customFormat="1" ht="13.8" outlineLevel="1" x14ac:dyDescent="0.3">
      <c r="A155" s="231">
        <v>19.170000000000002</v>
      </c>
      <c r="B155" s="232" t="s">
        <v>166</v>
      </c>
      <c r="C155" s="233" t="s">
        <v>28</v>
      </c>
      <c r="D155" s="234">
        <v>1</v>
      </c>
      <c r="E155" s="235">
        <v>5206701</v>
      </c>
      <c r="F155" s="235">
        <f t="shared" si="54"/>
        <v>5206701</v>
      </c>
      <c r="G155" s="181"/>
      <c r="H155" s="32"/>
      <c r="I155" s="245">
        <f>+'SVD 4140_Pto. 01_Cert. 07'!K155</f>
        <v>0</v>
      </c>
      <c r="J155" s="134"/>
      <c r="K155" s="135">
        <f t="shared" ref="K155" si="67">+I155+J155</f>
        <v>0</v>
      </c>
      <c r="L155" s="200">
        <f t="shared" ref="L155" si="68">+F155*I155</f>
        <v>0</v>
      </c>
      <c r="M155" s="200">
        <f t="shared" ref="M155" si="69">+F155*J155</f>
        <v>0</v>
      </c>
      <c r="N155" s="200">
        <f t="shared" ref="N155" si="70">+F155*K155</f>
        <v>0</v>
      </c>
    </row>
    <row r="156" spans="1:14" s="57" customFormat="1" ht="13.8" x14ac:dyDescent="0.3">
      <c r="A156" s="27"/>
      <c r="B156" s="28" t="s">
        <v>167</v>
      </c>
      <c r="C156" s="189"/>
      <c r="D156" s="65"/>
      <c r="E156" s="65"/>
      <c r="F156" s="65"/>
      <c r="G156" s="31">
        <f>+SUM(F157:F158)</f>
        <v>20260948</v>
      </c>
      <c r="H156" s="32">
        <f>+G156/$G$185</f>
        <v>2.7541292119114061E-2</v>
      </c>
      <c r="I156" s="248"/>
      <c r="J156" s="206"/>
      <c r="K156" s="206"/>
      <c r="L156" s="206"/>
      <c r="M156" s="207"/>
      <c r="N156" s="208"/>
    </row>
    <row r="157" spans="1:14" s="57" customFormat="1" ht="13.8" outlineLevel="1" x14ac:dyDescent="0.3">
      <c r="A157" s="213">
        <v>19.18</v>
      </c>
      <c r="B157" s="214" t="s">
        <v>168</v>
      </c>
      <c r="C157" s="215" t="s">
        <v>28</v>
      </c>
      <c r="D157" s="216">
        <v>1</v>
      </c>
      <c r="E157" s="37">
        <v>16584566</v>
      </c>
      <c r="F157" s="37">
        <f t="shared" si="54"/>
        <v>16584566</v>
      </c>
      <c r="G157" s="181"/>
      <c r="H157" s="32"/>
      <c r="I157" s="245">
        <f>+'SVD 4140_Pto. 01_Cert. 07'!K157</f>
        <v>0.5</v>
      </c>
      <c r="J157" s="134">
        <v>0.2</v>
      </c>
      <c r="K157" s="135">
        <f t="shared" ref="K157:K158" si="71">+I157+J157</f>
        <v>0.7</v>
      </c>
      <c r="L157" s="200">
        <f t="shared" ref="L157:L158" si="72">+F157*I157</f>
        <v>8292283</v>
      </c>
      <c r="M157" s="200">
        <f t="shared" ref="M157:M158" si="73">+F157*J157</f>
        <v>3316913.2</v>
      </c>
      <c r="N157" s="200">
        <f t="shared" ref="N157:N158" si="74">+F157*K157</f>
        <v>11609196.199999999</v>
      </c>
    </row>
    <row r="158" spans="1:14" s="57" customFormat="1" ht="13.8" outlineLevel="1" x14ac:dyDescent="0.3">
      <c r="A158" s="221">
        <v>19.190000000000001</v>
      </c>
      <c r="B158" s="222" t="s">
        <v>169</v>
      </c>
      <c r="C158" s="223" t="s">
        <v>28</v>
      </c>
      <c r="D158" s="224">
        <v>1</v>
      </c>
      <c r="E158" s="60">
        <v>3676382</v>
      </c>
      <c r="F158" s="60">
        <f t="shared" si="54"/>
        <v>3676382</v>
      </c>
      <c r="G158" s="181"/>
      <c r="H158" s="32"/>
      <c r="I158" s="245">
        <f>+'SVD 4140_Pto. 01_Cert. 07'!K158</f>
        <v>0.30000000000000004</v>
      </c>
      <c r="J158" s="141">
        <v>0.2</v>
      </c>
      <c r="K158" s="79">
        <f t="shared" si="71"/>
        <v>0.5</v>
      </c>
      <c r="L158" s="201">
        <f t="shared" si="72"/>
        <v>1102914.6000000001</v>
      </c>
      <c r="M158" s="201">
        <f t="shared" si="73"/>
        <v>735276.4</v>
      </c>
      <c r="N158" s="201">
        <f t="shared" si="74"/>
        <v>1838191</v>
      </c>
    </row>
    <row r="159" spans="1:14" s="57" customFormat="1" ht="13.8" x14ac:dyDescent="0.3">
      <c r="A159" s="27">
        <v>20</v>
      </c>
      <c r="B159" s="28" t="s">
        <v>170</v>
      </c>
      <c r="C159" s="189"/>
      <c r="D159" s="65"/>
      <c r="E159" s="65"/>
      <c r="F159" s="65"/>
      <c r="G159" s="31">
        <f>+SUM(F160:F161)</f>
        <v>35197776</v>
      </c>
      <c r="H159" s="32">
        <f>+G159/$G$185</f>
        <v>4.7845354065325175E-2</v>
      </c>
      <c r="I159" s="248"/>
      <c r="J159" s="206"/>
      <c r="K159" s="206"/>
      <c r="L159" s="206"/>
      <c r="M159" s="207"/>
      <c r="N159" s="208"/>
    </row>
    <row r="160" spans="1:14" s="57" customFormat="1" ht="13.8" outlineLevel="1" x14ac:dyDescent="0.3">
      <c r="A160" s="213">
        <v>20.010000000000002</v>
      </c>
      <c r="B160" s="214" t="s">
        <v>171</v>
      </c>
      <c r="C160" s="215" t="s">
        <v>47</v>
      </c>
      <c r="D160" s="216">
        <v>36</v>
      </c>
      <c r="E160" s="37">
        <v>740165</v>
      </c>
      <c r="F160" s="37">
        <f t="shared" si="54"/>
        <v>26645940</v>
      </c>
      <c r="G160" s="181"/>
      <c r="H160" s="32"/>
      <c r="I160" s="245">
        <f>+'SVD 4140_Pto. 01_Cert. 07'!K160</f>
        <v>0.6</v>
      </c>
      <c r="J160" s="134">
        <v>0.2</v>
      </c>
      <c r="K160" s="135">
        <f t="shared" ref="K160:K161" si="75">+I160+J160</f>
        <v>0.8</v>
      </c>
      <c r="L160" s="200">
        <f t="shared" ref="L160:L161" si="76">+F160*I160</f>
        <v>15987564</v>
      </c>
      <c r="M160" s="200">
        <f t="shared" ref="M160:M161" si="77">+F160*J160</f>
        <v>5329188</v>
      </c>
      <c r="N160" s="200">
        <f t="shared" ref="N160:N161" si="78">+F160*K160</f>
        <v>21316752</v>
      </c>
    </row>
    <row r="161" spans="1:14" s="57" customFormat="1" ht="13.8" outlineLevel="1" x14ac:dyDescent="0.3">
      <c r="A161" s="221">
        <v>20.02</v>
      </c>
      <c r="B161" s="222" t="s">
        <v>172</v>
      </c>
      <c r="C161" s="223" t="s">
        <v>47</v>
      </c>
      <c r="D161" s="224">
        <v>36</v>
      </c>
      <c r="E161" s="60">
        <v>237551</v>
      </c>
      <c r="F161" s="60">
        <f t="shared" si="54"/>
        <v>8551836</v>
      </c>
      <c r="G161" s="181"/>
      <c r="H161" s="32"/>
      <c r="I161" s="245">
        <f>+'SVD 4140_Pto. 01_Cert. 07'!K161</f>
        <v>0</v>
      </c>
      <c r="J161" s="141"/>
      <c r="K161" s="79">
        <f t="shared" si="75"/>
        <v>0</v>
      </c>
      <c r="L161" s="201">
        <f t="shared" si="76"/>
        <v>0</v>
      </c>
      <c r="M161" s="201">
        <f t="shared" si="77"/>
        <v>0</v>
      </c>
      <c r="N161" s="201">
        <f t="shared" si="78"/>
        <v>0</v>
      </c>
    </row>
    <row r="162" spans="1:14" s="57" customFormat="1" ht="13.8" x14ac:dyDescent="0.3">
      <c r="A162" s="27">
        <v>21</v>
      </c>
      <c r="B162" s="28" t="s">
        <v>173</v>
      </c>
      <c r="C162" s="189"/>
      <c r="D162" s="65"/>
      <c r="E162" s="65"/>
      <c r="F162" s="65"/>
      <c r="G162" s="31">
        <f>+SUM(F163)</f>
        <v>0</v>
      </c>
      <c r="H162" s="32">
        <f>+G162/$G$185</f>
        <v>0</v>
      </c>
      <c r="I162" s="248"/>
      <c r="J162" s="206"/>
      <c r="K162" s="206"/>
      <c r="L162" s="206"/>
      <c r="M162" s="207"/>
      <c r="N162" s="208"/>
    </row>
    <row r="163" spans="1:14" s="57" customFormat="1" ht="13.8" outlineLevel="1" x14ac:dyDescent="0.3">
      <c r="A163" s="231">
        <v>21.01</v>
      </c>
      <c r="B163" s="232" t="s">
        <v>174</v>
      </c>
      <c r="C163" s="233" t="s">
        <v>28</v>
      </c>
      <c r="D163" s="234">
        <v>0</v>
      </c>
      <c r="E163" s="235">
        <v>0</v>
      </c>
      <c r="F163" s="235">
        <f t="shared" si="54"/>
        <v>0</v>
      </c>
      <c r="G163" s="181"/>
      <c r="H163" s="32"/>
      <c r="I163" s="245">
        <f>+'SVD 4140_Pto. 01_Cert. 07'!K163</f>
        <v>0</v>
      </c>
      <c r="J163" s="134"/>
      <c r="K163" s="135">
        <f t="shared" ref="K163" si="79">+I163+J163</f>
        <v>0</v>
      </c>
      <c r="L163" s="200">
        <f t="shared" ref="L163" si="80">+F163*I163</f>
        <v>0</v>
      </c>
      <c r="M163" s="200">
        <f t="shared" ref="M163" si="81">+F163*J163</f>
        <v>0</v>
      </c>
      <c r="N163" s="200">
        <f t="shared" ref="N163" si="82">+F163*K163</f>
        <v>0</v>
      </c>
    </row>
    <row r="164" spans="1:14" s="57" customFormat="1" ht="13.8" x14ac:dyDescent="0.3">
      <c r="A164" s="27">
        <v>22</v>
      </c>
      <c r="B164" s="28" t="s">
        <v>175</v>
      </c>
      <c r="C164" s="189"/>
      <c r="D164" s="65"/>
      <c r="E164" s="65"/>
      <c r="F164" s="65"/>
      <c r="G164" s="31">
        <f>+SUM(F165:F166)</f>
        <v>2671152</v>
      </c>
      <c r="H164" s="32">
        <f>+G164/$G$185</f>
        <v>3.630974104792913E-3</v>
      </c>
      <c r="I164" s="248"/>
      <c r="J164" s="206"/>
      <c r="K164" s="206"/>
      <c r="L164" s="206"/>
      <c r="M164" s="207"/>
      <c r="N164" s="208"/>
    </row>
    <row r="165" spans="1:14" s="57" customFormat="1" ht="13.8" outlineLevel="1" x14ac:dyDescent="0.3">
      <c r="A165" s="213">
        <v>22.01</v>
      </c>
      <c r="B165" s="214" t="s">
        <v>176</v>
      </c>
      <c r="C165" s="215" t="s">
        <v>47</v>
      </c>
      <c r="D165" s="216">
        <v>16</v>
      </c>
      <c r="E165" s="37">
        <v>80944</v>
      </c>
      <c r="F165" s="37">
        <f t="shared" si="54"/>
        <v>1295104</v>
      </c>
      <c r="G165" s="181"/>
      <c r="H165" s="32"/>
      <c r="I165" s="245">
        <f>+'SVD 4140_Pto. 01_Cert. 07'!K165</f>
        <v>0</v>
      </c>
      <c r="J165" s="141"/>
      <c r="K165" s="79">
        <f t="shared" ref="K165:K166" si="83">+I165+J165</f>
        <v>0</v>
      </c>
      <c r="L165" s="201">
        <f t="shared" ref="L165:L166" si="84">+F165*I165</f>
        <v>0</v>
      </c>
      <c r="M165" s="201">
        <f t="shared" ref="M165:M166" si="85">+F165*J165</f>
        <v>0</v>
      </c>
      <c r="N165" s="201">
        <f t="shared" ref="N165:N166" si="86">+F165*K165</f>
        <v>0</v>
      </c>
    </row>
    <row r="166" spans="1:14" s="57" customFormat="1" ht="13.8" outlineLevel="1" x14ac:dyDescent="0.3">
      <c r="A166" s="221">
        <v>22.02</v>
      </c>
      <c r="B166" s="222" t="s">
        <v>177</v>
      </c>
      <c r="C166" s="223" t="s">
        <v>47</v>
      </c>
      <c r="D166" s="224">
        <v>17</v>
      </c>
      <c r="E166" s="60">
        <v>80944</v>
      </c>
      <c r="F166" s="60">
        <f t="shared" si="54"/>
        <v>1376048</v>
      </c>
      <c r="G166" s="181"/>
      <c r="H166" s="32"/>
      <c r="I166" s="245">
        <f>+'SVD 4140_Pto. 01_Cert. 07'!K166</f>
        <v>0</v>
      </c>
      <c r="J166" s="141"/>
      <c r="K166" s="79">
        <f t="shared" si="83"/>
        <v>0</v>
      </c>
      <c r="L166" s="201">
        <f t="shared" si="84"/>
        <v>0</v>
      </c>
      <c r="M166" s="201">
        <f t="shared" si="85"/>
        <v>0</v>
      </c>
      <c r="N166" s="201">
        <f t="shared" si="86"/>
        <v>0</v>
      </c>
    </row>
    <row r="167" spans="1:14" s="57" customFormat="1" ht="13.8" x14ac:dyDescent="0.3">
      <c r="A167" s="27">
        <v>23</v>
      </c>
      <c r="B167" s="28" t="s">
        <v>178</v>
      </c>
      <c r="C167" s="189"/>
      <c r="D167" s="65"/>
      <c r="E167" s="65"/>
      <c r="F167" s="65"/>
      <c r="G167" s="31">
        <f>+SUM(F168:F170)</f>
        <v>4668180</v>
      </c>
      <c r="H167" s="32">
        <f>+G167/$G$185</f>
        <v>6.3455919754892946E-3</v>
      </c>
      <c r="I167" s="248"/>
      <c r="J167" s="206"/>
      <c r="K167" s="206"/>
      <c r="L167" s="206"/>
      <c r="M167" s="207"/>
      <c r="N167" s="208"/>
    </row>
    <row r="168" spans="1:14" s="57" customFormat="1" ht="13.8" outlineLevel="1" x14ac:dyDescent="0.3">
      <c r="A168" s="213">
        <v>23.01</v>
      </c>
      <c r="B168" s="214" t="s">
        <v>179</v>
      </c>
      <c r="C168" s="215" t="s">
        <v>28</v>
      </c>
      <c r="D168" s="216">
        <v>7</v>
      </c>
      <c r="E168" s="37">
        <v>446402</v>
      </c>
      <c r="F168" s="37">
        <f t="shared" si="54"/>
        <v>3124814</v>
      </c>
      <c r="G168" s="181"/>
      <c r="H168" s="32"/>
      <c r="I168" s="245">
        <f>+'SVD 4140_Pto. 01_Cert. 07'!K168</f>
        <v>0.1</v>
      </c>
      <c r="J168" s="134"/>
      <c r="K168" s="135">
        <f t="shared" ref="K168:K170" si="87">+I168+J168</f>
        <v>0.1</v>
      </c>
      <c r="L168" s="200">
        <f t="shared" ref="L168:L170" si="88">+F168*I168</f>
        <v>312481.40000000002</v>
      </c>
      <c r="M168" s="200">
        <f t="shared" ref="M168:M170" si="89">+F168*J168</f>
        <v>0</v>
      </c>
      <c r="N168" s="200">
        <f t="shared" ref="N168:N170" si="90">+F168*K168</f>
        <v>312481.40000000002</v>
      </c>
    </row>
    <row r="169" spans="1:14" s="57" customFormat="1" ht="13.8" outlineLevel="1" x14ac:dyDescent="0.3">
      <c r="A169" s="217">
        <v>23.02</v>
      </c>
      <c r="B169" s="218" t="s">
        <v>180</v>
      </c>
      <c r="C169" s="219" t="s">
        <v>28</v>
      </c>
      <c r="D169" s="220">
        <v>1</v>
      </c>
      <c r="E169" s="42">
        <v>672060</v>
      </c>
      <c r="F169" s="42">
        <f t="shared" si="54"/>
        <v>672060</v>
      </c>
      <c r="G169" s="181"/>
      <c r="H169" s="32"/>
      <c r="I169" s="245">
        <f>+'SVD 4140_Pto. 01_Cert. 07'!K169</f>
        <v>0.85</v>
      </c>
      <c r="J169" s="141"/>
      <c r="K169" s="79">
        <f t="shared" si="87"/>
        <v>0.85</v>
      </c>
      <c r="L169" s="201">
        <f t="shared" si="88"/>
        <v>571251</v>
      </c>
      <c r="M169" s="201">
        <f t="shared" si="89"/>
        <v>0</v>
      </c>
      <c r="N169" s="201">
        <f t="shared" si="90"/>
        <v>571251</v>
      </c>
    </row>
    <row r="170" spans="1:14" s="57" customFormat="1" ht="13.8" outlineLevel="1" x14ac:dyDescent="0.3">
      <c r="A170" s="221">
        <v>23.03</v>
      </c>
      <c r="B170" s="222" t="s">
        <v>181</v>
      </c>
      <c r="C170" s="223" t="s">
        <v>28</v>
      </c>
      <c r="D170" s="224">
        <v>1</v>
      </c>
      <c r="E170" s="60">
        <v>871306</v>
      </c>
      <c r="F170" s="60">
        <f t="shared" si="54"/>
        <v>871306</v>
      </c>
      <c r="G170" s="181"/>
      <c r="H170" s="32"/>
      <c r="I170" s="245">
        <f>+'SVD 4140_Pto. 01_Cert. 07'!K170</f>
        <v>0</v>
      </c>
      <c r="J170" s="141"/>
      <c r="K170" s="79">
        <f t="shared" si="87"/>
        <v>0</v>
      </c>
      <c r="L170" s="201">
        <f t="shared" si="88"/>
        <v>0</v>
      </c>
      <c r="M170" s="201">
        <f t="shared" si="89"/>
        <v>0</v>
      </c>
      <c r="N170" s="201">
        <f t="shared" si="90"/>
        <v>0</v>
      </c>
    </row>
    <row r="171" spans="1:14" s="57" customFormat="1" ht="13.8" x14ac:dyDescent="0.3">
      <c r="A171" s="27">
        <v>24</v>
      </c>
      <c r="B171" s="28" t="s">
        <v>182</v>
      </c>
      <c r="C171" s="189"/>
      <c r="D171" s="65"/>
      <c r="E171" s="65"/>
      <c r="F171" s="65"/>
      <c r="G171" s="31">
        <f>+SUM(F172:F181)</f>
        <v>16311090</v>
      </c>
      <c r="H171" s="32">
        <f>+G171/$G$185</f>
        <v>2.2172135996359112E-2</v>
      </c>
      <c r="I171" s="248"/>
      <c r="J171" s="206"/>
      <c r="K171" s="206"/>
      <c r="L171" s="206"/>
      <c r="M171" s="207"/>
      <c r="N171" s="208"/>
    </row>
    <row r="172" spans="1:14" s="57" customFormat="1" ht="13.8" outlineLevel="1" x14ac:dyDescent="0.3">
      <c r="A172" s="213">
        <v>24.01</v>
      </c>
      <c r="B172" s="214" t="s">
        <v>183</v>
      </c>
      <c r="C172" s="215" t="s">
        <v>184</v>
      </c>
      <c r="D172" s="216">
        <v>6</v>
      </c>
      <c r="E172" s="37">
        <v>753138</v>
      </c>
      <c r="F172" s="37">
        <f t="shared" si="54"/>
        <v>4518828</v>
      </c>
      <c r="G172" s="181"/>
      <c r="H172" s="32"/>
      <c r="I172" s="245">
        <f>+'SVD 4140_Pto. 01_Cert. 07'!K172</f>
        <v>0.4</v>
      </c>
      <c r="J172" s="134">
        <v>0.1</v>
      </c>
      <c r="K172" s="135">
        <f t="shared" ref="K172:K181" si="91">+I172+J172</f>
        <v>0.5</v>
      </c>
      <c r="L172" s="200">
        <f t="shared" ref="L172:L181" si="92">+F172*I172</f>
        <v>1807531.2000000002</v>
      </c>
      <c r="M172" s="200">
        <f t="shared" ref="M172:M181" si="93">+F172*J172</f>
        <v>451882.80000000005</v>
      </c>
      <c r="N172" s="200">
        <f t="shared" ref="N172:N181" si="94">+F172*K172</f>
        <v>2259414</v>
      </c>
    </row>
    <row r="173" spans="1:14" s="57" customFormat="1" ht="13.8" outlineLevel="1" x14ac:dyDescent="0.3">
      <c r="A173" s="217">
        <v>24.02</v>
      </c>
      <c r="B173" s="218" t="s">
        <v>185</v>
      </c>
      <c r="C173" s="219" t="s">
        <v>184</v>
      </c>
      <c r="D173" s="220"/>
      <c r="E173" s="42">
        <v>1944871</v>
      </c>
      <c r="F173" s="42">
        <f t="shared" si="54"/>
        <v>0</v>
      </c>
      <c r="G173" s="181"/>
      <c r="H173" s="32"/>
      <c r="I173" s="245">
        <f>+'SVD 4140_Pto. 01_Cert. 07'!K173</f>
        <v>0</v>
      </c>
      <c r="J173" s="141"/>
      <c r="K173" s="79">
        <f t="shared" si="91"/>
        <v>0</v>
      </c>
      <c r="L173" s="201">
        <f t="shared" si="92"/>
        <v>0</v>
      </c>
      <c r="M173" s="201">
        <f t="shared" si="93"/>
        <v>0</v>
      </c>
      <c r="N173" s="201">
        <f t="shared" si="94"/>
        <v>0</v>
      </c>
    </row>
    <row r="174" spans="1:14" s="57" customFormat="1" ht="13.8" outlineLevel="1" x14ac:dyDescent="0.3">
      <c r="A174" s="217">
        <v>24.03</v>
      </c>
      <c r="B174" s="218" t="s">
        <v>186</v>
      </c>
      <c r="C174" s="219" t="s">
        <v>184</v>
      </c>
      <c r="D174" s="220">
        <v>6</v>
      </c>
      <c r="E174" s="42">
        <v>188533</v>
      </c>
      <c r="F174" s="42">
        <f t="shared" si="54"/>
        <v>1131198</v>
      </c>
      <c r="G174" s="181"/>
      <c r="H174" s="32"/>
      <c r="I174" s="245">
        <f>+'SVD 4140_Pto. 01_Cert. 07'!K174</f>
        <v>0.4</v>
      </c>
      <c r="J174" s="141">
        <v>0.1</v>
      </c>
      <c r="K174" s="79">
        <f t="shared" si="91"/>
        <v>0.5</v>
      </c>
      <c r="L174" s="201">
        <f t="shared" si="92"/>
        <v>452479.2</v>
      </c>
      <c r="M174" s="201">
        <f t="shared" si="93"/>
        <v>113119.8</v>
      </c>
      <c r="N174" s="201">
        <f t="shared" si="94"/>
        <v>565599</v>
      </c>
    </row>
    <row r="175" spans="1:14" s="57" customFormat="1" ht="13.8" outlineLevel="1" x14ac:dyDescent="0.3">
      <c r="A175" s="217">
        <v>24.04</v>
      </c>
      <c r="B175" s="218" t="s">
        <v>187</v>
      </c>
      <c r="C175" s="219" t="s">
        <v>28</v>
      </c>
      <c r="D175" s="220"/>
      <c r="E175" s="42">
        <v>4606562</v>
      </c>
      <c r="F175" s="42">
        <f t="shared" si="54"/>
        <v>0</v>
      </c>
      <c r="G175" s="181"/>
      <c r="H175" s="32"/>
      <c r="I175" s="245">
        <f>+'SVD 4140_Pto. 01_Cert. 07'!K175</f>
        <v>0</v>
      </c>
      <c r="J175" s="141"/>
      <c r="K175" s="79">
        <f t="shared" si="91"/>
        <v>0</v>
      </c>
      <c r="L175" s="201">
        <f t="shared" si="92"/>
        <v>0</v>
      </c>
      <c r="M175" s="201">
        <f t="shared" si="93"/>
        <v>0</v>
      </c>
      <c r="N175" s="201">
        <f t="shared" si="94"/>
        <v>0</v>
      </c>
    </row>
    <row r="176" spans="1:14" s="57" customFormat="1" ht="13.8" outlineLevel="1" x14ac:dyDescent="0.3">
      <c r="A176" s="217">
        <v>24.05</v>
      </c>
      <c r="B176" s="218" t="s">
        <v>188</v>
      </c>
      <c r="C176" s="219" t="s">
        <v>184</v>
      </c>
      <c r="D176" s="220">
        <v>6</v>
      </c>
      <c r="E176" s="42">
        <v>696152</v>
      </c>
      <c r="F176" s="42">
        <f t="shared" si="54"/>
        <v>4176912</v>
      </c>
      <c r="G176" s="181"/>
      <c r="H176" s="32"/>
      <c r="I176" s="245">
        <f>+'SVD 4140_Pto. 01_Cert. 07'!K176</f>
        <v>0.30000000000000004</v>
      </c>
      <c r="J176" s="141">
        <v>0.1</v>
      </c>
      <c r="K176" s="79">
        <f t="shared" si="91"/>
        <v>0.4</v>
      </c>
      <c r="L176" s="201">
        <f t="shared" si="92"/>
        <v>1253073.6000000001</v>
      </c>
      <c r="M176" s="201">
        <f t="shared" si="93"/>
        <v>417691.2</v>
      </c>
      <c r="N176" s="201">
        <f t="shared" si="94"/>
        <v>1670764.8</v>
      </c>
    </row>
    <row r="177" spans="1:14" s="57" customFormat="1" ht="13.8" outlineLevel="1" x14ac:dyDescent="0.3">
      <c r="A177" s="217">
        <v>24.06</v>
      </c>
      <c r="B177" s="218" t="s">
        <v>189</v>
      </c>
      <c r="C177" s="219" t="s">
        <v>184</v>
      </c>
      <c r="D177" s="220">
        <v>6</v>
      </c>
      <c r="E177" s="42">
        <v>452333</v>
      </c>
      <c r="F177" s="42">
        <f t="shared" si="54"/>
        <v>2713998</v>
      </c>
      <c r="G177" s="181"/>
      <c r="H177" s="32"/>
      <c r="I177" s="245">
        <f>+'SVD 4140_Pto. 01_Cert. 07'!K177</f>
        <v>0.30000000000000004</v>
      </c>
      <c r="J177" s="141">
        <v>0.1</v>
      </c>
      <c r="K177" s="79">
        <f t="shared" si="91"/>
        <v>0.4</v>
      </c>
      <c r="L177" s="201">
        <f t="shared" si="92"/>
        <v>814199.40000000014</v>
      </c>
      <c r="M177" s="201">
        <f t="shared" si="93"/>
        <v>271399.8</v>
      </c>
      <c r="N177" s="201">
        <f t="shared" si="94"/>
        <v>1085599.2</v>
      </c>
    </row>
    <row r="178" spans="1:14" s="57" customFormat="1" ht="13.8" outlineLevel="1" x14ac:dyDescent="0.3">
      <c r="A178" s="217">
        <v>24.07</v>
      </c>
      <c r="B178" s="218" t="s">
        <v>190</v>
      </c>
      <c r="C178" s="219" t="s">
        <v>28</v>
      </c>
      <c r="D178" s="220">
        <v>0</v>
      </c>
      <c r="E178" s="42">
        <v>0</v>
      </c>
      <c r="F178" s="42">
        <f t="shared" si="54"/>
        <v>0</v>
      </c>
      <c r="G178" s="181"/>
      <c r="H178" s="32"/>
      <c r="I178" s="245">
        <f>+'SVD 4140_Pto. 01_Cert. 07'!K178</f>
        <v>0</v>
      </c>
      <c r="J178" s="141"/>
      <c r="K178" s="79">
        <f t="shared" si="91"/>
        <v>0</v>
      </c>
      <c r="L178" s="201">
        <f t="shared" si="92"/>
        <v>0</v>
      </c>
      <c r="M178" s="201">
        <f t="shared" si="93"/>
        <v>0</v>
      </c>
      <c r="N178" s="201">
        <f t="shared" si="94"/>
        <v>0</v>
      </c>
    </row>
    <row r="179" spans="1:14" s="57" customFormat="1" ht="13.8" outlineLevel="1" x14ac:dyDescent="0.3">
      <c r="A179" s="217">
        <v>24.08</v>
      </c>
      <c r="B179" s="218" t="s">
        <v>191</v>
      </c>
      <c r="C179" s="219" t="s">
        <v>184</v>
      </c>
      <c r="D179" s="220">
        <v>6</v>
      </c>
      <c r="E179" s="42">
        <v>314221</v>
      </c>
      <c r="F179" s="42">
        <f t="shared" si="54"/>
        <v>1885326</v>
      </c>
      <c r="G179" s="181"/>
      <c r="H179" s="32"/>
      <c r="I179" s="245">
        <f>+'SVD 4140_Pto. 01_Cert. 07'!K179</f>
        <v>0.30000000000000004</v>
      </c>
      <c r="J179" s="141">
        <v>0.1</v>
      </c>
      <c r="K179" s="79">
        <f t="shared" si="91"/>
        <v>0.4</v>
      </c>
      <c r="L179" s="201">
        <f t="shared" si="92"/>
        <v>565597.80000000005</v>
      </c>
      <c r="M179" s="201">
        <f t="shared" si="93"/>
        <v>188532.6</v>
      </c>
      <c r="N179" s="201">
        <f t="shared" si="94"/>
        <v>754130.4</v>
      </c>
    </row>
    <row r="180" spans="1:14" s="57" customFormat="1" ht="13.8" outlineLevel="1" x14ac:dyDescent="0.3">
      <c r="A180" s="217">
        <v>24.09</v>
      </c>
      <c r="B180" s="218" t="s">
        <v>192</v>
      </c>
      <c r="C180" s="219" t="s">
        <v>184</v>
      </c>
      <c r="D180" s="220">
        <v>4</v>
      </c>
      <c r="E180" s="42">
        <v>0</v>
      </c>
      <c r="F180" s="42">
        <f t="shared" si="54"/>
        <v>0</v>
      </c>
      <c r="G180" s="181"/>
      <c r="H180" s="32"/>
      <c r="I180" s="245">
        <f>+'SVD 4140_Pto. 01_Cert. 07'!K180</f>
        <v>0</v>
      </c>
      <c r="J180" s="141"/>
      <c r="K180" s="79">
        <f t="shared" si="91"/>
        <v>0</v>
      </c>
      <c r="L180" s="201">
        <f t="shared" si="92"/>
        <v>0</v>
      </c>
      <c r="M180" s="201">
        <f t="shared" si="93"/>
        <v>0</v>
      </c>
      <c r="N180" s="201">
        <f t="shared" si="94"/>
        <v>0</v>
      </c>
    </row>
    <row r="181" spans="1:14" s="57" customFormat="1" ht="13.8" outlineLevel="1" x14ac:dyDescent="0.3">
      <c r="A181" s="221">
        <v>24.1</v>
      </c>
      <c r="B181" s="222" t="s">
        <v>193</v>
      </c>
      <c r="C181" s="223" t="s">
        <v>184</v>
      </c>
      <c r="D181" s="224">
        <v>6</v>
      </c>
      <c r="E181" s="60">
        <v>314138</v>
      </c>
      <c r="F181" s="60">
        <f t="shared" si="54"/>
        <v>1884828</v>
      </c>
      <c r="G181" s="181"/>
      <c r="H181" s="32"/>
      <c r="I181" s="245">
        <f>+'SVD 4140_Pto. 01_Cert. 07'!K181</f>
        <v>0.30000000000000004</v>
      </c>
      <c r="J181" s="141">
        <v>0.1</v>
      </c>
      <c r="K181" s="79">
        <f t="shared" si="91"/>
        <v>0.4</v>
      </c>
      <c r="L181" s="201">
        <f t="shared" si="92"/>
        <v>565448.40000000014</v>
      </c>
      <c r="M181" s="201">
        <f t="shared" si="93"/>
        <v>188482.80000000002</v>
      </c>
      <c r="N181" s="201">
        <f t="shared" si="94"/>
        <v>753931.20000000007</v>
      </c>
    </row>
    <row r="182" spans="1:14" s="57" customFormat="1" ht="13.8" x14ac:dyDescent="0.3">
      <c r="A182" s="27">
        <v>25</v>
      </c>
      <c r="B182" s="28" t="s">
        <v>194</v>
      </c>
      <c r="C182" s="189"/>
      <c r="D182" s="65"/>
      <c r="E182" s="65"/>
      <c r="F182" s="65"/>
      <c r="G182" s="31">
        <f>+SUM(F183:F184)</f>
        <v>32415288</v>
      </c>
      <c r="H182" s="32">
        <f>+G182/$G$185</f>
        <v>4.4063037718334433E-2</v>
      </c>
      <c r="I182" s="248"/>
      <c r="J182" s="206"/>
      <c r="K182" s="206"/>
      <c r="L182" s="206"/>
      <c r="M182" s="207"/>
      <c r="N182" s="208"/>
    </row>
    <row r="183" spans="1:14" s="57" customFormat="1" ht="13.8" outlineLevel="1" x14ac:dyDescent="0.3">
      <c r="A183" s="213">
        <v>25.01</v>
      </c>
      <c r="B183" s="214" t="s">
        <v>195</v>
      </c>
      <c r="C183" s="215" t="s">
        <v>184</v>
      </c>
      <c r="D183" s="216">
        <v>6</v>
      </c>
      <c r="E183" s="37">
        <v>4774106</v>
      </c>
      <c r="F183" s="37">
        <f t="shared" si="54"/>
        <v>28644636</v>
      </c>
      <c r="G183" s="181"/>
      <c r="H183" s="32"/>
      <c r="I183" s="245">
        <f>+'SVD 4140_Pto. 01_Cert. 07'!K183</f>
        <v>0.4</v>
      </c>
      <c r="J183" s="141">
        <v>0.1</v>
      </c>
      <c r="K183" s="79">
        <f t="shared" ref="K183:K184" si="95">+I183+J183</f>
        <v>0.5</v>
      </c>
      <c r="L183" s="201">
        <f t="shared" ref="L183:L184" si="96">+F183*I183</f>
        <v>11457854.4</v>
      </c>
      <c r="M183" s="201">
        <f t="shared" ref="M183:M184" si="97">+F183*J183</f>
        <v>2864463.6</v>
      </c>
      <c r="N183" s="201">
        <f t="shared" ref="N183:N184" si="98">+F183*K183</f>
        <v>14322318</v>
      </c>
    </row>
    <row r="184" spans="1:14" s="57" customFormat="1" ht="13.8" outlineLevel="1" x14ac:dyDescent="0.3">
      <c r="A184" s="221">
        <v>25.02</v>
      </c>
      <c r="B184" s="222" t="s">
        <v>196</v>
      </c>
      <c r="C184" s="223" t="s">
        <v>184</v>
      </c>
      <c r="D184" s="224">
        <v>6</v>
      </c>
      <c r="E184" s="60">
        <v>628442</v>
      </c>
      <c r="F184" s="60">
        <f t="shared" si="54"/>
        <v>3770652</v>
      </c>
      <c r="G184" s="181"/>
      <c r="H184" s="32"/>
      <c r="I184" s="245">
        <f>+'SVD 4140_Pto. 01_Cert. 07'!K184</f>
        <v>0.4</v>
      </c>
      <c r="J184" s="141">
        <v>0.1</v>
      </c>
      <c r="K184" s="79">
        <f t="shared" si="95"/>
        <v>0.5</v>
      </c>
      <c r="L184" s="201">
        <f t="shared" si="96"/>
        <v>1508260.8</v>
      </c>
      <c r="M184" s="201">
        <f t="shared" si="97"/>
        <v>377065.2</v>
      </c>
      <c r="N184" s="201">
        <f t="shared" si="98"/>
        <v>1885326</v>
      </c>
    </row>
    <row r="185" spans="1:14" s="57" customFormat="1" ht="13.8" x14ac:dyDescent="0.3">
      <c r="A185" s="27"/>
      <c r="B185" s="28" t="s">
        <v>197</v>
      </c>
      <c r="C185" s="189"/>
      <c r="D185" s="65"/>
      <c r="E185" s="65"/>
      <c r="F185" s="65">
        <f>+SUM(F9:F184)</f>
        <v>735657133.01950002</v>
      </c>
      <c r="G185" s="31">
        <f>+SUM(G9:G184)</f>
        <v>735657133.01950002</v>
      </c>
      <c r="H185" s="32">
        <f>+SUM(H9:H184)</f>
        <v>1</v>
      </c>
      <c r="I185" s="205"/>
      <c r="J185" s="206"/>
      <c r="K185" s="206"/>
      <c r="L185" s="237">
        <f>+SUM(L10:L184)</f>
        <v>227072122.22883001</v>
      </c>
      <c r="M185" s="237">
        <f>+SUM(M10:M184)</f>
        <v>95274614.594419986</v>
      </c>
      <c r="N185" s="238">
        <f>+SUM(N10:N184)</f>
        <v>322346736.82324994</v>
      </c>
    </row>
    <row r="186" spans="1:14" s="57" customFormat="1" ht="13.8" x14ac:dyDescent="0.3">
      <c r="A186" s="178"/>
      <c r="B186" s="145" t="s">
        <v>198</v>
      </c>
      <c r="C186" s="179"/>
      <c r="D186" s="180"/>
      <c r="E186" s="181"/>
      <c r="F186" s="181"/>
      <c r="G186" s="181"/>
      <c r="H186" s="32"/>
      <c r="L186" s="7"/>
      <c r="M186" s="170">
        <f>+M185/G185</f>
        <v>0.12950953687265415</v>
      </c>
      <c r="N186" s="170">
        <f>+N185/G185</f>
        <v>0.43817523456909852</v>
      </c>
    </row>
    <row r="187" spans="1:14" s="57" customFormat="1" ht="13.8" x14ac:dyDescent="0.3">
      <c r="A187" s="178"/>
      <c r="B187" s="145"/>
      <c r="C187" s="179"/>
      <c r="D187" s="180"/>
      <c r="E187" s="181"/>
      <c r="F187" s="181"/>
      <c r="G187" s="181"/>
      <c r="H187" s="32"/>
      <c r="L187" s="7"/>
      <c r="M187" s="170"/>
      <c r="N187" s="170"/>
    </row>
    <row r="188" spans="1:14" ht="13.8" x14ac:dyDescent="0.3">
      <c r="A188" s="27"/>
      <c r="B188" s="28" t="s">
        <v>216</v>
      </c>
      <c r="C188" s="29"/>
      <c r="D188" s="30"/>
      <c r="E188" s="30"/>
      <c r="F188" s="184"/>
      <c r="G188" s="31">
        <f>+SUM(F189:F193)</f>
        <v>-9955503.3356047589</v>
      </c>
      <c r="H188" s="252"/>
      <c r="J188" s="144"/>
      <c r="K188" s="144"/>
      <c r="L188" s="144"/>
      <c r="M188" s="144"/>
    </row>
    <row r="189" spans="1:14" ht="13.8" x14ac:dyDescent="0.3">
      <c r="A189" s="253">
        <v>4.0199999999999996</v>
      </c>
      <c r="B189" s="34" t="s">
        <v>20</v>
      </c>
      <c r="C189" s="35" t="s">
        <v>19</v>
      </c>
      <c r="D189" s="33">
        <v>-166</v>
      </c>
      <c r="E189" s="256">
        <f>+E11</f>
        <v>25172</v>
      </c>
      <c r="F189" s="36">
        <f>+E189*D189</f>
        <v>-4178552</v>
      </c>
      <c r="H189" s="257"/>
      <c r="I189" s="134">
        <f>+'SVD 4140_Pto. 01_Cert. 07'!K189</f>
        <v>1</v>
      </c>
      <c r="J189" s="249"/>
      <c r="K189" s="135">
        <f t="shared" ref="K189:K193" si="99">+I189+J189</f>
        <v>1</v>
      </c>
      <c r="L189" s="200">
        <f t="shared" ref="L189:L193" si="100">+F189*I189</f>
        <v>-4178552</v>
      </c>
      <c r="M189" s="200">
        <f t="shared" ref="M189:M193" si="101">+F189*J189</f>
        <v>0</v>
      </c>
      <c r="N189" s="200">
        <f t="shared" ref="N189:N193" si="102">+F189*K189</f>
        <v>-4178552</v>
      </c>
    </row>
    <row r="190" spans="1:14" ht="13.8" x14ac:dyDescent="0.3">
      <c r="A190" s="269">
        <v>7.02</v>
      </c>
      <c r="B190" s="270" t="s">
        <v>214</v>
      </c>
      <c r="C190" s="40" t="s">
        <v>19</v>
      </c>
      <c r="D190" s="38">
        <v>-166</v>
      </c>
      <c r="E190" s="271">
        <f>+E30</f>
        <v>22183</v>
      </c>
      <c r="F190" s="41">
        <f>+E190*D190</f>
        <v>-3682378</v>
      </c>
      <c r="H190" s="257"/>
      <c r="I190" s="136">
        <f>+'SVD 4140_Pto. 01_Cert. 07'!K190</f>
        <v>1</v>
      </c>
      <c r="J190" s="141"/>
      <c r="K190" s="79">
        <f t="shared" si="99"/>
        <v>1</v>
      </c>
      <c r="L190" s="201">
        <f t="shared" si="100"/>
        <v>-3682378</v>
      </c>
      <c r="M190" s="201">
        <f t="shared" si="101"/>
        <v>0</v>
      </c>
      <c r="N190" s="201">
        <f t="shared" si="102"/>
        <v>-3682378</v>
      </c>
    </row>
    <row r="191" spans="1:14" ht="13.8" x14ac:dyDescent="0.3">
      <c r="A191" s="269">
        <v>13.03</v>
      </c>
      <c r="B191" s="39" t="s">
        <v>219</v>
      </c>
      <c r="C191" s="40" t="s">
        <v>19</v>
      </c>
      <c r="D191" s="41">
        <v>-50</v>
      </c>
      <c r="E191" s="41">
        <f>+E73</f>
        <v>29881</v>
      </c>
      <c r="F191" s="41">
        <f>+E191*D191</f>
        <v>-1494050</v>
      </c>
      <c r="H191" s="257"/>
      <c r="I191" s="136">
        <f>+'SVD 4140_Pto. 01_Cert. 07'!K191</f>
        <v>0</v>
      </c>
      <c r="J191" s="141"/>
      <c r="K191" s="79">
        <f t="shared" si="99"/>
        <v>0</v>
      </c>
      <c r="L191" s="201">
        <f t="shared" si="100"/>
        <v>0</v>
      </c>
      <c r="M191" s="201">
        <f t="shared" si="101"/>
        <v>0</v>
      </c>
      <c r="N191" s="201">
        <f t="shared" si="102"/>
        <v>0</v>
      </c>
    </row>
    <row r="192" spans="1:14" ht="13.8" x14ac:dyDescent="0.3">
      <c r="A192" s="263">
        <v>18.03</v>
      </c>
      <c r="B192" s="264" t="s">
        <v>114</v>
      </c>
      <c r="C192" s="265" t="s">
        <v>47</v>
      </c>
      <c r="D192" s="266">
        <v>-7</v>
      </c>
      <c r="E192" s="267">
        <f>+E103</f>
        <v>57445</v>
      </c>
      <c r="F192" s="268">
        <f>+E192*D192</f>
        <v>-402115</v>
      </c>
      <c r="H192" s="257"/>
      <c r="I192" s="136">
        <f>+'SVD 4140_Pto. 01_Cert. 07'!K192</f>
        <v>1</v>
      </c>
      <c r="J192" s="141"/>
      <c r="K192" s="79">
        <f t="shared" si="99"/>
        <v>1</v>
      </c>
      <c r="L192" s="201">
        <f t="shared" si="100"/>
        <v>-402115</v>
      </c>
      <c r="M192" s="201">
        <f t="shared" si="101"/>
        <v>0</v>
      </c>
      <c r="N192" s="201">
        <f t="shared" si="102"/>
        <v>-402115</v>
      </c>
    </row>
    <row r="193" spans="1:17" ht="13.8" x14ac:dyDescent="0.3">
      <c r="A193" s="259"/>
      <c r="B193" s="260" t="s">
        <v>215</v>
      </c>
      <c r="C193" s="193" t="s">
        <v>47</v>
      </c>
      <c r="D193" s="261">
        <v>-7</v>
      </c>
      <c r="E193" s="258">
        <v>28344.047943536876</v>
      </c>
      <c r="F193" s="48">
        <f>+E193*D193</f>
        <v>-198408.33560475812</v>
      </c>
      <c r="H193" s="257"/>
      <c r="I193" s="137">
        <f>+'SVD 4140_Pto. 01_Cert. 07'!K193</f>
        <v>1</v>
      </c>
      <c r="J193" s="262"/>
      <c r="K193" s="138">
        <f t="shared" si="99"/>
        <v>1</v>
      </c>
      <c r="L193" s="202">
        <f t="shared" si="100"/>
        <v>-198408.33560475812</v>
      </c>
      <c r="M193" s="202">
        <f t="shared" si="101"/>
        <v>0</v>
      </c>
      <c r="N193" s="202">
        <f t="shared" si="102"/>
        <v>-198408.33560475812</v>
      </c>
    </row>
    <row r="194" spans="1:17" ht="12.75" customHeight="1" x14ac:dyDescent="0.3">
      <c r="I194" s="252"/>
      <c r="J194" s="252"/>
      <c r="K194" s="252"/>
      <c r="L194" s="252"/>
      <c r="M194" s="284">
        <f>+SUM(M189:M193)</f>
        <v>0</v>
      </c>
      <c r="N194" s="284">
        <f>+SUM(N189:N193)</f>
        <v>-8461453.3356047589</v>
      </c>
    </row>
    <row r="195" spans="1:17" ht="12.75" customHeight="1" x14ac:dyDescent="0.3">
      <c r="M195" s="57"/>
      <c r="N195" s="57"/>
    </row>
    <row r="196" spans="1:17" ht="12.75" customHeight="1" x14ac:dyDescent="0.3">
      <c r="A196" s="81"/>
      <c r="B196" s="68" t="s">
        <v>199</v>
      </c>
      <c r="C196" s="82"/>
      <c r="D196" s="83"/>
      <c r="E196" s="84"/>
      <c r="F196" s="85"/>
      <c r="G196" s="86"/>
      <c r="H196" s="86"/>
      <c r="I196" s="87"/>
      <c r="J196" s="88"/>
      <c r="K196" s="89" t="s">
        <v>200</v>
      </c>
      <c r="L196" s="90">
        <f>+J5</f>
        <v>8</v>
      </c>
      <c r="M196" s="91"/>
      <c r="N196" s="92">
        <f>+N5</f>
        <v>46174</v>
      </c>
    </row>
    <row r="197" spans="1:17" ht="12.75" customHeight="1" x14ac:dyDescent="0.3">
      <c r="A197" s="93"/>
      <c r="B197" s="68" t="s">
        <v>6</v>
      </c>
      <c r="C197" s="91"/>
      <c r="D197" s="94"/>
      <c r="E197" s="95"/>
      <c r="F197" s="86"/>
      <c r="G197" s="86"/>
      <c r="H197" s="86"/>
      <c r="I197" s="96"/>
      <c r="J197" s="97"/>
      <c r="K197" s="96"/>
      <c r="L197" s="68"/>
      <c r="M197" s="91" t="s">
        <v>201</v>
      </c>
      <c r="N197" s="98" t="s">
        <v>202</v>
      </c>
    </row>
    <row r="198" spans="1:17" ht="12.75" customHeight="1" x14ac:dyDescent="0.3">
      <c r="A198" s="146" t="s">
        <v>203</v>
      </c>
      <c r="B198" s="99" t="s">
        <v>204</v>
      </c>
      <c r="C198" s="100"/>
      <c r="D198" s="101"/>
      <c r="E198" s="102"/>
      <c r="F198" s="103"/>
      <c r="G198" s="104"/>
      <c r="H198" s="104"/>
      <c r="I198" s="105"/>
      <c r="J198" s="106"/>
      <c r="K198" s="105"/>
      <c r="L198" s="107"/>
      <c r="M198" s="107"/>
      <c r="N198" s="108">
        <f>+G185</f>
        <v>735657133.01950002</v>
      </c>
      <c r="P198" s="171"/>
      <c r="Q198" s="172"/>
    </row>
    <row r="199" spans="1:17" ht="12.75" customHeight="1" x14ac:dyDescent="0.3">
      <c r="A199" s="109" t="s">
        <v>205</v>
      </c>
      <c r="B199" s="110" t="s">
        <v>206</v>
      </c>
      <c r="C199" s="111"/>
      <c r="D199" s="112"/>
      <c r="E199" s="113"/>
      <c r="F199" s="114"/>
      <c r="G199" s="115"/>
      <c r="H199" s="115"/>
      <c r="I199" s="114"/>
      <c r="J199" s="116"/>
      <c r="K199" s="117"/>
      <c r="L199" s="118"/>
      <c r="M199" s="240">
        <v>0.4</v>
      </c>
      <c r="N199" s="119">
        <f>+M199*N198</f>
        <v>294262853.20780003</v>
      </c>
      <c r="P199" s="173"/>
      <c r="Q199" s="172"/>
    </row>
    <row r="200" spans="1:17" ht="12.75" customHeight="1" x14ac:dyDescent="0.3">
      <c r="A200" s="147" t="s">
        <v>207</v>
      </c>
      <c r="B200" s="120" t="s">
        <v>208</v>
      </c>
      <c r="C200" s="121"/>
      <c r="D200" s="122"/>
      <c r="E200" s="123"/>
      <c r="F200" s="124"/>
      <c r="G200" s="125"/>
      <c r="H200" s="125"/>
      <c r="I200" s="126"/>
      <c r="J200" s="127"/>
      <c r="K200" s="126"/>
      <c r="L200" s="128"/>
      <c r="M200" s="128"/>
      <c r="N200" s="129">
        <f>+M185</f>
        <v>95274614.594419986</v>
      </c>
      <c r="P200" s="171"/>
      <c r="Q200" s="174"/>
    </row>
    <row r="201" spans="1:17" ht="12.75" customHeight="1" x14ac:dyDescent="0.3">
      <c r="A201" s="148" t="s">
        <v>209</v>
      </c>
      <c r="B201" s="149" t="s">
        <v>210</v>
      </c>
      <c r="C201" s="150"/>
      <c r="D201" s="151"/>
      <c r="E201" s="152"/>
      <c r="F201" s="153"/>
      <c r="G201" s="154"/>
      <c r="H201" s="154"/>
      <c r="I201" s="155"/>
      <c r="J201" s="156"/>
      <c r="K201" s="155"/>
      <c r="L201" s="157"/>
      <c r="M201" s="158">
        <f>-M199</f>
        <v>-0.4</v>
      </c>
      <c r="N201" s="159">
        <f>+M201*N200</f>
        <v>-38109845.837767996</v>
      </c>
      <c r="P201" s="173"/>
      <c r="Q201" s="175"/>
    </row>
    <row r="202" spans="1:17" ht="12.75" customHeight="1" x14ac:dyDescent="0.3">
      <c r="A202" s="147" t="s">
        <v>211</v>
      </c>
      <c r="B202" s="120" t="s">
        <v>218</v>
      </c>
      <c r="C202" s="121"/>
      <c r="D202" s="122"/>
      <c r="E202" s="123"/>
      <c r="F202" s="124"/>
      <c r="G202" s="125"/>
      <c r="H202" s="125"/>
      <c r="I202" s="126"/>
      <c r="J202" s="127"/>
      <c r="K202" s="126"/>
      <c r="L202" s="128"/>
      <c r="M202" s="128"/>
      <c r="N202" s="129">
        <f>+M194</f>
        <v>0</v>
      </c>
      <c r="P202" s="173"/>
      <c r="Q202" s="175"/>
    </row>
    <row r="203" spans="1:17" ht="12.75" customHeight="1" x14ac:dyDescent="0.3">
      <c r="A203" s="286" t="s">
        <v>217</v>
      </c>
      <c r="B203" s="287" t="s">
        <v>212</v>
      </c>
      <c r="C203" s="288"/>
      <c r="D203" s="289"/>
      <c r="E203" s="290"/>
      <c r="F203" s="291"/>
      <c r="G203" s="291"/>
      <c r="H203" s="291"/>
      <c r="I203" s="291"/>
      <c r="J203" s="292"/>
      <c r="K203" s="293"/>
      <c r="L203" s="294"/>
      <c r="M203" s="294"/>
      <c r="N203" s="295">
        <f>+N200+N201+N202</f>
        <v>57164768.75665199</v>
      </c>
      <c r="P203" s="171"/>
      <c r="Q203" s="176"/>
    </row>
    <row r="204" spans="1:17" ht="12.75" customHeight="1" x14ac:dyDescent="0.3">
      <c r="A204" s="177"/>
      <c r="B204" s="2" t="s">
        <v>213</v>
      </c>
      <c r="C204" s="150"/>
      <c r="D204" s="151"/>
      <c r="E204" s="152"/>
      <c r="F204" s="153"/>
      <c r="G204" s="154"/>
      <c r="H204" s="154"/>
      <c r="I204" s="155"/>
      <c r="J204" s="156"/>
      <c r="K204" s="155"/>
      <c r="L204" s="157"/>
    </row>
    <row r="206" spans="1:17" ht="12.75" customHeight="1" x14ac:dyDescent="0.3">
      <c r="N206" s="144"/>
    </row>
  </sheetData>
  <mergeCells count="2">
    <mergeCell ref="I7:K7"/>
    <mergeCell ref="L7:N7"/>
  </mergeCells>
  <conditionalFormatting sqref="C3:C12 C56:C193">
    <cfRule type="cellIs" dxfId="25" priority="26" operator="equal">
      <formula>"x"</formula>
    </cfRule>
  </conditionalFormatting>
  <conditionalFormatting sqref="C18">
    <cfRule type="cellIs" dxfId="24" priority="24" operator="equal">
      <formula>"x"</formula>
    </cfRule>
  </conditionalFormatting>
  <conditionalFormatting sqref="C20:C29">
    <cfRule type="cellIs" dxfId="23" priority="23" operator="equal">
      <formula>"x"</formula>
    </cfRule>
  </conditionalFormatting>
  <conditionalFormatting sqref="C37">
    <cfRule type="cellIs" dxfId="22" priority="22" operator="equal">
      <formula>"x"</formula>
    </cfRule>
  </conditionalFormatting>
  <conditionalFormatting sqref="C42:C53">
    <cfRule type="cellIs" dxfId="21" priority="21" operator="equal">
      <formula>"x"</formula>
    </cfRule>
  </conditionalFormatting>
  <conditionalFormatting sqref="K10:K17 K19:K25 K27 K29:K36 K38:K45 K47:K50 K52:K55 K189:K193">
    <cfRule type="cellIs" dxfId="20" priority="25" operator="lessThan">
      <formula>1</formula>
    </cfRule>
  </conditionalFormatting>
  <conditionalFormatting sqref="K57:K63">
    <cfRule type="cellIs" dxfId="19" priority="19" operator="lessThan">
      <formula>1</formula>
    </cfRule>
  </conditionalFormatting>
  <conditionalFormatting sqref="K65:K69">
    <cfRule type="cellIs" dxfId="18" priority="18" operator="lessThan">
      <formula>1</formula>
    </cfRule>
  </conditionalFormatting>
  <conditionalFormatting sqref="K71:K74">
    <cfRule type="cellIs" dxfId="17" priority="17" operator="lessThan">
      <formula>1</formula>
    </cfRule>
  </conditionalFormatting>
  <conditionalFormatting sqref="K76:K82">
    <cfRule type="cellIs" dxfId="16" priority="16" operator="lessThan">
      <formula>1</formula>
    </cfRule>
  </conditionalFormatting>
  <conditionalFormatting sqref="K84:K92">
    <cfRule type="cellIs" dxfId="15" priority="15" operator="lessThan">
      <formula>1</formula>
    </cfRule>
  </conditionalFormatting>
  <conditionalFormatting sqref="K94">
    <cfRule type="cellIs" dxfId="14" priority="14" operator="lessThan">
      <formula>1</formula>
    </cfRule>
  </conditionalFormatting>
  <conditionalFormatting sqref="K96:K99">
    <cfRule type="cellIs" dxfId="13" priority="13" operator="lessThan">
      <formula>1</formula>
    </cfRule>
  </conditionalFormatting>
  <conditionalFormatting sqref="K101:K130">
    <cfRule type="cellIs" dxfId="12" priority="20" operator="lessThan">
      <formula>1</formula>
    </cfRule>
  </conditionalFormatting>
  <conditionalFormatting sqref="K133:K136">
    <cfRule type="cellIs" dxfId="11" priority="12" operator="lessThan">
      <formula>1</formula>
    </cfRule>
  </conditionalFormatting>
  <conditionalFormatting sqref="K138:K140 K142:K146">
    <cfRule type="cellIs" dxfId="10" priority="11" operator="lessThan">
      <formula>1</formula>
    </cfRule>
  </conditionalFormatting>
  <conditionalFormatting sqref="K148">
    <cfRule type="cellIs" dxfId="9" priority="10" operator="lessThan">
      <formula>1</formula>
    </cfRule>
  </conditionalFormatting>
  <conditionalFormatting sqref="K150:K153">
    <cfRule type="cellIs" dxfId="8" priority="9" operator="lessThan">
      <formula>1</formula>
    </cfRule>
  </conditionalFormatting>
  <conditionalFormatting sqref="K155">
    <cfRule type="cellIs" dxfId="7" priority="8" operator="lessThan">
      <formula>1</formula>
    </cfRule>
  </conditionalFormatting>
  <conditionalFormatting sqref="K157:K158">
    <cfRule type="cellIs" dxfId="6" priority="7" operator="lessThan">
      <formula>1</formula>
    </cfRule>
  </conditionalFormatting>
  <conditionalFormatting sqref="K160:K161">
    <cfRule type="cellIs" dxfId="5" priority="6" operator="lessThan">
      <formula>1</formula>
    </cfRule>
  </conditionalFormatting>
  <conditionalFormatting sqref="K163">
    <cfRule type="cellIs" dxfId="4" priority="5" operator="lessThan">
      <formula>1</formula>
    </cfRule>
  </conditionalFormatting>
  <conditionalFormatting sqref="K165:K166">
    <cfRule type="cellIs" dxfId="3" priority="4" operator="lessThan">
      <formula>1</formula>
    </cfRule>
  </conditionalFormatting>
  <conditionalFormatting sqref="K168:K170">
    <cfRule type="cellIs" dxfId="2" priority="3" operator="lessThan">
      <formula>1</formula>
    </cfRule>
  </conditionalFormatting>
  <conditionalFormatting sqref="K172:K181">
    <cfRule type="cellIs" dxfId="1" priority="2" operator="lessThan">
      <formula>1</formula>
    </cfRule>
  </conditionalFormatting>
  <conditionalFormatting sqref="K183:K184">
    <cfRule type="cellIs" dxfId="0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/>
  <headerFooter>
    <oddFooter>&amp;C&amp;P de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867ba-afc9-41d7-832d-70b193b46750">
      <Terms xmlns="http://schemas.microsoft.com/office/infopath/2007/PartnerControls"/>
    </lcf76f155ced4ddcb4097134ff3c332f>
    <TaxCatchAll xmlns="861eec1e-dfcf-41d4-8b29-b5dd7f9f56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4C56C9DB8474EB652E9ADB5B7A784" ma:contentTypeVersion="11" ma:contentTypeDescription="Crear nuevo documento." ma:contentTypeScope="" ma:versionID="b15eebc804a8fbf045000ac25683a7b0">
  <xsd:schema xmlns:xsd="http://www.w3.org/2001/XMLSchema" xmlns:xs="http://www.w3.org/2001/XMLSchema" xmlns:p="http://schemas.microsoft.com/office/2006/metadata/properties" xmlns:ns2="ec0867ba-afc9-41d7-832d-70b193b46750" xmlns:ns3="861eec1e-dfcf-41d4-8b29-b5dd7f9f56d3" targetNamespace="http://schemas.microsoft.com/office/2006/metadata/properties" ma:root="true" ma:fieldsID="c0cb28085f369e9ff2995073d0cd571e" ns2:_="" ns3:_="">
    <xsd:import namespace="ec0867ba-afc9-41d7-832d-70b193b46750"/>
    <xsd:import namespace="861eec1e-dfcf-41d4-8b29-b5dd7f9f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867ba-afc9-41d7-832d-70b193b4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eec1e-dfcf-41d4-8b29-b5dd7f9f56d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e3bcdee-b468-46d9-b6dd-c6303f0feb33}" ma:internalName="TaxCatchAll" ma:showField="CatchAllData" ma:web="861eec1e-dfcf-41d4-8b29-b5dd7f9f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05F3C-5827-40AD-A39F-E973AE716590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</ds:schemaRefs>
</ds:datastoreItem>
</file>

<file path=customXml/itemProps2.xml><?xml version="1.0" encoding="utf-8"?>
<ds:datastoreItem xmlns:ds="http://schemas.openxmlformats.org/officeDocument/2006/customXml" ds:itemID="{D755C461-6601-44C9-98DC-55FE68FD3D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476E8C-5E5A-4981-A11A-11103B9AA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16</vt:i4>
      </vt:variant>
    </vt:vector>
  </HeadingPairs>
  <TitlesOfParts>
    <vt:vector size="24" baseType="lpstr">
      <vt:lpstr>SVD 4140_Pto. 01_Cert. 01</vt:lpstr>
      <vt:lpstr>SVD 4140_Pto. 01_Cert. 02</vt:lpstr>
      <vt:lpstr>SVD 4140_Pto. 01_Cert. 03</vt:lpstr>
      <vt:lpstr>SVD 4140_Pto. 01_Cert. 04</vt:lpstr>
      <vt:lpstr>SVD 4140_Pto. 01_Cert. 05</vt:lpstr>
      <vt:lpstr>SVD 4140_Pto. 01_Cert. 06</vt:lpstr>
      <vt:lpstr>SVD 4140_Pto. 01_Cert. 07</vt:lpstr>
      <vt:lpstr>SVD 4140_Pto. 01_Cert. 08</vt:lpstr>
      <vt:lpstr>'SVD 4140_Pto. 01_Cert. 01'!Área_de_impresión</vt:lpstr>
      <vt:lpstr>'SVD 4140_Pto. 01_Cert. 02'!Área_de_impresión</vt:lpstr>
      <vt:lpstr>'SVD 4140_Pto. 01_Cert. 03'!Área_de_impresión</vt:lpstr>
      <vt:lpstr>'SVD 4140_Pto. 01_Cert. 04'!Área_de_impresión</vt:lpstr>
      <vt:lpstr>'SVD 4140_Pto. 01_Cert. 05'!Área_de_impresión</vt:lpstr>
      <vt:lpstr>'SVD 4140_Pto. 01_Cert. 06'!Área_de_impresión</vt:lpstr>
      <vt:lpstr>'SVD 4140_Pto. 01_Cert. 07'!Área_de_impresión</vt:lpstr>
      <vt:lpstr>'SVD 4140_Pto. 01_Cert. 08'!Área_de_impresión</vt:lpstr>
      <vt:lpstr>'SVD 4140_Pto. 01_Cert. 01'!Títulos_a_imprimir</vt:lpstr>
      <vt:lpstr>'SVD 4140_Pto. 01_Cert. 02'!Títulos_a_imprimir</vt:lpstr>
      <vt:lpstr>'SVD 4140_Pto. 01_Cert. 03'!Títulos_a_imprimir</vt:lpstr>
      <vt:lpstr>'SVD 4140_Pto. 01_Cert. 04'!Títulos_a_imprimir</vt:lpstr>
      <vt:lpstr>'SVD 4140_Pto. 01_Cert. 05'!Títulos_a_imprimir</vt:lpstr>
      <vt:lpstr>'SVD 4140_Pto. 01_Cert. 06'!Títulos_a_imprimir</vt:lpstr>
      <vt:lpstr>'SVD 4140_Pto. 01_Cert. 07'!Títulos_a_imprimir</vt:lpstr>
      <vt:lpstr>'SVD 4140_Pto. 01_Cert. 08'!Títulos_a_imprimir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Pagliaricci</dc:creator>
  <cp:keywords/>
  <dc:description/>
  <cp:lastModifiedBy>Matías Castarataro</cp:lastModifiedBy>
  <cp:revision/>
  <dcterms:created xsi:type="dcterms:W3CDTF">2024-12-02T20:17:56Z</dcterms:created>
  <dcterms:modified xsi:type="dcterms:W3CDTF">2026-06-01T20:41:09Z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0x0101003534C56C9DB8474EB652E9ADB5B7A784</vt:lpwstr>
  </property>
  <property fmtid="{D5CDD505-2E9C-101B-9397-08002B2CF9AE}" pid="3" name="MediaServiceImageTags">
    <vt:lpwstr/>
  </property>
</Properties>
</file>